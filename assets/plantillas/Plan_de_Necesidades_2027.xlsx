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ETITC\INFORMACIÓN ETITC\PLAN DE ACCIÓN Y PLAN OPERATIVO BIENAL 2025-2026\Propuesta 2027\"/>
    </mc:Choice>
  </mc:AlternateContent>
  <xr:revisionPtr revIDLastSave="0" documentId="8_{CC4C6A95-F859-47F8-9915-564D558E9F18}" xr6:coauthVersionLast="47" xr6:coauthVersionMax="47" xr10:uidLastSave="{00000000-0000-0000-0000-000000000000}"/>
  <workbookProtection workbookPassword="CC6D" lockStructure="1"/>
  <bookViews>
    <workbookView xWindow="-108" yWindow="-108" windowWidth="23256" windowHeight="12576" tabRatio="500" xr2:uid="{00000000-000D-0000-FFFF-FFFF00000000}"/>
  </bookViews>
  <sheets>
    <sheet name="Instructivo" sheetId="1" r:id="rId1"/>
    <sheet name="Guía UNSPSC" sheetId="2" r:id="rId2"/>
    <sheet name="Formulación PDN 2027" sheetId="3" r:id="rId3"/>
    <sheet name="2026" sheetId="4" r:id="rId4"/>
    <sheet name="Tablero_Consistencia" sheetId="5" r:id="rId5"/>
    <sheet name="Insumo_Plan_Adquisiciones" sheetId="6" r:id="rId6"/>
    <sheet name="Catalogos" sheetId="7" state="hidden" r:id="rId7"/>
  </sheets>
  <definedNames>
    <definedName name="_xlnm._FilterDatabase" localSheetId="3" hidden="1">'2026'!$A$4:$O$428</definedName>
    <definedName name="_xlnm._FilterDatabase" localSheetId="2" hidden="1">'Formulación PDN 2027'!$A$6:$AJ$506</definedName>
    <definedName name="L_AREAS">Catalogos!$Q$5:$Q$51</definedName>
    <definedName name="L_ESTVF">Catalogos!$AF$5:$AF$8</definedName>
    <definedName name="L_FUENTE">Catalogos!$AC$5:$AC$12</definedName>
    <definedName name="L_GASTO">Catalogos!$AD$5:$AD$6</definedName>
    <definedName name="L_MESES">Catalogos!$Z$5:$Z$16</definedName>
    <definedName name="L_METAS">Catalogos!$I$5:$I$49</definedName>
    <definedName name="L_MOD">Catalogos!$AB$5:$AB$11</definedName>
    <definedName name="L_PRIOR">Catalogos!$AH$5:$AH$7</definedName>
    <definedName name="L_REG2026">'2026'!$A$5:$A$428</definedName>
    <definedName name="L_SINO">Catalogos!$AE$5:$AE$6</definedName>
    <definedName name="L_TIPO">Catalogos!$AG$5:$AG$15</definedName>
    <definedName name="L_UNIDAD">Catalogos!$AA$5:$AA$7</definedName>
    <definedName name="P_FECHA">Tablero_Consistencia!$B$9</definedName>
    <definedName name="P_SMMLV">Tablero_Consistencia!$B$8</definedName>
    <definedName name="P_TOPE_MENOR">Tablero_Consistencia!$B$6</definedName>
    <definedName name="P_TOPE_MINIMA">Tablero_Consistencia!$B$7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3" i="5" l="1"/>
  <c r="D113" i="5"/>
  <c r="F113" i="5" s="1"/>
  <c r="E112" i="5"/>
  <c r="D112" i="5"/>
  <c r="F112" i="5" s="1"/>
  <c r="E111" i="5"/>
  <c r="D111" i="5"/>
  <c r="F111" i="5" s="1"/>
  <c r="F110" i="5"/>
  <c r="E110" i="5"/>
  <c r="D110" i="5"/>
  <c r="F109" i="5"/>
  <c r="E109" i="5"/>
  <c r="D109" i="5"/>
  <c r="E108" i="5"/>
  <c r="D108" i="5"/>
  <c r="F108" i="5" s="1"/>
  <c r="E107" i="5"/>
  <c r="D107" i="5"/>
  <c r="F107" i="5" s="1"/>
  <c r="E106" i="5"/>
  <c r="D106" i="5"/>
  <c r="F106" i="5" s="1"/>
  <c r="F105" i="5"/>
  <c r="E105" i="5"/>
  <c r="D105" i="5"/>
  <c r="E104" i="5"/>
  <c r="D104" i="5"/>
  <c r="F104" i="5" s="1"/>
  <c r="E103" i="5"/>
  <c r="D103" i="5"/>
  <c r="F103" i="5" s="1"/>
  <c r="F102" i="5"/>
  <c r="E102" i="5"/>
  <c r="D102" i="5"/>
  <c r="E101" i="5"/>
  <c r="D101" i="5"/>
  <c r="F101" i="5" s="1"/>
  <c r="E100" i="5"/>
  <c r="D100" i="5"/>
  <c r="F100" i="5" s="1"/>
  <c r="E99" i="5"/>
  <c r="D99" i="5"/>
  <c r="F99" i="5" s="1"/>
  <c r="E98" i="5"/>
  <c r="D98" i="5"/>
  <c r="F98" i="5" s="1"/>
  <c r="F97" i="5"/>
  <c r="E97" i="5"/>
  <c r="D97" i="5"/>
  <c r="E96" i="5"/>
  <c r="D96" i="5"/>
  <c r="F96" i="5" s="1"/>
  <c r="C92" i="5"/>
  <c r="B92" i="5"/>
  <c r="C91" i="5"/>
  <c r="B91" i="5"/>
  <c r="C90" i="5"/>
  <c r="B90" i="5"/>
  <c r="C89" i="5"/>
  <c r="B89" i="5"/>
  <c r="C88" i="5"/>
  <c r="B88" i="5"/>
  <c r="C87" i="5"/>
  <c r="B87" i="5"/>
  <c r="C86" i="5"/>
  <c r="B86" i="5"/>
  <c r="C85" i="5"/>
  <c r="B85" i="5"/>
  <c r="C81" i="5"/>
  <c r="B81" i="5"/>
  <c r="C80" i="5"/>
  <c r="B80" i="5"/>
  <c r="C79" i="5"/>
  <c r="B79" i="5"/>
  <c r="C78" i="5"/>
  <c r="B78" i="5"/>
  <c r="C77" i="5"/>
  <c r="B77" i="5"/>
  <c r="C76" i="5"/>
  <c r="B76" i="5"/>
  <c r="C75" i="5"/>
  <c r="B75" i="5"/>
  <c r="C61" i="5"/>
  <c r="B61" i="5"/>
  <c r="C60" i="5"/>
  <c r="B60" i="5"/>
  <c r="C59" i="5"/>
  <c r="B59" i="5"/>
  <c r="C58" i="5"/>
  <c r="B58" i="5"/>
  <c r="C57" i="5"/>
  <c r="B57" i="5"/>
  <c r="C56" i="5"/>
  <c r="B56" i="5"/>
  <c r="C55" i="5"/>
  <c r="B55" i="5"/>
  <c r="C54" i="5"/>
  <c r="B54" i="5"/>
  <c r="C53" i="5"/>
  <c r="B53" i="5"/>
  <c r="C52" i="5"/>
  <c r="B52" i="5"/>
  <c r="C51" i="5"/>
  <c r="B51" i="5"/>
  <c r="C50" i="5"/>
  <c r="B50" i="5"/>
  <c r="C49" i="5"/>
  <c r="B49" i="5"/>
  <c r="C48" i="5"/>
  <c r="B48" i="5"/>
  <c r="C47" i="5"/>
  <c r="B47" i="5"/>
  <c r="C46" i="5"/>
  <c r="B46" i="5"/>
  <c r="C45" i="5"/>
  <c r="B45" i="5"/>
  <c r="C44" i="5"/>
  <c r="C62" i="5" s="1"/>
  <c r="B44" i="5"/>
  <c r="B62" i="5" s="1"/>
  <c r="B21" i="5"/>
  <c r="B20" i="5"/>
  <c r="B19" i="5"/>
  <c r="B17" i="5"/>
  <c r="B16" i="5"/>
  <c r="O428" i="4"/>
  <c r="O427" i="4"/>
  <c r="O426" i="4"/>
  <c r="O425" i="4"/>
  <c r="O424" i="4"/>
  <c r="O423" i="4"/>
  <c r="O422" i="4"/>
  <c r="O421" i="4"/>
  <c r="O420" i="4"/>
  <c r="O419" i="4"/>
  <c r="O418" i="4"/>
  <c r="O417" i="4"/>
  <c r="O416" i="4"/>
  <c r="O415" i="4"/>
  <c r="O414" i="4"/>
  <c r="O413" i="4"/>
  <c r="O412" i="4"/>
  <c r="O411" i="4"/>
  <c r="O410" i="4"/>
  <c r="O409" i="4"/>
  <c r="O408" i="4"/>
  <c r="O407" i="4"/>
  <c r="O406" i="4"/>
  <c r="O405" i="4"/>
  <c r="O404" i="4"/>
  <c r="O403" i="4"/>
  <c r="O402" i="4"/>
  <c r="O401" i="4"/>
  <c r="O400" i="4"/>
  <c r="O399" i="4"/>
  <c r="O398" i="4"/>
  <c r="O397" i="4"/>
  <c r="O396" i="4"/>
  <c r="O395" i="4"/>
  <c r="O394" i="4"/>
  <c r="O393" i="4"/>
  <c r="O392" i="4"/>
  <c r="O391" i="4"/>
  <c r="O390" i="4"/>
  <c r="O389" i="4"/>
  <c r="O388" i="4"/>
  <c r="O387" i="4"/>
  <c r="O386" i="4"/>
  <c r="O385" i="4"/>
  <c r="O384" i="4"/>
  <c r="O383" i="4"/>
  <c r="O382" i="4"/>
  <c r="O381" i="4"/>
  <c r="O380" i="4"/>
  <c r="O379" i="4"/>
  <c r="O378" i="4"/>
  <c r="O377" i="4"/>
  <c r="O376" i="4"/>
  <c r="O375" i="4"/>
  <c r="O374" i="4"/>
  <c r="O373" i="4"/>
  <c r="O372" i="4"/>
  <c r="O371" i="4"/>
  <c r="O370" i="4"/>
  <c r="O369" i="4"/>
  <c r="O368" i="4"/>
  <c r="O367" i="4"/>
  <c r="O366" i="4"/>
  <c r="O365" i="4"/>
  <c r="O364" i="4"/>
  <c r="O363" i="4"/>
  <c r="O362" i="4"/>
  <c r="O361" i="4"/>
  <c r="O360" i="4"/>
  <c r="O359" i="4"/>
  <c r="O358" i="4"/>
  <c r="O357" i="4"/>
  <c r="O356" i="4"/>
  <c r="O355" i="4"/>
  <c r="O354" i="4"/>
  <c r="O353" i="4"/>
  <c r="O352" i="4"/>
  <c r="O351" i="4"/>
  <c r="O350" i="4"/>
  <c r="O349" i="4"/>
  <c r="O348" i="4"/>
  <c r="O347" i="4"/>
  <c r="O346" i="4"/>
  <c r="O345" i="4"/>
  <c r="O344" i="4"/>
  <c r="O343" i="4"/>
  <c r="O342" i="4"/>
  <c r="O341" i="4"/>
  <c r="O340" i="4"/>
  <c r="O339" i="4"/>
  <c r="O338" i="4"/>
  <c r="O337" i="4"/>
  <c r="O336" i="4"/>
  <c r="O335" i="4"/>
  <c r="O334" i="4"/>
  <c r="O333" i="4"/>
  <c r="O332" i="4"/>
  <c r="O331" i="4"/>
  <c r="O330" i="4"/>
  <c r="O329" i="4"/>
  <c r="O328" i="4"/>
  <c r="O327" i="4"/>
  <c r="O326" i="4"/>
  <c r="O325" i="4"/>
  <c r="O324" i="4"/>
  <c r="O323" i="4"/>
  <c r="O322" i="4"/>
  <c r="O321" i="4"/>
  <c r="O320" i="4"/>
  <c r="O319" i="4"/>
  <c r="O318" i="4"/>
  <c r="O317" i="4"/>
  <c r="O316" i="4"/>
  <c r="O315" i="4"/>
  <c r="O314" i="4"/>
  <c r="O313" i="4"/>
  <c r="O312" i="4"/>
  <c r="O311" i="4"/>
  <c r="O310" i="4"/>
  <c r="O309" i="4"/>
  <c r="O308" i="4"/>
  <c r="O307" i="4"/>
  <c r="O306" i="4"/>
  <c r="O305" i="4"/>
  <c r="O304" i="4"/>
  <c r="O303" i="4"/>
  <c r="O302" i="4"/>
  <c r="O301" i="4"/>
  <c r="O300" i="4"/>
  <c r="O299" i="4"/>
  <c r="O298" i="4"/>
  <c r="O297" i="4"/>
  <c r="O296" i="4"/>
  <c r="O295" i="4"/>
  <c r="O294" i="4"/>
  <c r="O293" i="4"/>
  <c r="O292" i="4"/>
  <c r="O291" i="4"/>
  <c r="O290" i="4"/>
  <c r="O289" i="4"/>
  <c r="O288" i="4"/>
  <c r="O287" i="4"/>
  <c r="O286" i="4"/>
  <c r="O285" i="4"/>
  <c r="O284" i="4"/>
  <c r="O283" i="4"/>
  <c r="O282" i="4"/>
  <c r="O281" i="4"/>
  <c r="O280" i="4"/>
  <c r="O279" i="4"/>
  <c r="O278" i="4"/>
  <c r="O277" i="4"/>
  <c r="O276" i="4"/>
  <c r="O275" i="4"/>
  <c r="O274" i="4"/>
  <c r="O273" i="4"/>
  <c r="O272" i="4"/>
  <c r="O271" i="4"/>
  <c r="O270" i="4"/>
  <c r="O269" i="4"/>
  <c r="O268" i="4"/>
  <c r="O267" i="4"/>
  <c r="O266" i="4"/>
  <c r="O265" i="4"/>
  <c r="O264" i="4"/>
  <c r="O263" i="4"/>
  <c r="O262" i="4"/>
  <c r="O261" i="4"/>
  <c r="O260" i="4"/>
  <c r="O259" i="4"/>
  <c r="O258" i="4"/>
  <c r="O257" i="4"/>
  <c r="O256" i="4"/>
  <c r="O255" i="4"/>
  <c r="O254" i="4"/>
  <c r="O253" i="4"/>
  <c r="O252" i="4"/>
  <c r="O251" i="4"/>
  <c r="O250" i="4"/>
  <c r="O249" i="4"/>
  <c r="O248" i="4"/>
  <c r="O247" i="4"/>
  <c r="O246" i="4"/>
  <c r="O245" i="4"/>
  <c r="O244" i="4"/>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AJ506" i="3"/>
  <c r="AK506" i="3" s="1"/>
  <c r="G506" i="3"/>
  <c r="F506" i="3"/>
  <c r="D506" i="3"/>
  <c r="C506" i="3"/>
  <c r="A506" i="3"/>
  <c r="AJ505" i="3"/>
  <c r="AK505" i="3" s="1"/>
  <c r="G505" i="3"/>
  <c r="F505" i="3"/>
  <c r="D505" i="3"/>
  <c r="C505" i="3"/>
  <c r="A505" i="3"/>
  <c r="AJ504" i="3"/>
  <c r="AK504" i="3" s="1"/>
  <c r="G504" i="3"/>
  <c r="F504" i="3"/>
  <c r="D504" i="3"/>
  <c r="C504" i="3"/>
  <c r="A504" i="3"/>
  <c r="AJ503" i="3"/>
  <c r="AK503" i="3" s="1"/>
  <c r="G503" i="3"/>
  <c r="F503" i="3"/>
  <c r="D503" i="3"/>
  <c r="C503" i="3"/>
  <c r="A503" i="3"/>
  <c r="AJ502" i="3"/>
  <c r="AK502" i="3" s="1"/>
  <c r="G502" i="3"/>
  <c r="F502" i="3"/>
  <c r="D502" i="3"/>
  <c r="C502" i="3"/>
  <c r="A502" i="3"/>
  <c r="AK501" i="3"/>
  <c r="AJ501" i="3"/>
  <c r="G501" i="3"/>
  <c r="F501" i="3"/>
  <c r="D501" i="3"/>
  <c r="C501" i="3"/>
  <c r="A501" i="3"/>
  <c r="AJ500" i="3"/>
  <c r="AK500" i="3" s="1"/>
  <c r="G500" i="3"/>
  <c r="F500" i="3"/>
  <c r="D500" i="3"/>
  <c r="C500" i="3"/>
  <c r="A500" i="3"/>
  <c r="AJ499" i="3"/>
  <c r="AK499" i="3" s="1"/>
  <c r="G499" i="3"/>
  <c r="F499" i="3"/>
  <c r="D499" i="3"/>
  <c r="C499" i="3"/>
  <c r="A499" i="3"/>
  <c r="AJ498" i="3"/>
  <c r="AK498" i="3" s="1"/>
  <c r="G498" i="3"/>
  <c r="F498" i="3"/>
  <c r="D498" i="3"/>
  <c r="C498" i="3"/>
  <c r="A498" i="3"/>
  <c r="AJ497" i="3"/>
  <c r="AK497" i="3" s="1"/>
  <c r="G497" i="3"/>
  <c r="F497" i="3"/>
  <c r="D497" i="3"/>
  <c r="C497" i="3"/>
  <c r="A497" i="3"/>
  <c r="AJ496" i="3"/>
  <c r="AK496" i="3" s="1"/>
  <c r="G496" i="3"/>
  <c r="F496" i="3"/>
  <c r="D496" i="3"/>
  <c r="C496" i="3"/>
  <c r="A496" i="3"/>
  <c r="AJ495" i="3"/>
  <c r="AK495" i="3" s="1"/>
  <c r="G495" i="3"/>
  <c r="F495" i="3"/>
  <c r="D495" i="3"/>
  <c r="C495" i="3"/>
  <c r="A495" i="3"/>
  <c r="AJ494" i="3"/>
  <c r="AK494" i="3" s="1"/>
  <c r="G494" i="3"/>
  <c r="F494" i="3"/>
  <c r="D494" i="3"/>
  <c r="C494" i="3"/>
  <c r="A494" i="3"/>
  <c r="AK493" i="3"/>
  <c r="AJ493" i="3"/>
  <c r="G493" i="3"/>
  <c r="F493" i="3"/>
  <c r="D493" i="3"/>
  <c r="C493" i="3"/>
  <c r="A493" i="3"/>
  <c r="AJ492" i="3"/>
  <c r="AK492" i="3" s="1"/>
  <c r="G492" i="3"/>
  <c r="F492" i="3"/>
  <c r="D492" i="3"/>
  <c r="C492" i="3"/>
  <c r="A492" i="3"/>
  <c r="AJ491" i="3"/>
  <c r="AK491" i="3" s="1"/>
  <c r="G491" i="3"/>
  <c r="F491" i="3"/>
  <c r="D491" i="3"/>
  <c r="C491" i="3"/>
  <c r="A491" i="3"/>
  <c r="AJ490" i="3"/>
  <c r="AK490" i="3" s="1"/>
  <c r="G490" i="3"/>
  <c r="F490" i="3"/>
  <c r="D490" i="3"/>
  <c r="C490" i="3"/>
  <c r="A490" i="3"/>
  <c r="AJ489" i="3"/>
  <c r="AK489" i="3" s="1"/>
  <c r="G489" i="3"/>
  <c r="F489" i="3"/>
  <c r="D489" i="3"/>
  <c r="C489" i="3"/>
  <c r="A489" i="3"/>
  <c r="AJ488" i="3"/>
  <c r="AK488" i="3" s="1"/>
  <c r="G488" i="3"/>
  <c r="F488" i="3"/>
  <c r="D488" i="3"/>
  <c r="C488" i="3"/>
  <c r="A488" i="3"/>
  <c r="AJ487" i="3"/>
  <c r="AK487" i="3" s="1"/>
  <c r="G487" i="3"/>
  <c r="F487" i="3"/>
  <c r="D487" i="3"/>
  <c r="C487" i="3"/>
  <c r="A487" i="3"/>
  <c r="AJ486" i="3"/>
  <c r="AK486" i="3" s="1"/>
  <c r="G486" i="3"/>
  <c r="F486" i="3"/>
  <c r="D486" i="3"/>
  <c r="C486" i="3"/>
  <c r="A486" i="3"/>
  <c r="AK485" i="3"/>
  <c r="AJ485" i="3"/>
  <c r="G485" i="3"/>
  <c r="F485" i="3"/>
  <c r="D485" i="3"/>
  <c r="C485" i="3"/>
  <c r="A485" i="3"/>
  <c r="AJ484" i="3"/>
  <c r="AK484" i="3" s="1"/>
  <c r="G484" i="3"/>
  <c r="F484" i="3"/>
  <c r="D484" i="3"/>
  <c r="C484" i="3"/>
  <c r="A484" i="3"/>
  <c r="AJ483" i="3"/>
  <c r="AK483" i="3" s="1"/>
  <c r="G483" i="3"/>
  <c r="F483" i="3"/>
  <c r="D483" i="3"/>
  <c r="C483" i="3"/>
  <c r="A483" i="3"/>
  <c r="AJ482" i="3"/>
  <c r="AK482" i="3" s="1"/>
  <c r="G482" i="3"/>
  <c r="F482" i="3"/>
  <c r="D482" i="3"/>
  <c r="C482" i="3"/>
  <c r="A482" i="3"/>
  <c r="AJ481" i="3"/>
  <c r="AK481" i="3" s="1"/>
  <c r="G481" i="3"/>
  <c r="F481" i="3"/>
  <c r="D481" i="3"/>
  <c r="C481" i="3"/>
  <c r="A481" i="3"/>
  <c r="AJ480" i="3"/>
  <c r="AK480" i="3" s="1"/>
  <c r="G480" i="3"/>
  <c r="F480" i="3"/>
  <c r="D480" i="3"/>
  <c r="C480" i="3"/>
  <c r="A480" i="3"/>
  <c r="AJ479" i="3"/>
  <c r="AK479" i="3" s="1"/>
  <c r="G479" i="3"/>
  <c r="F479" i="3"/>
  <c r="D479" i="3"/>
  <c r="C479" i="3"/>
  <c r="A479" i="3"/>
  <c r="AJ478" i="3"/>
  <c r="AK478" i="3" s="1"/>
  <c r="G478" i="3"/>
  <c r="F478" i="3"/>
  <c r="D478" i="3"/>
  <c r="C478" i="3"/>
  <c r="A478" i="3"/>
  <c r="AK477" i="3"/>
  <c r="AJ477" i="3"/>
  <c r="G477" i="3"/>
  <c r="F477" i="3"/>
  <c r="D477" i="3"/>
  <c r="C477" i="3"/>
  <c r="A477" i="3"/>
  <c r="AJ476" i="3"/>
  <c r="AK476" i="3" s="1"/>
  <c r="G476" i="3"/>
  <c r="F476" i="3"/>
  <c r="D476" i="3"/>
  <c r="C476" i="3"/>
  <c r="A476" i="3"/>
  <c r="AJ475" i="3"/>
  <c r="AK475" i="3" s="1"/>
  <c r="G475" i="3"/>
  <c r="F475" i="3"/>
  <c r="D475" i="3"/>
  <c r="C475" i="3"/>
  <c r="A475" i="3"/>
  <c r="AJ474" i="3"/>
  <c r="AK474" i="3" s="1"/>
  <c r="G474" i="3"/>
  <c r="F474" i="3"/>
  <c r="D474" i="3"/>
  <c r="C474" i="3"/>
  <c r="A474" i="3"/>
  <c r="AJ473" i="3"/>
  <c r="AK473" i="3" s="1"/>
  <c r="G473" i="3"/>
  <c r="F473" i="3"/>
  <c r="D473" i="3"/>
  <c r="C473" i="3"/>
  <c r="A473" i="3"/>
  <c r="AJ472" i="3"/>
  <c r="AK472" i="3" s="1"/>
  <c r="G472" i="3"/>
  <c r="F472" i="3"/>
  <c r="D472" i="3"/>
  <c r="C472" i="3"/>
  <c r="A472" i="3"/>
  <c r="AJ471" i="3"/>
  <c r="AK471" i="3" s="1"/>
  <c r="G471" i="3"/>
  <c r="F471" i="3"/>
  <c r="D471" i="3"/>
  <c r="C471" i="3"/>
  <c r="A471" i="3"/>
  <c r="AJ470" i="3"/>
  <c r="AK470" i="3" s="1"/>
  <c r="G470" i="3"/>
  <c r="F470" i="3"/>
  <c r="D470" i="3"/>
  <c r="C470" i="3"/>
  <c r="A470" i="3"/>
  <c r="AK469" i="3"/>
  <c r="AJ469" i="3"/>
  <c r="G469" i="3"/>
  <c r="F469" i="3"/>
  <c r="D469" i="3"/>
  <c r="C469" i="3"/>
  <c r="A469" i="3"/>
  <c r="AJ468" i="3"/>
  <c r="AK468" i="3" s="1"/>
  <c r="G468" i="3"/>
  <c r="F468" i="3"/>
  <c r="D468" i="3"/>
  <c r="C468" i="3"/>
  <c r="A468" i="3"/>
  <c r="AJ467" i="3"/>
  <c r="AK467" i="3" s="1"/>
  <c r="G467" i="3"/>
  <c r="F467" i="3"/>
  <c r="D467" i="3"/>
  <c r="C467" i="3"/>
  <c r="A467" i="3"/>
  <c r="AJ466" i="3"/>
  <c r="AK466" i="3" s="1"/>
  <c r="G466" i="3"/>
  <c r="F466" i="3"/>
  <c r="D466" i="3"/>
  <c r="C466" i="3"/>
  <c r="A466" i="3"/>
  <c r="AJ465" i="3"/>
  <c r="AK465" i="3" s="1"/>
  <c r="G465" i="3"/>
  <c r="F465" i="3"/>
  <c r="D465" i="3"/>
  <c r="C465" i="3"/>
  <c r="A465" i="3"/>
  <c r="AJ464" i="3"/>
  <c r="AK464" i="3" s="1"/>
  <c r="G464" i="3"/>
  <c r="F464" i="3"/>
  <c r="D464" i="3"/>
  <c r="C464" i="3"/>
  <c r="A464" i="3"/>
  <c r="AJ463" i="3"/>
  <c r="AK463" i="3" s="1"/>
  <c r="G463" i="3"/>
  <c r="F463" i="3"/>
  <c r="D463" i="3"/>
  <c r="C463" i="3"/>
  <c r="A463" i="3"/>
  <c r="AJ462" i="3"/>
  <c r="AK462" i="3" s="1"/>
  <c r="G462" i="3"/>
  <c r="F462" i="3"/>
  <c r="D462" i="3"/>
  <c r="C462" i="3"/>
  <c r="A462" i="3"/>
  <c r="AK461" i="3"/>
  <c r="AJ461" i="3"/>
  <c r="G461" i="3"/>
  <c r="F461" i="3"/>
  <c r="D461" i="3"/>
  <c r="C461" i="3"/>
  <c r="A461" i="3"/>
  <c r="AJ460" i="3"/>
  <c r="AK460" i="3" s="1"/>
  <c r="G460" i="3"/>
  <c r="F460" i="3"/>
  <c r="D460" i="3"/>
  <c r="C460" i="3"/>
  <c r="A460" i="3"/>
  <c r="AJ459" i="3"/>
  <c r="AK459" i="3" s="1"/>
  <c r="G459" i="3"/>
  <c r="F459" i="3"/>
  <c r="D459" i="3"/>
  <c r="C459" i="3"/>
  <c r="A459" i="3"/>
  <c r="AJ458" i="3"/>
  <c r="AK458" i="3" s="1"/>
  <c r="G458" i="3"/>
  <c r="F458" i="3"/>
  <c r="D458" i="3"/>
  <c r="C458" i="3"/>
  <c r="A458" i="3"/>
  <c r="AJ457" i="3"/>
  <c r="AK457" i="3" s="1"/>
  <c r="G457" i="3"/>
  <c r="F457" i="3"/>
  <c r="D457" i="3"/>
  <c r="C457" i="3"/>
  <c r="A457" i="3"/>
  <c r="AJ456" i="3"/>
  <c r="AK456" i="3" s="1"/>
  <c r="G456" i="3"/>
  <c r="F456" i="3"/>
  <c r="D456" i="3"/>
  <c r="C456" i="3"/>
  <c r="A456" i="3"/>
  <c r="AJ455" i="3"/>
  <c r="AK455" i="3" s="1"/>
  <c r="G455" i="3"/>
  <c r="F455" i="3"/>
  <c r="D455" i="3"/>
  <c r="C455" i="3"/>
  <c r="A455" i="3"/>
  <c r="AJ454" i="3"/>
  <c r="AK454" i="3" s="1"/>
  <c r="G454" i="3"/>
  <c r="F454" i="3"/>
  <c r="D454" i="3"/>
  <c r="C454" i="3"/>
  <c r="A454" i="3"/>
  <c r="AK453" i="3"/>
  <c r="AJ453" i="3"/>
  <c r="G453" i="3"/>
  <c r="F453" i="3"/>
  <c r="D453" i="3"/>
  <c r="C453" i="3"/>
  <c r="A453" i="3"/>
  <c r="AJ452" i="3"/>
  <c r="AK452" i="3" s="1"/>
  <c r="G452" i="3"/>
  <c r="F452" i="3"/>
  <c r="D452" i="3"/>
  <c r="C452" i="3"/>
  <c r="A452" i="3"/>
  <c r="AJ451" i="3"/>
  <c r="AK451" i="3" s="1"/>
  <c r="G451" i="3"/>
  <c r="F451" i="3"/>
  <c r="D451" i="3"/>
  <c r="C451" i="3"/>
  <c r="A451" i="3"/>
  <c r="AJ450" i="3"/>
  <c r="AK450" i="3" s="1"/>
  <c r="G450" i="3"/>
  <c r="F450" i="3"/>
  <c r="D450" i="3"/>
  <c r="C450" i="3"/>
  <c r="A450" i="3"/>
  <c r="AJ449" i="3"/>
  <c r="AK449" i="3" s="1"/>
  <c r="G449" i="3"/>
  <c r="F449" i="3"/>
  <c r="D449" i="3"/>
  <c r="C449" i="3"/>
  <c r="A449" i="3"/>
  <c r="AJ448" i="3"/>
  <c r="AK448" i="3" s="1"/>
  <c r="G448" i="3"/>
  <c r="F448" i="3"/>
  <c r="D448" i="3"/>
  <c r="C448" i="3"/>
  <c r="A448" i="3"/>
  <c r="AJ447" i="3"/>
  <c r="AK447" i="3" s="1"/>
  <c r="G447" i="3"/>
  <c r="F447" i="3"/>
  <c r="D447" i="3"/>
  <c r="C447" i="3"/>
  <c r="A447" i="3"/>
  <c r="AJ446" i="3"/>
  <c r="AK446" i="3" s="1"/>
  <c r="G446" i="3"/>
  <c r="F446" i="3"/>
  <c r="D446" i="3"/>
  <c r="C446" i="3"/>
  <c r="A446" i="3"/>
  <c r="AK445" i="3"/>
  <c r="AJ445" i="3"/>
  <c r="G445" i="3"/>
  <c r="F445" i="3"/>
  <c r="D445" i="3"/>
  <c r="C445" i="3"/>
  <c r="A445" i="3"/>
  <c r="AJ444" i="3"/>
  <c r="AK444" i="3" s="1"/>
  <c r="G444" i="3"/>
  <c r="F444" i="3"/>
  <c r="D444" i="3"/>
  <c r="C444" i="3"/>
  <c r="A444" i="3"/>
  <c r="AJ443" i="3"/>
  <c r="AK443" i="3" s="1"/>
  <c r="G443" i="3"/>
  <c r="F443" i="3"/>
  <c r="D443" i="3"/>
  <c r="C443" i="3"/>
  <c r="A443" i="3"/>
  <c r="AJ442" i="3"/>
  <c r="AK442" i="3" s="1"/>
  <c r="G442" i="3"/>
  <c r="F442" i="3"/>
  <c r="D442" i="3"/>
  <c r="C442" i="3"/>
  <c r="A442" i="3"/>
  <c r="AJ441" i="3"/>
  <c r="AK441" i="3" s="1"/>
  <c r="G441" i="3"/>
  <c r="F441" i="3"/>
  <c r="D441" i="3"/>
  <c r="C441" i="3"/>
  <c r="A441" i="3"/>
  <c r="AJ440" i="3"/>
  <c r="AK440" i="3" s="1"/>
  <c r="G440" i="3"/>
  <c r="F440" i="3"/>
  <c r="D440" i="3"/>
  <c r="C440" i="3"/>
  <c r="A440" i="3"/>
  <c r="AJ439" i="3"/>
  <c r="AK439" i="3" s="1"/>
  <c r="G439" i="3"/>
  <c r="F439" i="3"/>
  <c r="D439" i="3"/>
  <c r="C439" i="3"/>
  <c r="A439" i="3"/>
  <c r="AJ438" i="3"/>
  <c r="AK438" i="3" s="1"/>
  <c r="G438" i="3"/>
  <c r="F438" i="3"/>
  <c r="D438" i="3"/>
  <c r="C438" i="3"/>
  <c r="A438" i="3"/>
  <c r="AK437" i="3"/>
  <c r="AJ437" i="3"/>
  <c r="G437" i="3"/>
  <c r="F437" i="3"/>
  <c r="D437" i="3"/>
  <c r="C437" i="3"/>
  <c r="A437" i="3"/>
  <c r="AJ436" i="3"/>
  <c r="AK436" i="3" s="1"/>
  <c r="G436" i="3"/>
  <c r="F436" i="3"/>
  <c r="D436" i="3"/>
  <c r="C436" i="3"/>
  <c r="A436" i="3"/>
  <c r="AJ435" i="3"/>
  <c r="AK435" i="3" s="1"/>
  <c r="G435" i="3"/>
  <c r="F435" i="3"/>
  <c r="D435" i="3"/>
  <c r="C435" i="3"/>
  <c r="A435" i="3"/>
  <c r="AJ434" i="3"/>
  <c r="AK434" i="3" s="1"/>
  <c r="G434" i="3"/>
  <c r="F434" i="3"/>
  <c r="D434" i="3"/>
  <c r="C434" i="3"/>
  <c r="A434" i="3"/>
  <c r="AJ433" i="3"/>
  <c r="AK433" i="3" s="1"/>
  <c r="G433" i="3"/>
  <c r="F433" i="3"/>
  <c r="D433" i="3"/>
  <c r="C433" i="3"/>
  <c r="A433" i="3"/>
  <c r="AJ432" i="3"/>
  <c r="AK432" i="3" s="1"/>
  <c r="G432" i="3"/>
  <c r="F432" i="3"/>
  <c r="D432" i="3"/>
  <c r="C432" i="3"/>
  <c r="A432" i="3"/>
  <c r="AJ431" i="3"/>
  <c r="AK431" i="3" s="1"/>
  <c r="G431" i="3"/>
  <c r="F431" i="3"/>
  <c r="D431" i="3"/>
  <c r="C431" i="3"/>
  <c r="A431" i="3"/>
  <c r="AJ430" i="3"/>
  <c r="AK430" i="3" s="1"/>
  <c r="G430" i="3"/>
  <c r="F430" i="3"/>
  <c r="D430" i="3"/>
  <c r="C430" i="3"/>
  <c r="A430" i="3"/>
  <c r="AK429" i="3"/>
  <c r="AJ429" i="3"/>
  <c r="G429" i="3"/>
  <c r="F429" i="3"/>
  <c r="D429" i="3"/>
  <c r="C429" i="3"/>
  <c r="A429" i="3"/>
  <c r="AJ428" i="3"/>
  <c r="AK428" i="3" s="1"/>
  <c r="G428" i="3"/>
  <c r="F428" i="3"/>
  <c r="D428" i="3"/>
  <c r="C428" i="3"/>
  <c r="A428" i="3"/>
  <c r="AJ427" i="3"/>
  <c r="AK427" i="3" s="1"/>
  <c r="G427" i="3"/>
  <c r="F427" i="3"/>
  <c r="D427" i="3"/>
  <c r="C427" i="3"/>
  <c r="A427" i="3"/>
  <c r="AJ426" i="3"/>
  <c r="AK426" i="3" s="1"/>
  <c r="G426" i="3"/>
  <c r="F426" i="3"/>
  <c r="D426" i="3"/>
  <c r="C426" i="3"/>
  <c r="A426" i="3"/>
  <c r="AJ425" i="3"/>
  <c r="AK425" i="3" s="1"/>
  <c r="G425" i="3"/>
  <c r="F425" i="3"/>
  <c r="D425" i="3"/>
  <c r="C425" i="3"/>
  <c r="A425" i="3"/>
  <c r="AJ424" i="3"/>
  <c r="AK424" i="3" s="1"/>
  <c r="G424" i="3"/>
  <c r="F424" i="3"/>
  <c r="D424" i="3"/>
  <c r="C424" i="3"/>
  <c r="A424" i="3"/>
  <c r="AJ423" i="3"/>
  <c r="AK423" i="3" s="1"/>
  <c r="G423" i="3"/>
  <c r="F423" i="3"/>
  <c r="D423" i="3"/>
  <c r="C423" i="3"/>
  <c r="A423" i="3"/>
  <c r="AJ422" i="3"/>
  <c r="AK422" i="3" s="1"/>
  <c r="G422" i="3"/>
  <c r="F422" i="3"/>
  <c r="D422" i="3"/>
  <c r="C422" i="3"/>
  <c r="A422" i="3"/>
  <c r="AK421" i="3"/>
  <c r="AJ421" i="3"/>
  <c r="G421" i="3"/>
  <c r="F421" i="3"/>
  <c r="D421" i="3"/>
  <c r="C421" i="3"/>
  <c r="A421" i="3"/>
  <c r="AJ420" i="3"/>
  <c r="AK420" i="3" s="1"/>
  <c r="G420" i="3"/>
  <c r="F420" i="3"/>
  <c r="D420" i="3"/>
  <c r="C420" i="3"/>
  <c r="A420" i="3"/>
  <c r="AJ419" i="3"/>
  <c r="AK419" i="3" s="1"/>
  <c r="G419" i="3"/>
  <c r="F419" i="3"/>
  <c r="D419" i="3"/>
  <c r="C419" i="3"/>
  <c r="A419" i="3"/>
  <c r="AJ418" i="3"/>
  <c r="AK418" i="3" s="1"/>
  <c r="G418" i="3"/>
  <c r="F418" i="3"/>
  <c r="D418" i="3"/>
  <c r="C418" i="3"/>
  <c r="A418" i="3"/>
  <c r="AJ417" i="3"/>
  <c r="AK417" i="3" s="1"/>
  <c r="G417" i="3"/>
  <c r="F417" i="3"/>
  <c r="D417" i="3"/>
  <c r="C417" i="3"/>
  <c r="A417" i="3"/>
  <c r="AJ416" i="3"/>
  <c r="AK416" i="3" s="1"/>
  <c r="G416" i="3"/>
  <c r="F416" i="3"/>
  <c r="D416" i="3"/>
  <c r="C416" i="3"/>
  <c r="A416" i="3"/>
  <c r="AJ415" i="3"/>
  <c r="AK415" i="3" s="1"/>
  <c r="G415" i="3"/>
  <c r="F415" i="3"/>
  <c r="D415" i="3"/>
  <c r="C415" i="3"/>
  <c r="A415" i="3"/>
  <c r="AJ414" i="3"/>
  <c r="AK414" i="3" s="1"/>
  <c r="G414" i="3"/>
  <c r="F414" i="3"/>
  <c r="D414" i="3"/>
  <c r="C414" i="3"/>
  <c r="A414" i="3"/>
  <c r="AK413" i="3"/>
  <c r="AJ413" i="3"/>
  <c r="G413" i="3"/>
  <c r="F413" i="3"/>
  <c r="D413" i="3"/>
  <c r="C413" i="3"/>
  <c r="A413" i="3"/>
  <c r="AJ412" i="3"/>
  <c r="AK412" i="3" s="1"/>
  <c r="G412" i="3"/>
  <c r="F412" i="3"/>
  <c r="D412" i="3"/>
  <c r="C412" i="3"/>
  <c r="A412" i="3"/>
  <c r="AJ411" i="3"/>
  <c r="AK411" i="3" s="1"/>
  <c r="G411" i="3"/>
  <c r="F411" i="3"/>
  <c r="D411" i="3"/>
  <c r="C411" i="3"/>
  <c r="A411" i="3"/>
  <c r="AJ410" i="3"/>
  <c r="AK410" i="3" s="1"/>
  <c r="G410" i="3"/>
  <c r="F410" i="3"/>
  <c r="D410" i="3"/>
  <c r="C410" i="3"/>
  <c r="A410" i="3"/>
  <c r="AJ409" i="3"/>
  <c r="AK409" i="3" s="1"/>
  <c r="G409" i="3"/>
  <c r="F409" i="3"/>
  <c r="D409" i="3"/>
  <c r="C409" i="3"/>
  <c r="A409" i="3"/>
  <c r="AJ408" i="3"/>
  <c r="AK408" i="3" s="1"/>
  <c r="G408" i="3"/>
  <c r="F408" i="3"/>
  <c r="D408" i="3"/>
  <c r="C408" i="3"/>
  <c r="A408" i="3"/>
  <c r="AJ407" i="3"/>
  <c r="AK407" i="3" s="1"/>
  <c r="G407" i="3"/>
  <c r="F407" i="3"/>
  <c r="D407" i="3"/>
  <c r="C407" i="3"/>
  <c r="A407" i="3"/>
  <c r="AJ406" i="3"/>
  <c r="AK406" i="3" s="1"/>
  <c r="G406" i="3"/>
  <c r="F406" i="3"/>
  <c r="D406" i="3"/>
  <c r="C406" i="3"/>
  <c r="A406" i="3"/>
  <c r="AK405" i="3"/>
  <c r="AJ405" i="3"/>
  <c r="G405" i="3"/>
  <c r="F405" i="3"/>
  <c r="D405" i="3"/>
  <c r="C405" i="3"/>
  <c r="A405" i="3"/>
  <c r="AJ404" i="3"/>
  <c r="AK404" i="3" s="1"/>
  <c r="G404" i="3"/>
  <c r="F404" i="3"/>
  <c r="D404" i="3"/>
  <c r="C404" i="3"/>
  <c r="A404" i="3"/>
  <c r="AJ403" i="3"/>
  <c r="AK403" i="3" s="1"/>
  <c r="G403" i="3"/>
  <c r="F403" i="3"/>
  <c r="D403" i="3"/>
  <c r="C403" i="3"/>
  <c r="A403" i="3"/>
  <c r="AJ402" i="3"/>
  <c r="AK402" i="3" s="1"/>
  <c r="G402" i="3"/>
  <c r="F402" i="3"/>
  <c r="D402" i="3"/>
  <c r="C402" i="3"/>
  <c r="A402" i="3"/>
  <c r="AJ401" i="3"/>
  <c r="AK401" i="3" s="1"/>
  <c r="G401" i="3"/>
  <c r="F401" i="3"/>
  <c r="D401" i="3"/>
  <c r="C401" i="3"/>
  <c r="A401" i="3"/>
  <c r="AJ400" i="3"/>
  <c r="AK400" i="3" s="1"/>
  <c r="G400" i="3"/>
  <c r="F400" i="3"/>
  <c r="D400" i="3"/>
  <c r="C400" i="3"/>
  <c r="A400" i="3"/>
  <c r="AJ399" i="3"/>
  <c r="AK399" i="3" s="1"/>
  <c r="G399" i="3"/>
  <c r="F399" i="3"/>
  <c r="D399" i="3"/>
  <c r="C399" i="3"/>
  <c r="A399" i="3"/>
  <c r="AJ398" i="3"/>
  <c r="AK398" i="3" s="1"/>
  <c r="G398" i="3"/>
  <c r="F398" i="3"/>
  <c r="D398" i="3"/>
  <c r="C398" i="3"/>
  <c r="A398" i="3"/>
  <c r="AK397" i="3"/>
  <c r="AJ397" i="3"/>
  <c r="G397" i="3"/>
  <c r="F397" i="3"/>
  <c r="D397" i="3"/>
  <c r="C397" i="3"/>
  <c r="A397" i="3"/>
  <c r="AJ396" i="3"/>
  <c r="AK396" i="3" s="1"/>
  <c r="G396" i="3"/>
  <c r="F396" i="3"/>
  <c r="D396" i="3"/>
  <c r="C396" i="3"/>
  <c r="A396" i="3"/>
  <c r="AJ395" i="3"/>
  <c r="AK395" i="3" s="1"/>
  <c r="G395" i="3"/>
  <c r="F395" i="3"/>
  <c r="D395" i="3"/>
  <c r="C395" i="3"/>
  <c r="A395" i="3"/>
  <c r="AJ394" i="3"/>
  <c r="AK394" i="3" s="1"/>
  <c r="G394" i="3"/>
  <c r="F394" i="3"/>
  <c r="D394" i="3"/>
  <c r="C394" i="3"/>
  <c r="A394" i="3"/>
  <c r="AJ393" i="3"/>
  <c r="AK393" i="3" s="1"/>
  <c r="G393" i="3"/>
  <c r="F393" i="3"/>
  <c r="D393" i="3"/>
  <c r="C393" i="3"/>
  <c r="A393" i="3"/>
  <c r="AJ392" i="3"/>
  <c r="AK392" i="3" s="1"/>
  <c r="G392" i="3"/>
  <c r="F392" i="3"/>
  <c r="D392" i="3"/>
  <c r="C392" i="3"/>
  <c r="A392" i="3"/>
  <c r="AJ391" i="3"/>
  <c r="AK391" i="3" s="1"/>
  <c r="G391" i="3"/>
  <c r="F391" i="3"/>
  <c r="D391" i="3"/>
  <c r="C391" i="3"/>
  <c r="A391" i="3"/>
  <c r="AJ390" i="3"/>
  <c r="AK390" i="3" s="1"/>
  <c r="G390" i="3"/>
  <c r="F390" i="3"/>
  <c r="D390" i="3"/>
  <c r="C390" i="3"/>
  <c r="A390" i="3"/>
  <c r="AK389" i="3"/>
  <c r="AJ389" i="3"/>
  <c r="G389" i="3"/>
  <c r="F389" i="3"/>
  <c r="D389" i="3"/>
  <c r="C389" i="3"/>
  <c r="A389" i="3"/>
  <c r="AJ388" i="3"/>
  <c r="AK388" i="3" s="1"/>
  <c r="G388" i="3"/>
  <c r="F388" i="3"/>
  <c r="D388" i="3"/>
  <c r="C388" i="3"/>
  <c r="A388" i="3"/>
  <c r="AJ387" i="3"/>
  <c r="AK387" i="3" s="1"/>
  <c r="G387" i="3"/>
  <c r="F387" i="3"/>
  <c r="D387" i="3"/>
  <c r="C387" i="3"/>
  <c r="A387" i="3"/>
  <c r="AJ386" i="3"/>
  <c r="AK386" i="3" s="1"/>
  <c r="G386" i="3"/>
  <c r="F386" i="3"/>
  <c r="D386" i="3"/>
  <c r="C386" i="3"/>
  <c r="A386" i="3"/>
  <c r="AJ385" i="3"/>
  <c r="AK385" i="3" s="1"/>
  <c r="G385" i="3"/>
  <c r="F385" i="3"/>
  <c r="D385" i="3"/>
  <c r="C385" i="3"/>
  <c r="A385" i="3"/>
  <c r="AJ384" i="3"/>
  <c r="AK384" i="3" s="1"/>
  <c r="G384" i="3"/>
  <c r="F384" i="3"/>
  <c r="D384" i="3"/>
  <c r="C384" i="3"/>
  <c r="A384" i="3"/>
  <c r="AJ383" i="3"/>
  <c r="AK383" i="3" s="1"/>
  <c r="G383" i="3"/>
  <c r="F383" i="3"/>
  <c r="D383" i="3"/>
  <c r="C383" i="3"/>
  <c r="A383" i="3"/>
  <c r="AJ382" i="3"/>
  <c r="AK382" i="3" s="1"/>
  <c r="G382" i="3"/>
  <c r="F382" i="3"/>
  <c r="D382" i="3"/>
  <c r="C382" i="3"/>
  <c r="A382" i="3"/>
  <c r="AK381" i="3"/>
  <c r="AJ381" i="3"/>
  <c r="G381" i="3"/>
  <c r="F381" i="3"/>
  <c r="D381" i="3"/>
  <c r="C381" i="3"/>
  <c r="A381" i="3"/>
  <c r="AJ380" i="3"/>
  <c r="AK380" i="3" s="1"/>
  <c r="G380" i="3"/>
  <c r="F380" i="3"/>
  <c r="D380" i="3"/>
  <c r="C380" i="3"/>
  <c r="A380" i="3"/>
  <c r="AJ379" i="3"/>
  <c r="AK379" i="3" s="1"/>
  <c r="G379" i="3"/>
  <c r="F379" i="3"/>
  <c r="D379" i="3"/>
  <c r="C379" i="3"/>
  <c r="A379" i="3"/>
  <c r="AJ378" i="3"/>
  <c r="AK378" i="3" s="1"/>
  <c r="G378" i="3"/>
  <c r="F378" i="3"/>
  <c r="D378" i="3"/>
  <c r="C378" i="3"/>
  <c r="A378" i="3"/>
  <c r="AJ377" i="3"/>
  <c r="AK377" i="3" s="1"/>
  <c r="G377" i="3"/>
  <c r="F377" i="3"/>
  <c r="D377" i="3"/>
  <c r="C377" i="3"/>
  <c r="A377" i="3"/>
  <c r="AJ376" i="3"/>
  <c r="AK376" i="3" s="1"/>
  <c r="G376" i="3"/>
  <c r="F376" i="3"/>
  <c r="D376" i="3"/>
  <c r="C376" i="3"/>
  <c r="A376" i="3"/>
  <c r="AJ375" i="3"/>
  <c r="AK375" i="3" s="1"/>
  <c r="G375" i="3"/>
  <c r="F375" i="3"/>
  <c r="D375" i="3"/>
  <c r="C375" i="3"/>
  <c r="A375" i="3"/>
  <c r="AJ374" i="3"/>
  <c r="AK374" i="3" s="1"/>
  <c r="G374" i="3"/>
  <c r="F374" i="3"/>
  <c r="D374" i="3"/>
  <c r="C374" i="3"/>
  <c r="A374" i="3"/>
  <c r="AK373" i="3"/>
  <c r="AJ373" i="3"/>
  <c r="G373" i="3"/>
  <c r="F373" i="3"/>
  <c r="D373" i="3"/>
  <c r="C373" i="3"/>
  <c r="A373" i="3"/>
  <c r="AJ372" i="3"/>
  <c r="AK372" i="3" s="1"/>
  <c r="G372" i="3"/>
  <c r="F372" i="3"/>
  <c r="D372" i="3"/>
  <c r="C372" i="3"/>
  <c r="A372" i="3"/>
  <c r="AJ371" i="3"/>
  <c r="AK371" i="3" s="1"/>
  <c r="G371" i="3"/>
  <c r="F371" i="3"/>
  <c r="D371" i="3"/>
  <c r="C371" i="3"/>
  <c r="A371" i="3"/>
  <c r="AJ370" i="3"/>
  <c r="AK370" i="3" s="1"/>
  <c r="G370" i="3"/>
  <c r="F370" i="3"/>
  <c r="D370" i="3"/>
  <c r="C370" i="3"/>
  <c r="A370" i="3"/>
  <c r="AJ369" i="3"/>
  <c r="AK369" i="3" s="1"/>
  <c r="G369" i="3"/>
  <c r="F369" i="3"/>
  <c r="D369" i="3"/>
  <c r="C369" i="3"/>
  <c r="A369" i="3"/>
  <c r="AJ368" i="3"/>
  <c r="AK368" i="3" s="1"/>
  <c r="G368" i="3"/>
  <c r="F368" i="3"/>
  <c r="D368" i="3"/>
  <c r="C368" i="3"/>
  <c r="A368" i="3"/>
  <c r="AJ367" i="3"/>
  <c r="AK367" i="3" s="1"/>
  <c r="G367" i="3"/>
  <c r="F367" i="3"/>
  <c r="D367" i="3"/>
  <c r="C367" i="3"/>
  <c r="A367" i="3"/>
  <c r="AJ366" i="3"/>
  <c r="AK366" i="3" s="1"/>
  <c r="G366" i="3"/>
  <c r="F366" i="3"/>
  <c r="D366" i="3"/>
  <c r="C366" i="3"/>
  <c r="A366" i="3"/>
  <c r="AK365" i="3"/>
  <c r="AJ365" i="3"/>
  <c r="G365" i="3"/>
  <c r="F365" i="3"/>
  <c r="D365" i="3"/>
  <c r="C365" i="3"/>
  <c r="A365" i="3"/>
  <c r="AJ364" i="3"/>
  <c r="AK364" i="3" s="1"/>
  <c r="G364" i="3"/>
  <c r="F364" i="3"/>
  <c r="D364" i="3"/>
  <c r="C364" i="3"/>
  <c r="A364" i="3"/>
  <c r="AJ363" i="3"/>
  <c r="AK363" i="3" s="1"/>
  <c r="G363" i="3"/>
  <c r="F363" i="3"/>
  <c r="D363" i="3"/>
  <c r="C363" i="3"/>
  <c r="A363" i="3"/>
  <c r="AJ362" i="3"/>
  <c r="AK362" i="3" s="1"/>
  <c r="G362" i="3"/>
  <c r="F362" i="3"/>
  <c r="D362" i="3"/>
  <c r="C362" i="3"/>
  <c r="A362" i="3"/>
  <c r="AJ361" i="3"/>
  <c r="AK361" i="3" s="1"/>
  <c r="G361" i="3"/>
  <c r="F361" i="3"/>
  <c r="D361" i="3"/>
  <c r="C361" i="3"/>
  <c r="A361" i="3"/>
  <c r="AJ360" i="3"/>
  <c r="AK360" i="3" s="1"/>
  <c r="G360" i="3"/>
  <c r="F360" i="3"/>
  <c r="D360" i="3"/>
  <c r="C360" i="3"/>
  <c r="A360" i="3"/>
  <c r="AJ359" i="3"/>
  <c r="AK359" i="3" s="1"/>
  <c r="G359" i="3"/>
  <c r="F359" i="3"/>
  <c r="D359" i="3"/>
  <c r="C359" i="3"/>
  <c r="A359" i="3"/>
  <c r="AJ358" i="3"/>
  <c r="AK358" i="3" s="1"/>
  <c r="G358" i="3"/>
  <c r="F358" i="3"/>
  <c r="D358" i="3"/>
  <c r="C358" i="3"/>
  <c r="A358" i="3"/>
  <c r="AK357" i="3"/>
  <c r="AJ357" i="3"/>
  <c r="G357" i="3"/>
  <c r="F357" i="3"/>
  <c r="D357" i="3"/>
  <c r="C357" i="3"/>
  <c r="A357" i="3"/>
  <c r="AJ356" i="3"/>
  <c r="AK356" i="3" s="1"/>
  <c r="G356" i="3"/>
  <c r="F356" i="3"/>
  <c r="D356" i="3"/>
  <c r="C356" i="3"/>
  <c r="A356" i="3"/>
  <c r="AJ355" i="3"/>
  <c r="AK355" i="3" s="1"/>
  <c r="G355" i="3"/>
  <c r="F355" i="3"/>
  <c r="D355" i="3"/>
  <c r="C355" i="3"/>
  <c r="A355" i="3"/>
  <c r="AJ354" i="3"/>
  <c r="AK354" i="3" s="1"/>
  <c r="G354" i="3"/>
  <c r="F354" i="3"/>
  <c r="D354" i="3"/>
  <c r="C354" i="3"/>
  <c r="A354" i="3"/>
  <c r="AJ353" i="3"/>
  <c r="AK353" i="3" s="1"/>
  <c r="G353" i="3"/>
  <c r="F353" i="3"/>
  <c r="D353" i="3"/>
  <c r="C353" i="3"/>
  <c r="A353" i="3"/>
  <c r="AJ352" i="3"/>
  <c r="AK352" i="3" s="1"/>
  <c r="G352" i="3"/>
  <c r="F352" i="3"/>
  <c r="D352" i="3"/>
  <c r="C352" i="3"/>
  <c r="A352" i="3"/>
  <c r="AJ351" i="3"/>
  <c r="AK351" i="3" s="1"/>
  <c r="G351" i="3"/>
  <c r="F351" i="3"/>
  <c r="D351" i="3"/>
  <c r="C351" i="3"/>
  <c r="A351" i="3"/>
  <c r="AJ350" i="3"/>
  <c r="AK350" i="3" s="1"/>
  <c r="G350" i="3"/>
  <c r="F350" i="3"/>
  <c r="D350" i="3"/>
  <c r="C350" i="3"/>
  <c r="A350" i="3"/>
  <c r="AK349" i="3"/>
  <c r="AJ349" i="3"/>
  <c r="G349" i="3"/>
  <c r="F349" i="3"/>
  <c r="D349" i="3"/>
  <c r="C349" i="3"/>
  <c r="A349" i="3"/>
  <c r="AJ348" i="3"/>
  <c r="AK348" i="3" s="1"/>
  <c r="G348" i="3"/>
  <c r="F348" i="3"/>
  <c r="D348" i="3"/>
  <c r="C348" i="3"/>
  <c r="A348" i="3"/>
  <c r="AJ347" i="3"/>
  <c r="AK347" i="3" s="1"/>
  <c r="G347" i="3"/>
  <c r="F347" i="3"/>
  <c r="D347" i="3"/>
  <c r="C347" i="3"/>
  <c r="A347" i="3"/>
  <c r="AJ346" i="3"/>
  <c r="AK346" i="3" s="1"/>
  <c r="G346" i="3"/>
  <c r="F346" i="3"/>
  <c r="D346" i="3"/>
  <c r="C346" i="3"/>
  <c r="A346" i="3"/>
  <c r="AJ345" i="3"/>
  <c r="AK345" i="3" s="1"/>
  <c r="G345" i="3"/>
  <c r="F345" i="3"/>
  <c r="D345" i="3"/>
  <c r="C345" i="3"/>
  <c r="A345" i="3"/>
  <c r="AJ344" i="3"/>
  <c r="AK344" i="3" s="1"/>
  <c r="G344" i="3"/>
  <c r="F344" i="3"/>
  <c r="D344" i="3"/>
  <c r="C344" i="3"/>
  <c r="A344" i="3"/>
  <c r="AJ343" i="3"/>
  <c r="AK343" i="3" s="1"/>
  <c r="G343" i="3"/>
  <c r="F343" i="3"/>
  <c r="D343" i="3"/>
  <c r="C343" i="3"/>
  <c r="A343" i="3"/>
  <c r="AJ342" i="3"/>
  <c r="AK342" i="3" s="1"/>
  <c r="G342" i="3"/>
  <c r="F342" i="3"/>
  <c r="D342" i="3"/>
  <c r="C342" i="3"/>
  <c r="A342" i="3"/>
  <c r="AK341" i="3"/>
  <c r="AJ341" i="3"/>
  <c r="G341" i="3"/>
  <c r="F341" i="3"/>
  <c r="D341" i="3"/>
  <c r="C341" i="3"/>
  <c r="A341" i="3"/>
  <c r="AJ340" i="3"/>
  <c r="AK340" i="3" s="1"/>
  <c r="G340" i="3"/>
  <c r="F340" i="3"/>
  <c r="D340" i="3"/>
  <c r="C340" i="3"/>
  <c r="A340" i="3"/>
  <c r="AJ339" i="3"/>
  <c r="AK339" i="3" s="1"/>
  <c r="G339" i="3"/>
  <c r="F339" i="3"/>
  <c r="D339" i="3"/>
  <c r="C339" i="3"/>
  <c r="A339" i="3"/>
  <c r="AJ338" i="3"/>
  <c r="AK338" i="3" s="1"/>
  <c r="G338" i="3"/>
  <c r="F338" i="3"/>
  <c r="D338" i="3"/>
  <c r="C338" i="3"/>
  <c r="A338" i="3"/>
  <c r="AJ337" i="3"/>
  <c r="AK337" i="3" s="1"/>
  <c r="G337" i="3"/>
  <c r="F337" i="3"/>
  <c r="D337" i="3"/>
  <c r="C337" i="3"/>
  <c r="A337" i="3"/>
  <c r="AJ336" i="3"/>
  <c r="AK336" i="3" s="1"/>
  <c r="G336" i="3"/>
  <c r="F336" i="3"/>
  <c r="D336" i="3"/>
  <c r="C336" i="3"/>
  <c r="A336" i="3"/>
  <c r="AJ335" i="3"/>
  <c r="AK335" i="3" s="1"/>
  <c r="G335" i="3"/>
  <c r="F335" i="3"/>
  <c r="D335" i="3"/>
  <c r="C335" i="3"/>
  <c r="A335" i="3"/>
  <c r="AJ334" i="3"/>
  <c r="AK334" i="3" s="1"/>
  <c r="G334" i="3"/>
  <c r="F334" i="3"/>
  <c r="D334" i="3"/>
  <c r="C334" i="3"/>
  <c r="A334" i="3"/>
  <c r="AK333" i="3"/>
  <c r="AJ333" i="3"/>
  <c r="G333" i="3"/>
  <c r="F333" i="3"/>
  <c r="D333" i="3"/>
  <c r="C333" i="3"/>
  <c r="A333" i="3"/>
  <c r="AJ332" i="3"/>
  <c r="AK332" i="3" s="1"/>
  <c r="G332" i="3"/>
  <c r="F332" i="3"/>
  <c r="D332" i="3"/>
  <c r="C332" i="3"/>
  <c r="A332" i="3"/>
  <c r="AJ331" i="3"/>
  <c r="AK331" i="3" s="1"/>
  <c r="G331" i="3"/>
  <c r="F331" i="3"/>
  <c r="D331" i="3"/>
  <c r="C331" i="3"/>
  <c r="A331" i="3"/>
  <c r="AJ330" i="3"/>
  <c r="AK330" i="3" s="1"/>
  <c r="G330" i="3"/>
  <c r="F330" i="3"/>
  <c r="D330" i="3"/>
  <c r="C330" i="3"/>
  <c r="A330" i="3"/>
  <c r="AJ329" i="3"/>
  <c r="AK329" i="3" s="1"/>
  <c r="G329" i="3"/>
  <c r="F329" i="3"/>
  <c r="D329" i="3"/>
  <c r="C329" i="3"/>
  <c r="A329" i="3"/>
  <c r="AJ328" i="3"/>
  <c r="AK328" i="3" s="1"/>
  <c r="G328" i="3"/>
  <c r="F328" i="3"/>
  <c r="D328" i="3"/>
  <c r="C328" i="3"/>
  <c r="A328" i="3"/>
  <c r="AJ327" i="3"/>
  <c r="AK327" i="3" s="1"/>
  <c r="G327" i="3"/>
  <c r="F327" i="3"/>
  <c r="D327" i="3"/>
  <c r="C327" i="3"/>
  <c r="A327" i="3"/>
  <c r="AJ326" i="3"/>
  <c r="AK326" i="3" s="1"/>
  <c r="G326" i="3"/>
  <c r="F326" i="3"/>
  <c r="D326" i="3"/>
  <c r="C326" i="3"/>
  <c r="A326" i="3"/>
  <c r="AK325" i="3"/>
  <c r="AJ325" i="3"/>
  <c r="G325" i="3"/>
  <c r="F325" i="3"/>
  <c r="D325" i="3"/>
  <c r="C325" i="3"/>
  <c r="A325" i="3"/>
  <c r="AJ324" i="3"/>
  <c r="AK324" i="3" s="1"/>
  <c r="G324" i="3"/>
  <c r="F324" i="3"/>
  <c r="D324" i="3"/>
  <c r="C324" i="3"/>
  <c r="A324" i="3"/>
  <c r="AJ323" i="3"/>
  <c r="AK323" i="3" s="1"/>
  <c r="G323" i="3"/>
  <c r="F323" i="3"/>
  <c r="D323" i="3"/>
  <c r="C323" i="3"/>
  <c r="A323" i="3"/>
  <c r="AJ322" i="3"/>
  <c r="AK322" i="3" s="1"/>
  <c r="G322" i="3"/>
  <c r="F322" i="3"/>
  <c r="D322" i="3"/>
  <c r="C322" i="3"/>
  <c r="A322" i="3"/>
  <c r="AJ321" i="3"/>
  <c r="AK321" i="3" s="1"/>
  <c r="G321" i="3"/>
  <c r="F321" i="3"/>
  <c r="D321" i="3"/>
  <c r="C321" i="3"/>
  <c r="A321" i="3"/>
  <c r="AJ320" i="3"/>
  <c r="AK320" i="3" s="1"/>
  <c r="G320" i="3"/>
  <c r="F320" i="3"/>
  <c r="D320" i="3"/>
  <c r="C320" i="3"/>
  <c r="A320" i="3"/>
  <c r="AJ319" i="3"/>
  <c r="AK319" i="3" s="1"/>
  <c r="G319" i="3"/>
  <c r="F319" i="3"/>
  <c r="D319" i="3"/>
  <c r="C319" i="3"/>
  <c r="A319" i="3"/>
  <c r="AJ318" i="3"/>
  <c r="AK318" i="3" s="1"/>
  <c r="G318" i="3"/>
  <c r="F318" i="3"/>
  <c r="D318" i="3"/>
  <c r="C318" i="3"/>
  <c r="A318" i="3"/>
  <c r="AK317" i="3"/>
  <c r="AJ317" i="3"/>
  <c r="G317" i="3"/>
  <c r="F317" i="3"/>
  <c r="D317" i="3"/>
  <c r="C317" i="3"/>
  <c r="A317" i="3"/>
  <c r="AJ316" i="3"/>
  <c r="AK316" i="3" s="1"/>
  <c r="G316" i="3"/>
  <c r="F316" i="3"/>
  <c r="D316" i="3"/>
  <c r="C316" i="3"/>
  <c r="A316" i="3"/>
  <c r="AJ315" i="3"/>
  <c r="AK315" i="3" s="1"/>
  <c r="G315" i="3"/>
  <c r="F315" i="3"/>
  <c r="D315" i="3"/>
  <c r="C315" i="3"/>
  <c r="A315" i="3"/>
  <c r="AJ314" i="3"/>
  <c r="AK314" i="3" s="1"/>
  <c r="G314" i="3"/>
  <c r="F314" i="3"/>
  <c r="D314" i="3"/>
  <c r="C314" i="3"/>
  <c r="A314" i="3"/>
  <c r="AJ313" i="3"/>
  <c r="AK313" i="3" s="1"/>
  <c r="G313" i="3"/>
  <c r="F313" i="3"/>
  <c r="D313" i="3"/>
  <c r="C313" i="3"/>
  <c r="A313" i="3"/>
  <c r="AJ312" i="3"/>
  <c r="AK312" i="3" s="1"/>
  <c r="G312" i="3"/>
  <c r="F312" i="3"/>
  <c r="D312" i="3"/>
  <c r="C312" i="3"/>
  <c r="A312" i="3"/>
  <c r="AJ311" i="3"/>
  <c r="AK311" i="3" s="1"/>
  <c r="G311" i="3"/>
  <c r="F311" i="3"/>
  <c r="D311" i="3"/>
  <c r="C311" i="3"/>
  <c r="A311" i="3"/>
  <c r="AJ310" i="3"/>
  <c r="AK310" i="3" s="1"/>
  <c r="G310" i="3"/>
  <c r="F310" i="3"/>
  <c r="D310" i="3"/>
  <c r="C310" i="3"/>
  <c r="A310" i="3"/>
  <c r="AK309" i="3"/>
  <c r="AJ309" i="3"/>
  <c r="G309" i="3"/>
  <c r="F309" i="3"/>
  <c r="D309" i="3"/>
  <c r="C309" i="3"/>
  <c r="A309" i="3"/>
  <c r="AJ308" i="3"/>
  <c r="AK308" i="3" s="1"/>
  <c r="G308" i="3"/>
  <c r="F308" i="3"/>
  <c r="D308" i="3"/>
  <c r="C308" i="3"/>
  <c r="A308" i="3"/>
  <c r="AJ307" i="3"/>
  <c r="AK307" i="3" s="1"/>
  <c r="G307" i="3"/>
  <c r="F307" i="3"/>
  <c r="D307" i="3"/>
  <c r="C307" i="3"/>
  <c r="A307" i="3"/>
  <c r="AJ306" i="3"/>
  <c r="AK306" i="3" s="1"/>
  <c r="G306" i="3"/>
  <c r="F306" i="3"/>
  <c r="D306" i="3"/>
  <c r="C306" i="3"/>
  <c r="A306" i="3"/>
  <c r="AJ305" i="3"/>
  <c r="AK305" i="3" s="1"/>
  <c r="G305" i="3"/>
  <c r="F305" i="3"/>
  <c r="D305" i="3"/>
  <c r="C305" i="3"/>
  <c r="A305" i="3"/>
  <c r="AJ304" i="3"/>
  <c r="AK304" i="3" s="1"/>
  <c r="G304" i="3"/>
  <c r="F304" i="3"/>
  <c r="D304" i="3"/>
  <c r="C304" i="3"/>
  <c r="A304" i="3"/>
  <c r="AJ303" i="3"/>
  <c r="AK303" i="3" s="1"/>
  <c r="G303" i="3"/>
  <c r="F303" i="3"/>
  <c r="D303" i="3"/>
  <c r="C303" i="3"/>
  <c r="A303" i="3"/>
  <c r="AJ302" i="3"/>
  <c r="AK302" i="3" s="1"/>
  <c r="G302" i="3"/>
  <c r="F302" i="3"/>
  <c r="D302" i="3"/>
  <c r="C302" i="3"/>
  <c r="A302" i="3"/>
  <c r="AK301" i="3"/>
  <c r="AJ301" i="3"/>
  <c r="G301" i="3"/>
  <c r="F301" i="3"/>
  <c r="D301" i="3"/>
  <c r="C301" i="3"/>
  <c r="A301" i="3"/>
  <c r="AJ300" i="3"/>
  <c r="AK300" i="3" s="1"/>
  <c r="G300" i="3"/>
  <c r="F300" i="3"/>
  <c r="D300" i="3"/>
  <c r="C300" i="3"/>
  <c r="A300" i="3"/>
  <c r="AJ299" i="3"/>
  <c r="AK299" i="3" s="1"/>
  <c r="G299" i="3"/>
  <c r="F299" i="3"/>
  <c r="D299" i="3"/>
  <c r="C299" i="3"/>
  <c r="A299" i="3"/>
  <c r="AJ298" i="3"/>
  <c r="AK298" i="3" s="1"/>
  <c r="G298" i="3"/>
  <c r="F298" i="3"/>
  <c r="D298" i="3"/>
  <c r="C298" i="3"/>
  <c r="A298" i="3"/>
  <c r="AJ297" i="3"/>
  <c r="AK297" i="3" s="1"/>
  <c r="G297" i="3"/>
  <c r="F297" i="3"/>
  <c r="D297" i="3"/>
  <c r="C297" i="3"/>
  <c r="A297" i="3"/>
  <c r="AJ296" i="3"/>
  <c r="AK296" i="3" s="1"/>
  <c r="G296" i="3"/>
  <c r="F296" i="3"/>
  <c r="D296" i="3"/>
  <c r="C296" i="3"/>
  <c r="A296" i="3"/>
  <c r="AJ295" i="3"/>
  <c r="AK295" i="3" s="1"/>
  <c r="G295" i="3"/>
  <c r="F295" i="3"/>
  <c r="D295" i="3"/>
  <c r="C295" i="3"/>
  <c r="A295" i="3"/>
  <c r="AJ294" i="3"/>
  <c r="AK294" i="3" s="1"/>
  <c r="G294" i="3"/>
  <c r="F294" i="3"/>
  <c r="D294" i="3"/>
  <c r="C294" i="3"/>
  <c r="A294" i="3"/>
  <c r="AK293" i="3"/>
  <c r="AJ293" i="3"/>
  <c r="G293" i="3"/>
  <c r="F293" i="3"/>
  <c r="D293" i="3"/>
  <c r="C293" i="3"/>
  <c r="A293" i="3"/>
  <c r="AJ292" i="3"/>
  <c r="AK292" i="3" s="1"/>
  <c r="G292" i="3"/>
  <c r="F292" i="3"/>
  <c r="D292" i="3"/>
  <c r="C292" i="3"/>
  <c r="A292" i="3"/>
  <c r="AJ291" i="3"/>
  <c r="AK291" i="3" s="1"/>
  <c r="G291" i="3"/>
  <c r="F291" i="3"/>
  <c r="D291" i="3"/>
  <c r="C291" i="3"/>
  <c r="A291" i="3"/>
  <c r="AJ290" i="3"/>
  <c r="AK290" i="3" s="1"/>
  <c r="G290" i="3"/>
  <c r="F290" i="3"/>
  <c r="D290" i="3"/>
  <c r="C290" i="3"/>
  <c r="A290" i="3"/>
  <c r="AJ289" i="3"/>
  <c r="AK289" i="3" s="1"/>
  <c r="G289" i="3"/>
  <c r="F289" i="3"/>
  <c r="D289" i="3"/>
  <c r="C289" i="3"/>
  <c r="A289" i="3"/>
  <c r="AJ288" i="3"/>
  <c r="AK288" i="3" s="1"/>
  <c r="G288" i="3"/>
  <c r="F288" i="3"/>
  <c r="D288" i="3"/>
  <c r="C288" i="3"/>
  <c r="A288" i="3"/>
  <c r="AJ287" i="3"/>
  <c r="AK287" i="3" s="1"/>
  <c r="G287" i="3"/>
  <c r="F287" i="3"/>
  <c r="D287" i="3"/>
  <c r="C287" i="3"/>
  <c r="A287" i="3"/>
  <c r="AJ286" i="3"/>
  <c r="AK286" i="3" s="1"/>
  <c r="G286" i="3"/>
  <c r="F286" i="3"/>
  <c r="D286" i="3"/>
  <c r="C286" i="3"/>
  <c r="A286" i="3"/>
  <c r="AK285" i="3"/>
  <c r="AJ285" i="3"/>
  <c r="G285" i="3"/>
  <c r="F285" i="3"/>
  <c r="D285" i="3"/>
  <c r="C285" i="3"/>
  <c r="A285" i="3"/>
  <c r="AJ284" i="3"/>
  <c r="AK284" i="3" s="1"/>
  <c r="G284" i="3"/>
  <c r="F284" i="3"/>
  <c r="D284" i="3"/>
  <c r="C284" i="3"/>
  <c r="A284" i="3"/>
  <c r="AJ283" i="3"/>
  <c r="AK283" i="3" s="1"/>
  <c r="G283" i="3"/>
  <c r="F283" i="3"/>
  <c r="D283" i="3"/>
  <c r="C283" i="3"/>
  <c r="A283" i="3"/>
  <c r="AJ282" i="3"/>
  <c r="AK282" i="3" s="1"/>
  <c r="G282" i="3"/>
  <c r="F282" i="3"/>
  <c r="D282" i="3"/>
  <c r="C282" i="3"/>
  <c r="A282" i="3"/>
  <c r="AJ281" i="3"/>
  <c r="AK281" i="3" s="1"/>
  <c r="G281" i="3"/>
  <c r="F281" i="3"/>
  <c r="D281" i="3"/>
  <c r="C281" i="3"/>
  <c r="A281" i="3"/>
  <c r="AJ280" i="3"/>
  <c r="AK280" i="3" s="1"/>
  <c r="G280" i="3"/>
  <c r="F280" i="3"/>
  <c r="D280" i="3"/>
  <c r="C280" i="3"/>
  <c r="A280" i="3"/>
  <c r="AJ279" i="3"/>
  <c r="AK279" i="3" s="1"/>
  <c r="G279" i="3"/>
  <c r="F279" i="3"/>
  <c r="D279" i="3"/>
  <c r="C279" i="3"/>
  <c r="A279" i="3"/>
  <c r="AJ278" i="3"/>
  <c r="AK278" i="3" s="1"/>
  <c r="G278" i="3"/>
  <c r="F278" i="3"/>
  <c r="D278" i="3"/>
  <c r="C278" i="3"/>
  <c r="A278" i="3"/>
  <c r="AK277" i="3"/>
  <c r="AJ277" i="3"/>
  <c r="G277" i="3"/>
  <c r="F277" i="3"/>
  <c r="D277" i="3"/>
  <c r="C277" i="3"/>
  <c r="A277" i="3"/>
  <c r="AJ276" i="3"/>
  <c r="AK276" i="3" s="1"/>
  <c r="G276" i="3"/>
  <c r="F276" i="3"/>
  <c r="D276" i="3"/>
  <c r="C276" i="3"/>
  <c r="A276" i="3"/>
  <c r="AJ275" i="3"/>
  <c r="AK275" i="3" s="1"/>
  <c r="G275" i="3"/>
  <c r="F275" i="3"/>
  <c r="D275" i="3"/>
  <c r="C275" i="3"/>
  <c r="A275" i="3"/>
  <c r="AJ274" i="3"/>
  <c r="AK274" i="3" s="1"/>
  <c r="G274" i="3"/>
  <c r="F274" i="3"/>
  <c r="D274" i="3"/>
  <c r="C274" i="3"/>
  <c r="A274" i="3"/>
  <c r="AJ273" i="3"/>
  <c r="AK273" i="3" s="1"/>
  <c r="G273" i="3"/>
  <c r="F273" i="3"/>
  <c r="D273" i="3"/>
  <c r="C273" i="3"/>
  <c r="A273" i="3"/>
  <c r="AJ272" i="3"/>
  <c r="AK272" i="3" s="1"/>
  <c r="G272" i="3"/>
  <c r="F272" i="3"/>
  <c r="D272" i="3"/>
  <c r="C272" i="3"/>
  <c r="A272" i="3"/>
  <c r="AJ271" i="3"/>
  <c r="AK271" i="3" s="1"/>
  <c r="G271" i="3"/>
  <c r="F271" i="3"/>
  <c r="D271" i="3"/>
  <c r="C271" i="3"/>
  <c r="A271" i="3"/>
  <c r="AJ270" i="3"/>
  <c r="AK270" i="3" s="1"/>
  <c r="G270" i="3"/>
  <c r="F270" i="3"/>
  <c r="D270" i="3"/>
  <c r="C270" i="3"/>
  <c r="A270" i="3"/>
  <c r="AK269" i="3"/>
  <c r="AJ269" i="3"/>
  <c r="G269" i="3"/>
  <c r="F269" i="3"/>
  <c r="D269" i="3"/>
  <c r="C269" i="3"/>
  <c r="A269" i="3"/>
  <c r="AJ268" i="3"/>
  <c r="AK268" i="3" s="1"/>
  <c r="G268" i="3"/>
  <c r="F268" i="3"/>
  <c r="D268" i="3"/>
  <c r="C268" i="3"/>
  <c r="A268" i="3"/>
  <c r="AJ267" i="3"/>
  <c r="AK267" i="3" s="1"/>
  <c r="G267" i="3"/>
  <c r="F267" i="3"/>
  <c r="D267" i="3"/>
  <c r="C267" i="3"/>
  <c r="A267" i="3"/>
  <c r="AJ266" i="3"/>
  <c r="AK266" i="3" s="1"/>
  <c r="G266" i="3"/>
  <c r="F266" i="3"/>
  <c r="D266" i="3"/>
  <c r="C266" i="3"/>
  <c r="A266" i="3"/>
  <c r="AJ265" i="3"/>
  <c r="AK265" i="3" s="1"/>
  <c r="G265" i="3"/>
  <c r="F265" i="3"/>
  <c r="D265" i="3"/>
  <c r="C265" i="3"/>
  <c r="A265" i="3"/>
  <c r="AJ264" i="3"/>
  <c r="AK264" i="3" s="1"/>
  <c r="G264" i="3"/>
  <c r="F264" i="3"/>
  <c r="D264" i="3"/>
  <c r="C264" i="3"/>
  <c r="A264" i="3"/>
  <c r="AJ263" i="3"/>
  <c r="AK263" i="3" s="1"/>
  <c r="G263" i="3"/>
  <c r="F263" i="3"/>
  <c r="D263" i="3"/>
  <c r="C263" i="3"/>
  <c r="A263" i="3"/>
  <c r="AJ262" i="3"/>
  <c r="AK262" i="3" s="1"/>
  <c r="G262" i="3"/>
  <c r="F262" i="3"/>
  <c r="D262" i="3"/>
  <c r="C262" i="3"/>
  <c r="A262" i="3"/>
  <c r="AK261" i="3"/>
  <c r="AJ261" i="3"/>
  <c r="G261" i="3"/>
  <c r="F261" i="3"/>
  <c r="D261" i="3"/>
  <c r="C261" i="3"/>
  <c r="A261" i="3"/>
  <c r="AJ260" i="3"/>
  <c r="AK260" i="3" s="1"/>
  <c r="G260" i="3"/>
  <c r="F260" i="3"/>
  <c r="D260" i="3"/>
  <c r="C260" i="3"/>
  <c r="A260" i="3"/>
  <c r="AJ259" i="3"/>
  <c r="AK259" i="3" s="1"/>
  <c r="G259" i="3"/>
  <c r="F259" i="3"/>
  <c r="D259" i="3"/>
  <c r="C259" i="3"/>
  <c r="A259" i="3"/>
  <c r="AJ258" i="3"/>
  <c r="AK258" i="3" s="1"/>
  <c r="G258" i="3"/>
  <c r="F258" i="3"/>
  <c r="D258" i="3"/>
  <c r="C258" i="3"/>
  <c r="A258" i="3"/>
  <c r="AJ257" i="3"/>
  <c r="AK257" i="3" s="1"/>
  <c r="G257" i="3"/>
  <c r="F257" i="3"/>
  <c r="D257" i="3"/>
  <c r="C257" i="3"/>
  <c r="A257" i="3"/>
  <c r="AJ256" i="3"/>
  <c r="AK256" i="3" s="1"/>
  <c r="G256" i="3"/>
  <c r="F256" i="3"/>
  <c r="D256" i="3"/>
  <c r="C256" i="3"/>
  <c r="A256" i="3"/>
  <c r="AJ255" i="3"/>
  <c r="AK255" i="3" s="1"/>
  <c r="G255" i="3"/>
  <c r="F255" i="3"/>
  <c r="D255" i="3"/>
  <c r="C255" i="3"/>
  <c r="A255" i="3"/>
  <c r="AJ254" i="3"/>
  <c r="AK254" i="3" s="1"/>
  <c r="G254" i="3"/>
  <c r="F254" i="3"/>
  <c r="D254" i="3"/>
  <c r="C254" i="3"/>
  <c r="A254" i="3"/>
  <c r="AK253" i="3"/>
  <c r="AJ253" i="3"/>
  <c r="G253" i="3"/>
  <c r="F253" i="3"/>
  <c r="D253" i="3"/>
  <c r="C253" i="3"/>
  <c r="A253" i="3"/>
  <c r="AJ252" i="3"/>
  <c r="AK252" i="3" s="1"/>
  <c r="G252" i="3"/>
  <c r="F252" i="3"/>
  <c r="D252" i="3"/>
  <c r="C252" i="3"/>
  <c r="A252" i="3"/>
  <c r="AJ251" i="3"/>
  <c r="AK251" i="3" s="1"/>
  <c r="G251" i="3"/>
  <c r="F251" i="3"/>
  <c r="D251" i="3"/>
  <c r="C251" i="3"/>
  <c r="A251" i="3"/>
  <c r="AJ250" i="3"/>
  <c r="AK250" i="3" s="1"/>
  <c r="G250" i="3"/>
  <c r="F250" i="3"/>
  <c r="D250" i="3"/>
  <c r="C250" i="3"/>
  <c r="A250" i="3"/>
  <c r="AJ249" i="3"/>
  <c r="AK249" i="3" s="1"/>
  <c r="G249" i="3"/>
  <c r="F249" i="3"/>
  <c r="D249" i="3"/>
  <c r="C249" i="3"/>
  <c r="A249" i="3"/>
  <c r="AJ248" i="3"/>
  <c r="AK248" i="3" s="1"/>
  <c r="G248" i="3"/>
  <c r="F248" i="3"/>
  <c r="D248" i="3"/>
  <c r="C248" i="3"/>
  <c r="A248" i="3"/>
  <c r="AJ247" i="3"/>
  <c r="AK247" i="3" s="1"/>
  <c r="G247" i="3"/>
  <c r="F247" i="3"/>
  <c r="D247" i="3"/>
  <c r="C247" i="3"/>
  <c r="A247" i="3"/>
  <c r="AJ246" i="3"/>
  <c r="AK246" i="3" s="1"/>
  <c r="G246" i="3"/>
  <c r="F246" i="3"/>
  <c r="D246" i="3"/>
  <c r="C246" i="3"/>
  <c r="A246" i="3"/>
  <c r="AK245" i="3"/>
  <c r="AJ245" i="3"/>
  <c r="G245" i="3"/>
  <c r="F245" i="3"/>
  <c r="D245" i="3"/>
  <c r="C245" i="3"/>
  <c r="A245" i="3"/>
  <c r="AJ244" i="3"/>
  <c r="AK244" i="3" s="1"/>
  <c r="G244" i="3"/>
  <c r="F244" i="3"/>
  <c r="D244" i="3"/>
  <c r="C244" i="3"/>
  <c r="A244" i="3"/>
  <c r="AJ243" i="3"/>
  <c r="AK243" i="3" s="1"/>
  <c r="G243" i="3"/>
  <c r="F243" i="3"/>
  <c r="D243" i="3"/>
  <c r="C243" i="3"/>
  <c r="A243" i="3"/>
  <c r="AJ242" i="3"/>
  <c r="AK242" i="3" s="1"/>
  <c r="G242" i="3"/>
  <c r="F242" i="3"/>
  <c r="D242" i="3"/>
  <c r="C242" i="3"/>
  <c r="A242" i="3"/>
  <c r="AJ241" i="3"/>
  <c r="AK241" i="3" s="1"/>
  <c r="G241" i="3"/>
  <c r="F241" i="3"/>
  <c r="D241" i="3"/>
  <c r="C241" i="3"/>
  <c r="A241" i="3"/>
  <c r="AJ240" i="3"/>
  <c r="AK240" i="3" s="1"/>
  <c r="G240" i="3"/>
  <c r="F240" i="3"/>
  <c r="D240" i="3"/>
  <c r="C240" i="3"/>
  <c r="A240" i="3"/>
  <c r="AJ239" i="3"/>
  <c r="AK239" i="3" s="1"/>
  <c r="G239" i="3"/>
  <c r="F239" i="3"/>
  <c r="D239" i="3"/>
  <c r="C239" i="3"/>
  <c r="A239" i="3"/>
  <c r="AJ238" i="3"/>
  <c r="AK238" i="3" s="1"/>
  <c r="G238" i="3"/>
  <c r="F238" i="3"/>
  <c r="D238" i="3"/>
  <c r="C238" i="3"/>
  <c r="A238" i="3"/>
  <c r="AK237" i="3"/>
  <c r="AJ237" i="3"/>
  <c r="G237" i="3"/>
  <c r="F237" i="3"/>
  <c r="D237" i="3"/>
  <c r="C237" i="3"/>
  <c r="A237" i="3"/>
  <c r="AJ236" i="3"/>
  <c r="AK236" i="3" s="1"/>
  <c r="G236" i="3"/>
  <c r="F236" i="3"/>
  <c r="D236" i="3"/>
  <c r="C236" i="3"/>
  <c r="A236" i="3"/>
  <c r="AJ235" i="3"/>
  <c r="AK235" i="3" s="1"/>
  <c r="G235" i="3"/>
  <c r="F235" i="3"/>
  <c r="D235" i="3"/>
  <c r="C235" i="3"/>
  <c r="A235" i="3"/>
  <c r="AJ234" i="3"/>
  <c r="AK234" i="3" s="1"/>
  <c r="G234" i="3"/>
  <c r="F234" i="3"/>
  <c r="D234" i="3"/>
  <c r="C234" i="3"/>
  <c r="A234" i="3"/>
  <c r="AJ233" i="3"/>
  <c r="AK233" i="3" s="1"/>
  <c r="G233" i="3"/>
  <c r="F233" i="3"/>
  <c r="D233" i="3"/>
  <c r="C233" i="3"/>
  <c r="A233" i="3"/>
  <c r="AJ232" i="3"/>
  <c r="AK232" i="3" s="1"/>
  <c r="G232" i="3"/>
  <c r="F232" i="3"/>
  <c r="D232" i="3"/>
  <c r="C232" i="3"/>
  <c r="A232" i="3"/>
  <c r="AJ231" i="3"/>
  <c r="AK231" i="3" s="1"/>
  <c r="G231" i="3"/>
  <c r="F231" i="3"/>
  <c r="D231" i="3"/>
  <c r="C231" i="3"/>
  <c r="A231" i="3"/>
  <c r="AJ230" i="3"/>
  <c r="AK230" i="3" s="1"/>
  <c r="G230" i="3"/>
  <c r="F230" i="3"/>
  <c r="D230" i="3"/>
  <c r="C230" i="3"/>
  <c r="A230" i="3"/>
  <c r="AK229" i="3"/>
  <c r="AJ229" i="3"/>
  <c r="G229" i="3"/>
  <c r="F229" i="3"/>
  <c r="D229" i="3"/>
  <c r="C229" i="3"/>
  <c r="A229" i="3"/>
  <c r="AJ228" i="3"/>
  <c r="AK228" i="3" s="1"/>
  <c r="G228" i="3"/>
  <c r="F228" i="3"/>
  <c r="D228" i="3"/>
  <c r="C228" i="3"/>
  <c r="A228" i="3"/>
  <c r="AJ227" i="3"/>
  <c r="AK227" i="3" s="1"/>
  <c r="G227" i="3"/>
  <c r="F227" i="3"/>
  <c r="D227" i="3"/>
  <c r="C227" i="3"/>
  <c r="A227" i="3"/>
  <c r="AJ226" i="3"/>
  <c r="AK226" i="3" s="1"/>
  <c r="G226" i="3"/>
  <c r="F226" i="3"/>
  <c r="D226" i="3"/>
  <c r="C226" i="3"/>
  <c r="A226" i="3"/>
  <c r="AJ225" i="3"/>
  <c r="AK225" i="3" s="1"/>
  <c r="G225" i="3"/>
  <c r="F225" i="3"/>
  <c r="D225" i="3"/>
  <c r="C225" i="3"/>
  <c r="A225" i="3"/>
  <c r="AJ224" i="3"/>
  <c r="AK224" i="3" s="1"/>
  <c r="G224" i="3"/>
  <c r="F224" i="3"/>
  <c r="D224" i="3"/>
  <c r="C224" i="3"/>
  <c r="A224" i="3"/>
  <c r="AJ223" i="3"/>
  <c r="AK223" i="3" s="1"/>
  <c r="G223" i="3"/>
  <c r="F223" i="3"/>
  <c r="D223" i="3"/>
  <c r="C223" i="3"/>
  <c r="A223" i="3"/>
  <c r="AJ222" i="3"/>
  <c r="AK222" i="3" s="1"/>
  <c r="G222" i="3"/>
  <c r="F222" i="3"/>
  <c r="D222" i="3"/>
  <c r="C222" i="3"/>
  <c r="A222" i="3"/>
  <c r="AK221" i="3"/>
  <c r="AJ221" i="3"/>
  <c r="G221" i="3"/>
  <c r="F221" i="3"/>
  <c r="D221" i="3"/>
  <c r="C221" i="3"/>
  <c r="A221" i="3"/>
  <c r="AJ220" i="3"/>
  <c r="AK220" i="3" s="1"/>
  <c r="G220" i="3"/>
  <c r="F220" i="3"/>
  <c r="D220" i="3"/>
  <c r="C220" i="3"/>
  <c r="A220" i="3"/>
  <c r="AJ219" i="3"/>
  <c r="AK219" i="3" s="1"/>
  <c r="G219" i="3"/>
  <c r="F219" i="3"/>
  <c r="D219" i="3"/>
  <c r="C219" i="3"/>
  <c r="A219" i="3"/>
  <c r="AJ218" i="3"/>
  <c r="AK218" i="3" s="1"/>
  <c r="G218" i="3"/>
  <c r="F218" i="3"/>
  <c r="D218" i="3"/>
  <c r="C218" i="3"/>
  <c r="A218" i="3"/>
  <c r="AJ217" i="3"/>
  <c r="AK217" i="3" s="1"/>
  <c r="G217" i="3"/>
  <c r="F217" i="3"/>
  <c r="D217" i="3"/>
  <c r="C217" i="3"/>
  <c r="A217" i="3"/>
  <c r="AJ216" i="3"/>
  <c r="AK216" i="3" s="1"/>
  <c r="G216" i="3"/>
  <c r="F216" i="3"/>
  <c r="D216" i="3"/>
  <c r="C216" i="3"/>
  <c r="A216" i="3"/>
  <c r="AJ215" i="3"/>
  <c r="AK215" i="3" s="1"/>
  <c r="G215" i="3"/>
  <c r="F215" i="3"/>
  <c r="D215" i="3"/>
  <c r="C215" i="3"/>
  <c r="A215" i="3"/>
  <c r="AJ214" i="3"/>
  <c r="AK214" i="3" s="1"/>
  <c r="G214" i="3"/>
  <c r="F214" i="3"/>
  <c r="D214" i="3"/>
  <c r="C214" i="3"/>
  <c r="A214" i="3"/>
  <c r="AK213" i="3"/>
  <c r="AJ213" i="3"/>
  <c r="G213" i="3"/>
  <c r="F213" i="3"/>
  <c r="D213" i="3"/>
  <c r="C213" i="3"/>
  <c r="A213" i="3"/>
  <c r="AJ212" i="3"/>
  <c r="AK212" i="3" s="1"/>
  <c r="G212" i="3"/>
  <c r="F212" i="3"/>
  <c r="D212" i="3"/>
  <c r="C212" i="3"/>
  <c r="A212" i="3"/>
  <c r="AJ211" i="3"/>
  <c r="AK211" i="3" s="1"/>
  <c r="G211" i="3"/>
  <c r="F211" i="3"/>
  <c r="D211" i="3"/>
  <c r="C211" i="3"/>
  <c r="A211" i="3"/>
  <c r="AJ210" i="3"/>
  <c r="AK210" i="3" s="1"/>
  <c r="G210" i="3"/>
  <c r="F210" i="3"/>
  <c r="D210" i="3"/>
  <c r="C210" i="3"/>
  <c r="A210" i="3"/>
  <c r="AJ209" i="3"/>
  <c r="AK209" i="3" s="1"/>
  <c r="G209" i="3"/>
  <c r="F209" i="3"/>
  <c r="D209" i="3"/>
  <c r="C209" i="3"/>
  <c r="A209" i="3"/>
  <c r="AJ208" i="3"/>
  <c r="AK208" i="3" s="1"/>
  <c r="G208" i="3"/>
  <c r="F208" i="3"/>
  <c r="D208" i="3"/>
  <c r="C208" i="3"/>
  <c r="A208" i="3"/>
  <c r="AJ207" i="3"/>
  <c r="AK207" i="3" s="1"/>
  <c r="G207" i="3"/>
  <c r="F207" i="3"/>
  <c r="D207" i="3"/>
  <c r="C207" i="3"/>
  <c r="A207" i="3"/>
  <c r="AJ206" i="3"/>
  <c r="AK206" i="3" s="1"/>
  <c r="G206" i="3"/>
  <c r="F206" i="3"/>
  <c r="D206" i="3"/>
  <c r="C206" i="3"/>
  <c r="A206" i="3"/>
  <c r="AK205" i="3"/>
  <c r="AJ205" i="3"/>
  <c r="G205" i="3"/>
  <c r="F205" i="3"/>
  <c r="D205" i="3"/>
  <c r="C205" i="3"/>
  <c r="A205" i="3"/>
  <c r="AJ204" i="3"/>
  <c r="AK204" i="3" s="1"/>
  <c r="G204" i="3"/>
  <c r="F204" i="3"/>
  <c r="D204" i="3"/>
  <c r="C204" i="3"/>
  <c r="A204" i="3"/>
  <c r="AJ203" i="3"/>
  <c r="AK203" i="3" s="1"/>
  <c r="G203" i="3"/>
  <c r="F203" i="3"/>
  <c r="D203" i="3"/>
  <c r="C203" i="3"/>
  <c r="A203" i="3"/>
  <c r="AJ202" i="3"/>
  <c r="AK202" i="3" s="1"/>
  <c r="G202" i="3"/>
  <c r="F202" i="3"/>
  <c r="D202" i="3"/>
  <c r="C202" i="3"/>
  <c r="A202" i="3"/>
  <c r="AJ201" i="3"/>
  <c r="AK201" i="3" s="1"/>
  <c r="G201" i="3"/>
  <c r="F201" i="3"/>
  <c r="D201" i="3"/>
  <c r="C201" i="3"/>
  <c r="A201" i="3"/>
  <c r="AJ200" i="3"/>
  <c r="AK200" i="3" s="1"/>
  <c r="G200" i="3"/>
  <c r="F200" i="3"/>
  <c r="D200" i="3"/>
  <c r="C200" i="3"/>
  <c r="A200" i="3"/>
  <c r="AJ199" i="3"/>
  <c r="AK199" i="3" s="1"/>
  <c r="G199" i="3"/>
  <c r="F199" i="3"/>
  <c r="D199" i="3"/>
  <c r="C199" i="3"/>
  <c r="A199" i="3"/>
  <c r="AJ198" i="3"/>
  <c r="AK198" i="3" s="1"/>
  <c r="G198" i="3"/>
  <c r="F198" i="3"/>
  <c r="D198" i="3"/>
  <c r="C198" i="3"/>
  <c r="A198" i="3"/>
  <c r="AK197" i="3"/>
  <c r="AJ197" i="3"/>
  <c r="G197" i="3"/>
  <c r="F197" i="3"/>
  <c r="D197" i="3"/>
  <c r="C197" i="3"/>
  <c r="A197" i="3"/>
  <c r="AJ196" i="3"/>
  <c r="AK196" i="3" s="1"/>
  <c r="G196" i="3"/>
  <c r="F196" i="3"/>
  <c r="D196" i="3"/>
  <c r="C196" i="3"/>
  <c r="A196" i="3"/>
  <c r="AJ195" i="3"/>
  <c r="AK195" i="3" s="1"/>
  <c r="G195" i="3"/>
  <c r="F195" i="3"/>
  <c r="D195" i="3"/>
  <c r="C195" i="3"/>
  <c r="A195" i="3"/>
  <c r="AJ194" i="3"/>
  <c r="AK194" i="3" s="1"/>
  <c r="G194" i="3"/>
  <c r="F194" i="3"/>
  <c r="D194" i="3"/>
  <c r="C194" i="3"/>
  <c r="A194" i="3"/>
  <c r="AJ193" i="3"/>
  <c r="AK193" i="3" s="1"/>
  <c r="G193" i="3"/>
  <c r="F193" i="3"/>
  <c r="D193" i="3"/>
  <c r="C193" i="3"/>
  <c r="A193" i="3"/>
  <c r="AJ192" i="3"/>
  <c r="AK192" i="3" s="1"/>
  <c r="G192" i="3"/>
  <c r="F192" i="3"/>
  <c r="D192" i="3"/>
  <c r="C192" i="3"/>
  <c r="A192" i="3"/>
  <c r="AJ191" i="3"/>
  <c r="AK191" i="3" s="1"/>
  <c r="G191" i="3"/>
  <c r="F191" i="3"/>
  <c r="D191" i="3"/>
  <c r="C191" i="3"/>
  <c r="A191" i="3"/>
  <c r="AJ190" i="3"/>
  <c r="AK190" i="3" s="1"/>
  <c r="G190" i="3"/>
  <c r="F190" i="3"/>
  <c r="D190" i="3"/>
  <c r="C190" i="3"/>
  <c r="A190" i="3"/>
  <c r="AK189" i="3"/>
  <c r="AJ189" i="3"/>
  <c r="G189" i="3"/>
  <c r="F189" i="3"/>
  <c r="D189" i="3"/>
  <c r="C189" i="3"/>
  <c r="A189" i="3"/>
  <c r="AJ188" i="3"/>
  <c r="AK188" i="3" s="1"/>
  <c r="G188" i="3"/>
  <c r="F188" i="3"/>
  <c r="D188" i="3"/>
  <c r="C188" i="3"/>
  <c r="A188" i="3"/>
  <c r="AJ187" i="3"/>
  <c r="AK187" i="3" s="1"/>
  <c r="G187" i="3"/>
  <c r="F187" i="3"/>
  <c r="D187" i="3"/>
  <c r="C187" i="3"/>
  <c r="A187" i="3"/>
  <c r="AJ186" i="3"/>
  <c r="AK186" i="3" s="1"/>
  <c r="G186" i="3"/>
  <c r="F186" i="3"/>
  <c r="D186" i="3"/>
  <c r="C186" i="3"/>
  <c r="A186" i="3"/>
  <c r="AJ185" i="3"/>
  <c r="AK185" i="3" s="1"/>
  <c r="G185" i="3"/>
  <c r="F185" i="3"/>
  <c r="D185" i="3"/>
  <c r="C185" i="3"/>
  <c r="A185" i="3"/>
  <c r="AJ184" i="3"/>
  <c r="AK184" i="3" s="1"/>
  <c r="G184" i="3"/>
  <c r="F184" i="3"/>
  <c r="D184" i="3"/>
  <c r="C184" i="3"/>
  <c r="A184" i="3"/>
  <c r="AJ183" i="3"/>
  <c r="AK183" i="3" s="1"/>
  <c r="G183" i="3"/>
  <c r="F183" i="3"/>
  <c r="D183" i="3"/>
  <c r="C183" i="3"/>
  <c r="A183" i="3"/>
  <c r="AJ182" i="3"/>
  <c r="AK182" i="3" s="1"/>
  <c r="G182" i="3"/>
  <c r="F182" i="3"/>
  <c r="D182" i="3"/>
  <c r="C182" i="3"/>
  <c r="A182" i="3"/>
  <c r="AK181" i="3"/>
  <c r="AJ181" i="3"/>
  <c r="G181" i="3"/>
  <c r="F181" i="3"/>
  <c r="D181" i="3"/>
  <c r="C181" i="3"/>
  <c r="A181" i="3"/>
  <c r="AJ180" i="3"/>
  <c r="AK180" i="3" s="1"/>
  <c r="G180" i="3"/>
  <c r="F180" i="3"/>
  <c r="D180" i="3"/>
  <c r="C180" i="3"/>
  <c r="A180" i="3"/>
  <c r="AJ179" i="3"/>
  <c r="AK179" i="3" s="1"/>
  <c r="G179" i="3"/>
  <c r="F179" i="3"/>
  <c r="D179" i="3"/>
  <c r="C179" i="3"/>
  <c r="A179" i="3"/>
  <c r="AJ178" i="3"/>
  <c r="AK178" i="3" s="1"/>
  <c r="G178" i="3"/>
  <c r="F178" i="3"/>
  <c r="D178" i="3"/>
  <c r="C178" i="3"/>
  <c r="A178" i="3"/>
  <c r="AJ177" i="3"/>
  <c r="AK177" i="3" s="1"/>
  <c r="G177" i="3"/>
  <c r="F177" i="3"/>
  <c r="D177" i="3"/>
  <c r="C177" i="3"/>
  <c r="A177" i="3"/>
  <c r="AJ176" i="3"/>
  <c r="AK176" i="3" s="1"/>
  <c r="G176" i="3"/>
  <c r="F176" i="3"/>
  <c r="D176" i="3"/>
  <c r="C176" i="3"/>
  <c r="A176" i="3"/>
  <c r="AJ175" i="3"/>
  <c r="AK175" i="3" s="1"/>
  <c r="G175" i="3"/>
  <c r="F175" i="3"/>
  <c r="D175" i="3"/>
  <c r="C175" i="3"/>
  <c r="A175" i="3"/>
  <c r="AJ174" i="3"/>
  <c r="AK174" i="3" s="1"/>
  <c r="G174" i="3"/>
  <c r="F174" i="3"/>
  <c r="D174" i="3"/>
  <c r="C174" i="3"/>
  <c r="A174" i="3"/>
  <c r="AK173" i="3"/>
  <c r="AJ173" i="3"/>
  <c r="G173" i="3"/>
  <c r="F173" i="3"/>
  <c r="D173" i="3"/>
  <c r="C173" i="3"/>
  <c r="A173" i="3"/>
  <c r="AJ172" i="3"/>
  <c r="AK172" i="3" s="1"/>
  <c r="G172" i="3"/>
  <c r="F172" i="3"/>
  <c r="D172" i="3"/>
  <c r="C172" i="3"/>
  <c r="A172" i="3"/>
  <c r="AJ171" i="3"/>
  <c r="AK171" i="3" s="1"/>
  <c r="G171" i="3"/>
  <c r="F171" i="3"/>
  <c r="D171" i="3"/>
  <c r="C171" i="3"/>
  <c r="A171" i="3"/>
  <c r="AJ170" i="3"/>
  <c r="AK170" i="3" s="1"/>
  <c r="G170" i="3"/>
  <c r="F170" i="3"/>
  <c r="D170" i="3"/>
  <c r="C170" i="3"/>
  <c r="A170" i="3"/>
  <c r="AJ169" i="3"/>
  <c r="AK169" i="3" s="1"/>
  <c r="G169" i="3"/>
  <c r="F169" i="3"/>
  <c r="D169" i="3"/>
  <c r="C169" i="3"/>
  <c r="A169" i="3"/>
  <c r="AJ168" i="3"/>
  <c r="AK168" i="3" s="1"/>
  <c r="G168" i="3"/>
  <c r="F168" i="3"/>
  <c r="D168" i="3"/>
  <c r="C168" i="3"/>
  <c r="A168" i="3"/>
  <c r="AJ167" i="3"/>
  <c r="AK167" i="3" s="1"/>
  <c r="G167" i="3"/>
  <c r="F167" i="3"/>
  <c r="D167" i="3"/>
  <c r="C167" i="3"/>
  <c r="A167" i="3"/>
  <c r="AJ166" i="3"/>
  <c r="AK166" i="3" s="1"/>
  <c r="G166" i="3"/>
  <c r="F166" i="3"/>
  <c r="D166" i="3"/>
  <c r="C166" i="3"/>
  <c r="A166" i="3"/>
  <c r="AK165" i="3"/>
  <c r="AJ165" i="3"/>
  <c r="G165" i="3"/>
  <c r="F165" i="3"/>
  <c r="D165" i="3"/>
  <c r="C165" i="3"/>
  <c r="A165" i="3"/>
  <c r="AJ164" i="3"/>
  <c r="AK164" i="3" s="1"/>
  <c r="G164" i="3"/>
  <c r="F164" i="3"/>
  <c r="D164" i="3"/>
  <c r="C164" i="3"/>
  <c r="A164" i="3"/>
  <c r="AJ163" i="3"/>
  <c r="AK163" i="3" s="1"/>
  <c r="G163" i="3"/>
  <c r="F163" i="3"/>
  <c r="D163" i="3"/>
  <c r="C163" i="3"/>
  <c r="A163" i="3"/>
  <c r="AJ162" i="3"/>
  <c r="AK162" i="3" s="1"/>
  <c r="G162" i="3"/>
  <c r="F162" i="3"/>
  <c r="D162" i="3"/>
  <c r="C162" i="3"/>
  <c r="A162" i="3"/>
  <c r="AJ161" i="3"/>
  <c r="AK161" i="3" s="1"/>
  <c r="G161" i="3"/>
  <c r="F161" i="3"/>
  <c r="D161" i="3"/>
  <c r="C161" i="3"/>
  <c r="A161" i="3"/>
  <c r="AJ160" i="3"/>
  <c r="AK160" i="3" s="1"/>
  <c r="G160" i="3"/>
  <c r="F160" i="3"/>
  <c r="D160" i="3"/>
  <c r="C160" i="3"/>
  <c r="A160" i="3"/>
  <c r="AJ159" i="3"/>
  <c r="AK159" i="3" s="1"/>
  <c r="G159" i="3"/>
  <c r="F159" i="3"/>
  <c r="D159" i="3"/>
  <c r="C159" i="3"/>
  <c r="A159" i="3"/>
  <c r="AJ158" i="3"/>
  <c r="AK158" i="3" s="1"/>
  <c r="G158" i="3"/>
  <c r="F158" i="3"/>
  <c r="D158" i="3"/>
  <c r="C158" i="3"/>
  <c r="A158" i="3"/>
  <c r="AK157" i="3"/>
  <c r="AJ157" i="3"/>
  <c r="G157" i="3"/>
  <c r="F157" i="3"/>
  <c r="D157" i="3"/>
  <c r="C157" i="3"/>
  <c r="A157" i="3"/>
  <c r="AJ156" i="3"/>
  <c r="AK156" i="3" s="1"/>
  <c r="G156" i="3"/>
  <c r="F156" i="3"/>
  <c r="D156" i="3"/>
  <c r="C156" i="3"/>
  <c r="A156" i="3"/>
  <c r="AJ155" i="3"/>
  <c r="AK155" i="3" s="1"/>
  <c r="G155" i="3"/>
  <c r="F155" i="3"/>
  <c r="D155" i="3"/>
  <c r="C155" i="3"/>
  <c r="A155" i="3"/>
  <c r="AJ154" i="3"/>
  <c r="AK154" i="3" s="1"/>
  <c r="G154" i="3"/>
  <c r="F154" i="3"/>
  <c r="D154" i="3"/>
  <c r="C154" i="3"/>
  <c r="A154" i="3"/>
  <c r="AJ153" i="3"/>
  <c r="AK153" i="3" s="1"/>
  <c r="G153" i="3"/>
  <c r="F153" i="3"/>
  <c r="D153" i="3"/>
  <c r="C153" i="3"/>
  <c r="A153" i="3"/>
  <c r="AJ152" i="3"/>
  <c r="AK152" i="3" s="1"/>
  <c r="G152" i="3"/>
  <c r="F152" i="3"/>
  <c r="D152" i="3"/>
  <c r="C152" i="3"/>
  <c r="A152" i="3"/>
  <c r="AJ151" i="3"/>
  <c r="AK151" i="3" s="1"/>
  <c r="G151" i="3"/>
  <c r="F151" i="3"/>
  <c r="D151" i="3"/>
  <c r="C151" i="3"/>
  <c r="A151" i="3"/>
  <c r="AJ150" i="3"/>
  <c r="AK150" i="3" s="1"/>
  <c r="G150" i="3"/>
  <c r="F150" i="3"/>
  <c r="D150" i="3"/>
  <c r="C150" i="3"/>
  <c r="A150" i="3"/>
  <c r="AK149" i="3"/>
  <c r="AJ149" i="3"/>
  <c r="G149" i="3"/>
  <c r="F149" i="3"/>
  <c r="D149" i="3"/>
  <c r="C149" i="3"/>
  <c r="A149" i="3"/>
  <c r="AJ148" i="3"/>
  <c r="AK148" i="3" s="1"/>
  <c r="G148" i="3"/>
  <c r="F148" i="3"/>
  <c r="D148" i="3"/>
  <c r="C148" i="3"/>
  <c r="A148" i="3"/>
  <c r="AJ147" i="3"/>
  <c r="AK147" i="3" s="1"/>
  <c r="G147" i="3"/>
  <c r="F147" i="3"/>
  <c r="D147" i="3"/>
  <c r="C147" i="3"/>
  <c r="A147" i="3"/>
  <c r="AJ146" i="3"/>
  <c r="AK146" i="3" s="1"/>
  <c r="G146" i="3"/>
  <c r="F146" i="3"/>
  <c r="D146" i="3"/>
  <c r="C146" i="3"/>
  <c r="A146" i="3"/>
  <c r="AJ145" i="3"/>
  <c r="AK145" i="3" s="1"/>
  <c r="G145" i="3"/>
  <c r="F145" i="3"/>
  <c r="D145" i="3"/>
  <c r="C145" i="3"/>
  <c r="A145" i="3"/>
  <c r="AJ144" i="3"/>
  <c r="AK144" i="3" s="1"/>
  <c r="G144" i="3"/>
  <c r="F144" i="3"/>
  <c r="D144" i="3"/>
  <c r="C144" i="3"/>
  <c r="A144" i="3"/>
  <c r="AJ143" i="3"/>
  <c r="AK143" i="3" s="1"/>
  <c r="G143" i="3"/>
  <c r="F143" i="3"/>
  <c r="D143" i="3"/>
  <c r="C143" i="3"/>
  <c r="A143" i="3"/>
  <c r="AJ142" i="3"/>
  <c r="AK142" i="3" s="1"/>
  <c r="G142" i="3"/>
  <c r="F142" i="3"/>
  <c r="D142" i="3"/>
  <c r="C142" i="3"/>
  <c r="A142" i="3"/>
  <c r="AK141" i="3"/>
  <c r="AJ141" i="3"/>
  <c r="G141" i="3"/>
  <c r="F141" i="3"/>
  <c r="D141" i="3"/>
  <c r="C141" i="3"/>
  <c r="A141" i="3"/>
  <c r="AJ140" i="3"/>
  <c r="AK140" i="3" s="1"/>
  <c r="G140" i="3"/>
  <c r="F140" i="3"/>
  <c r="D140" i="3"/>
  <c r="C140" i="3"/>
  <c r="A140" i="3"/>
  <c r="AJ139" i="3"/>
  <c r="AK139" i="3" s="1"/>
  <c r="G139" i="3"/>
  <c r="F139" i="3"/>
  <c r="D139" i="3"/>
  <c r="C139" i="3"/>
  <c r="A139" i="3"/>
  <c r="AJ138" i="3"/>
  <c r="AK138" i="3" s="1"/>
  <c r="G138" i="3"/>
  <c r="F138" i="3"/>
  <c r="D138" i="3"/>
  <c r="C138" i="3"/>
  <c r="A138" i="3"/>
  <c r="AJ137" i="3"/>
  <c r="AK137" i="3" s="1"/>
  <c r="G137" i="3"/>
  <c r="F137" i="3"/>
  <c r="D137" i="3"/>
  <c r="C137" i="3"/>
  <c r="A137" i="3"/>
  <c r="AJ136" i="3"/>
  <c r="AK136" i="3" s="1"/>
  <c r="G136" i="3"/>
  <c r="F136" i="3"/>
  <c r="D136" i="3"/>
  <c r="C136" i="3"/>
  <c r="A136" i="3"/>
  <c r="AJ135" i="3"/>
  <c r="AK135" i="3" s="1"/>
  <c r="G135" i="3"/>
  <c r="F135" i="3"/>
  <c r="D135" i="3"/>
  <c r="C135" i="3"/>
  <c r="A135" i="3"/>
  <c r="AJ134" i="3"/>
  <c r="AK134" i="3" s="1"/>
  <c r="G134" i="3"/>
  <c r="F134" i="3"/>
  <c r="D134" i="3"/>
  <c r="C134" i="3"/>
  <c r="A134" i="3"/>
  <c r="AK133" i="3"/>
  <c r="AJ133" i="3"/>
  <c r="G133" i="3"/>
  <c r="F133" i="3"/>
  <c r="D133" i="3"/>
  <c r="C133" i="3"/>
  <c r="A133" i="3"/>
  <c r="AJ132" i="3"/>
  <c r="AK132" i="3" s="1"/>
  <c r="G132" i="3"/>
  <c r="F132" i="3"/>
  <c r="D132" i="3"/>
  <c r="C132" i="3"/>
  <c r="A132" i="3"/>
  <c r="AJ131" i="3"/>
  <c r="AK131" i="3" s="1"/>
  <c r="G131" i="3"/>
  <c r="F131" i="3"/>
  <c r="D131" i="3"/>
  <c r="C131" i="3"/>
  <c r="A131" i="3"/>
  <c r="AJ130" i="3"/>
  <c r="AK130" i="3" s="1"/>
  <c r="G130" i="3"/>
  <c r="F130" i="3"/>
  <c r="D130" i="3"/>
  <c r="C130" i="3"/>
  <c r="A130" i="3"/>
  <c r="AJ129" i="3"/>
  <c r="AK129" i="3" s="1"/>
  <c r="G129" i="3"/>
  <c r="F129" i="3"/>
  <c r="D129" i="3"/>
  <c r="C129" i="3"/>
  <c r="A129" i="3"/>
  <c r="AJ128" i="3"/>
  <c r="AK128" i="3" s="1"/>
  <c r="G128" i="3"/>
  <c r="F128" i="3"/>
  <c r="D128" i="3"/>
  <c r="C128" i="3"/>
  <c r="A128" i="3"/>
  <c r="AJ127" i="3"/>
  <c r="AK127" i="3" s="1"/>
  <c r="G127" i="3"/>
  <c r="F127" i="3"/>
  <c r="D127" i="3"/>
  <c r="C127" i="3"/>
  <c r="A127" i="3"/>
  <c r="AJ126" i="3"/>
  <c r="AK126" i="3" s="1"/>
  <c r="G126" i="3"/>
  <c r="F126" i="3"/>
  <c r="D126" i="3"/>
  <c r="C126" i="3"/>
  <c r="A126" i="3"/>
  <c r="AK125" i="3"/>
  <c r="AJ125" i="3"/>
  <c r="G125" i="3"/>
  <c r="F125" i="3"/>
  <c r="D125" i="3"/>
  <c r="C125" i="3"/>
  <c r="A125" i="3"/>
  <c r="AJ124" i="3"/>
  <c r="AK124" i="3" s="1"/>
  <c r="G124" i="3"/>
  <c r="F124" i="3"/>
  <c r="D124" i="3"/>
  <c r="C124" i="3"/>
  <c r="A124" i="3"/>
  <c r="AJ123" i="3"/>
  <c r="AK123" i="3" s="1"/>
  <c r="G123" i="3"/>
  <c r="F123" i="3"/>
  <c r="D123" i="3"/>
  <c r="C123" i="3"/>
  <c r="A123" i="3"/>
  <c r="AJ122" i="3"/>
  <c r="AK122" i="3" s="1"/>
  <c r="G122" i="3"/>
  <c r="F122" i="3"/>
  <c r="D122" i="3"/>
  <c r="C122" i="3"/>
  <c r="A122" i="3"/>
  <c r="AJ121" i="3"/>
  <c r="AK121" i="3" s="1"/>
  <c r="G121" i="3"/>
  <c r="F121" i="3"/>
  <c r="D121" i="3"/>
  <c r="C121" i="3"/>
  <c r="A121" i="3"/>
  <c r="AJ120" i="3"/>
  <c r="AK120" i="3" s="1"/>
  <c r="G120" i="3"/>
  <c r="F120" i="3"/>
  <c r="D120" i="3"/>
  <c r="C120" i="3"/>
  <c r="A120" i="3"/>
  <c r="AJ119" i="3"/>
  <c r="AK119" i="3" s="1"/>
  <c r="G119" i="3"/>
  <c r="F119" i="3"/>
  <c r="D119" i="3"/>
  <c r="C119" i="3"/>
  <c r="A119" i="3"/>
  <c r="AJ118" i="3"/>
  <c r="AK118" i="3" s="1"/>
  <c r="G118" i="3"/>
  <c r="F118" i="3"/>
  <c r="D118" i="3"/>
  <c r="C118" i="3"/>
  <c r="A118" i="3"/>
  <c r="AK117" i="3"/>
  <c r="AJ117" i="3"/>
  <c r="G117" i="3"/>
  <c r="F117" i="3"/>
  <c r="D117" i="3"/>
  <c r="C117" i="3"/>
  <c r="A117" i="3"/>
  <c r="AJ116" i="3"/>
  <c r="AK116" i="3" s="1"/>
  <c r="G116" i="3"/>
  <c r="F116" i="3"/>
  <c r="D116" i="3"/>
  <c r="C116" i="3"/>
  <c r="A116" i="3"/>
  <c r="AJ115" i="3"/>
  <c r="AK115" i="3" s="1"/>
  <c r="G115" i="3"/>
  <c r="F115" i="3"/>
  <c r="D115" i="3"/>
  <c r="C115" i="3"/>
  <c r="A115" i="3"/>
  <c r="AJ114" i="3"/>
  <c r="AK114" i="3" s="1"/>
  <c r="G114" i="3"/>
  <c r="F114" i="3"/>
  <c r="D114" i="3"/>
  <c r="C114" i="3"/>
  <c r="A114" i="3"/>
  <c r="AJ113" i="3"/>
  <c r="AK113" i="3" s="1"/>
  <c r="G113" i="3"/>
  <c r="F113" i="3"/>
  <c r="D113" i="3"/>
  <c r="C113" i="3"/>
  <c r="A113" i="3"/>
  <c r="AJ112" i="3"/>
  <c r="AK112" i="3" s="1"/>
  <c r="G112" i="3"/>
  <c r="F112" i="3"/>
  <c r="D112" i="3"/>
  <c r="C112" i="3"/>
  <c r="A112" i="3"/>
  <c r="AJ111" i="3"/>
  <c r="AK111" i="3" s="1"/>
  <c r="G111" i="3"/>
  <c r="F111" i="3"/>
  <c r="D111" i="3"/>
  <c r="C111" i="3"/>
  <c r="A111" i="3"/>
  <c r="AJ110" i="3"/>
  <c r="AK110" i="3" s="1"/>
  <c r="G110" i="3"/>
  <c r="F110" i="3"/>
  <c r="D110" i="3"/>
  <c r="C110" i="3"/>
  <c r="A110" i="3"/>
  <c r="AK109" i="3"/>
  <c r="AJ109" i="3"/>
  <c r="G109" i="3"/>
  <c r="F109" i="3"/>
  <c r="D109" i="3"/>
  <c r="C109" i="3"/>
  <c r="A109" i="3"/>
  <c r="AJ108" i="3"/>
  <c r="AK108" i="3" s="1"/>
  <c r="G108" i="3"/>
  <c r="F108" i="3"/>
  <c r="D108" i="3"/>
  <c r="C108" i="3"/>
  <c r="A108" i="3"/>
  <c r="AJ107" i="3"/>
  <c r="AK107" i="3" s="1"/>
  <c r="G107" i="3"/>
  <c r="F107" i="3"/>
  <c r="D107" i="3"/>
  <c r="C107" i="3"/>
  <c r="A107" i="3"/>
  <c r="AJ106" i="3"/>
  <c r="AK106" i="3" s="1"/>
  <c r="G106" i="3"/>
  <c r="F106" i="3"/>
  <c r="D106" i="3"/>
  <c r="C106" i="3"/>
  <c r="A106" i="3"/>
  <c r="AJ105" i="3"/>
  <c r="AK105" i="3" s="1"/>
  <c r="G105" i="3"/>
  <c r="F105" i="3"/>
  <c r="D105" i="3"/>
  <c r="C105" i="3"/>
  <c r="A105" i="3"/>
  <c r="AJ104" i="3"/>
  <c r="AK104" i="3" s="1"/>
  <c r="G104" i="3"/>
  <c r="F104" i="3"/>
  <c r="D104" i="3"/>
  <c r="C104" i="3"/>
  <c r="A104" i="3"/>
  <c r="AJ103" i="3"/>
  <c r="AK103" i="3" s="1"/>
  <c r="G103" i="3"/>
  <c r="F103" i="3"/>
  <c r="D103" i="3"/>
  <c r="C103" i="3"/>
  <c r="A103" i="3"/>
  <c r="AJ102" i="3"/>
  <c r="AK102" i="3" s="1"/>
  <c r="G102" i="3"/>
  <c r="F102" i="3"/>
  <c r="D102" i="3"/>
  <c r="C102" i="3"/>
  <c r="A102" i="3"/>
  <c r="AK101" i="3"/>
  <c r="AJ101" i="3"/>
  <c r="G101" i="3"/>
  <c r="F101" i="3"/>
  <c r="D101" i="3"/>
  <c r="C101" i="3"/>
  <c r="A101" i="3"/>
  <c r="AJ100" i="3"/>
  <c r="AK100" i="3" s="1"/>
  <c r="G100" i="3"/>
  <c r="F100" i="3"/>
  <c r="D100" i="3"/>
  <c r="C100" i="3"/>
  <c r="A100" i="3"/>
  <c r="AJ99" i="3"/>
  <c r="AK99" i="3" s="1"/>
  <c r="G99" i="3"/>
  <c r="F99" i="3"/>
  <c r="D99" i="3"/>
  <c r="C99" i="3"/>
  <c r="A99" i="3"/>
  <c r="AJ98" i="3"/>
  <c r="AK98" i="3" s="1"/>
  <c r="G98" i="3"/>
  <c r="F98" i="3"/>
  <c r="D98" i="3"/>
  <c r="C98" i="3"/>
  <c r="A98" i="3"/>
  <c r="AJ97" i="3"/>
  <c r="AK97" i="3" s="1"/>
  <c r="G97" i="3"/>
  <c r="F97" i="3"/>
  <c r="D97" i="3"/>
  <c r="C97" i="3"/>
  <c r="A97" i="3"/>
  <c r="AJ96" i="3"/>
  <c r="AK96" i="3" s="1"/>
  <c r="G96" i="3"/>
  <c r="F96" i="3"/>
  <c r="D96" i="3"/>
  <c r="C96" i="3"/>
  <c r="A96" i="3"/>
  <c r="AJ95" i="3"/>
  <c r="AK95" i="3" s="1"/>
  <c r="G95" i="3"/>
  <c r="F95" i="3"/>
  <c r="D95" i="3"/>
  <c r="C95" i="3"/>
  <c r="A95" i="3"/>
  <c r="AJ94" i="3"/>
  <c r="AK94" i="3" s="1"/>
  <c r="G94" i="3"/>
  <c r="F94" i="3"/>
  <c r="D94" i="3"/>
  <c r="C94" i="3"/>
  <c r="A94" i="3"/>
  <c r="AK93" i="3"/>
  <c r="AJ93" i="3"/>
  <c r="G93" i="3"/>
  <c r="F93" i="3"/>
  <c r="D93" i="3"/>
  <c r="C93" i="3"/>
  <c r="A93" i="3"/>
  <c r="AJ92" i="3"/>
  <c r="AK92" i="3" s="1"/>
  <c r="G92" i="3"/>
  <c r="F92" i="3"/>
  <c r="D92" i="3"/>
  <c r="C92" i="3"/>
  <c r="A92" i="3"/>
  <c r="AJ91" i="3"/>
  <c r="AK91" i="3" s="1"/>
  <c r="G91" i="3"/>
  <c r="F91" i="3"/>
  <c r="D91" i="3"/>
  <c r="C91" i="3"/>
  <c r="A91" i="3"/>
  <c r="AJ90" i="3"/>
  <c r="AK90" i="3" s="1"/>
  <c r="G90" i="3"/>
  <c r="F90" i="3"/>
  <c r="D90" i="3"/>
  <c r="C90" i="3"/>
  <c r="A90" i="3"/>
  <c r="AJ89" i="3"/>
  <c r="AK89" i="3" s="1"/>
  <c r="G89" i="3"/>
  <c r="F89" i="3"/>
  <c r="D89" i="3"/>
  <c r="C89" i="3"/>
  <c r="A89" i="3"/>
  <c r="AJ88" i="3"/>
  <c r="AK88" i="3" s="1"/>
  <c r="G88" i="3"/>
  <c r="F88" i="3"/>
  <c r="D88" i="3"/>
  <c r="C88" i="3"/>
  <c r="A88" i="3"/>
  <c r="AJ87" i="3"/>
  <c r="AK87" i="3" s="1"/>
  <c r="G87" i="3"/>
  <c r="F87" i="3"/>
  <c r="D87" i="3"/>
  <c r="C87" i="3"/>
  <c r="A87" i="3"/>
  <c r="AJ86" i="3"/>
  <c r="AK86" i="3" s="1"/>
  <c r="G86" i="3"/>
  <c r="F86" i="3"/>
  <c r="D86" i="3"/>
  <c r="C86" i="3"/>
  <c r="A86" i="3"/>
  <c r="AK85" i="3"/>
  <c r="AJ85" i="3"/>
  <c r="G85" i="3"/>
  <c r="F85" i="3"/>
  <c r="D85" i="3"/>
  <c r="C85" i="3"/>
  <c r="A85" i="3"/>
  <c r="AJ84" i="3"/>
  <c r="AK84" i="3" s="1"/>
  <c r="G84" i="3"/>
  <c r="F84" i="3"/>
  <c r="D84" i="3"/>
  <c r="C84" i="3"/>
  <c r="A84" i="3"/>
  <c r="AJ83" i="3"/>
  <c r="AK83" i="3" s="1"/>
  <c r="G83" i="3"/>
  <c r="F83" i="3"/>
  <c r="D83" i="3"/>
  <c r="C83" i="3"/>
  <c r="A83" i="3"/>
  <c r="AJ82" i="3"/>
  <c r="AK82" i="3" s="1"/>
  <c r="G82" i="3"/>
  <c r="F82" i="3"/>
  <c r="D82" i="3"/>
  <c r="C82" i="3"/>
  <c r="A82" i="3"/>
  <c r="AJ81" i="3"/>
  <c r="AK81" i="3" s="1"/>
  <c r="G81" i="3"/>
  <c r="F81" i="3"/>
  <c r="D81" i="3"/>
  <c r="C81" i="3"/>
  <c r="A81" i="3"/>
  <c r="AJ80" i="3"/>
  <c r="AK80" i="3" s="1"/>
  <c r="G80" i="3"/>
  <c r="F80" i="3"/>
  <c r="D80" i="3"/>
  <c r="C80" i="3"/>
  <c r="A80" i="3"/>
  <c r="AJ79" i="3"/>
  <c r="AK79" i="3" s="1"/>
  <c r="G79" i="3"/>
  <c r="F79" i="3"/>
  <c r="D79" i="3"/>
  <c r="C79" i="3"/>
  <c r="A79" i="3"/>
  <c r="AJ78" i="3"/>
  <c r="AK78" i="3" s="1"/>
  <c r="G78" i="3"/>
  <c r="F78" i="3"/>
  <c r="D78" i="3"/>
  <c r="C78" i="3"/>
  <c r="A78" i="3"/>
  <c r="AK77" i="3"/>
  <c r="AJ77" i="3"/>
  <c r="G77" i="3"/>
  <c r="F77" i="3"/>
  <c r="D77" i="3"/>
  <c r="C77" i="3"/>
  <c r="A77" i="3"/>
  <c r="AJ76" i="3"/>
  <c r="AK76" i="3" s="1"/>
  <c r="G76" i="3"/>
  <c r="F76" i="3"/>
  <c r="D76" i="3"/>
  <c r="C76" i="3"/>
  <c r="A76" i="3"/>
  <c r="AJ75" i="3"/>
  <c r="AK75" i="3" s="1"/>
  <c r="G75" i="3"/>
  <c r="F75" i="3"/>
  <c r="D75" i="3"/>
  <c r="C75" i="3"/>
  <c r="A75" i="3"/>
  <c r="AJ74" i="3"/>
  <c r="AK74" i="3" s="1"/>
  <c r="G74" i="3"/>
  <c r="F74" i="3"/>
  <c r="D74" i="3"/>
  <c r="C74" i="3"/>
  <c r="A74" i="3"/>
  <c r="AJ73" i="3"/>
  <c r="AK73" i="3" s="1"/>
  <c r="G73" i="3"/>
  <c r="F73" i="3"/>
  <c r="D73" i="3"/>
  <c r="C73" i="3"/>
  <c r="A73" i="3"/>
  <c r="AJ72" i="3"/>
  <c r="AK72" i="3" s="1"/>
  <c r="G72" i="3"/>
  <c r="F72" i="3"/>
  <c r="D72" i="3"/>
  <c r="C72" i="3"/>
  <c r="A72" i="3"/>
  <c r="AJ71" i="3"/>
  <c r="AK71" i="3" s="1"/>
  <c r="G71" i="3"/>
  <c r="F71" i="3"/>
  <c r="D71" i="3"/>
  <c r="C71" i="3"/>
  <c r="A71" i="3"/>
  <c r="AJ70" i="3"/>
  <c r="AK70" i="3" s="1"/>
  <c r="G70" i="3"/>
  <c r="F70" i="3"/>
  <c r="D70" i="3"/>
  <c r="C70" i="3"/>
  <c r="A70" i="3"/>
  <c r="AK69" i="3"/>
  <c r="AJ69" i="3"/>
  <c r="G69" i="3"/>
  <c r="F69" i="3"/>
  <c r="D69" i="3"/>
  <c r="C69" i="3"/>
  <c r="A69" i="3"/>
  <c r="AJ68" i="3"/>
  <c r="AK68" i="3" s="1"/>
  <c r="G68" i="3"/>
  <c r="F68" i="3"/>
  <c r="D68" i="3"/>
  <c r="C68" i="3"/>
  <c r="A68" i="3"/>
  <c r="AJ67" i="3"/>
  <c r="AK67" i="3" s="1"/>
  <c r="G67" i="3"/>
  <c r="F67" i="3"/>
  <c r="D67" i="3"/>
  <c r="C67" i="3"/>
  <c r="A67" i="3"/>
  <c r="AJ66" i="3"/>
  <c r="AK66" i="3" s="1"/>
  <c r="G66" i="3"/>
  <c r="F66" i="3"/>
  <c r="D66" i="3"/>
  <c r="C66" i="3"/>
  <c r="A66" i="3"/>
  <c r="AJ65" i="3"/>
  <c r="AK65" i="3" s="1"/>
  <c r="G65" i="3"/>
  <c r="F65" i="3"/>
  <c r="D65" i="3"/>
  <c r="C65" i="3"/>
  <c r="A65" i="3"/>
  <c r="AJ64" i="3"/>
  <c r="AK64" i="3" s="1"/>
  <c r="G64" i="3"/>
  <c r="F64" i="3"/>
  <c r="D64" i="3"/>
  <c r="C64" i="3"/>
  <c r="A64" i="3"/>
  <c r="AJ63" i="3"/>
  <c r="AK63" i="3" s="1"/>
  <c r="G63" i="3"/>
  <c r="F63" i="3"/>
  <c r="D63" i="3"/>
  <c r="C63" i="3"/>
  <c r="A63" i="3"/>
  <c r="AJ62" i="3"/>
  <c r="AK62" i="3" s="1"/>
  <c r="G62" i="3"/>
  <c r="F62" i="3"/>
  <c r="D62" i="3"/>
  <c r="C62" i="3"/>
  <c r="A62" i="3"/>
  <c r="AK61" i="3"/>
  <c r="AJ61" i="3"/>
  <c r="G61" i="3"/>
  <c r="F61" i="3"/>
  <c r="D61" i="3"/>
  <c r="C61" i="3"/>
  <c r="A61" i="3"/>
  <c r="AJ60" i="3"/>
  <c r="AK60" i="3" s="1"/>
  <c r="G60" i="3"/>
  <c r="F60" i="3"/>
  <c r="D60" i="3"/>
  <c r="C60" i="3"/>
  <c r="A60" i="3"/>
  <c r="AJ59" i="3"/>
  <c r="AK59" i="3" s="1"/>
  <c r="G59" i="3"/>
  <c r="F59" i="3"/>
  <c r="D59" i="3"/>
  <c r="C59" i="3"/>
  <c r="A59" i="3"/>
  <c r="AJ58" i="3"/>
  <c r="AK58" i="3" s="1"/>
  <c r="G58" i="3"/>
  <c r="F58" i="3"/>
  <c r="D58" i="3"/>
  <c r="C58" i="3"/>
  <c r="A58" i="3"/>
  <c r="AJ57" i="3"/>
  <c r="AK57" i="3" s="1"/>
  <c r="G57" i="3"/>
  <c r="F57" i="3"/>
  <c r="D57" i="3"/>
  <c r="C57" i="3"/>
  <c r="A57" i="3"/>
  <c r="AJ56" i="3"/>
  <c r="AK56" i="3" s="1"/>
  <c r="G56" i="3"/>
  <c r="F56" i="3"/>
  <c r="D56" i="3"/>
  <c r="C56" i="3"/>
  <c r="A56" i="3"/>
  <c r="AJ55" i="3"/>
  <c r="AK55" i="3" s="1"/>
  <c r="G55" i="3"/>
  <c r="F55" i="3"/>
  <c r="D55" i="3"/>
  <c r="C55" i="3"/>
  <c r="A55" i="3"/>
  <c r="AJ54" i="3"/>
  <c r="AK54" i="3" s="1"/>
  <c r="G54" i="3"/>
  <c r="F54" i="3"/>
  <c r="D54" i="3"/>
  <c r="C54" i="3"/>
  <c r="A54" i="3"/>
  <c r="AK53" i="3"/>
  <c r="AJ53" i="3"/>
  <c r="G53" i="3"/>
  <c r="F53" i="3"/>
  <c r="D53" i="3"/>
  <c r="C53" i="3"/>
  <c r="A53" i="3"/>
  <c r="AJ52" i="3"/>
  <c r="AK52" i="3" s="1"/>
  <c r="G52" i="3"/>
  <c r="F52" i="3"/>
  <c r="D52" i="3"/>
  <c r="C52" i="3"/>
  <c r="A52" i="3"/>
  <c r="AJ51" i="3"/>
  <c r="AK51" i="3" s="1"/>
  <c r="G51" i="3"/>
  <c r="F51" i="3"/>
  <c r="D51" i="3"/>
  <c r="C51" i="3"/>
  <c r="A51" i="3"/>
  <c r="AJ50" i="3"/>
  <c r="AK50" i="3" s="1"/>
  <c r="G50" i="3"/>
  <c r="F50" i="3"/>
  <c r="D50" i="3"/>
  <c r="C50" i="3"/>
  <c r="A50" i="3"/>
  <c r="AJ49" i="3"/>
  <c r="AK49" i="3" s="1"/>
  <c r="G49" i="3"/>
  <c r="F49" i="3"/>
  <c r="D49" i="3"/>
  <c r="C49" i="3"/>
  <c r="A49" i="3"/>
  <c r="AJ48" i="3"/>
  <c r="AK48" i="3" s="1"/>
  <c r="G48" i="3"/>
  <c r="F48" i="3"/>
  <c r="D48" i="3"/>
  <c r="C48" i="3"/>
  <c r="A48" i="3"/>
  <c r="AJ47" i="3"/>
  <c r="AK47" i="3" s="1"/>
  <c r="G47" i="3"/>
  <c r="F47" i="3"/>
  <c r="D47" i="3"/>
  <c r="C47" i="3"/>
  <c r="A47" i="3"/>
  <c r="AJ46" i="3"/>
  <c r="AK46" i="3" s="1"/>
  <c r="G46" i="3"/>
  <c r="F46" i="3"/>
  <c r="D46" i="3"/>
  <c r="C46" i="3"/>
  <c r="A46" i="3"/>
  <c r="AK45" i="3"/>
  <c r="AJ45" i="3"/>
  <c r="G45" i="3"/>
  <c r="F45" i="3"/>
  <c r="D45" i="3"/>
  <c r="C45" i="3"/>
  <c r="A45" i="3"/>
  <c r="AJ44" i="3"/>
  <c r="AK44" i="3" s="1"/>
  <c r="G44" i="3"/>
  <c r="F44" i="3"/>
  <c r="D44" i="3"/>
  <c r="C44" i="3"/>
  <c r="A44" i="3"/>
  <c r="AJ43" i="3"/>
  <c r="AK43" i="3" s="1"/>
  <c r="G43" i="3"/>
  <c r="F43" i="3"/>
  <c r="D43" i="3"/>
  <c r="C43" i="3"/>
  <c r="A43" i="3"/>
  <c r="AJ42" i="3"/>
  <c r="AK42" i="3" s="1"/>
  <c r="G42" i="3"/>
  <c r="F42" i="3"/>
  <c r="D42" i="3"/>
  <c r="C42" i="3"/>
  <c r="A42" i="3"/>
  <c r="AJ41" i="3"/>
  <c r="AK41" i="3" s="1"/>
  <c r="G41" i="3"/>
  <c r="F41" i="3"/>
  <c r="D41" i="3"/>
  <c r="C41" i="3"/>
  <c r="A41" i="3"/>
  <c r="AJ40" i="3"/>
  <c r="AK40" i="3" s="1"/>
  <c r="G40" i="3"/>
  <c r="F40" i="3"/>
  <c r="D40" i="3"/>
  <c r="C40" i="3"/>
  <c r="A40" i="3"/>
  <c r="AJ39" i="3"/>
  <c r="AK39" i="3" s="1"/>
  <c r="G39" i="3"/>
  <c r="F39" i="3"/>
  <c r="D39" i="3"/>
  <c r="C39" i="3"/>
  <c r="A39" i="3"/>
  <c r="AJ38" i="3"/>
  <c r="AK38" i="3" s="1"/>
  <c r="G38" i="3"/>
  <c r="F38" i="3"/>
  <c r="D38" i="3"/>
  <c r="C38" i="3"/>
  <c r="A38" i="3"/>
  <c r="AK37" i="3"/>
  <c r="AJ37" i="3"/>
  <c r="G37" i="3"/>
  <c r="F37" i="3"/>
  <c r="D37" i="3"/>
  <c r="C37" i="3"/>
  <c r="A37" i="3"/>
  <c r="AJ36" i="3"/>
  <c r="AK36" i="3" s="1"/>
  <c r="G36" i="3"/>
  <c r="F36" i="3"/>
  <c r="D36" i="3"/>
  <c r="C36" i="3"/>
  <c r="A36" i="3"/>
  <c r="AJ35" i="3"/>
  <c r="AK35" i="3" s="1"/>
  <c r="G35" i="3"/>
  <c r="F35" i="3"/>
  <c r="D35" i="3"/>
  <c r="C35" i="3"/>
  <c r="A35" i="3"/>
  <c r="AJ34" i="3"/>
  <c r="AK34" i="3" s="1"/>
  <c r="G34" i="3"/>
  <c r="F34" i="3"/>
  <c r="D34" i="3"/>
  <c r="C34" i="3"/>
  <c r="A34" i="3"/>
  <c r="AJ33" i="3"/>
  <c r="AK33" i="3" s="1"/>
  <c r="G33" i="3"/>
  <c r="F33" i="3"/>
  <c r="D33" i="3"/>
  <c r="C33" i="3"/>
  <c r="A33" i="3"/>
  <c r="AJ32" i="3"/>
  <c r="AK32" i="3" s="1"/>
  <c r="G32" i="3"/>
  <c r="F32" i="3"/>
  <c r="D32" i="3"/>
  <c r="C32" i="3"/>
  <c r="A32" i="3"/>
  <c r="AJ31" i="3"/>
  <c r="AK31" i="3" s="1"/>
  <c r="G31" i="3"/>
  <c r="F31" i="3"/>
  <c r="D31" i="3"/>
  <c r="C31" i="3"/>
  <c r="A31" i="3"/>
  <c r="AJ30" i="3"/>
  <c r="AK30" i="3" s="1"/>
  <c r="G30" i="3"/>
  <c r="F30" i="3"/>
  <c r="D30" i="3"/>
  <c r="C30" i="3"/>
  <c r="A30" i="3"/>
  <c r="AK29" i="3"/>
  <c r="AJ29" i="3"/>
  <c r="G29" i="3"/>
  <c r="F29" i="3"/>
  <c r="D29" i="3"/>
  <c r="C29" i="3"/>
  <c r="A29" i="3"/>
  <c r="AJ28" i="3"/>
  <c r="AK28" i="3" s="1"/>
  <c r="G28" i="3"/>
  <c r="F28" i="3"/>
  <c r="D28" i="3"/>
  <c r="C28" i="3"/>
  <c r="A28" i="3"/>
  <c r="AJ27" i="3"/>
  <c r="AK27" i="3" s="1"/>
  <c r="G27" i="3"/>
  <c r="F27" i="3"/>
  <c r="D27" i="3"/>
  <c r="C27" i="3"/>
  <c r="A27" i="3"/>
  <c r="AJ26" i="3"/>
  <c r="AK26" i="3" s="1"/>
  <c r="G26" i="3"/>
  <c r="F26" i="3"/>
  <c r="D26" i="3"/>
  <c r="C26" i="3"/>
  <c r="A26" i="3"/>
  <c r="AJ25" i="3"/>
  <c r="AK25" i="3" s="1"/>
  <c r="G25" i="3"/>
  <c r="F25" i="3"/>
  <c r="D25" i="3"/>
  <c r="C25" i="3"/>
  <c r="A25" i="3"/>
  <c r="AJ24" i="3"/>
  <c r="AK24" i="3" s="1"/>
  <c r="G24" i="3"/>
  <c r="F24" i="3"/>
  <c r="D24" i="3"/>
  <c r="C24" i="3"/>
  <c r="A24" i="3"/>
  <c r="AJ23" i="3"/>
  <c r="AK23" i="3" s="1"/>
  <c r="G23" i="3"/>
  <c r="F23" i="3"/>
  <c r="D23" i="3"/>
  <c r="C23" i="3"/>
  <c r="A23" i="3"/>
  <c r="AJ22" i="3"/>
  <c r="AK22" i="3" s="1"/>
  <c r="G22" i="3"/>
  <c r="F22" i="3"/>
  <c r="D22" i="3"/>
  <c r="C22" i="3"/>
  <c r="A22" i="3"/>
  <c r="AK21" i="3"/>
  <c r="AJ21" i="3"/>
  <c r="G21" i="3"/>
  <c r="F21" i="3"/>
  <c r="D21" i="3"/>
  <c r="C21" i="3"/>
  <c r="A21" i="3"/>
  <c r="AJ20" i="3"/>
  <c r="AK20" i="3" s="1"/>
  <c r="G20" i="3"/>
  <c r="F20" i="3"/>
  <c r="D20" i="3"/>
  <c r="C20" i="3"/>
  <c r="A20" i="3"/>
  <c r="AJ19" i="3"/>
  <c r="AK19" i="3" s="1"/>
  <c r="G19" i="3"/>
  <c r="F19" i="3"/>
  <c r="D19" i="3"/>
  <c r="C19" i="3"/>
  <c r="A19" i="3"/>
  <c r="AJ18" i="3"/>
  <c r="AK18" i="3" s="1"/>
  <c r="G18" i="3"/>
  <c r="F18" i="3"/>
  <c r="D18" i="3"/>
  <c r="C18" i="3"/>
  <c r="A18" i="3"/>
  <c r="AJ17" i="3"/>
  <c r="AK17" i="3" s="1"/>
  <c r="G17" i="3"/>
  <c r="F17" i="3"/>
  <c r="D17" i="3"/>
  <c r="C17" i="3"/>
  <c r="A17" i="3"/>
  <c r="AJ16" i="3"/>
  <c r="AK16" i="3" s="1"/>
  <c r="G16" i="3"/>
  <c r="F16" i="3"/>
  <c r="D16" i="3"/>
  <c r="C16" i="3"/>
  <c r="A16" i="3"/>
  <c r="AJ15" i="3"/>
  <c r="AK15" i="3" s="1"/>
  <c r="G15" i="3"/>
  <c r="F15" i="3"/>
  <c r="D15" i="3"/>
  <c r="C15" i="3"/>
  <c r="A15" i="3"/>
  <c r="AJ14" i="3"/>
  <c r="AK14" i="3" s="1"/>
  <c r="G14" i="3"/>
  <c r="F14" i="3"/>
  <c r="D14" i="3"/>
  <c r="C14" i="3"/>
  <c r="A14" i="3"/>
  <c r="AK13" i="3"/>
  <c r="AJ13" i="3"/>
  <c r="G13" i="3"/>
  <c r="F13" i="3"/>
  <c r="D13" i="3"/>
  <c r="C13" i="3"/>
  <c r="A13" i="3"/>
  <c r="AJ12" i="3"/>
  <c r="AK12" i="3" s="1"/>
  <c r="G12" i="3"/>
  <c r="F12" i="3"/>
  <c r="D12" i="3"/>
  <c r="C12" i="3"/>
  <c r="A12" i="3"/>
  <c r="AJ11" i="3"/>
  <c r="AK11" i="3" s="1"/>
  <c r="G11" i="3"/>
  <c r="F11" i="3"/>
  <c r="D11" i="3"/>
  <c r="C11" i="3"/>
  <c r="A11" i="3"/>
  <c r="AJ10" i="3"/>
  <c r="AK10" i="3" s="1"/>
  <c r="G10" i="3"/>
  <c r="F10" i="3"/>
  <c r="D10" i="3"/>
  <c r="C10" i="3"/>
  <c r="A10" i="3"/>
  <c r="AJ9" i="3"/>
  <c r="AK9" i="3" s="1"/>
  <c r="G9" i="3"/>
  <c r="F9" i="3"/>
  <c r="D9" i="3"/>
  <c r="C9" i="3"/>
  <c r="A9" i="3"/>
  <c r="AJ8" i="3"/>
  <c r="AK8" i="3" s="1"/>
  <c r="G8" i="3"/>
  <c r="F8" i="3"/>
  <c r="D8" i="3"/>
  <c r="C8" i="3"/>
  <c r="A8" i="3"/>
  <c r="AJ7" i="3"/>
  <c r="B34" i="5" s="1"/>
  <c r="G7" i="3"/>
  <c r="F7" i="3"/>
  <c r="C71" i="5" s="1"/>
  <c r="D7" i="3"/>
  <c r="C7" i="3"/>
  <c r="G58" i="5" s="1"/>
  <c r="A7" i="3"/>
  <c r="B27" i="5" l="1"/>
  <c r="B35" i="5"/>
  <c r="D44" i="5"/>
  <c r="F45" i="5"/>
  <c r="D48" i="5"/>
  <c r="F49" i="5"/>
  <c r="D52" i="5"/>
  <c r="F53" i="5"/>
  <c r="D56" i="5"/>
  <c r="F57" i="5"/>
  <c r="D60" i="5"/>
  <c r="B68" i="5"/>
  <c r="B28" i="5"/>
  <c r="B36" i="5"/>
  <c r="E44" i="5"/>
  <c r="G45" i="5"/>
  <c r="E48" i="5"/>
  <c r="G49" i="5"/>
  <c r="E52" i="5"/>
  <c r="G53" i="5"/>
  <c r="E56" i="5"/>
  <c r="G57" i="5"/>
  <c r="E60" i="5"/>
  <c r="C68" i="5"/>
  <c r="B18" i="5"/>
  <c r="B29" i="5"/>
  <c r="B37" i="5"/>
  <c r="F44" i="5"/>
  <c r="D47" i="5"/>
  <c r="F48" i="5"/>
  <c r="D51" i="5"/>
  <c r="F52" i="5"/>
  <c r="D55" i="5"/>
  <c r="F56" i="5"/>
  <c r="D59" i="5"/>
  <c r="F60" i="5"/>
  <c r="B69" i="5"/>
  <c r="B30" i="5"/>
  <c r="B38" i="5"/>
  <c r="G44" i="5"/>
  <c r="E47" i="5"/>
  <c r="G48" i="5"/>
  <c r="E51" i="5"/>
  <c r="G52" i="5"/>
  <c r="E55" i="5"/>
  <c r="G56" i="5"/>
  <c r="E59" i="5"/>
  <c r="G60" i="5"/>
  <c r="C69" i="5"/>
  <c r="B31" i="5"/>
  <c r="B39" i="5"/>
  <c r="D46" i="5"/>
  <c r="F47" i="5"/>
  <c r="D50" i="5"/>
  <c r="F51" i="5"/>
  <c r="D54" i="5"/>
  <c r="F55" i="5"/>
  <c r="D58" i="5"/>
  <c r="F59" i="5"/>
  <c r="B66" i="5"/>
  <c r="B70" i="5"/>
  <c r="B13" i="5"/>
  <c r="B32" i="5"/>
  <c r="B40" i="5"/>
  <c r="E46" i="5"/>
  <c r="G47" i="5"/>
  <c r="E50" i="5"/>
  <c r="G51" i="5"/>
  <c r="E54" i="5"/>
  <c r="G55" i="5"/>
  <c r="E58" i="5"/>
  <c r="G59" i="5"/>
  <c r="C66" i="5"/>
  <c r="C70" i="5"/>
  <c r="B14" i="5"/>
  <c r="B25" i="5"/>
  <c r="B33" i="5"/>
  <c r="D45" i="5"/>
  <c r="F46" i="5"/>
  <c r="D49" i="5"/>
  <c r="F50" i="5"/>
  <c r="D53" i="5"/>
  <c r="F54" i="5"/>
  <c r="D57" i="5"/>
  <c r="F58" i="5"/>
  <c r="B67" i="5"/>
  <c r="B71" i="5"/>
  <c r="AK7" i="3"/>
  <c r="B15" i="5"/>
  <c r="B26" i="5"/>
  <c r="E45" i="5"/>
  <c r="G46" i="5"/>
  <c r="E49" i="5"/>
  <c r="G50" i="5"/>
  <c r="E53" i="5"/>
  <c r="G54" i="5"/>
  <c r="E57" i="5"/>
  <c r="C67" i="5"/>
  <c r="G62" i="5" l="1"/>
  <c r="E62" i="5"/>
  <c r="Y505" i="6"/>
  <c r="X505" i="6"/>
  <c r="W505" i="6"/>
  <c r="N505" i="6"/>
  <c r="F505" i="6"/>
  <c r="W504" i="6"/>
  <c r="N504" i="6"/>
  <c r="F504" i="6"/>
  <c r="W503" i="6"/>
  <c r="N503" i="6"/>
  <c r="F503" i="6"/>
  <c r="W502" i="6"/>
  <c r="N502" i="6"/>
  <c r="F502" i="6"/>
  <c r="W501" i="6"/>
  <c r="N501" i="6"/>
  <c r="F501" i="6"/>
  <c r="W500" i="6"/>
  <c r="N500" i="6"/>
  <c r="F500" i="6"/>
  <c r="W499" i="6"/>
  <c r="N499" i="6"/>
  <c r="F499" i="6"/>
  <c r="W498" i="6"/>
  <c r="N498" i="6"/>
  <c r="F498" i="6"/>
  <c r="W497" i="6"/>
  <c r="N497" i="6"/>
  <c r="F497" i="6"/>
  <c r="W496" i="6"/>
  <c r="N496" i="6"/>
  <c r="F496" i="6"/>
  <c r="W495" i="6"/>
  <c r="N495" i="6"/>
  <c r="F495" i="6"/>
  <c r="W494" i="6"/>
  <c r="N494" i="6"/>
  <c r="F494" i="6"/>
  <c r="W493" i="6"/>
  <c r="N493" i="6"/>
  <c r="F493" i="6"/>
  <c r="W492" i="6"/>
  <c r="N492" i="6"/>
  <c r="F492" i="6"/>
  <c r="W491" i="6"/>
  <c r="N491" i="6"/>
  <c r="F491" i="6"/>
  <c r="W490" i="6"/>
  <c r="N490" i="6"/>
  <c r="F490" i="6"/>
  <c r="W489" i="6"/>
  <c r="N489" i="6"/>
  <c r="F489" i="6"/>
  <c r="W488" i="6"/>
  <c r="N488" i="6"/>
  <c r="F488" i="6"/>
  <c r="W487" i="6"/>
  <c r="N487" i="6"/>
  <c r="F487" i="6"/>
  <c r="W486" i="6"/>
  <c r="N486" i="6"/>
  <c r="F486" i="6"/>
  <c r="W485" i="6"/>
  <c r="N485" i="6"/>
  <c r="F485" i="6"/>
  <c r="W484" i="6"/>
  <c r="N484" i="6"/>
  <c r="F484" i="6"/>
  <c r="W483" i="6"/>
  <c r="N483" i="6"/>
  <c r="F483" i="6"/>
  <c r="W482" i="6"/>
  <c r="N482" i="6"/>
  <c r="F482" i="6"/>
  <c r="W481" i="6"/>
  <c r="N481" i="6"/>
  <c r="F481" i="6"/>
  <c r="W480" i="6"/>
  <c r="N480" i="6"/>
  <c r="F480" i="6"/>
  <c r="W479" i="6"/>
  <c r="N479" i="6"/>
  <c r="F479" i="6"/>
  <c r="W478" i="6"/>
  <c r="N478" i="6"/>
  <c r="F478" i="6"/>
  <c r="W477" i="6"/>
  <c r="V505" i="6"/>
  <c r="M505" i="6"/>
  <c r="E505" i="6"/>
  <c r="V504" i="6"/>
  <c r="M504" i="6"/>
  <c r="E504" i="6"/>
  <c r="V503" i="6"/>
  <c r="M503" i="6"/>
  <c r="E503" i="6"/>
  <c r="V502" i="6"/>
  <c r="M502" i="6"/>
  <c r="E502" i="6"/>
  <c r="V501" i="6"/>
  <c r="M501" i="6"/>
  <c r="E501" i="6"/>
  <c r="V500" i="6"/>
  <c r="M500" i="6"/>
  <c r="E500" i="6"/>
  <c r="V499" i="6"/>
  <c r="M499" i="6"/>
  <c r="E499" i="6"/>
  <c r="V498" i="6"/>
  <c r="M498" i="6"/>
  <c r="E498" i="6"/>
  <c r="V497" i="6"/>
  <c r="M497" i="6"/>
  <c r="E497" i="6"/>
  <c r="V496" i="6"/>
  <c r="M496" i="6"/>
  <c r="E496" i="6"/>
  <c r="V495" i="6"/>
  <c r="M495" i="6"/>
  <c r="E495" i="6"/>
  <c r="V494" i="6"/>
  <c r="M494" i="6"/>
  <c r="E494" i="6"/>
  <c r="V493" i="6"/>
  <c r="M493" i="6"/>
  <c r="E493" i="6"/>
  <c r="V492" i="6"/>
  <c r="M492" i="6"/>
  <c r="E492" i="6"/>
  <c r="V491" i="6"/>
  <c r="M491" i="6"/>
  <c r="E491" i="6"/>
  <c r="V490" i="6"/>
  <c r="M490" i="6"/>
  <c r="E490" i="6"/>
  <c r="V489" i="6"/>
  <c r="M489" i="6"/>
  <c r="E489" i="6"/>
  <c r="V488" i="6"/>
  <c r="M488" i="6"/>
  <c r="E488" i="6"/>
  <c r="V487" i="6"/>
  <c r="M487" i="6"/>
  <c r="E487" i="6"/>
  <c r="V486" i="6"/>
  <c r="M486" i="6"/>
  <c r="E486" i="6"/>
  <c r="V485" i="6"/>
  <c r="M485" i="6"/>
  <c r="E485" i="6"/>
  <c r="U505" i="6"/>
  <c r="T505" i="6"/>
  <c r="S505" i="6"/>
  <c r="R505" i="6"/>
  <c r="Q505" i="6"/>
  <c r="D505" i="6"/>
  <c r="S504" i="6"/>
  <c r="H504" i="6"/>
  <c r="U503" i="6"/>
  <c r="J503" i="6"/>
  <c r="Y502" i="6"/>
  <c r="L502" i="6"/>
  <c r="B502" i="6"/>
  <c r="Q501" i="6"/>
  <c r="D501" i="6"/>
  <c r="S500" i="6"/>
  <c r="H500" i="6"/>
  <c r="U499" i="6"/>
  <c r="J499" i="6"/>
  <c r="Y498" i="6"/>
  <c r="L498" i="6"/>
  <c r="B498" i="6"/>
  <c r="Q497" i="6"/>
  <c r="D497" i="6"/>
  <c r="S496" i="6"/>
  <c r="H496" i="6"/>
  <c r="U495" i="6"/>
  <c r="J495" i="6"/>
  <c r="Y494" i="6"/>
  <c r="L494" i="6"/>
  <c r="B494" i="6"/>
  <c r="Q493" i="6"/>
  <c r="D493" i="6"/>
  <c r="S492" i="6"/>
  <c r="H492" i="6"/>
  <c r="U491" i="6"/>
  <c r="J491" i="6"/>
  <c r="Y490" i="6"/>
  <c r="L490" i="6"/>
  <c r="B490" i="6"/>
  <c r="Q489" i="6"/>
  <c r="D489" i="6"/>
  <c r="S488" i="6"/>
  <c r="H488" i="6"/>
  <c r="U487" i="6"/>
  <c r="J487" i="6"/>
  <c r="Y486" i="6"/>
  <c r="L486" i="6"/>
  <c r="B486" i="6"/>
  <c r="Q485" i="6"/>
  <c r="D485" i="6"/>
  <c r="T484" i="6"/>
  <c r="J484" i="6"/>
  <c r="A484" i="6"/>
  <c r="Q483" i="6"/>
  <c r="G483" i="6"/>
  <c r="V482" i="6"/>
  <c r="L482" i="6"/>
  <c r="C482" i="6"/>
  <c r="S481" i="6"/>
  <c r="I481" i="6"/>
  <c r="Y480" i="6"/>
  <c r="P480" i="6"/>
  <c r="E480" i="6"/>
  <c r="U479" i="6"/>
  <c r="K479" i="6"/>
  <c r="B479" i="6"/>
  <c r="R478" i="6"/>
  <c r="H478" i="6"/>
  <c r="X477" i="6"/>
  <c r="N477" i="6"/>
  <c r="F477" i="6"/>
  <c r="W476" i="6"/>
  <c r="N476" i="6"/>
  <c r="F476" i="6"/>
  <c r="W475" i="6"/>
  <c r="N475" i="6"/>
  <c r="F475" i="6"/>
  <c r="W474" i="6"/>
  <c r="N474" i="6"/>
  <c r="F474" i="6"/>
  <c r="W473" i="6"/>
  <c r="N473" i="6"/>
  <c r="F473" i="6"/>
  <c r="W472" i="6"/>
  <c r="N472" i="6"/>
  <c r="F472" i="6"/>
  <c r="W471" i="6"/>
  <c r="N471" i="6"/>
  <c r="P505" i="6"/>
  <c r="C505" i="6"/>
  <c r="R504" i="6"/>
  <c r="G504" i="6"/>
  <c r="T503" i="6"/>
  <c r="I503" i="6"/>
  <c r="X502" i="6"/>
  <c r="K502" i="6"/>
  <c r="A502" i="6"/>
  <c r="P501" i="6"/>
  <c r="C501" i="6"/>
  <c r="R500" i="6"/>
  <c r="G500" i="6"/>
  <c r="T499" i="6"/>
  <c r="I499" i="6"/>
  <c r="X498" i="6"/>
  <c r="K498" i="6"/>
  <c r="A498" i="6"/>
  <c r="P497" i="6"/>
  <c r="C497" i="6"/>
  <c r="R496" i="6"/>
  <c r="G496" i="6"/>
  <c r="T495" i="6"/>
  <c r="I495" i="6"/>
  <c r="X494" i="6"/>
  <c r="K494" i="6"/>
  <c r="A494" i="6"/>
  <c r="P493" i="6"/>
  <c r="C493" i="6"/>
  <c r="R492" i="6"/>
  <c r="G492" i="6"/>
  <c r="T491" i="6"/>
  <c r="I491" i="6"/>
  <c r="X490" i="6"/>
  <c r="K490" i="6"/>
  <c r="A490" i="6"/>
  <c r="P489" i="6"/>
  <c r="C489" i="6"/>
  <c r="R488" i="6"/>
  <c r="G488" i="6"/>
  <c r="T487" i="6"/>
  <c r="I487" i="6"/>
  <c r="X486" i="6"/>
  <c r="K486" i="6"/>
  <c r="A486" i="6"/>
  <c r="P485" i="6"/>
  <c r="C485" i="6"/>
  <c r="S484" i="6"/>
  <c r="I484" i="6"/>
  <c r="Y483" i="6"/>
  <c r="P483" i="6"/>
  <c r="E483" i="6"/>
  <c r="U482" i="6"/>
  <c r="K482" i="6"/>
  <c r="B482" i="6"/>
  <c r="R481" i="6"/>
  <c r="H481" i="6"/>
  <c r="X480" i="6"/>
  <c r="M480" i="6"/>
  <c r="D480" i="6"/>
  <c r="T479" i="6"/>
  <c r="J479" i="6"/>
  <c r="A479" i="6"/>
  <c r="Q478" i="6"/>
  <c r="G478" i="6"/>
  <c r="V477" i="6"/>
  <c r="M477" i="6"/>
  <c r="E477" i="6"/>
  <c r="V476" i="6"/>
  <c r="M476" i="6"/>
  <c r="E476" i="6"/>
  <c r="V475" i="6"/>
  <c r="M475" i="6"/>
  <c r="E475" i="6"/>
  <c r="V474" i="6"/>
  <c r="M474" i="6"/>
  <c r="E474" i="6"/>
  <c r="V473" i="6"/>
  <c r="M473" i="6"/>
  <c r="E473" i="6"/>
  <c r="V472" i="6"/>
  <c r="M472" i="6"/>
  <c r="E472" i="6"/>
  <c r="V471" i="6"/>
  <c r="M471" i="6"/>
  <c r="L505" i="6"/>
  <c r="B505" i="6"/>
  <c r="Q504" i="6"/>
  <c r="D504" i="6"/>
  <c r="S503" i="6"/>
  <c r="H503" i="6"/>
  <c r="U502" i="6"/>
  <c r="J502" i="6"/>
  <c r="Y501" i="6"/>
  <c r="L501" i="6"/>
  <c r="B501" i="6"/>
  <c r="Q500" i="6"/>
  <c r="D500" i="6"/>
  <c r="S499" i="6"/>
  <c r="H499" i="6"/>
  <c r="U498" i="6"/>
  <c r="J498" i="6"/>
  <c r="Y497" i="6"/>
  <c r="L497" i="6"/>
  <c r="B497" i="6"/>
  <c r="Q496" i="6"/>
  <c r="D496" i="6"/>
  <c r="S495" i="6"/>
  <c r="H495" i="6"/>
  <c r="U494" i="6"/>
  <c r="J494" i="6"/>
  <c r="Y493" i="6"/>
  <c r="L493" i="6"/>
  <c r="B493" i="6"/>
  <c r="Q492" i="6"/>
  <c r="D492" i="6"/>
  <c r="S491" i="6"/>
  <c r="H491" i="6"/>
  <c r="U490" i="6"/>
  <c r="J490" i="6"/>
  <c r="Y489" i="6"/>
  <c r="L489" i="6"/>
  <c r="B489" i="6"/>
  <c r="Q488" i="6"/>
  <c r="D488" i="6"/>
  <c r="S487" i="6"/>
  <c r="H487" i="6"/>
  <c r="U486" i="6"/>
  <c r="J486" i="6"/>
  <c r="Y485" i="6"/>
  <c r="L485" i="6"/>
  <c r="B485" i="6"/>
  <c r="R484" i="6"/>
  <c r="H484" i="6"/>
  <c r="X483" i="6"/>
  <c r="M483" i="6"/>
  <c r="D483" i="6"/>
  <c r="T482" i="6"/>
  <c r="J482" i="6"/>
  <c r="A482" i="6"/>
  <c r="Q481" i="6"/>
  <c r="G481" i="6"/>
  <c r="V480" i="6"/>
  <c r="L480" i="6"/>
  <c r="C480" i="6"/>
  <c r="S479" i="6"/>
  <c r="I479" i="6"/>
  <c r="Y478" i="6"/>
  <c r="P478" i="6"/>
  <c r="E478" i="6"/>
  <c r="U477" i="6"/>
  <c r="L477" i="6"/>
  <c r="D477" i="6"/>
  <c r="U476" i="6"/>
  <c r="L476" i="6"/>
  <c r="D476" i="6"/>
  <c r="U475" i="6"/>
  <c r="L475" i="6"/>
  <c r="D475" i="6"/>
  <c r="U474" i="6"/>
  <c r="L474" i="6"/>
  <c r="D474" i="6"/>
  <c r="U473" i="6"/>
  <c r="L473" i="6"/>
  <c r="D473" i="6"/>
  <c r="U472" i="6"/>
  <c r="L472" i="6"/>
  <c r="D472" i="6"/>
  <c r="U471" i="6"/>
  <c r="L471" i="6"/>
  <c r="K505" i="6"/>
  <c r="A505" i="6"/>
  <c r="P504" i="6"/>
  <c r="C504" i="6"/>
  <c r="R503" i="6"/>
  <c r="G503" i="6"/>
  <c r="T502" i="6"/>
  <c r="I502" i="6"/>
  <c r="X501" i="6"/>
  <c r="K501" i="6"/>
  <c r="A501" i="6"/>
  <c r="P500" i="6"/>
  <c r="C500" i="6"/>
  <c r="R499" i="6"/>
  <c r="G499" i="6"/>
  <c r="T498" i="6"/>
  <c r="I498" i="6"/>
  <c r="X497" i="6"/>
  <c r="K497" i="6"/>
  <c r="A497" i="6"/>
  <c r="P496" i="6"/>
  <c r="C496" i="6"/>
  <c r="R495" i="6"/>
  <c r="G495" i="6"/>
  <c r="T494" i="6"/>
  <c r="I494" i="6"/>
  <c r="X493" i="6"/>
  <c r="K493" i="6"/>
  <c r="A493" i="6"/>
  <c r="P492" i="6"/>
  <c r="C492" i="6"/>
  <c r="R491" i="6"/>
  <c r="G491" i="6"/>
  <c r="T490" i="6"/>
  <c r="I490" i="6"/>
  <c r="X489" i="6"/>
  <c r="K489" i="6"/>
  <c r="A489" i="6"/>
  <c r="P488" i="6"/>
  <c r="C488" i="6"/>
  <c r="R487" i="6"/>
  <c r="G487" i="6"/>
  <c r="T486" i="6"/>
  <c r="I486" i="6"/>
  <c r="X485" i="6"/>
  <c r="K485" i="6"/>
  <c r="A485" i="6"/>
  <c r="Q484" i="6"/>
  <c r="G484" i="6"/>
  <c r="V483" i="6"/>
  <c r="L483" i="6"/>
  <c r="C483" i="6"/>
  <c r="S482" i="6"/>
  <c r="I482" i="6"/>
  <c r="Y481" i="6"/>
  <c r="P481" i="6"/>
  <c r="E481" i="6"/>
  <c r="U480" i="6"/>
  <c r="K480" i="6"/>
  <c r="B480" i="6"/>
  <c r="R479" i="6"/>
  <c r="H479" i="6"/>
  <c r="X478" i="6"/>
  <c r="M478" i="6"/>
  <c r="D478" i="6"/>
  <c r="T477" i="6"/>
  <c r="K477" i="6"/>
  <c r="C477" i="6"/>
  <c r="T476" i="6"/>
  <c r="K476" i="6"/>
  <c r="C476" i="6"/>
  <c r="T475" i="6"/>
  <c r="K475" i="6"/>
  <c r="C475" i="6"/>
  <c r="T474" i="6"/>
  <c r="K474" i="6"/>
  <c r="C474" i="6"/>
  <c r="T473" i="6"/>
  <c r="K473" i="6"/>
  <c r="C473" i="6"/>
  <c r="T472" i="6"/>
  <c r="K472" i="6"/>
  <c r="C472" i="6"/>
  <c r="T471" i="6"/>
  <c r="K471" i="6"/>
  <c r="J505" i="6"/>
  <c r="Y504" i="6"/>
  <c r="L504" i="6"/>
  <c r="B504" i="6"/>
  <c r="Q503" i="6"/>
  <c r="D503" i="6"/>
  <c r="S502" i="6"/>
  <c r="H502" i="6"/>
  <c r="U501" i="6"/>
  <c r="J501" i="6"/>
  <c r="Y500" i="6"/>
  <c r="L500" i="6"/>
  <c r="B500" i="6"/>
  <c r="Q499" i="6"/>
  <c r="D499" i="6"/>
  <c r="S498" i="6"/>
  <c r="H498" i="6"/>
  <c r="U497" i="6"/>
  <c r="J497" i="6"/>
  <c r="Y496" i="6"/>
  <c r="L496" i="6"/>
  <c r="B496" i="6"/>
  <c r="Q495" i="6"/>
  <c r="D495" i="6"/>
  <c r="S494" i="6"/>
  <c r="H494" i="6"/>
  <c r="U493" i="6"/>
  <c r="J493" i="6"/>
  <c r="Y492" i="6"/>
  <c r="L492" i="6"/>
  <c r="B492" i="6"/>
  <c r="Q491" i="6"/>
  <c r="D491" i="6"/>
  <c r="S490" i="6"/>
  <c r="H490" i="6"/>
  <c r="U489" i="6"/>
  <c r="J489" i="6"/>
  <c r="Y488" i="6"/>
  <c r="L488" i="6"/>
  <c r="B488" i="6"/>
  <c r="Q487" i="6"/>
  <c r="D487" i="6"/>
  <c r="S486" i="6"/>
  <c r="H486" i="6"/>
  <c r="U485" i="6"/>
  <c r="J485" i="6"/>
  <c r="Y484" i="6"/>
  <c r="P484" i="6"/>
  <c r="E484" i="6"/>
  <c r="U483" i="6"/>
  <c r="K483" i="6"/>
  <c r="B483" i="6"/>
  <c r="R482" i="6"/>
  <c r="H482" i="6"/>
  <c r="X481" i="6"/>
  <c r="M481" i="6"/>
  <c r="D481" i="6"/>
  <c r="T480" i="6"/>
  <c r="J480" i="6"/>
  <c r="A480" i="6"/>
  <c r="Q479" i="6"/>
  <c r="I505" i="6"/>
  <c r="I504" i="6"/>
  <c r="B503" i="6"/>
  <c r="T501" i="6"/>
  <c r="T500" i="6"/>
  <c r="L499" i="6"/>
  <c r="G498" i="6"/>
  <c r="G497" i="6"/>
  <c r="Y495" i="6"/>
  <c r="R494" i="6"/>
  <c r="R493" i="6"/>
  <c r="J492" i="6"/>
  <c r="C491" i="6"/>
  <c r="C490" i="6"/>
  <c r="U488" i="6"/>
  <c r="P487" i="6"/>
  <c r="P486" i="6"/>
  <c r="H485" i="6"/>
  <c r="D484" i="6"/>
  <c r="H483" i="6"/>
  <c r="E482" i="6"/>
  <c r="C481" i="6"/>
  <c r="G480" i="6"/>
  <c r="E479" i="6"/>
  <c r="K478" i="6"/>
  <c r="R477" i="6"/>
  <c r="A477" i="6"/>
  <c r="I476" i="6"/>
  <c r="R475" i="6"/>
  <c r="A475" i="6"/>
  <c r="I474" i="6"/>
  <c r="R473" i="6"/>
  <c r="A473" i="6"/>
  <c r="I472" i="6"/>
  <c r="R471" i="6"/>
  <c r="E471" i="6"/>
  <c r="V470" i="6"/>
  <c r="M470" i="6"/>
  <c r="E470" i="6"/>
  <c r="V469" i="6"/>
  <c r="M469" i="6"/>
  <c r="E469" i="6"/>
  <c r="V468" i="6"/>
  <c r="M468" i="6"/>
  <c r="E468" i="6"/>
  <c r="V467" i="6"/>
  <c r="M467" i="6"/>
  <c r="E467" i="6"/>
  <c r="V466" i="6"/>
  <c r="M466" i="6"/>
  <c r="E466" i="6"/>
  <c r="V465" i="6"/>
  <c r="M465" i="6"/>
  <c r="E465" i="6"/>
  <c r="V464" i="6"/>
  <c r="M464" i="6"/>
  <c r="E464" i="6"/>
  <c r="V463" i="6"/>
  <c r="M463" i="6"/>
  <c r="E463" i="6"/>
  <c r="V462" i="6"/>
  <c r="M462" i="6"/>
  <c r="E462" i="6"/>
  <c r="V461" i="6"/>
  <c r="M461" i="6"/>
  <c r="E461" i="6"/>
  <c r="V460" i="6"/>
  <c r="M460" i="6"/>
  <c r="E460" i="6"/>
  <c r="V459" i="6"/>
  <c r="M459" i="6"/>
  <c r="E459" i="6"/>
  <c r="V458" i="6"/>
  <c r="M458" i="6"/>
  <c r="E458" i="6"/>
  <c r="V457" i="6"/>
  <c r="M457" i="6"/>
  <c r="E457" i="6"/>
  <c r="V456" i="6"/>
  <c r="M456" i="6"/>
  <c r="E456" i="6"/>
  <c r="V455" i="6"/>
  <c r="M455" i="6"/>
  <c r="E455" i="6"/>
  <c r="V454" i="6"/>
  <c r="H505" i="6"/>
  <c r="A504" i="6"/>
  <c r="A503" i="6"/>
  <c r="S501" i="6"/>
  <c r="K500" i="6"/>
  <c r="K499" i="6"/>
  <c r="D498" i="6"/>
  <c r="X496" i="6"/>
  <c r="X495" i="6"/>
  <c r="Q494" i="6"/>
  <c r="I493" i="6"/>
  <c r="I492" i="6"/>
  <c r="B491" i="6"/>
  <c r="T489" i="6"/>
  <c r="T488" i="6"/>
  <c r="L487" i="6"/>
  <c r="G486" i="6"/>
  <c r="G485" i="6"/>
  <c r="C484" i="6"/>
  <c r="A483" i="6"/>
  <c r="D482" i="6"/>
  <c r="B481" i="6"/>
  <c r="Y479" i="6"/>
  <c r="D479" i="6"/>
  <c r="J478" i="6"/>
  <c r="Q477" i="6"/>
  <c r="Y476" i="6"/>
  <c r="H476" i="6"/>
  <c r="Q475" i="6"/>
  <c r="Y474" i="6"/>
  <c r="H474" i="6"/>
  <c r="Q473" i="6"/>
  <c r="Y472" i="6"/>
  <c r="H472" i="6"/>
  <c r="Q471" i="6"/>
  <c r="D471" i="6"/>
  <c r="U470" i="6"/>
  <c r="L470" i="6"/>
  <c r="D470" i="6"/>
  <c r="U469" i="6"/>
  <c r="L469" i="6"/>
  <c r="D469" i="6"/>
  <c r="U468" i="6"/>
  <c r="L468" i="6"/>
  <c r="D468" i="6"/>
  <c r="U467" i="6"/>
  <c r="L467" i="6"/>
  <c r="D467" i="6"/>
  <c r="U466" i="6"/>
  <c r="L466" i="6"/>
  <c r="D466" i="6"/>
  <c r="U465" i="6"/>
  <c r="L465" i="6"/>
  <c r="D465" i="6"/>
  <c r="U464" i="6"/>
  <c r="L464" i="6"/>
  <c r="D464" i="6"/>
  <c r="U463" i="6"/>
  <c r="L463" i="6"/>
  <c r="D463" i="6"/>
  <c r="U462" i="6"/>
  <c r="L462" i="6"/>
  <c r="D462" i="6"/>
  <c r="U461" i="6"/>
  <c r="L461" i="6"/>
  <c r="D461" i="6"/>
  <c r="U460" i="6"/>
  <c r="L460" i="6"/>
  <c r="D460" i="6"/>
  <c r="U459" i="6"/>
  <c r="L459" i="6"/>
  <c r="D459" i="6"/>
  <c r="U458" i="6"/>
  <c r="L458" i="6"/>
  <c r="D458" i="6"/>
  <c r="U457" i="6"/>
  <c r="L457" i="6"/>
  <c r="D457" i="6"/>
  <c r="U456" i="6"/>
  <c r="L456" i="6"/>
  <c r="D456" i="6"/>
  <c r="U455" i="6"/>
  <c r="L455" i="6"/>
  <c r="D455" i="6"/>
  <c r="U454" i="6"/>
  <c r="L454" i="6"/>
  <c r="D454" i="6"/>
  <c r="U453" i="6"/>
  <c r="L453" i="6"/>
  <c r="D453" i="6"/>
  <c r="G505" i="6"/>
  <c r="Y503" i="6"/>
  <c r="R502" i="6"/>
  <c r="R501" i="6"/>
  <c r="J500" i="6"/>
  <c r="C499" i="6"/>
  <c r="C498" i="6"/>
  <c r="U496" i="6"/>
  <c r="P495" i="6"/>
  <c r="P494" i="6"/>
  <c r="H493" i="6"/>
  <c r="A492" i="6"/>
  <c r="A491" i="6"/>
  <c r="S489" i="6"/>
  <c r="K488" i="6"/>
  <c r="K487" i="6"/>
  <c r="D486" i="6"/>
  <c r="X484" i="6"/>
  <c r="B484" i="6"/>
  <c r="Y482" i="6"/>
  <c r="V481" i="6"/>
  <c r="A481" i="6"/>
  <c r="X479" i="6"/>
  <c r="C479" i="6"/>
  <c r="I478" i="6"/>
  <c r="P477" i="6"/>
  <c r="X476" i="6"/>
  <c r="G476" i="6"/>
  <c r="P475" i="6"/>
  <c r="X474" i="6"/>
  <c r="G474" i="6"/>
  <c r="P473" i="6"/>
  <c r="X472" i="6"/>
  <c r="G472" i="6"/>
  <c r="P471" i="6"/>
  <c r="C471" i="6"/>
  <c r="T470" i="6"/>
  <c r="K470" i="6"/>
  <c r="C470" i="6"/>
  <c r="T469" i="6"/>
  <c r="K469" i="6"/>
  <c r="C469" i="6"/>
  <c r="T468" i="6"/>
  <c r="K468" i="6"/>
  <c r="C468" i="6"/>
  <c r="T467" i="6"/>
  <c r="K467" i="6"/>
  <c r="C467" i="6"/>
  <c r="T466" i="6"/>
  <c r="K466" i="6"/>
  <c r="C466" i="6"/>
  <c r="T465" i="6"/>
  <c r="K465" i="6"/>
  <c r="C465" i="6"/>
  <c r="T464" i="6"/>
  <c r="K464" i="6"/>
  <c r="C464" i="6"/>
  <c r="T463" i="6"/>
  <c r="K463" i="6"/>
  <c r="C463" i="6"/>
  <c r="T462" i="6"/>
  <c r="K462" i="6"/>
  <c r="C462" i="6"/>
  <c r="T461" i="6"/>
  <c r="K461" i="6"/>
  <c r="C461" i="6"/>
  <c r="T460" i="6"/>
  <c r="K460" i="6"/>
  <c r="C460" i="6"/>
  <c r="T459" i="6"/>
  <c r="K459" i="6"/>
  <c r="C459" i="6"/>
  <c r="T458" i="6"/>
  <c r="K458" i="6"/>
  <c r="C458" i="6"/>
  <c r="T457" i="6"/>
  <c r="K457" i="6"/>
  <c r="C457" i="6"/>
  <c r="T456" i="6"/>
  <c r="K456" i="6"/>
  <c r="C456" i="6"/>
  <c r="T455" i="6"/>
  <c r="K455" i="6"/>
  <c r="C455" i="6"/>
  <c r="X504" i="6"/>
  <c r="X503" i="6"/>
  <c r="Q502" i="6"/>
  <c r="I501" i="6"/>
  <c r="I500" i="6"/>
  <c r="B499" i="6"/>
  <c r="T497" i="6"/>
  <c r="T496" i="6"/>
  <c r="L495" i="6"/>
  <c r="G494" i="6"/>
  <c r="G493" i="6"/>
  <c r="Y491" i="6"/>
  <c r="R490" i="6"/>
  <c r="R489" i="6"/>
  <c r="J488" i="6"/>
  <c r="C487" i="6"/>
  <c r="C486" i="6"/>
  <c r="V484" i="6"/>
  <c r="T483" i="6"/>
  <c r="X482" i="6"/>
  <c r="U481" i="6"/>
  <c r="S480" i="6"/>
  <c r="V479" i="6"/>
  <c r="V478" i="6"/>
  <c r="C478" i="6"/>
  <c r="J477" i="6"/>
  <c r="S476" i="6"/>
  <c r="B476" i="6"/>
  <c r="J475" i="6"/>
  <c r="S474" i="6"/>
  <c r="B474" i="6"/>
  <c r="J473" i="6"/>
  <c r="S472" i="6"/>
  <c r="B472" i="6"/>
  <c r="J471" i="6"/>
  <c r="B471" i="6"/>
  <c r="S470" i="6"/>
  <c r="J470" i="6"/>
  <c r="B470" i="6"/>
  <c r="S469" i="6"/>
  <c r="J469" i="6"/>
  <c r="B469" i="6"/>
  <c r="S468" i="6"/>
  <c r="J468" i="6"/>
  <c r="B468" i="6"/>
  <c r="S467" i="6"/>
  <c r="J467" i="6"/>
  <c r="B467" i="6"/>
  <c r="S466" i="6"/>
  <c r="J466" i="6"/>
  <c r="B466" i="6"/>
  <c r="S465" i="6"/>
  <c r="J465" i="6"/>
  <c r="B465" i="6"/>
  <c r="S464" i="6"/>
  <c r="J464" i="6"/>
  <c r="B464" i="6"/>
  <c r="S463" i="6"/>
  <c r="J463" i="6"/>
  <c r="B463" i="6"/>
  <c r="S462" i="6"/>
  <c r="J462" i="6"/>
  <c r="B462" i="6"/>
  <c r="S461" i="6"/>
  <c r="J461" i="6"/>
  <c r="B461" i="6"/>
  <c r="S460" i="6"/>
  <c r="J460" i="6"/>
  <c r="B460" i="6"/>
  <c r="S459" i="6"/>
  <c r="J459" i="6"/>
  <c r="B459" i="6"/>
  <c r="S458" i="6"/>
  <c r="J458" i="6"/>
  <c r="B458" i="6"/>
  <c r="S457" i="6"/>
  <c r="J457" i="6"/>
  <c r="B457" i="6"/>
  <c r="S456" i="6"/>
  <c r="J456" i="6"/>
  <c r="B456" i="6"/>
  <c r="S455" i="6"/>
  <c r="J455" i="6"/>
  <c r="B455" i="6"/>
  <c r="S454" i="6"/>
  <c r="U504" i="6"/>
  <c r="P502" i="6"/>
  <c r="A500" i="6"/>
  <c r="S497" i="6"/>
  <c r="K495" i="6"/>
  <c r="X492" i="6"/>
  <c r="Q490" i="6"/>
  <c r="I488" i="6"/>
  <c r="T485" i="6"/>
  <c r="S483" i="6"/>
  <c r="T481" i="6"/>
  <c r="P479" i="6"/>
  <c r="B478" i="6"/>
  <c r="R476" i="6"/>
  <c r="I475" i="6"/>
  <c r="A474" i="6"/>
  <c r="R472" i="6"/>
  <c r="I471" i="6"/>
  <c r="R470" i="6"/>
  <c r="A470" i="6"/>
  <c r="I469" i="6"/>
  <c r="R468" i="6"/>
  <c r="A468" i="6"/>
  <c r="I467" i="6"/>
  <c r="R466" i="6"/>
  <c r="A466" i="6"/>
  <c r="I465" i="6"/>
  <c r="R464" i="6"/>
  <c r="A464" i="6"/>
  <c r="I463" i="6"/>
  <c r="R462" i="6"/>
  <c r="A462" i="6"/>
  <c r="I461" i="6"/>
  <c r="R460" i="6"/>
  <c r="A460" i="6"/>
  <c r="I459" i="6"/>
  <c r="R458" i="6"/>
  <c r="A458" i="6"/>
  <c r="I457" i="6"/>
  <c r="R456" i="6"/>
  <c r="A456" i="6"/>
  <c r="I455" i="6"/>
  <c r="T454" i="6"/>
  <c r="I454" i="6"/>
  <c r="Y453" i="6"/>
  <c r="P453" i="6"/>
  <c r="F453" i="6"/>
  <c r="V452" i="6"/>
  <c r="M452" i="6"/>
  <c r="E452" i="6"/>
  <c r="V451" i="6"/>
  <c r="M451" i="6"/>
  <c r="E451" i="6"/>
  <c r="V450" i="6"/>
  <c r="M450" i="6"/>
  <c r="E450" i="6"/>
  <c r="V449" i="6"/>
  <c r="M449" i="6"/>
  <c r="E449" i="6"/>
  <c r="V448" i="6"/>
  <c r="M448" i="6"/>
  <c r="E448" i="6"/>
  <c r="V447" i="6"/>
  <c r="M447" i="6"/>
  <c r="E447" i="6"/>
  <c r="V446" i="6"/>
  <c r="M446" i="6"/>
  <c r="E446" i="6"/>
  <c r="V445" i="6"/>
  <c r="M445" i="6"/>
  <c r="E445" i="6"/>
  <c r="V444" i="6"/>
  <c r="M444" i="6"/>
  <c r="E444" i="6"/>
  <c r="V443" i="6"/>
  <c r="M443" i="6"/>
  <c r="E443" i="6"/>
  <c r="V442" i="6"/>
  <c r="M442" i="6"/>
  <c r="E442" i="6"/>
  <c r="V441" i="6"/>
  <c r="M441" i="6"/>
  <c r="E441" i="6"/>
  <c r="V440" i="6"/>
  <c r="T504" i="6"/>
  <c r="G502" i="6"/>
  <c r="Y499" i="6"/>
  <c r="R497" i="6"/>
  <c r="C495" i="6"/>
  <c r="U492" i="6"/>
  <c r="P490" i="6"/>
  <c r="A488" i="6"/>
  <c r="S485" i="6"/>
  <c r="R483" i="6"/>
  <c r="L481" i="6"/>
  <c r="M479" i="6"/>
  <c r="A478" i="6"/>
  <c r="Q476" i="6"/>
  <c r="H475" i="6"/>
  <c r="Y473" i="6"/>
  <c r="Q472" i="6"/>
  <c r="H471" i="6"/>
  <c r="Q470" i="6"/>
  <c r="Y469" i="6"/>
  <c r="H469" i="6"/>
  <c r="Q468" i="6"/>
  <c r="Y467" i="6"/>
  <c r="H467" i="6"/>
  <c r="Q466" i="6"/>
  <c r="Y465" i="6"/>
  <c r="H465" i="6"/>
  <c r="Q464" i="6"/>
  <c r="Y463" i="6"/>
  <c r="H463" i="6"/>
  <c r="Q462" i="6"/>
  <c r="Y461" i="6"/>
  <c r="H461" i="6"/>
  <c r="Q460" i="6"/>
  <c r="Y459" i="6"/>
  <c r="H459" i="6"/>
  <c r="Q458" i="6"/>
  <c r="Y457" i="6"/>
  <c r="H457" i="6"/>
  <c r="Q456" i="6"/>
  <c r="Y455" i="6"/>
  <c r="H455" i="6"/>
  <c r="R454" i="6"/>
  <c r="H454" i="6"/>
  <c r="X453" i="6"/>
  <c r="N453" i="6"/>
  <c r="E453" i="6"/>
  <c r="U452" i="6"/>
  <c r="L452" i="6"/>
  <c r="D452" i="6"/>
  <c r="U451" i="6"/>
  <c r="L451" i="6"/>
  <c r="D451" i="6"/>
  <c r="U450" i="6"/>
  <c r="L450" i="6"/>
  <c r="D450" i="6"/>
  <c r="U449" i="6"/>
  <c r="L449" i="6"/>
  <c r="D449" i="6"/>
  <c r="U448" i="6"/>
  <c r="L448" i="6"/>
  <c r="D448" i="6"/>
  <c r="U447" i="6"/>
  <c r="L447" i="6"/>
  <c r="D447" i="6"/>
  <c r="U446" i="6"/>
  <c r="L446" i="6"/>
  <c r="D446" i="6"/>
  <c r="U445" i="6"/>
  <c r="L445" i="6"/>
  <c r="D445" i="6"/>
  <c r="U444" i="6"/>
  <c r="L444" i="6"/>
  <c r="D444" i="6"/>
  <c r="U443" i="6"/>
  <c r="L443" i="6"/>
  <c r="D443" i="6"/>
  <c r="U442" i="6"/>
  <c r="L442" i="6"/>
  <c r="D442" i="6"/>
  <c r="U441" i="6"/>
  <c r="L441" i="6"/>
  <c r="D441" i="6"/>
  <c r="U440" i="6"/>
  <c r="L440" i="6"/>
  <c r="K504" i="6"/>
  <c r="D502" i="6"/>
  <c r="X499" i="6"/>
  <c r="I497" i="6"/>
  <c r="B495" i="6"/>
  <c r="T492" i="6"/>
  <c r="G490" i="6"/>
  <c r="Y487" i="6"/>
  <c r="R485" i="6"/>
  <c r="J483" i="6"/>
  <c r="K481" i="6"/>
  <c r="L479" i="6"/>
  <c r="Y477" i="6"/>
  <c r="P476" i="6"/>
  <c r="G475" i="6"/>
  <c r="X473" i="6"/>
  <c r="P472" i="6"/>
  <c r="G471" i="6"/>
  <c r="P470" i="6"/>
  <c r="X469" i="6"/>
  <c r="G469" i="6"/>
  <c r="P468" i="6"/>
  <c r="X467" i="6"/>
  <c r="G467" i="6"/>
  <c r="P466" i="6"/>
  <c r="X465" i="6"/>
  <c r="G465" i="6"/>
  <c r="P464" i="6"/>
  <c r="X463" i="6"/>
  <c r="G463" i="6"/>
  <c r="P462" i="6"/>
  <c r="X461" i="6"/>
  <c r="G461" i="6"/>
  <c r="P460" i="6"/>
  <c r="X459" i="6"/>
  <c r="G459" i="6"/>
  <c r="P458" i="6"/>
  <c r="X457" i="6"/>
  <c r="G457" i="6"/>
  <c r="P456" i="6"/>
  <c r="X455" i="6"/>
  <c r="G455" i="6"/>
  <c r="Q454" i="6"/>
  <c r="G454" i="6"/>
  <c r="W453" i="6"/>
  <c r="M453" i="6"/>
  <c r="C453" i="6"/>
  <c r="T452" i="6"/>
  <c r="K452" i="6"/>
  <c r="C452" i="6"/>
  <c r="T451" i="6"/>
  <c r="K451" i="6"/>
  <c r="C451" i="6"/>
  <c r="T450" i="6"/>
  <c r="K450" i="6"/>
  <c r="C450" i="6"/>
  <c r="T449" i="6"/>
  <c r="K449" i="6"/>
  <c r="C449" i="6"/>
  <c r="T448" i="6"/>
  <c r="K448" i="6"/>
  <c r="C448" i="6"/>
  <c r="T447" i="6"/>
  <c r="K447" i="6"/>
  <c r="C447" i="6"/>
  <c r="T446" i="6"/>
  <c r="K446" i="6"/>
  <c r="C446" i="6"/>
  <c r="T445" i="6"/>
  <c r="K445" i="6"/>
  <c r="C445" i="6"/>
  <c r="T444" i="6"/>
  <c r="K444" i="6"/>
  <c r="C444" i="6"/>
  <c r="T443" i="6"/>
  <c r="K443" i="6"/>
  <c r="C443" i="6"/>
  <c r="T442" i="6"/>
  <c r="K442" i="6"/>
  <c r="C442" i="6"/>
  <c r="T441" i="6"/>
  <c r="K441" i="6"/>
  <c r="C441" i="6"/>
  <c r="T440" i="6"/>
  <c r="K440" i="6"/>
  <c r="C440" i="6"/>
  <c r="T439" i="6"/>
  <c r="K439" i="6"/>
  <c r="J504" i="6"/>
  <c r="C502" i="6"/>
  <c r="P499" i="6"/>
  <c r="H497" i="6"/>
  <c r="A495" i="6"/>
  <c r="K492" i="6"/>
  <c r="D490" i="6"/>
  <c r="X487" i="6"/>
  <c r="I485" i="6"/>
  <c r="I483" i="6"/>
  <c r="J481" i="6"/>
  <c r="G479" i="6"/>
  <c r="S477" i="6"/>
  <c r="J476" i="6"/>
  <c r="B475" i="6"/>
  <c r="S473" i="6"/>
  <c r="J472" i="6"/>
  <c r="F471" i="6"/>
  <c r="N470" i="6"/>
  <c r="W469" i="6"/>
  <c r="F469" i="6"/>
  <c r="N468" i="6"/>
  <c r="W467" i="6"/>
  <c r="F467" i="6"/>
  <c r="N466" i="6"/>
  <c r="W465" i="6"/>
  <c r="F465" i="6"/>
  <c r="N464" i="6"/>
  <c r="W463" i="6"/>
  <c r="F463" i="6"/>
  <c r="N462" i="6"/>
  <c r="W461" i="6"/>
  <c r="F461" i="6"/>
  <c r="N460" i="6"/>
  <c r="W459" i="6"/>
  <c r="F459" i="6"/>
  <c r="N458" i="6"/>
  <c r="W457" i="6"/>
  <c r="F457" i="6"/>
  <c r="N456" i="6"/>
  <c r="W455" i="6"/>
  <c r="F455" i="6"/>
  <c r="P454" i="6"/>
  <c r="F454" i="6"/>
  <c r="V453" i="6"/>
  <c r="K453" i="6"/>
  <c r="B453" i="6"/>
  <c r="S452" i="6"/>
  <c r="J452" i="6"/>
  <c r="B452" i="6"/>
  <c r="S451" i="6"/>
  <c r="J451" i="6"/>
  <c r="B451" i="6"/>
  <c r="S450" i="6"/>
  <c r="J450" i="6"/>
  <c r="B450" i="6"/>
  <c r="S449" i="6"/>
  <c r="J449" i="6"/>
  <c r="B449" i="6"/>
  <c r="S448" i="6"/>
  <c r="J448" i="6"/>
  <c r="B448" i="6"/>
  <c r="S447" i="6"/>
  <c r="J447" i="6"/>
  <c r="B447" i="6"/>
  <c r="S446" i="6"/>
  <c r="J446" i="6"/>
  <c r="B446" i="6"/>
  <c r="S445" i="6"/>
  <c r="J445" i="6"/>
  <c r="B445" i="6"/>
  <c r="S444" i="6"/>
  <c r="J444" i="6"/>
  <c r="B444" i="6"/>
  <c r="S443" i="6"/>
  <c r="J443" i="6"/>
  <c r="B443" i="6"/>
  <c r="S442" i="6"/>
  <c r="J442" i="6"/>
  <c r="B442" i="6"/>
  <c r="S441" i="6"/>
  <c r="J441" i="6"/>
  <c r="B441" i="6"/>
  <c r="S440" i="6"/>
  <c r="J440" i="6"/>
  <c r="P503" i="6"/>
  <c r="H501" i="6"/>
  <c r="A499" i="6"/>
  <c r="K496" i="6"/>
  <c r="D494" i="6"/>
  <c r="X491" i="6"/>
  <c r="I489" i="6"/>
  <c r="B487" i="6"/>
  <c r="U484" i="6"/>
  <c r="Q482" i="6"/>
  <c r="R480" i="6"/>
  <c r="U478" i="6"/>
  <c r="I477" i="6"/>
  <c r="A476" i="6"/>
  <c r="R474" i="6"/>
  <c r="I473" i="6"/>
  <c r="A472" i="6"/>
  <c r="A471" i="6"/>
  <c r="I470" i="6"/>
  <c r="R469" i="6"/>
  <c r="A469" i="6"/>
  <c r="I468" i="6"/>
  <c r="R467" i="6"/>
  <c r="A467" i="6"/>
  <c r="I466" i="6"/>
  <c r="R465" i="6"/>
  <c r="A465" i="6"/>
  <c r="I464" i="6"/>
  <c r="R463" i="6"/>
  <c r="A463" i="6"/>
  <c r="I462" i="6"/>
  <c r="R461" i="6"/>
  <c r="A461" i="6"/>
  <c r="I460" i="6"/>
  <c r="R459" i="6"/>
  <c r="A459" i="6"/>
  <c r="I458" i="6"/>
  <c r="R457" i="6"/>
  <c r="A457" i="6"/>
  <c r="I456" i="6"/>
  <c r="R455" i="6"/>
  <c r="A455" i="6"/>
  <c r="N454" i="6"/>
  <c r="E454" i="6"/>
  <c r="T453" i="6"/>
  <c r="J453" i="6"/>
  <c r="A453" i="6"/>
  <c r="R452" i="6"/>
  <c r="I452" i="6"/>
  <c r="A452" i="6"/>
  <c r="R451" i="6"/>
  <c r="I451" i="6"/>
  <c r="A451" i="6"/>
  <c r="R450" i="6"/>
  <c r="I450" i="6"/>
  <c r="A450" i="6"/>
  <c r="R449" i="6"/>
  <c r="I449" i="6"/>
  <c r="A449" i="6"/>
  <c r="R448" i="6"/>
  <c r="I448" i="6"/>
  <c r="A448" i="6"/>
  <c r="R447" i="6"/>
  <c r="I447" i="6"/>
  <c r="A447" i="6"/>
  <c r="R446" i="6"/>
  <c r="I446" i="6"/>
  <c r="A446" i="6"/>
  <c r="R445" i="6"/>
  <c r="I445" i="6"/>
  <c r="A445" i="6"/>
  <c r="R444" i="6"/>
  <c r="I444" i="6"/>
  <c r="A444" i="6"/>
  <c r="R443" i="6"/>
  <c r="I443" i="6"/>
  <c r="A443" i="6"/>
  <c r="R442" i="6"/>
  <c r="I442" i="6"/>
  <c r="A442" i="6"/>
  <c r="R441" i="6"/>
  <c r="I441" i="6"/>
  <c r="A441" i="6"/>
  <c r="R440" i="6"/>
  <c r="L503" i="6"/>
  <c r="P498" i="6"/>
  <c r="L491" i="6"/>
  <c r="M484" i="6"/>
  <c r="H480" i="6"/>
  <c r="X475" i="6"/>
  <c r="Y471" i="6"/>
  <c r="F470" i="6"/>
  <c r="G468" i="6"/>
  <c r="H466" i="6"/>
  <c r="W464" i="6"/>
  <c r="X462" i="6"/>
  <c r="Y460" i="6"/>
  <c r="N459" i="6"/>
  <c r="P457" i="6"/>
  <c r="Q455" i="6"/>
  <c r="J454" i="6"/>
  <c r="H453" i="6"/>
  <c r="H452" i="6"/>
  <c r="N451" i="6"/>
  <c r="P450" i="6"/>
  <c r="Q449" i="6"/>
  <c r="W448" i="6"/>
  <c r="X447" i="6"/>
  <c r="Y446" i="6"/>
  <c r="F446" i="6"/>
  <c r="G445" i="6"/>
  <c r="H444" i="6"/>
  <c r="N443" i="6"/>
  <c r="P442" i="6"/>
  <c r="Q441" i="6"/>
  <c r="W440" i="6"/>
  <c r="F440" i="6"/>
  <c r="V439" i="6"/>
  <c r="L439" i="6"/>
  <c r="C439" i="6"/>
  <c r="T438" i="6"/>
  <c r="K438" i="6"/>
  <c r="C438" i="6"/>
  <c r="T437" i="6"/>
  <c r="K437" i="6"/>
  <c r="C437" i="6"/>
  <c r="T436" i="6"/>
  <c r="K436" i="6"/>
  <c r="C436" i="6"/>
  <c r="T435" i="6"/>
  <c r="K435" i="6"/>
  <c r="C435" i="6"/>
  <c r="T434" i="6"/>
  <c r="K434" i="6"/>
  <c r="C434" i="6"/>
  <c r="T433" i="6"/>
  <c r="K433" i="6"/>
  <c r="C433" i="6"/>
  <c r="T432" i="6"/>
  <c r="K432" i="6"/>
  <c r="C432" i="6"/>
  <c r="T431" i="6"/>
  <c r="K431" i="6"/>
  <c r="C431" i="6"/>
  <c r="T430" i="6"/>
  <c r="K430" i="6"/>
  <c r="C430" i="6"/>
  <c r="T429" i="6"/>
  <c r="K429" i="6"/>
  <c r="C429" i="6"/>
  <c r="T428" i="6"/>
  <c r="K428" i="6"/>
  <c r="C428" i="6"/>
  <c r="T427" i="6"/>
  <c r="K427" i="6"/>
  <c r="C427" i="6"/>
  <c r="T426" i="6"/>
  <c r="K426" i="6"/>
  <c r="C426" i="6"/>
  <c r="T425" i="6"/>
  <c r="K425" i="6"/>
  <c r="C425" i="6"/>
  <c r="T424" i="6"/>
  <c r="K424" i="6"/>
  <c r="C424" i="6"/>
  <c r="T423" i="6"/>
  <c r="K423" i="6"/>
  <c r="C423" i="6"/>
  <c r="T422" i="6"/>
  <c r="K422" i="6"/>
  <c r="C422" i="6"/>
  <c r="T421" i="6"/>
  <c r="K421" i="6"/>
  <c r="C421" i="6"/>
  <c r="T420" i="6"/>
  <c r="K503" i="6"/>
  <c r="J496" i="6"/>
  <c r="K491" i="6"/>
  <c r="L484" i="6"/>
  <c r="T478" i="6"/>
  <c r="S475" i="6"/>
  <c r="X471" i="6"/>
  <c r="Q469" i="6"/>
  <c r="F468" i="6"/>
  <c r="G466" i="6"/>
  <c r="H464" i="6"/>
  <c r="W462" i="6"/>
  <c r="X460" i="6"/>
  <c r="Y458" i="6"/>
  <c r="N457" i="6"/>
  <c r="P455" i="6"/>
  <c r="C454" i="6"/>
  <c r="G453" i="6"/>
  <c r="G452" i="6"/>
  <c r="H451" i="6"/>
  <c r="N450" i="6"/>
  <c r="P449" i="6"/>
  <c r="Q448" i="6"/>
  <c r="W447" i="6"/>
  <c r="X446" i="6"/>
  <c r="Y445" i="6"/>
  <c r="F445" i="6"/>
  <c r="G444" i="6"/>
  <c r="H443" i="6"/>
  <c r="N442" i="6"/>
  <c r="P441" i="6"/>
  <c r="Q440" i="6"/>
  <c r="E440" i="6"/>
  <c r="U439" i="6"/>
  <c r="J439" i="6"/>
  <c r="B439" i="6"/>
  <c r="S438" i="6"/>
  <c r="J438" i="6"/>
  <c r="B438" i="6"/>
  <c r="S437" i="6"/>
  <c r="J437" i="6"/>
  <c r="B437" i="6"/>
  <c r="S436" i="6"/>
  <c r="J436" i="6"/>
  <c r="B436" i="6"/>
  <c r="S435" i="6"/>
  <c r="J435" i="6"/>
  <c r="B435" i="6"/>
  <c r="S434" i="6"/>
  <c r="J434" i="6"/>
  <c r="B434" i="6"/>
  <c r="S433" i="6"/>
  <c r="J433" i="6"/>
  <c r="B433" i="6"/>
  <c r="S432" i="6"/>
  <c r="J432" i="6"/>
  <c r="B432" i="6"/>
  <c r="S431" i="6"/>
  <c r="J431" i="6"/>
  <c r="B431" i="6"/>
  <c r="S430" i="6"/>
  <c r="J430" i="6"/>
  <c r="B430" i="6"/>
  <c r="S429" i="6"/>
  <c r="J429" i="6"/>
  <c r="B429" i="6"/>
  <c r="S428" i="6"/>
  <c r="J428" i="6"/>
  <c r="B428" i="6"/>
  <c r="S427" i="6"/>
  <c r="J427" i="6"/>
  <c r="B427" i="6"/>
  <c r="S426" i="6"/>
  <c r="J426" i="6"/>
  <c r="B426" i="6"/>
  <c r="S425" i="6"/>
  <c r="J425" i="6"/>
  <c r="B425" i="6"/>
  <c r="S424" i="6"/>
  <c r="J424" i="6"/>
  <c r="B424" i="6"/>
  <c r="S423" i="6"/>
  <c r="J423" i="6"/>
  <c r="B423" i="6"/>
  <c r="S422" i="6"/>
  <c r="J422" i="6"/>
  <c r="B422" i="6"/>
  <c r="C503" i="6"/>
  <c r="I496" i="6"/>
  <c r="H489" i="6"/>
  <c r="K484" i="6"/>
  <c r="S478" i="6"/>
  <c r="Q474" i="6"/>
  <c r="S471" i="6"/>
  <c r="P469" i="6"/>
  <c r="Q467" i="6"/>
  <c r="F466" i="6"/>
  <c r="G464" i="6"/>
  <c r="H462" i="6"/>
  <c r="W460" i="6"/>
  <c r="X458" i="6"/>
  <c r="Y456" i="6"/>
  <c r="N455" i="6"/>
  <c r="B454" i="6"/>
  <c r="Y452" i="6"/>
  <c r="F452" i="6"/>
  <c r="G451" i="6"/>
  <c r="H450" i="6"/>
  <c r="N449" i="6"/>
  <c r="P448" i="6"/>
  <c r="Q447" i="6"/>
  <c r="W446" i="6"/>
  <c r="X445" i="6"/>
  <c r="Y444" i="6"/>
  <c r="F444" i="6"/>
  <c r="G443" i="6"/>
  <c r="H442" i="6"/>
  <c r="N441" i="6"/>
  <c r="P440" i="6"/>
  <c r="D440" i="6"/>
  <c r="S439" i="6"/>
  <c r="I439" i="6"/>
  <c r="A439" i="6"/>
  <c r="R438" i="6"/>
  <c r="I438" i="6"/>
  <c r="A438" i="6"/>
  <c r="R437" i="6"/>
  <c r="I437" i="6"/>
  <c r="A437" i="6"/>
  <c r="R436" i="6"/>
  <c r="I436" i="6"/>
  <c r="A436" i="6"/>
  <c r="R435" i="6"/>
  <c r="I435" i="6"/>
  <c r="A435" i="6"/>
  <c r="R434" i="6"/>
  <c r="I434" i="6"/>
  <c r="A434" i="6"/>
  <c r="R433" i="6"/>
  <c r="I433" i="6"/>
  <c r="A433" i="6"/>
  <c r="R432" i="6"/>
  <c r="I432" i="6"/>
  <c r="A432" i="6"/>
  <c r="R431" i="6"/>
  <c r="I431" i="6"/>
  <c r="A431" i="6"/>
  <c r="R430" i="6"/>
  <c r="I430" i="6"/>
  <c r="A430" i="6"/>
  <c r="R429" i="6"/>
  <c r="I429" i="6"/>
  <c r="A429" i="6"/>
  <c r="R428" i="6"/>
  <c r="I428" i="6"/>
  <c r="A428" i="6"/>
  <c r="R427" i="6"/>
  <c r="I427" i="6"/>
  <c r="A427" i="6"/>
  <c r="R426" i="6"/>
  <c r="I426" i="6"/>
  <c r="A426" i="6"/>
  <c r="R425" i="6"/>
  <c r="I425" i="6"/>
  <c r="A425" i="6"/>
  <c r="R424" i="6"/>
  <c r="I424" i="6"/>
  <c r="A424" i="6"/>
  <c r="R423" i="6"/>
  <c r="I423" i="6"/>
  <c r="A423" i="6"/>
  <c r="R422" i="6"/>
  <c r="I422" i="6"/>
  <c r="A422" i="6"/>
  <c r="R421" i="6"/>
  <c r="G501" i="6"/>
  <c r="A496" i="6"/>
  <c r="G489" i="6"/>
  <c r="P482" i="6"/>
  <c r="L478" i="6"/>
  <c r="P474" i="6"/>
  <c r="Y470" i="6"/>
  <c r="N469" i="6"/>
  <c r="P467" i="6"/>
  <c r="Q465" i="6"/>
  <c r="F464" i="6"/>
  <c r="G462" i="6"/>
  <c r="H460" i="6"/>
  <c r="W458" i="6"/>
  <c r="X456" i="6"/>
  <c r="Y454" i="6"/>
  <c r="A454" i="6"/>
  <c r="X452" i="6"/>
  <c r="Y451" i="6"/>
  <c r="F451" i="6"/>
  <c r="G450" i="6"/>
  <c r="H449" i="6"/>
  <c r="N448" i="6"/>
  <c r="P447" i="6"/>
  <c r="Q446" i="6"/>
  <c r="W445" i="6"/>
  <c r="X444" i="6"/>
  <c r="Y443" i="6"/>
  <c r="F443" i="6"/>
  <c r="G442" i="6"/>
  <c r="H441" i="6"/>
  <c r="N440" i="6"/>
  <c r="B440" i="6"/>
  <c r="R439" i="6"/>
  <c r="H439" i="6"/>
  <c r="Y438" i="6"/>
  <c r="Q438" i="6"/>
  <c r="H438" i="6"/>
  <c r="Y437" i="6"/>
  <c r="Q437" i="6"/>
  <c r="H437" i="6"/>
  <c r="Y436" i="6"/>
  <c r="Q436" i="6"/>
  <c r="H436" i="6"/>
  <c r="Y435" i="6"/>
  <c r="Q435" i="6"/>
  <c r="H435" i="6"/>
  <c r="Y434" i="6"/>
  <c r="Q434" i="6"/>
  <c r="H434" i="6"/>
  <c r="Y433" i="6"/>
  <c r="Q433" i="6"/>
  <c r="H433" i="6"/>
  <c r="Y432" i="6"/>
  <c r="Q432" i="6"/>
  <c r="H432" i="6"/>
  <c r="Y431" i="6"/>
  <c r="Q431" i="6"/>
  <c r="H431" i="6"/>
  <c r="Y430" i="6"/>
  <c r="Q430" i="6"/>
  <c r="H430" i="6"/>
  <c r="Y429" i="6"/>
  <c r="Q429" i="6"/>
  <c r="H429" i="6"/>
  <c r="Y428" i="6"/>
  <c r="Q428" i="6"/>
  <c r="H428" i="6"/>
  <c r="Y427" i="6"/>
  <c r="Q427" i="6"/>
  <c r="H427" i="6"/>
  <c r="Y426" i="6"/>
  <c r="Q426" i="6"/>
  <c r="H426" i="6"/>
  <c r="Y425" i="6"/>
  <c r="Q425" i="6"/>
  <c r="H425" i="6"/>
  <c r="Y424" i="6"/>
  <c r="Q424" i="6"/>
  <c r="H424" i="6"/>
  <c r="Y423" i="6"/>
  <c r="Q423" i="6"/>
  <c r="H423" i="6"/>
  <c r="Y422" i="6"/>
  <c r="Q422" i="6"/>
  <c r="H422" i="6"/>
  <c r="Y421" i="6"/>
  <c r="X500" i="6"/>
  <c r="C494" i="6"/>
  <c r="X488" i="6"/>
  <c r="M482" i="6"/>
  <c r="H477" i="6"/>
  <c r="J474" i="6"/>
  <c r="X470" i="6"/>
  <c r="Y468" i="6"/>
  <c r="N467" i="6"/>
  <c r="P465" i="6"/>
  <c r="Q463" i="6"/>
  <c r="F462" i="6"/>
  <c r="G460" i="6"/>
  <c r="H458" i="6"/>
  <c r="W456" i="6"/>
  <c r="X454" i="6"/>
  <c r="S453" i="6"/>
  <c r="W452" i="6"/>
  <c r="X451" i="6"/>
  <c r="Y450" i="6"/>
  <c r="F450" i="6"/>
  <c r="G449" i="6"/>
  <c r="H448" i="6"/>
  <c r="N447" i="6"/>
  <c r="P446" i="6"/>
  <c r="Q445" i="6"/>
  <c r="W444" i="6"/>
  <c r="X443" i="6"/>
  <c r="Y442" i="6"/>
  <c r="F442" i="6"/>
  <c r="G441" i="6"/>
  <c r="M440" i="6"/>
  <c r="A440" i="6"/>
  <c r="Q439" i="6"/>
  <c r="G439" i="6"/>
  <c r="X438" i="6"/>
  <c r="P438" i="6"/>
  <c r="G438" i="6"/>
  <c r="X437" i="6"/>
  <c r="P437" i="6"/>
  <c r="G437" i="6"/>
  <c r="X436" i="6"/>
  <c r="P436" i="6"/>
  <c r="G436" i="6"/>
  <c r="X435" i="6"/>
  <c r="P435" i="6"/>
  <c r="G435" i="6"/>
  <c r="X434" i="6"/>
  <c r="P434" i="6"/>
  <c r="G434" i="6"/>
  <c r="X433" i="6"/>
  <c r="P433" i="6"/>
  <c r="G433" i="6"/>
  <c r="X432" i="6"/>
  <c r="P432" i="6"/>
  <c r="G432" i="6"/>
  <c r="X431" i="6"/>
  <c r="P431" i="6"/>
  <c r="G431" i="6"/>
  <c r="X430" i="6"/>
  <c r="P430" i="6"/>
  <c r="G430" i="6"/>
  <c r="X429" i="6"/>
  <c r="P429" i="6"/>
  <c r="G429" i="6"/>
  <c r="X428" i="6"/>
  <c r="P428" i="6"/>
  <c r="G428" i="6"/>
  <c r="X427" i="6"/>
  <c r="P427" i="6"/>
  <c r="G427" i="6"/>
  <c r="X426" i="6"/>
  <c r="P426" i="6"/>
  <c r="G426" i="6"/>
  <c r="X425" i="6"/>
  <c r="P425" i="6"/>
  <c r="G425" i="6"/>
  <c r="X424" i="6"/>
  <c r="P424" i="6"/>
  <c r="G424" i="6"/>
  <c r="X423" i="6"/>
  <c r="P423" i="6"/>
  <c r="G423" i="6"/>
  <c r="X422" i="6"/>
  <c r="P422" i="6"/>
  <c r="U500" i="6"/>
  <c r="Q486" i="6"/>
  <c r="G473" i="6"/>
  <c r="Y466" i="6"/>
  <c r="Y462" i="6"/>
  <c r="F458" i="6"/>
  <c r="R453" i="6"/>
  <c r="P451" i="6"/>
  <c r="Y448" i="6"/>
  <c r="N446" i="6"/>
  <c r="N444" i="6"/>
  <c r="X441" i="6"/>
  <c r="Y439" i="6"/>
  <c r="D439" i="6"/>
  <c r="E438" i="6"/>
  <c r="F437" i="6"/>
  <c r="L436" i="6"/>
  <c r="M435" i="6"/>
  <c r="N434" i="6"/>
  <c r="U433" i="6"/>
  <c r="V432" i="6"/>
  <c r="W431" i="6"/>
  <c r="D431" i="6"/>
  <c r="E430" i="6"/>
  <c r="F429" i="6"/>
  <c r="L428" i="6"/>
  <c r="M427" i="6"/>
  <c r="N426" i="6"/>
  <c r="U425" i="6"/>
  <c r="V424" i="6"/>
  <c r="W423" i="6"/>
  <c r="D423" i="6"/>
  <c r="F422" i="6"/>
  <c r="Q421" i="6"/>
  <c r="G421" i="6"/>
  <c r="W420" i="6"/>
  <c r="M420" i="6"/>
  <c r="E420" i="6"/>
  <c r="V419" i="6"/>
  <c r="M419" i="6"/>
  <c r="E419" i="6"/>
  <c r="V418" i="6"/>
  <c r="M418" i="6"/>
  <c r="E418" i="6"/>
  <c r="V417" i="6"/>
  <c r="M417" i="6"/>
  <c r="E417" i="6"/>
  <c r="V416" i="6"/>
  <c r="M416" i="6"/>
  <c r="E416" i="6"/>
  <c r="V415" i="6"/>
  <c r="M415" i="6"/>
  <c r="E415" i="6"/>
  <c r="V414" i="6"/>
  <c r="M414" i="6"/>
  <c r="E414" i="6"/>
  <c r="V413" i="6"/>
  <c r="M413" i="6"/>
  <c r="E413" i="6"/>
  <c r="V412" i="6"/>
  <c r="M412" i="6"/>
  <c r="E412" i="6"/>
  <c r="V411" i="6"/>
  <c r="M411" i="6"/>
  <c r="E411" i="6"/>
  <c r="V410" i="6"/>
  <c r="M410" i="6"/>
  <c r="E410" i="6"/>
  <c r="V409" i="6"/>
  <c r="M409" i="6"/>
  <c r="E409" i="6"/>
  <c r="V408" i="6"/>
  <c r="M408" i="6"/>
  <c r="E408" i="6"/>
  <c r="V407" i="6"/>
  <c r="M407" i="6"/>
  <c r="E407" i="6"/>
  <c r="V406" i="6"/>
  <c r="M406" i="6"/>
  <c r="E406" i="6"/>
  <c r="V405" i="6"/>
  <c r="M405" i="6"/>
  <c r="E405" i="6"/>
  <c r="V404" i="6"/>
  <c r="M404" i="6"/>
  <c r="E404" i="6"/>
  <c r="V403" i="6"/>
  <c r="M403" i="6"/>
  <c r="E403" i="6"/>
  <c r="V402" i="6"/>
  <c r="M402" i="6"/>
  <c r="R498" i="6"/>
  <c r="G482" i="6"/>
  <c r="B473" i="6"/>
  <c r="X466" i="6"/>
  <c r="Q461" i="6"/>
  <c r="Q457" i="6"/>
  <c r="Q453" i="6"/>
  <c r="X450" i="6"/>
  <c r="X448" i="6"/>
  <c r="H446" i="6"/>
  <c r="W443" i="6"/>
  <c r="W441" i="6"/>
  <c r="X439" i="6"/>
  <c r="W438" i="6"/>
  <c r="D438" i="6"/>
  <c r="E437" i="6"/>
  <c r="F436" i="6"/>
  <c r="L435" i="6"/>
  <c r="M434" i="6"/>
  <c r="N433" i="6"/>
  <c r="U432" i="6"/>
  <c r="V431" i="6"/>
  <c r="W430" i="6"/>
  <c r="D430" i="6"/>
  <c r="E429" i="6"/>
  <c r="F428" i="6"/>
  <c r="L427" i="6"/>
  <c r="M426" i="6"/>
  <c r="N425" i="6"/>
  <c r="U424" i="6"/>
  <c r="V423" i="6"/>
  <c r="W422" i="6"/>
  <c r="E422" i="6"/>
  <c r="P421" i="6"/>
  <c r="F421" i="6"/>
  <c r="V420" i="6"/>
  <c r="L420" i="6"/>
  <c r="D420" i="6"/>
  <c r="U419" i="6"/>
  <c r="L419" i="6"/>
  <c r="D419" i="6"/>
  <c r="U418" i="6"/>
  <c r="L418" i="6"/>
  <c r="D418" i="6"/>
  <c r="U417" i="6"/>
  <c r="L417" i="6"/>
  <c r="D417" i="6"/>
  <c r="U416" i="6"/>
  <c r="L416" i="6"/>
  <c r="Q498" i="6"/>
  <c r="Q480" i="6"/>
  <c r="W470" i="6"/>
  <c r="W466" i="6"/>
  <c r="P461" i="6"/>
  <c r="H456" i="6"/>
  <c r="I453" i="6"/>
  <c r="W450" i="6"/>
  <c r="G448" i="6"/>
  <c r="G446" i="6"/>
  <c r="Q443" i="6"/>
  <c r="F441" i="6"/>
  <c r="W439" i="6"/>
  <c r="V438" i="6"/>
  <c r="W437" i="6"/>
  <c r="D437" i="6"/>
  <c r="E436" i="6"/>
  <c r="F435" i="6"/>
  <c r="L434" i="6"/>
  <c r="M433" i="6"/>
  <c r="N432" i="6"/>
  <c r="U431" i="6"/>
  <c r="V430" i="6"/>
  <c r="W429" i="6"/>
  <c r="D429" i="6"/>
  <c r="E428" i="6"/>
  <c r="F427" i="6"/>
  <c r="L426" i="6"/>
  <c r="M425" i="6"/>
  <c r="N424" i="6"/>
  <c r="U423" i="6"/>
  <c r="V422" i="6"/>
  <c r="D422" i="6"/>
  <c r="N421" i="6"/>
  <c r="E421" i="6"/>
  <c r="U420" i="6"/>
  <c r="K420" i="6"/>
  <c r="C420" i="6"/>
  <c r="T419" i="6"/>
  <c r="K419" i="6"/>
  <c r="C419" i="6"/>
  <c r="T418" i="6"/>
  <c r="K418" i="6"/>
  <c r="C418" i="6"/>
  <c r="T417" i="6"/>
  <c r="K417" i="6"/>
  <c r="C417" i="6"/>
  <c r="T416" i="6"/>
  <c r="K416" i="6"/>
  <c r="C416" i="6"/>
  <c r="T415" i="6"/>
  <c r="K415" i="6"/>
  <c r="C415" i="6"/>
  <c r="T414" i="6"/>
  <c r="K414" i="6"/>
  <c r="C414" i="6"/>
  <c r="T413" i="6"/>
  <c r="K413" i="6"/>
  <c r="C413" i="6"/>
  <c r="T412" i="6"/>
  <c r="K412" i="6"/>
  <c r="C412" i="6"/>
  <c r="T411" i="6"/>
  <c r="K411" i="6"/>
  <c r="C411" i="6"/>
  <c r="T410" i="6"/>
  <c r="K410" i="6"/>
  <c r="C410" i="6"/>
  <c r="T409" i="6"/>
  <c r="K409" i="6"/>
  <c r="C409" i="6"/>
  <c r="T408" i="6"/>
  <c r="K408" i="6"/>
  <c r="C408" i="6"/>
  <c r="T407" i="6"/>
  <c r="K407" i="6"/>
  <c r="C407" i="6"/>
  <c r="T406" i="6"/>
  <c r="K406" i="6"/>
  <c r="C406" i="6"/>
  <c r="T405" i="6"/>
  <c r="K405" i="6"/>
  <c r="C405" i="6"/>
  <c r="T404" i="6"/>
  <c r="K404" i="6"/>
  <c r="C404" i="6"/>
  <c r="S493" i="6"/>
  <c r="G477" i="6"/>
  <c r="G470" i="6"/>
  <c r="Y464" i="6"/>
  <c r="F460" i="6"/>
  <c r="F456" i="6"/>
  <c r="P452" i="6"/>
  <c r="Y449" i="6"/>
  <c r="Y447" i="6"/>
  <c r="N445" i="6"/>
  <c r="X442" i="6"/>
  <c r="X440" i="6"/>
  <c r="N439" i="6"/>
  <c r="N438" i="6"/>
  <c r="U437" i="6"/>
  <c r="V436" i="6"/>
  <c r="W435" i="6"/>
  <c r="D435" i="6"/>
  <c r="E434" i="6"/>
  <c r="F433" i="6"/>
  <c r="L432" i="6"/>
  <c r="M431" i="6"/>
  <c r="N430" i="6"/>
  <c r="U429" i="6"/>
  <c r="V428" i="6"/>
  <c r="W427" i="6"/>
  <c r="D427" i="6"/>
  <c r="E426" i="6"/>
  <c r="F425" i="6"/>
  <c r="L424" i="6"/>
  <c r="M423" i="6"/>
  <c r="N422" i="6"/>
  <c r="W421" i="6"/>
  <c r="L421" i="6"/>
  <c r="B421" i="6"/>
  <c r="R420" i="6"/>
  <c r="I420" i="6"/>
  <c r="A420" i="6"/>
  <c r="R419" i="6"/>
  <c r="I419" i="6"/>
  <c r="A419" i="6"/>
  <c r="R418" i="6"/>
  <c r="I418" i="6"/>
  <c r="A418" i="6"/>
  <c r="R417" i="6"/>
  <c r="I417" i="6"/>
  <c r="A417" i="6"/>
  <c r="R416" i="6"/>
  <c r="I416" i="6"/>
  <c r="A416" i="6"/>
  <c r="R415" i="6"/>
  <c r="I415" i="6"/>
  <c r="A415" i="6"/>
  <c r="R414" i="6"/>
  <c r="I414" i="6"/>
  <c r="A414" i="6"/>
  <c r="R413" i="6"/>
  <c r="I413" i="6"/>
  <c r="A413" i="6"/>
  <c r="R412" i="6"/>
  <c r="I412" i="6"/>
  <c r="A412" i="6"/>
  <c r="R411" i="6"/>
  <c r="I411" i="6"/>
  <c r="A411" i="6"/>
  <c r="R410" i="6"/>
  <c r="I410" i="6"/>
  <c r="A410" i="6"/>
  <c r="R409" i="6"/>
  <c r="I409" i="6"/>
  <c r="A409" i="6"/>
  <c r="R408" i="6"/>
  <c r="I408" i="6"/>
  <c r="A408" i="6"/>
  <c r="R407" i="6"/>
  <c r="I407" i="6"/>
  <c r="A407" i="6"/>
  <c r="R406" i="6"/>
  <c r="I406" i="6"/>
  <c r="A406" i="6"/>
  <c r="R405" i="6"/>
  <c r="I405" i="6"/>
  <c r="A405" i="6"/>
  <c r="R404" i="6"/>
  <c r="I404" i="6"/>
  <c r="A404" i="6"/>
  <c r="R403" i="6"/>
  <c r="I403" i="6"/>
  <c r="A403" i="6"/>
  <c r="R402" i="6"/>
  <c r="P491" i="6"/>
  <c r="B477" i="6"/>
  <c r="X468" i="6"/>
  <c r="X464" i="6"/>
  <c r="Q459" i="6"/>
  <c r="W454" i="6"/>
  <c r="N452" i="6"/>
  <c r="X449" i="6"/>
  <c r="H447" i="6"/>
  <c r="H445" i="6"/>
  <c r="W442" i="6"/>
  <c r="I440" i="6"/>
  <c r="M439" i="6"/>
  <c r="M438" i="6"/>
  <c r="N437" i="6"/>
  <c r="U436" i="6"/>
  <c r="V435" i="6"/>
  <c r="W434" i="6"/>
  <c r="D434" i="6"/>
  <c r="E433" i="6"/>
  <c r="F432" i="6"/>
  <c r="L431" i="6"/>
  <c r="M430" i="6"/>
  <c r="N429" i="6"/>
  <c r="U428" i="6"/>
  <c r="V427" i="6"/>
  <c r="W426" i="6"/>
  <c r="D426" i="6"/>
  <c r="E425" i="6"/>
  <c r="F424" i="6"/>
  <c r="L423" i="6"/>
  <c r="M422" i="6"/>
  <c r="V421" i="6"/>
  <c r="J421" i="6"/>
  <c r="A421" i="6"/>
  <c r="Q420" i="6"/>
  <c r="H420" i="6"/>
  <c r="Y419" i="6"/>
  <c r="Q419" i="6"/>
  <c r="H419" i="6"/>
  <c r="Y418" i="6"/>
  <c r="Q418" i="6"/>
  <c r="H418" i="6"/>
  <c r="Y417" i="6"/>
  <c r="Q417" i="6"/>
  <c r="H417" i="6"/>
  <c r="Y416" i="6"/>
  <c r="Q416" i="6"/>
  <c r="H416" i="6"/>
  <c r="Y415" i="6"/>
  <c r="Q415" i="6"/>
  <c r="H415" i="6"/>
  <c r="Y414" i="6"/>
  <c r="Q414" i="6"/>
  <c r="H414" i="6"/>
  <c r="Y413" i="6"/>
  <c r="Q413" i="6"/>
  <c r="H413" i="6"/>
  <c r="Y412" i="6"/>
  <c r="Q412" i="6"/>
  <c r="H412" i="6"/>
  <c r="Y411" i="6"/>
  <c r="Q411" i="6"/>
  <c r="H411" i="6"/>
  <c r="Y410" i="6"/>
  <c r="Q410" i="6"/>
  <c r="H410" i="6"/>
  <c r="Y409" i="6"/>
  <c r="Q409" i="6"/>
  <c r="H409" i="6"/>
  <c r="Y408" i="6"/>
  <c r="Q408" i="6"/>
  <c r="H408" i="6"/>
  <c r="Y407" i="6"/>
  <c r="Q407" i="6"/>
  <c r="H407" i="6"/>
  <c r="Y406" i="6"/>
  <c r="Q406" i="6"/>
  <c r="H406" i="6"/>
  <c r="Y405" i="6"/>
  <c r="Q405" i="6"/>
  <c r="H405" i="6"/>
  <c r="Y404" i="6"/>
  <c r="Q404" i="6"/>
  <c r="H404" i="6"/>
  <c r="T493" i="6"/>
  <c r="H468" i="6"/>
  <c r="M454" i="6"/>
  <c r="F448" i="6"/>
  <c r="Y441" i="6"/>
  <c r="L438" i="6"/>
  <c r="D436" i="6"/>
  <c r="V433" i="6"/>
  <c r="F431" i="6"/>
  <c r="W428" i="6"/>
  <c r="U426" i="6"/>
  <c r="E424" i="6"/>
  <c r="X421" i="6"/>
  <c r="X420" i="6"/>
  <c r="X419" i="6"/>
  <c r="B419" i="6"/>
  <c r="F418" i="6"/>
  <c r="G417" i="6"/>
  <c r="J416" i="6"/>
  <c r="S415" i="6"/>
  <c r="B415" i="6"/>
  <c r="J414" i="6"/>
  <c r="S413" i="6"/>
  <c r="B413" i="6"/>
  <c r="J412" i="6"/>
  <c r="S411" i="6"/>
  <c r="B411" i="6"/>
  <c r="J410" i="6"/>
  <c r="S409" i="6"/>
  <c r="B409" i="6"/>
  <c r="J408" i="6"/>
  <c r="S407" i="6"/>
  <c r="B407" i="6"/>
  <c r="J406" i="6"/>
  <c r="S405" i="6"/>
  <c r="B405" i="6"/>
  <c r="J404" i="6"/>
  <c r="U403" i="6"/>
  <c r="J403" i="6"/>
  <c r="X402" i="6"/>
  <c r="L402" i="6"/>
  <c r="D402" i="6"/>
  <c r="U401" i="6"/>
  <c r="L401" i="6"/>
  <c r="D401" i="6"/>
  <c r="U400" i="6"/>
  <c r="L400" i="6"/>
  <c r="D400" i="6"/>
  <c r="U399" i="6"/>
  <c r="L399" i="6"/>
  <c r="D399" i="6"/>
  <c r="U398" i="6"/>
  <c r="L398" i="6"/>
  <c r="D398" i="6"/>
  <c r="U397" i="6"/>
  <c r="L397" i="6"/>
  <c r="D397" i="6"/>
  <c r="U396" i="6"/>
  <c r="L396" i="6"/>
  <c r="D396" i="6"/>
  <c r="U395" i="6"/>
  <c r="L395" i="6"/>
  <c r="D395" i="6"/>
  <c r="U394" i="6"/>
  <c r="L394" i="6"/>
  <c r="D394" i="6"/>
  <c r="U393" i="6"/>
  <c r="L393" i="6"/>
  <c r="D393" i="6"/>
  <c r="U392" i="6"/>
  <c r="L392" i="6"/>
  <c r="D392" i="6"/>
  <c r="U391" i="6"/>
  <c r="L391" i="6"/>
  <c r="D391" i="6"/>
  <c r="U390" i="6"/>
  <c r="L390" i="6"/>
  <c r="D390" i="6"/>
  <c r="U389" i="6"/>
  <c r="L389" i="6"/>
  <c r="D389" i="6"/>
  <c r="U388" i="6"/>
  <c r="L388" i="6"/>
  <c r="D388" i="6"/>
  <c r="U387" i="6"/>
  <c r="L387" i="6"/>
  <c r="D387" i="6"/>
  <c r="U386" i="6"/>
  <c r="L386" i="6"/>
  <c r="D386" i="6"/>
  <c r="U385" i="6"/>
  <c r="L385" i="6"/>
  <c r="D385" i="6"/>
  <c r="U384" i="6"/>
  <c r="L384" i="6"/>
  <c r="D384" i="6"/>
  <c r="U383" i="6"/>
  <c r="L383" i="6"/>
  <c r="D383" i="6"/>
  <c r="U382" i="6"/>
  <c r="L382" i="6"/>
  <c r="D382" i="6"/>
  <c r="U381" i="6"/>
  <c r="L381" i="6"/>
  <c r="D381" i="6"/>
  <c r="U380" i="6"/>
  <c r="L380" i="6"/>
  <c r="D380" i="6"/>
  <c r="U379" i="6"/>
  <c r="L379" i="6"/>
  <c r="D379" i="6"/>
  <c r="U378" i="6"/>
  <c r="L378" i="6"/>
  <c r="D378" i="6"/>
  <c r="U377" i="6"/>
  <c r="L377" i="6"/>
  <c r="D377" i="6"/>
  <c r="U376" i="6"/>
  <c r="L376" i="6"/>
  <c r="D376" i="6"/>
  <c r="U375" i="6"/>
  <c r="L375" i="6"/>
  <c r="D375" i="6"/>
  <c r="U374" i="6"/>
  <c r="L374" i="6"/>
  <c r="D374" i="6"/>
  <c r="U373" i="6"/>
  <c r="L373" i="6"/>
  <c r="D373" i="6"/>
  <c r="U372" i="6"/>
  <c r="L372" i="6"/>
  <c r="D372" i="6"/>
  <c r="U371" i="6"/>
  <c r="L371" i="6"/>
  <c r="D371" i="6"/>
  <c r="U370" i="6"/>
  <c r="L370" i="6"/>
  <c r="D370" i="6"/>
  <c r="U369" i="6"/>
  <c r="L369" i="6"/>
  <c r="D369" i="6"/>
  <c r="U368" i="6"/>
  <c r="L368" i="6"/>
  <c r="D368" i="6"/>
  <c r="U367" i="6"/>
  <c r="L367" i="6"/>
  <c r="D367" i="6"/>
  <c r="U366" i="6"/>
  <c r="L366" i="6"/>
  <c r="D366" i="6"/>
  <c r="U365" i="6"/>
  <c r="L365" i="6"/>
  <c r="D365" i="6"/>
  <c r="U364" i="6"/>
  <c r="L364" i="6"/>
  <c r="D364" i="6"/>
  <c r="U363" i="6"/>
  <c r="L363" i="6"/>
  <c r="D363" i="6"/>
  <c r="U362" i="6"/>
  <c r="L362" i="6"/>
  <c r="D362" i="6"/>
  <c r="U361" i="6"/>
  <c r="L361" i="6"/>
  <c r="D361" i="6"/>
  <c r="U360" i="6"/>
  <c r="L360" i="6"/>
  <c r="D360" i="6"/>
  <c r="U359" i="6"/>
  <c r="L359" i="6"/>
  <c r="A487" i="6"/>
  <c r="N465" i="6"/>
  <c r="K454" i="6"/>
  <c r="G447" i="6"/>
  <c r="Y440" i="6"/>
  <c r="F438" i="6"/>
  <c r="U435" i="6"/>
  <c r="L433" i="6"/>
  <c r="E431" i="6"/>
  <c r="N428" i="6"/>
  <c r="F426" i="6"/>
  <c r="D424" i="6"/>
  <c r="U421" i="6"/>
  <c r="S420" i="6"/>
  <c r="W419" i="6"/>
  <c r="X418" i="6"/>
  <c r="B418" i="6"/>
  <c r="F417" i="6"/>
  <c r="G416" i="6"/>
  <c r="P415" i="6"/>
  <c r="X414" i="6"/>
  <c r="G414" i="6"/>
  <c r="P413" i="6"/>
  <c r="X412" i="6"/>
  <c r="G412" i="6"/>
  <c r="P411" i="6"/>
  <c r="X410" i="6"/>
  <c r="G410" i="6"/>
  <c r="P409" i="6"/>
  <c r="X408" i="6"/>
  <c r="G408" i="6"/>
  <c r="P407" i="6"/>
  <c r="X406" i="6"/>
  <c r="G406" i="6"/>
  <c r="P405" i="6"/>
  <c r="X404" i="6"/>
  <c r="G404" i="6"/>
  <c r="T403" i="6"/>
  <c r="H403" i="6"/>
  <c r="W402" i="6"/>
  <c r="K402" i="6"/>
  <c r="C402" i="6"/>
  <c r="T401" i="6"/>
  <c r="K401" i="6"/>
  <c r="C401" i="6"/>
  <c r="T400" i="6"/>
  <c r="K400" i="6"/>
  <c r="C400" i="6"/>
  <c r="T399" i="6"/>
  <c r="K399" i="6"/>
  <c r="C399" i="6"/>
  <c r="T398" i="6"/>
  <c r="K398" i="6"/>
  <c r="C398" i="6"/>
  <c r="T397" i="6"/>
  <c r="K397" i="6"/>
  <c r="C397" i="6"/>
  <c r="T396" i="6"/>
  <c r="K396" i="6"/>
  <c r="C396" i="6"/>
  <c r="T395" i="6"/>
  <c r="K395" i="6"/>
  <c r="C395" i="6"/>
  <c r="T394" i="6"/>
  <c r="K394" i="6"/>
  <c r="C394" i="6"/>
  <c r="T393" i="6"/>
  <c r="K393" i="6"/>
  <c r="C393" i="6"/>
  <c r="T392" i="6"/>
  <c r="K392" i="6"/>
  <c r="C392" i="6"/>
  <c r="T391" i="6"/>
  <c r="K391" i="6"/>
  <c r="C391" i="6"/>
  <c r="T390" i="6"/>
  <c r="K390" i="6"/>
  <c r="C390" i="6"/>
  <c r="T389" i="6"/>
  <c r="K389" i="6"/>
  <c r="C389" i="6"/>
  <c r="T388" i="6"/>
  <c r="K388" i="6"/>
  <c r="C388" i="6"/>
  <c r="T387" i="6"/>
  <c r="K387" i="6"/>
  <c r="C387" i="6"/>
  <c r="T386" i="6"/>
  <c r="K386" i="6"/>
  <c r="C386" i="6"/>
  <c r="T385" i="6"/>
  <c r="K385" i="6"/>
  <c r="C385" i="6"/>
  <c r="T384" i="6"/>
  <c r="K384" i="6"/>
  <c r="C384" i="6"/>
  <c r="T383" i="6"/>
  <c r="K383" i="6"/>
  <c r="C383" i="6"/>
  <c r="T382" i="6"/>
  <c r="K382" i="6"/>
  <c r="C382" i="6"/>
  <c r="T381" i="6"/>
  <c r="K381" i="6"/>
  <c r="C381" i="6"/>
  <c r="T380" i="6"/>
  <c r="K380" i="6"/>
  <c r="C380" i="6"/>
  <c r="T379" i="6"/>
  <c r="K379" i="6"/>
  <c r="C379" i="6"/>
  <c r="T378" i="6"/>
  <c r="K378" i="6"/>
  <c r="C378" i="6"/>
  <c r="T377" i="6"/>
  <c r="K377" i="6"/>
  <c r="C377" i="6"/>
  <c r="T376" i="6"/>
  <c r="K376" i="6"/>
  <c r="C376" i="6"/>
  <c r="T375" i="6"/>
  <c r="K375" i="6"/>
  <c r="C375" i="6"/>
  <c r="T374" i="6"/>
  <c r="K374" i="6"/>
  <c r="C374" i="6"/>
  <c r="T373" i="6"/>
  <c r="K373" i="6"/>
  <c r="C373" i="6"/>
  <c r="T372" i="6"/>
  <c r="K372" i="6"/>
  <c r="C372" i="6"/>
  <c r="T371" i="6"/>
  <c r="K371" i="6"/>
  <c r="C371" i="6"/>
  <c r="T370" i="6"/>
  <c r="K370" i="6"/>
  <c r="C370" i="6"/>
  <c r="T369" i="6"/>
  <c r="K369" i="6"/>
  <c r="C369" i="6"/>
  <c r="T368" i="6"/>
  <c r="K368" i="6"/>
  <c r="C368" i="6"/>
  <c r="T367" i="6"/>
  <c r="K367" i="6"/>
  <c r="C367" i="6"/>
  <c r="T366" i="6"/>
  <c r="K366" i="6"/>
  <c r="C366" i="6"/>
  <c r="T365" i="6"/>
  <c r="K365" i="6"/>
  <c r="C365" i="6"/>
  <c r="T364" i="6"/>
  <c r="K364" i="6"/>
  <c r="C364" i="6"/>
  <c r="T363" i="6"/>
  <c r="K363" i="6"/>
  <c r="C363" i="6"/>
  <c r="T362" i="6"/>
  <c r="K362" i="6"/>
  <c r="C362" i="6"/>
  <c r="T361" i="6"/>
  <c r="K361" i="6"/>
  <c r="C361" i="6"/>
  <c r="R486" i="6"/>
  <c r="P463" i="6"/>
  <c r="Q452" i="6"/>
  <c r="F447" i="6"/>
  <c r="H440" i="6"/>
  <c r="V437" i="6"/>
  <c r="N435" i="6"/>
  <c r="D433" i="6"/>
  <c r="U430" i="6"/>
  <c r="M428" i="6"/>
  <c r="W425" i="6"/>
  <c r="N423" i="6"/>
  <c r="S421" i="6"/>
  <c r="P420" i="6"/>
  <c r="S419" i="6"/>
  <c r="W418" i="6"/>
  <c r="X417" i="6"/>
  <c r="B417" i="6"/>
  <c r="F416" i="6"/>
  <c r="N415" i="6"/>
  <c r="W414" i="6"/>
  <c r="F414" i="6"/>
  <c r="N413" i="6"/>
  <c r="W412" i="6"/>
  <c r="F412" i="6"/>
  <c r="N411" i="6"/>
  <c r="W410" i="6"/>
  <c r="F410" i="6"/>
  <c r="N409" i="6"/>
  <c r="W408" i="6"/>
  <c r="F408" i="6"/>
  <c r="N407" i="6"/>
  <c r="W406" i="6"/>
  <c r="F406" i="6"/>
  <c r="N405" i="6"/>
  <c r="W404" i="6"/>
  <c r="F404" i="6"/>
  <c r="S403" i="6"/>
  <c r="G403" i="6"/>
  <c r="U402" i="6"/>
  <c r="J402" i="6"/>
  <c r="B402" i="6"/>
  <c r="S401" i="6"/>
  <c r="J401" i="6"/>
  <c r="B401" i="6"/>
  <c r="S400" i="6"/>
  <c r="J400" i="6"/>
  <c r="B400" i="6"/>
  <c r="S399" i="6"/>
  <c r="J399" i="6"/>
  <c r="B399" i="6"/>
  <c r="S398" i="6"/>
  <c r="J398" i="6"/>
  <c r="B398" i="6"/>
  <c r="S397" i="6"/>
  <c r="J397" i="6"/>
  <c r="B397" i="6"/>
  <c r="S396" i="6"/>
  <c r="J396" i="6"/>
  <c r="B396" i="6"/>
  <c r="S395" i="6"/>
  <c r="J395" i="6"/>
  <c r="B395" i="6"/>
  <c r="S394" i="6"/>
  <c r="J394" i="6"/>
  <c r="B394" i="6"/>
  <c r="S393" i="6"/>
  <c r="J393" i="6"/>
  <c r="B393" i="6"/>
  <c r="S392" i="6"/>
  <c r="J392" i="6"/>
  <c r="B392" i="6"/>
  <c r="S391" i="6"/>
  <c r="J391" i="6"/>
  <c r="B391" i="6"/>
  <c r="S390" i="6"/>
  <c r="J390" i="6"/>
  <c r="B390" i="6"/>
  <c r="S389" i="6"/>
  <c r="J389" i="6"/>
  <c r="B389" i="6"/>
  <c r="S388" i="6"/>
  <c r="J388" i="6"/>
  <c r="B388" i="6"/>
  <c r="S387" i="6"/>
  <c r="J387" i="6"/>
  <c r="B387" i="6"/>
  <c r="S386" i="6"/>
  <c r="J386" i="6"/>
  <c r="B386" i="6"/>
  <c r="S385" i="6"/>
  <c r="J385" i="6"/>
  <c r="B385" i="6"/>
  <c r="S384" i="6"/>
  <c r="J384" i="6"/>
  <c r="B384" i="6"/>
  <c r="S383" i="6"/>
  <c r="J383" i="6"/>
  <c r="B383" i="6"/>
  <c r="S382" i="6"/>
  <c r="J382" i="6"/>
  <c r="B382" i="6"/>
  <c r="S381" i="6"/>
  <c r="J381" i="6"/>
  <c r="B381" i="6"/>
  <c r="S380" i="6"/>
  <c r="J380" i="6"/>
  <c r="B380" i="6"/>
  <c r="S379" i="6"/>
  <c r="J379" i="6"/>
  <c r="B379" i="6"/>
  <c r="S378" i="6"/>
  <c r="J378" i="6"/>
  <c r="B378" i="6"/>
  <c r="S377" i="6"/>
  <c r="J377" i="6"/>
  <c r="B377" i="6"/>
  <c r="S376" i="6"/>
  <c r="J376" i="6"/>
  <c r="B376" i="6"/>
  <c r="S375" i="6"/>
  <c r="J375" i="6"/>
  <c r="B375" i="6"/>
  <c r="S374" i="6"/>
  <c r="J374" i="6"/>
  <c r="B374" i="6"/>
  <c r="S373" i="6"/>
  <c r="J373" i="6"/>
  <c r="B373" i="6"/>
  <c r="S372" i="6"/>
  <c r="J372" i="6"/>
  <c r="B372" i="6"/>
  <c r="S371" i="6"/>
  <c r="J371" i="6"/>
  <c r="B371" i="6"/>
  <c r="S370" i="6"/>
  <c r="J370" i="6"/>
  <c r="B370" i="6"/>
  <c r="S369" i="6"/>
  <c r="J369" i="6"/>
  <c r="B369" i="6"/>
  <c r="S368" i="6"/>
  <c r="J368" i="6"/>
  <c r="B368" i="6"/>
  <c r="S367" i="6"/>
  <c r="J367" i="6"/>
  <c r="B367" i="6"/>
  <c r="S366" i="6"/>
  <c r="J366" i="6"/>
  <c r="B366" i="6"/>
  <c r="S365" i="6"/>
  <c r="J365" i="6"/>
  <c r="B365" i="6"/>
  <c r="S364" i="6"/>
  <c r="J364" i="6"/>
  <c r="B364" i="6"/>
  <c r="S363" i="6"/>
  <c r="J363" i="6"/>
  <c r="B363" i="6"/>
  <c r="S362" i="6"/>
  <c r="J362" i="6"/>
  <c r="B362" i="6"/>
  <c r="S361" i="6"/>
  <c r="J361" i="6"/>
  <c r="B361" i="6"/>
  <c r="S360" i="6"/>
  <c r="J360" i="6"/>
  <c r="B360" i="6"/>
  <c r="S359" i="6"/>
  <c r="J359" i="6"/>
  <c r="I480" i="6"/>
  <c r="N463" i="6"/>
  <c r="W451" i="6"/>
  <c r="P445" i="6"/>
  <c r="G440" i="6"/>
  <c r="M437" i="6"/>
  <c r="E435" i="6"/>
  <c r="W432" i="6"/>
  <c r="L430" i="6"/>
  <c r="D428" i="6"/>
  <c r="V425" i="6"/>
  <c r="F423" i="6"/>
  <c r="M421" i="6"/>
  <c r="N420" i="6"/>
  <c r="P419" i="6"/>
  <c r="S418" i="6"/>
  <c r="W417" i="6"/>
  <c r="X416" i="6"/>
  <c r="D416" i="6"/>
  <c r="L415" i="6"/>
  <c r="U414" i="6"/>
  <c r="D414" i="6"/>
  <c r="L413" i="6"/>
  <c r="U412" i="6"/>
  <c r="D412" i="6"/>
  <c r="L411" i="6"/>
  <c r="U410" i="6"/>
  <c r="D410" i="6"/>
  <c r="L409" i="6"/>
  <c r="U408" i="6"/>
  <c r="D408" i="6"/>
  <c r="L407" i="6"/>
  <c r="U406" i="6"/>
  <c r="D406" i="6"/>
  <c r="L405" i="6"/>
  <c r="U404" i="6"/>
  <c r="D404" i="6"/>
  <c r="Q403" i="6"/>
  <c r="F403" i="6"/>
  <c r="T402" i="6"/>
  <c r="I402" i="6"/>
  <c r="A402" i="6"/>
  <c r="R401" i="6"/>
  <c r="I401" i="6"/>
  <c r="A401" i="6"/>
  <c r="R400" i="6"/>
  <c r="I400" i="6"/>
  <c r="A400" i="6"/>
  <c r="R399" i="6"/>
  <c r="I399" i="6"/>
  <c r="A399" i="6"/>
  <c r="R398" i="6"/>
  <c r="I398" i="6"/>
  <c r="A398" i="6"/>
  <c r="R397" i="6"/>
  <c r="I397" i="6"/>
  <c r="A397" i="6"/>
  <c r="R396" i="6"/>
  <c r="I396" i="6"/>
  <c r="A396" i="6"/>
  <c r="R395" i="6"/>
  <c r="I395" i="6"/>
  <c r="A395" i="6"/>
  <c r="R394" i="6"/>
  <c r="I394" i="6"/>
  <c r="A394" i="6"/>
  <c r="R393" i="6"/>
  <c r="I393" i="6"/>
  <c r="A393" i="6"/>
  <c r="R392" i="6"/>
  <c r="I392" i="6"/>
  <c r="A392" i="6"/>
  <c r="R391" i="6"/>
  <c r="I391" i="6"/>
  <c r="A391" i="6"/>
  <c r="R390" i="6"/>
  <c r="I390" i="6"/>
  <c r="A390" i="6"/>
  <c r="R389" i="6"/>
  <c r="I389" i="6"/>
  <c r="A389" i="6"/>
  <c r="R388" i="6"/>
  <c r="I388" i="6"/>
  <c r="A388" i="6"/>
  <c r="R387" i="6"/>
  <c r="I387" i="6"/>
  <c r="A387" i="6"/>
  <c r="R386" i="6"/>
  <c r="I386" i="6"/>
  <c r="A386" i="6"/>
  <c r="R385" i="6"/>
  <c r="I385" i="6"/>
  <c r="A385" i="6"/>
  <c r="R384" i="6"/>
  <c r="I384" i="6"/>
  <c r="A384" i="6"/>
  <c r="R383" i="6"/>
  <c r="I383" i="6"/>
  <c r="A383" i="6"/>
  <c r="R382" i="6"/>
  <c r="I382" i="6"/>
  <c r="A382" i="6"/>
  <c r="R381" i="6"/>
  <c r="I381" i="6"/>
  <c r="A381" i="6"/>
  <c r="R380" i="6"/>
  <c r="I380" i="6"/>
  <c r="A380" i="6"/>
  <c r="R379" i="6"/>
  <c r="I379" i="6"/>
  <c r="A379" i="6"/>
  <c r="R378" i="6"/>
  <c r="I378" i="6"/>
  <c r="A378" i="6"/>
  <c r="R377" i="6"/>
  <c r="I377" i="6"/>
  <c r="A377" i="6"/>
  <c r="R376" i="6"/>
  <c r="I376" i="6"/>
  <c r="A376" i="6"/>
  <c r="R375" i="6"/>
  <c r="I375" i="6"/>
  <c r="A375" i="6"/>
  <c r="R374" i="6"/>
  <c r="I374" i="6"/>
  <c r="A374" i="6"/>
  <c r="R373" i="6"/>
  <c r="I373" i="6"/>
  <c r="A373" i="6"/>
  <c r="R372" i="6"/>
  <c r="I372" i="6"/>
  <c r="A372" i="6"/>
  <c r="R371" i="6"/>
  <c r="I371" i="6"/>
  <c r="A371" i="6"/>
  <c r="R370" i="6"/>
  <c r="I370" i="6"/>
  <c r="A370" i="6"/>
  <c r="R369" i="6"/>
  <c r="I369" i="6"/>
  <c r="A369" i="6"/>
  <c r="R368" i="6"/>
  <c r="I368" i="6"/>
  <c r="A368" i="6"/>
  <c r="R367" i="6"/>
  <c r="I367" i="6"/>
  <c r="A367" i="6"/>
  <c r="R366" i="6"/>
  <c r="I366" i="6"/>
  <c r="A366" i="6"/>
  <c r="R365" i="6"/>
  <c r="I365" i="6"/>
  <c r="A365" i="6"/>
  <c r="R364" i="6"/>
  <c r="I364" i="6"/>
  <c r="A364" i="6"/>
  <c r="R363" i="6"/>
  <c r="I363" i="6"/>
  <c r="A363" i="6"/>
  <c r="R362" i="6"/>
  <c r="I362" i="6"/>
  <c r="A362" i="6"/>
  <c r="R361" i="6"/>
  <c r="I361" i="6"/>
  <c r="A361" i="6"/>
  <c r="R360" i="6"/>
  <c r="Y475" i="6"/>
  <c r="N461" i="6"/>
  <c r="Q451" i="6"/>
  <c r="Q444" i="6"/>
  <c r="P439" i="6"/>
  <c r="L437" i="6"/>
  <c r="V434" i="6"/>
  <c r="M432" i="6"/>
  <c r="F430" i="6"/>
  <c r="U427" i="6"/>
  <c r="L425" i="6"/>
  <c r="E423" i="6"/>
  <c r="I421" i="6"/>
  <c r="J420" i="6"/>
  <c r="N419" i="6"/>
  <c r="P418" i="6"/>
  <c r="S417" i="6"/>
  <c r="W416" i="6"/>
  <c r="B416" i="6"/>
  <c r="J415" i="6"/>
  <c r="S414" i="6"/>
  <c r="B414" i="6"/>
  <c r="J413" i="6"/>
  <c r="S412" i="6"/>
  <c r="B412" i="6"/>
  <c r="J411" i="6"/>
  <c r="S410" i="6"/>
  <c r="B410" i="6"/>
  <c r="J409" i="6"/>
  <c r="S408" i="6"/>
  <c r="B408" i="6"/>
  <c r="J407" i="6"/>
  <c r="S406" i="6"/>
  <c r="B406" i="6"/>
  <c r="J405" i="6"/>
  <c r="S404" i="6"/>
  <c r="B404" i="6"/>
  <c r="P403" i="6"/>
  <c r="D403" i="6"/>
  <c r="S402" i="6"/>
  <c r="H402" i="6"/>
  <c r="Y401" i="6"/>
  <c r="Q401" i="6"/>
  <c r="H401" i="6"/>
  <c r="Y400" i="6"/>
  <c r="Q400" i="6"/>
  <c r="H400" i="6"/>
  <c r="Y399" i="6"/>
  <c r="Q399" i="6"/>
  <c r="H399" i="6"/>
  <c r="Y398" i="6"/>
  <c r="Q398" i="6"/>
  <c r="H398" i="6"/>
  <c r="Y397" i="6"/>
  <c r="Q397" i="6"/>
  <c r="H397" i="6"/>
  <c r="Y396" i="6"/>
  <c r="Q396" i="6"/>
  <c r="H396" i="6"/>
  <c r="Y395" i="6"/>
  <c r="Q395" i="6"/>
  <c r="H395" i="6"/>
  <c r="Y394" i="6"/>
  <c r="Q394" i="6"/>
  <c r="H394" i="6"/>
  <c r="Y393" i="6"/>
  <c r="Q393" i="6"/>
  <c r="H393" i="6"/>
  <c r="Y392" i="6"/>
  <c r="Q392" i="6"/>
  <c r="H392" i="6"/>
  <c r="Y391" i="6"/>
  <c r="Q391" i="6"/>
  <c r="H391" i="6"/>
  <c r="Y390" i="6"/>
  <c r="Q390" i="6"/>
  <c r="H390" i="6"/>
  <c r="Y389" i="6"/>
  <c r="Q389" i="6"/>
  <c r="H389" i="6"/>
  <c r="Y388" i="6"/>
  <c r="Q388" i="6"/>
  <c r="H388" i="6"/>
  <c r="Y387" i="6"/>
  <c r="Q387" i="6"/>
  <c r="H387" i="6"/>
  <c r="Y386" i="6"/>
  <c r="Q386" i="6"/>
  <c r="H386" i="6"/>
  <c r="Y385" i="6"/>
  <c r="Q385" i="6"/>
  <c r="H385" i="6"/>
  <c r="Y384" i="6"/>
  <c r="Q384" i="6"/>
  <c r="H384" i="6"/>
  <c r="Y383" i="6"/>
  <c r="Q383" i="6"/>
  <c r="H383" i="6"/>
  <c r="Y382" i="6"/>
  <c r="Q382" i="6"/>
  <c r="H382" i="6"/>
  <c r="Y381" i="6"/>
  <c r="Q381" i="6"/>
  <c r="H381" i="6"/>
  <c r="Y380" i="6"/>
  <c r="Q380" i="6"/>
  <c r="H380" i="6"/>
  <c r="Y379" i="6"/>
  <c r="Q379" i="6"/>
  <c r="H379" i="6"/>
  <c r="Y378" i="6"/>
  <c r="Q378" i="6"/>
  <c r="H378" i="6"/>
  <c r="Y377" i="6"/>
  <c r="Q377" i="6"/>
  <c r="H377" i="6"/>
  <c r="Y376" i="6"/>
  <c r="Q376" i="6"/>
  <c r="H376" i="6"/>
  <c r="Y375" i="6"/>
  <c r="Q375" i="6"/>
  <c r="H375" i="6"/>
  <c r="Y374" i="6"/>
  <c r="Q374" i="6"/>
  <c r="H374" i="6"/>
  <c r="Y373" i="6"/>
  <c r="Q373" i="6"/>
  <c r="H373" i="6"/>
  <c r="Y372" i="6"/>
  <c r="Q372" i="6"/>
  <c r="H372" i="6"/>
  <c r="Y371" i="6"/>
  <c r="Q371" i="6"/>
  <c r="H371" i="6"/>
  <c r="Y370" i="6"/>
  <c r="Q370" i="6"/>
  <c r="H370" i="6"/>
  <c r="Y369" i="6"/>
  <c r="Q369" i="6"/>
  <c r="H369" i="6"/>
  <c r="Y368" i="6"/>
  <c r="Q368" i="6"/>
  <c r="H368" i="6"/>
  <c r="Y367" i="6"/>
  <c r="Q367" i="6"/>
  <c r="H367" i="6"/>
  <c r="Y366" i="6"/>
  <c r="Q366" i="6"/>
  <c r="H366" i="6"/>
  <c r="Y365" i="6"/>
  <c r="Q365" i="6"/>
  <c r="H365" i="6"/>
  <c r="Y364" i="6"/>
  <c r="Q364" i="6"/>
  <c r="H364" i="6"/>
  <c r="Y363" i="6"/>
  <c r="Q363" i="6"/>
  <c r="H363" i="6"/>
  <c r="Y362" i="6"/>
  <c r="Q362" i="6"/>
  <c r="H362" i="6"/>
  <c r="Y361" i="6"/>
  <c r="Q361" i="6"/>
  <c r="H361" i="6"/>
  <c r="Y360" i="6"/>
  <c r="Q360" i="6"/>
  <c r="H360" i="6"/>
  <c r="Y359" i="6"/>
  <c r="Q359" i="6"/>
  <c r="H359" i="6"/>
  <c r="H473" i="6"/>
  <c r="F449" i="6"/>
  <c r="N436" i="6"/>
  <c r="V429" i="6"/>
  <c r="M424" i="6"/>
  <c r="F420" i="6"/>
  <c r="P417" i="6"/>
  <c r="U415" i="6"/>
  <c r="W413" i="6"/>
  <c r="X411" i="6"/>
  <c r="L410" i="6"/>
  <c r="N408" i="6"/>
  <c r="P406" i="6"/>
  <c r="D405" i="6"/>
  <c r="L403" i="6"/>
  <c r="G402" i="6"/>
  <c r="M401" i="6"/>
  <c r="N400" i="6"/>
  <c r="P399" i="6"/>
  <c r="V398" i="6"/>
  <c r="W397" i="6"/>
  <c r="X396" i="6"/>
  <c r="E396" i="6"/>
  <c r="F395" i="6"/>
  <c r="G394" i="6"/>
  <c r="M393" i="6"/>
  <c r="N392" i="6"/>
  <c r="P391" i="6"/>
  <c r="V390" i="6"/>
  <c r="W389" i="6"/>
  <c r="X388" i="6"/>
  <c r="E388" i="6"/>
  <c r="F387" i="6"/>
  <c r="G386" i="6"/>
  <c r="M385" i="6"/>
  <c r="N384" i="6"/>
  <c r="P383" i="6"/>
  <c r="V382" i="6"/>
  <c r="W381" i="6"/>
  <c r="X380" i="6"/>
  <c r="E380" i="6"/>
  <c r="F379" i="6"/>
  <c r="G378" i="6"/>
  <c r="M377" i="6"/>
  <c r="N376" i="6"/>
  <c r="P375" i="6"/>
  <c r="V374" i="6"/>
  <c r="W373" i="6"/>
  <c r="X372" i="6"/>
  <c r="E372" i="6"/>
  <c r="F371" i="6"/>
  <c r="G370" i="6"/>
  <c r="M369" i="6"/>
  <c r="N368" i="6"/>
  <c r="P367" i="6"/>
  <c r="V366" i="6"/>
  <c r="W365" i="6"/>
  <c r="X364" i="6"/>
  <c r="E364" i="6"/>
  <c r="F363" i="6"/>
  <c r="G362" i="6"/>
  <c r="M361" i="6"/>
  <c r="P360" i="6"/>
  <c r="C360" i="6"/>
  <c r="N359" i="6"/>
  <c r="C359" i="6"/>
  <c r="T358" i="6"/>
  <c r="K358" i="6"/>
  <c r="C358" i="6"/>
  <c r="T357" i="6"/>
  <c r="K357" i="6"/>
  <c r="C357" i="6"/>
  <c r="T356" i="6"/>
  <c r="K356" i="6"/>
  <c r="C356" i="6"/>
  <c r="T355" i="6"/>
  <c r="K355" i="6"/>
  <c r="C355" i="6"/>
  <c r="T354" i="6"/>
  <c r="K354" i="6"/>
  <c r="C354" i="6"/>
  <c r="T353" i="6"/>
  <c r="K353" i="6"/>
  <c r="C353" i="6"/>
  <c r="T352" i="6"/>
  <c r="K352" i="6"/>
  <c r="C352" i="6"/>
  <c r="T351" i="6"/>
  <c r="K351" i="6"/>
  <c r="C351" i="6"/>
  <c r="T350" i="6"/>
  <c r="K350" i="6"/>
  <c r="C350" i="6"/>
  <c r="T349" i="6"/>
  <c r="K349" i="6"/>
  <c r="C349" i="6"/>
  <c r="T348" i="6"/>
  <c r="K348" i="6"/>
  <c r="C348" i="6"/>
  <c r="T347" i="6"/>
  <c r="K347" i="6"/>
  <c r="C347" i="6"/>
  <c r="T346" i="6"/>
  <c r="K346" i="6"/>
  <c r="C346" i="6"/>
  <c r="T345" i="6"/>
  <c r="K345" i="6"/>
  <c r="C345" i="6"/>
  <c r="T344" i="6"/>
  <c r="K344" i="6"/>
  <c r="C344" i="6"/>
  <c r="T343" i="6"/>
  <c r="K343" i="6"/>
  <c r="C343" i="6"/>
  <c r="T342" i="6"/>
  <c r="K342" i="6"/>
  <c r="C342" i="6"/>
  <c r="T341" i="6"/>
  <c r="K341" i="6"/>
  <c r="C341" i="6"/>
  <c r="T340" i="6"/>
  <c r="K340" i="6"/>
  <c r="C340" i="6"/>
  <c r="T339" i="6"/>
  <c r="K339" i="6"/>
  <c r="C339" i="6"/>
  <c r="T338" i="6"/>
  <c r="K338" i="6"/>
  <c r="C338" i="6"/>
  <c r="T337" i="6"/>
  <c r="K337" i="6"/>
  <c r="C337" i="6"/>
  <c r="T336" i="6"/>
  <c r="K336" i="6"/>
  <c r="C336" i="6"/>
  <c r="T335" i="6"/>
  <c r="K335" i="6"/>
  <c r="C335" i="6"/>
  <c r="T334" i="6"/>
  <c r="K334" i="6"/>
  <c r="C334" i="6"/>
  <c r="T333" i="6"/>
  <c r="K333" i="6"/>
  <c r="C333" i="6"/>
  <c r="T332" i="6"/>
  <c r="K332" i="6"/>
  <c r="C332" i="6"/>
  <c r="T331" i="6"/>
  <c r="K331" i="6"/>
  <c r="C331" i="6"/>
  <c r="T330" i="6"/>
  <c r="K330" i="6"/>
  <c r="C330" i="6"/>
  <c r="T329" i="6"/>
  <c r="K329" i="6"/>
  <c r="C329" i="6"/>
  <c r="T328" i="6"/>
  <c r="K328" i="6"/>
  <c r="C328" i="6"/>
  <c r="T327" i="6"/>
  <c r="K327" i="6"/>
  <c r="C327" i="6"/>
  <c r="T326" i="6"/>
  <c r="K326" i="6"/>
  <c r="C326" i="6"/>
  <c r="T325" i="6"/>
  <c r="K325" i="6"/>
  <c r="C325" i="6"/>
  <c r="T324" i="6"/>
  <c r="K324" i="6"/>
  <c r="C324" i="6"/>
  <c r="T323" i="6"/>
  <c r="K323" i="6"/>
  <c r="H470" i="6"/>
  <c r="P444" i="6"/>
  <c r="M436" i="6"/>
  <c r="M429" i="6"/>
  <c r="U422" i="6"/>
  <c r="B420" i="6"/>
  <c r="N417" i="6"/>
  <c r="G415" i="6"/>
  <c r="U413" i="6"/>
  <c r="W411" i="6"/>
  <c r="X409" i="6"/>
  <c r="L408" i="6"/>
  <c r="N406" i="6"/>
  <c r="P404" i="6"/>
  <c r="K403" i="6"/>
  <c r="F402" i="6"/>
  <c r="G401" i="6"/>
  <c r="M400" i="6"/>
  <c r="N399" i="6"/>
  <c r="P398" i="6"/>
  <c r="V397" i="6"/>
  <c r="W396" i="6"/>
  <c r="X395" i="6"/>
  <c r="E395" i="6"/>
  <c r="F394" i="6"/>
  <c r="G393" i="6"/>
  <c r="M392" i="6"/>
  <c r="N391" i="6"/>
  <c r="P390" i="6"/>
  <c r="V389" i="6"/>
  <c r="W388" i="6"/>
  <c r="X387" i="6"/>
  <c r="E387" i="6"/>
  <c r="F386" i="6"/>
  <c r="G385" i="6"/>
  <c r="M384" i="6"/>
  <c r="N383" i="6"/>
  <c r="P382" i="6"/>
  <c r="V381" i="6"/>
  <c r="W380" i="6"/>
  <c r="X379" i="6"/>
  <c r="E379" i="6"/>
  <c r="F378" i="6"/>
  <c r="G377" i="6"/>
  <c r="M376" i="6"/>
  <c r="N375" i="6"/>
  <c r="P374" i="6"/>
  <c r="V373" i="6"/>
  <c r="W372" i="6"/>
  <c r="X371" i="6"/>
  <c r="E371" i="6"/>
  <c r="F370" i="6"/>
  <c r="G369" i="6"/>
  <c r="M368" i="6"/>
  <c r="N367" i="6"/>
  <c r="P366" i="6"/>
  <c r="V365" i="6"/>
  <c r="W364" i="6"/>
  <c r="X363" i="6"/>
  <c r="E363" i="6"/>
  <c r="F362" i="6"/>
  <c r="G361" i="6"/>
  <c r="N360" i="6"/>
  <c r="A360" i="6"/>
  <c r="M359" i="6"/>
  <c r="B359" i="6"/>
  <c r="S358" i="6"/>
  <c r="J358" i="6"/>
  <c r="B358" i="6"/>
  <c r="S357" i="6"/>
  <c r="J357" i="6"/>
  <c r="B357" i="6"/>
  <c r="S356" i="6"/>
  <c r="J356" i="6"/>
  <c r="B356" i="6"/>
  <c r="S355" i="6"/>
  <c r="J355" i="6"/>
  <c r="B355" i="6"/>
  <c r="S354" i="6"/>
  <c r="J354" i="6"/>
  <c r="B354" i="6"/>
  <c r="S353" i="6"/>
  <c r="J353" i="6"/>
  <c r="B353" i="6"/>
  <c r="S352" i="6"/>
  <c r="J352" i="6"/>
  <c r="B352" i="6"/>
  <c r="S351" i="6"/>
  <c r="J351" i="6"/>
  <c r="B351" i="6"/>
  <c r="S350" i="6"/>
  <c r="J350" i="6"/>
  <c r="B350" i="6"/>
  <c r="S349" i="6"/>
  <c r="J349" i="6"/>
  <c r="B349" i="6"/>
  <c r="S348" i="6"/>
  <c r="J348" i="6"/>
  <c r="B348" i="6"/>
  <c r="S347" i="6"/>
  <c r="J347" i="6"/>
  <c r="B347" i="6"/>
  <c r="S346" i="6"/>
  <c r="J346" i="6"/>
  <c r="B346" i="6"/>
  <c r="S345" i="6"/>
  <c r="J345" i="6"/>
  <c r="B345" i="6"/>
  <c r="S344" i="6"/>
  <c r="J344" i="6"/>
  <c r="B344" i="6"/>
  <c r="S343" i="6"/>
  <c r="J343" i="6"/>
  <c r="B343" i="6"/>
  <c r="S342" i="6"/>
  <c r="J342" i="6"/>
  <c r="B342" i="6"/>
  <c r="S341" i="6"/>
  <c r="J341" i="6"/>
  <c r="B341" i="6"/>
  <c r="S340" i="6"/>
  <c r="J340" i="6"/>
  <c r="B340" i="6"/>
  <c r="S339" i="6"/>
  <c r="J339" i="6"/>
  <c r="B339" i="6"/>
  <c r="S338" i="6"/>
  <c r="J338" i="6"/>
  <c r="B338" i="6"/>
  <c r="S337" i="6"/>
  <c r="J337" i="6"/>
  <c r="B337" i="6"/>
  <c r="S336" i="6"/>
  <c r="J336" i="6"/>
  <c r="B336" i="6"/>
  <c r="S335" i="6"/>
  <c r="J335" i="6"/>
  <c r="B335" i="6"/>
  <c r="S334" i="6"/>
  <c r="J334" i="6"/>
  <c r="B334" i="6"/>
  <c r="S333" i="6"/>
  <c r="J333" i="6"/>
  <c r="B333" i="6"/>
  <c r="S332" i="6"/>
  <c r="J332" i="6"/>
  <c r="B332" i="6"/>
  <c r="S331" i="6"/>
  <c r="J331" i="6"/>
  <c r="B331" i="6"/>
  <c r="S330" i="6"/>
  <c r="J330" i="6"/>
  <c r="B330" i="6"/>
  <c r="S329" i="6"/>
  <c r="J329" i="6"/>
  <c r="B329" i="6"/>
  <c r="S328" i="6"/>
  <c r="J328" i="6"/>
  <c r="B328" i="6"/>
  <c r="S327" i="6"/>
  <c r="J327" i="6"/>
  <c r="B327" i="6"/>
  <c r="S326" i="6"/>
  <c r="J326" i="6"/>
  <c r="B326" i="6"/>
  <c r="S325" i="6"/>
  <c r="J325" i="6"/>
  <c r="W468" i="6"/>
  <c r="P443" i="6"/>
  <c r="U434" i="6"/>
  <c r="L429" i="6"/>
  <c r="L422" i="6"/>
  <c r="J419" i="6"/>
  <c r="J417" i="6"/>
  <c r="F415" i="6"/>
  <c r="G413" i="6"/>
  <c r="U411" i="6"/>
  <c r="W409" i="6"/>
  <c r="X407" i="6"/>
  <c r="L406" i="6"/>
  <c r="N404" i="6"/>
  <c r="C403" i="6"/>
  <c r="E402" i="6"/>
  <c r="F401" i="6"/>
  <c r="G400" i="6"/>
  <c r="M399" i="6"/>
  <c r="N398" i="6"/>
  <c r="P397" i="6"/>
  <c r="V396" i="6"/>
  <c r="W395" i="6"/>
  <c r="X394" i="6"/>
  <c r="E394" i="6"/>
  <c r="F393" i="6"/>
  <c r="G392" i="6"/>
  <c r="M391" i="6"/>
  <c r="N390" i="6"/>
  <c r="P389" i="6"/>
  <c r="V388" i="6"/>
  <c r="W387" i="6"/>
  <c r="X386" i="6"/>
  <c r="E386" i="6"/>
  <c r="F385" i="6"/>
  <c r="G384" i="6"/>
  <c r="M383" i="6"/>
  <c r="N382" i="6"/>
  <c r="P381" i="6"/>
  <c r="V380" i="6"/>
  <c r="W379" i="6"/>
  <c r="X378" i="6"/>
  <c r="E378" i="6"/>
  <c r="F377" i="6"/>
  <c r="G376" i="6"/>
  <c r="M375" i="6"/>
  <c r="N374" i="6"/>
  <c r="P373" i="6"/>
  <c r="V372" i="6"/>
  <c r="W371" i="6"/>
  <c r="X370" i="6"/>
  <c r="E370" i="6"/>
  <c r="F369" i="6"/>
  <c r="G368" i="6"/>
  <c r="M367" i="6"/>
  <c r="N366" i="6"/>
  <c r="P365" i="6"/>
  <c r="V364" i="6"/>
  <c r="W363" i="6"/>
  <c r="X362" i="6"/>
  <c r="E362" i="6"/>
  <c r="F361" i="6"/>
  <c r="M360" i="6"/>
  <c r="X359" i="6"/>
  <c r="K359" i="6"/>
  <c r="A359" i="6"/>
  <c r="R358" i="6"/>
  <c r="I358" i="6"/>
  <c r="A358" i="6"/>
  <c r="R357" i="6"/>
  <c r="I357" i="6"/>
  <c r="A357" i="6"/>
  <c r="R356" i="6"/>
  <c r="I356" i="6"/>
  <c r="A356" i="6"/>
  <c r="R355" i="6"/>
  <c r="I355" i="6"/>
  <c r="A355" i="6"/>
  <c r="R354" i="6"/>
  <c r="I354" i="6"/>
  <c r="A354" i="6"/>
  <c r="R353" i="6"/>
  <c r="I353" i="6"/>
  <c r="A353" i="6"/>
  <c r="R352" i="6"/>
  <c r="I352" i="6"/>
  <c r="A352" i="6"/>
  <c r="R351" i="6"/>
  <c r="I351" i="6"/>
  <c r="A351" i="6"/>
  <c r="R350" i="6"/>
  <c r="I350" i="6"/>
  <c r="A350" i="6"/>
  <c r="R349" i="6"/>
  <c r="I349" i="6"/>
  <c r="A349" i="6"/>
  <c r="R348" i="6"/>
  <c r="I348" i="6"/>
  <c r="A348" i="6"/>
  <c r="R347" i="6"/>
  <c r="I347" i="6"/>
  <c r="A347" i="6"/>
  <c r="R346" i="6"/>
  <c r="I346" i="6"/>
  <c r="A346" i="6"/>
  <c r="R345" i="6"/>
  <c r="I345" i="6"/>
  <c r="A345" i="6"/>
  <c r="R344" i="6"/>
  <c r="I344" i="6"/>
  <c r="A344" i="6"/>
  <c r="R343" i="6"/>
  <c r="I343" i="6"/>
  <c r="A343" i="6"/>
  <c r="R342" i="6"/>
  <c r="I342" i="6"/>
  <c r="A342" i="6"/>
  <c r="R341" i="6"/>
  <c r="I341" i="6"/>
  <c r="A341" i="6"/>
  <c r="R340" i="6"/>
  <c r="I340" i="6"/>
  <c r="A340" i="6"/>
  <c r="R339" i="6"/>
  <c r="I339" i="6"/>
  <c r="A339" i="6"/>
  <c r="R338" i="6"/>
  <c r="I338" i="6"/>
  <c r="A338" i="6"/>
  <c r="R337" i="6"/>
  <c r="I337" i="6"/>
  <c r="A337" i="6"/>
  <c r="R336" i="6"/>
  <c r="I336" i="6"/>
  <c r="A336" i="6"/>
  <c r="R335" i="6"/>
  <c r="I335" i="6"/>
  <c r="A335" i="6"/>
  <c r="R334" i="6"/>
  <c r="I334" i="6"/>
  <c r="A334" i="6"/>
  <c r="R333" i="6"/>
  <c r="I333" i="6"/>
  <c r="A333" i="6"/>
  <c r="R332" i="6"/>
  <c r="I332" i="6"/>
  <c r="A332" i="6"/>
  <c r="R331" i="6"/>
  <c r="I331" i="6"/>
  <c r="A331" i="6"/>
  <c r="R330" i="6"/>
  <c r="I330" i="6"/>
  <c r="A330" i="6"/>
  <c r="R329" i="6"/>
  <c r="I329" i="6"/>
  <c r="A329" i="6"/>
  <c r="R328" i="6"/>
  <c r="I328" i="6"/>
  <c r="A328" i="6"/>
  <c r="R327" i="6"/>
  <c r="I327" i="6"/>
  <c r="A327" i="6"/>
  <c r="R326" i="6"/>
  <c r="I326" i="6"/>
  <c r="A326" i="6"/>
  <c r="R325" i="6"/>
  <c r="I325" i="6"/>
  <c r="A325" i="6"/>
  <c r="R324" i="6"/>
  <c r="I324" i="6"/>
  <c r="P459" i="6"/>
  <c r="Q442" i="6"/>
  <c r="F434" i="6"/>
  <c r="N427" i="6"/>
  <c r="G422" i="6"/>
  <c r="G419" i="6"/>
  <c r="S416" i="6"/>
  <c r="D415" i="6"/>
  <c r="F413" i="6"/>
  <c r="G411" i="6"/>
  <c r="U409" i="6"/>
  <c r="W407" i="6"/>
  <c r="X405" i="6"/>
  <c r="L404" i="6"/>
  <c r="B403" i="6"/>
  <c r="X401" i="6"/>
  <c r="E401" i="6"/>
  <c r="F400" i="6"/>
  <c r="G399" i="6"/>
  <c r="M398" i="6"/>
  <c r="N397" i="6"/>
  <c r="P396" i="6"/>
  <c r="V395" i="6"/>
  <c r="W394" i="6"/>
  <c r="X393" i="6"/>
  <c r="E393" i="6"/>
  <c r="F392" i="6"/>
  <c r="G391" i="6"/>
  <c r="M390" i="6"/>
  <c r="N389" i="6"/>
  <c r="P388" i="6"/>
  <c r="V387" i="6"/>
  <c r="W386" i="6"/>
  <c r="X385" i="6"/>
  <c r="E385" i="6"/>
  <c r="F384" i="6"/>
  <c r="G383" i="6"/>
  <c r="M382" i="6"/>
  <c r="N381" i="6"/>
  <c r="P380" i="6"/>
  <c r="V379" i="6"/>
  <c r="W378" i="6"/>
  <c r="X377" i="6"/>
  <c r="E377" i="6"/>
  <c r="F376" i="6"/>
  <c r="G375" i="6"/>
  <c r="M374" i="6"/>
  <c r="N373" i="6"/>
  <c r="P372" i="6"/>
  <c r="V371" i="6"/>
  <c r="W370" i="6"/>
  <c r="X369" i="6"/>
  <c r="E369" i="6"/>
  <c r="F368" i="6"/>
  <c r="G367" i="6"/>
  <c r="M366" i="6"/>
  <c r="N365" i="6"/>
  <c r="P364" i="6"/>
  <c r="V363" i="6"/>
  <c r="W362" i="6"/>
  <c r="X361" i="6"/>
  <c r="E361" i="6"/>
  <c r="K360" i="6"/>
  <c r="W359" i="6"/>
  <c r="I359" i="6"/>
  <c r="Y358" i="6"/>
  <c r="Q358" i="6"/>
  <c r="H358" i="6"/>
  <c r="Y357" i="6"/>
  <c r="Q357" i="6"/>
  <c r="H357" i="6"/>
  <c r="Y356" i="6"/>
  <c r="Q356" i="6"/>
  <c r="H356" i="6"/>
  <c r="Y355" i="6"/>
  <c r="Q355" i="6"/>
  <c r="H355" i="6"/>
  <c r="Y354" i="6"/>
  <c r="Q354" i="6"/>
  <c r="H354" i="6"/>
  <c r="Y353" i="6"/>
  <c r="Q353" i="6"/>
  <c r="H353" i="6"/>
  <c r="Y352" i="6"/>
  <c r="Q352" i="6"/>
  <c r="H352" i="6"/>
  <c r="Y351" i="6"/>
  <c r="Q351" i="6"/>
  <c r="H351" i="6"/>
  <c r="Y350" i="6"/>
  <c r="Q350" i="6"/>
  <c r="H350" i="6"/>
  <c r="Y349" i="6"/>
  <c r="Q349" i="6"/>
  <c r="H349" i="6"/>
  <c r="Y348" i="6"/>
  <c r="Q348" i="6"/>
  <c r="H348" i="6"/>
  <c r="Y347" i="6"/>
  <c r="Q347" i="6"/>
  <c r="H347" i="6"/>
  <c r="Y346" i="6"/>
  <c r="Q346" i="6"/>
  <c r="H346" i="6"/>
  <c r="Y345" i="6"/>
  <c r="Q345" i="6"/>
  <c r="H345" i="6"/>
  <c r="Y344" i="6"/>
  <c r="Q344" i="6"/>
  <c r="H344" i="6"/>
  <c r="Y343" i="6"/>
  <c r="Q343" i="6"/>
  <c r="H343" i="6"/>
  <c r="Y342" i="6"/>
  <c r="Q342" i="6"/>
  <c r="H342" i="6"/>
  <c r="Y341" i="6"/>
  <c r="Q341" i="6"/>
  <c r="H341" i="6"/>
  <c r="Y340" i="6"/>
  <c r="Q340" i="6"/>
  <c r="H340" i="6"/>
  <c r="Y339" i="6"/>
  <c r="Q339" i="6"/>
  <c r="H339" i="6"/>
  <c r="Y338" i="6"/>
  <c r="Q338" i="6"/>
  <c r="H338" i="6"/>
  <c r="Y337" i="6"/>
  <c r="Q337" i="6"/>
  <c r="H337" i="6"/>
  <c r="Y336" i="6"/>
  <c r="Q336" i="6"/>
  <c r="H336" i="6"/>
  <c r="Y335" i="6"/>
  <c r="Q335" i="6"/>
  <c r="H335" i="6"/>
  <c r="Y334" i="6"/>
  <c r="Q334" i="6"/>
  <c r="H334" i="6"/>
  <c r="Y333" i="6"/>
  <c r="Q333" i="6"/>
  <c r="H333" i="6"/>
  <c r="Y332" i="6"/>
  <c r="Q332" i="6"/>
  <c r="H332" i="6"/>
  <c r="Y331" i="6"/>
  <c r="Q331" i="6"/>
  <c r="H331" i="6"/>
  <c r="Y330" i="6"/>
  <c r="Q330" i="6"/>
  <c r="H330" i="6"/>
  <c r="Y329" i="6"/>
  <c r="Q329" i="6"/>
  <c r="H329" i="6"/>
  <c r="Y328" i="6"/>
  <c r="Q328" i="6"/>
  <c r="H328" i="6"/>
  <c r="Y327" i="6"/>
  <c r="Q327" i="6"/>
  <c r="H327" i="6"/>
  <c r="Y326" i="6"/>
  <c r="Q326" i="6"/>
  <c r="H326" i="6"/>
  <c r="Y325" i="6"/>
  <c r="Q325" i="6"/>
  <c r="H325" i="6"/>
  <c r="G458" i="6"/>
  <c r="F439" i="6"/>
  <c r="W433" i="6"/>
  <c r="E427" i="6"/>
  <c r="H421" i="6"/>
  <c r="F419" i="6"/>
  <c r="P416" i="6"/>
  <c r="P414" i="6"/>
  <c r="D413" i="6"/>
  <c r="F411" i="6"/>
  <c r="G409" i="6"/>
  <c r="U407" i="6"/>
  <c r="W405" i="6"/>
  <c r="Y403" i="6"/>
  <c r="Y402" i="6"/>
  <c r="W401" i="6"/>
  <c r="X400" i="6"/>
  <c r="E400" i="6"/>
  <c r="F399" i="6"/>
  <c r="G398" i="6"/>
  <c r="M397" i="6"/>
  <c r="N396" i="6"/>
  <c r="P395" i="6"/>
  <c r="V394" i="6"/>
  <c r="W393" i="6"/>
  <c r="X392" i="6"/>
  <c r="E392" i="6"/>
  <c r="F391" i="6"/>
  <c r="G390" i="6"/>
  <c r="M389" i="6"/>
  <c r="N388" i="6"/>
  <c r="P387" i="6"/>
  <c r="V386" i="6"/>
  <c r="W385" i="6"/>
  <c r="X384" i="6"/>
  <c r="E384" i="6"/>
  <c r="F383" i="6"/>
  <c r="G382" i="6"/>
  <c r="M381" i="6"/>
  <c r="N380" i="6"/>
  <c r="P379" i="6"/>
  <c r="V378" i="6"/>
  <c r="W377" i="6"/>
  <c r="X376" i="6"/>
  <c r="E376" i="6"/>
  <c r="F375" i="6"/>
  <c r="G374" i="6"/>
  <c r="M373" i="6"/>
  <c r="N372" i="6"/>
  <c r="P371" i="6"/>
  <c r="V370" i="6"/>
  <c r="W369" i="6"/>
  <c r="X368" i="6"/>
  <c r="E368" i="6"/>
  <c r="F367" i="6"/>
  <c r="G366" i="6"/>
  <c r="M365" i="6"/>
  <c r="N364" i="6"/>
  <c r="P363" i="6"/>
  <c r="V362" i="6"/>
  <c r="W361" i="6"/>
  <c r="X360" i="6"/>
  <c r="I360" i="6"/>
  <c r="V359" i="6"/>
  <c r="G359" i="6"/>
  <c r="X358" i="6"/>
  <c r="P358" i="6"/>
  <c r="G358" i="6"/>
  <c r="X357" i="6"/>
  <c r="P357" i="6"/>
  <c r="G357" i="6"/>
  <c r="X356" i="6"/>
  <c r="P356" i="6"/>
  <c r="G356" i="6"/>
  <c r="X355" i="6"/>
  <c r="P355" i="6"/>
  <c r="G355" i="6"/>
  <c r="X354" i="6"/>
  <c r="P354" i="6"/>
  <c r="G354" i="6"/>
  <c r="X353" i="6"/>
  <c r="P353" i="6"/>
  <c r="G353" i="6"/>
  <c r="X352" i="6"/>
  <c r="P352" i="6"/>
  <c r="G352" i="6"/>
  <c r="X351" i="6"/>
  <c r="P351" i="6"/>
  <c r="G351" i="6"/>
  <c r="X350" i="6"/>
  <c r="P350" i="6"/>
  <c r="G350" i="6"/>
  <c r="X349" i="6"/>
  <c r="P349" i="6"/>
  <c r="G349" i="6"/>
  <c r="X348" i="6"/>
  <c r="P348" i="6"/>
  <c r="G348" i="6"/>
  <c r="X347" i="6"/>
  <c r="P347" i="6"/>
  <c r="G347" i="6"/>
  <c r="X346" i="6"/>
  <c r="P346" i="6"/>
  <c r="G346" i="6"/>
  <c r="X345" i="6"/>
  <c r="P345" i="6"/>
  <c r="G345" i="6"/>
  <c r="X344" i="6"/>
  <c r="P344" i="6"/>
  <c r="G344" i="6"/>
  <c r="X343" i="6"/>
  <c r="P343" i="6"/>
  <c r="G343" i="6"/>
  <c r="X342" i="6"/>
  <c r="P342" i="6"/>
  <c r="G342" i="6"/>
  <c r="X341" i="6"/>
  <c r="P341" i="6"/>
  <c r="G341" i="6"/>
  <c r="X340" i="6"/>
  <c r="P340" i="6"/>
  <c r="G340" i="6"/>
  <c r="X339" i="6"/>
  <c r="P339" i="6"/>
  <c r="G339" i="6"/>
  <c r="X338" i="6"/>
  <c r="P338" i="6"/>
  <c r="G338" i="6"/>
  <c r="X337" i="6"/>
  <c r="P337" i="6"/>
  <c r="G337" i="6"/>
  <c r="X336" i="6"/>
  <c r="P336" i="6"/>
  <c r="G336" i="6"/>
  <c r="X335" i="6"/>
  <c r="P335" i="6"/>
  <c r="G335" i="6"/>
  <c r="X334" i="6"/>
  <c r="P334" i="6"/>
  <c r="G334" i="6"/>
  <c r="X333" i="6"/>
  <c r="P333" i="6"/>
  <c r="G333" i="6"/>
  <c r="X332" i="6"/>
  <c r="P332" i="6"/>
  <c r="G332" i="6"/>
  <c r="X331" i="6"/>
  <c r="P331" i="6"/>
  <c r="G331" i="6"/>
  <c r="X330" i="6"/>
  <c r="P330" i="6"/>
  <c r="G330" i="6"/>
  <c r="X329" i="6"/>
  <c r="P329" i="6"/>
  <c r="G329" i="6"/>
  <c r="X328" i="6"/>
  <c r="P328" i="6"/>
  <c r="G328" i="6"/>
  <c r="X327" i="6"/>
  <c r="P327" i="6"/>
  <c r="G327" i="6"/>
  <c r="X326" i="6"/>
  <c r="P326" i="6"/>
  <c r="G326" i="6"/>
  <c r="X325" i="6"/>
  <c r="P325" i="6"/>
  <c r="G325" i="6"/>
  <c r="G456" i="6"/>
  <c r="N431" i="6"/>
  <c r="J418" i="6"/>
  <c r="P412" i="6"/>
  <c r="P408" i="6"/>
  <c r="W403" i="6"/>
  <c r="W400" i="6"/>
  <c r="W398" i="6"/>
  <c r="G396" i="6"/>
  <c r="V393" i="6"/>
  <c r="V391" i="6"/>
  <c r="F389" i="6"/>
  <c r="P386" i="6"/>
  <c r="P384" i="6"/>
  <c r="E382" i="6"/>
  <c r="N379" i="6"/>
  <c r="N377" i="6"/>
  <c r="X374" i="6"/>
  <c r="M372" i="6"/>
  <c r="M370" i="6"/>
  <c r="W367" i="6"/>
  <c r="G365" i="6"/>
  <c r="G363" i="6"/>
  <c r="V360" i="6"/>
  <c r="F359" i="6"/>
  <c r="L358" i="6"/>
  <c r="M357" i="6"/>
  <c r="N356" i="6"/>
  <c r="U355" i="6"/>
  <c r="V354" i="6"/>
  <c r="W353" i="6"/>
  <c r="D353" i="6"/>
  <c r="E352" i="6"/>
  <c r="F351" i="6"/>
  <c r="L350" i="6"/>
  <c r="M349" i="6"/>
  <c r="N348" i="6"/>
  <c r="U347" i="6"/>
  <c r="V346" i="6"/>
  <c r="W345" i="6"/>
  <c r="D345" i="6"/>
  <c r="E344" i="6"/>
  <c r="F343" i="6"/>
  <c r="L342" i="6"/>
  <c r="M341" i="6"/>
  <c r="N340" i="6"/>
  <c r="U339" i="6"/>
  <c r="V338" i="6"/>
  <c r="W337" i="6"/>
  <c r="D337" i="6"/>
  <c r="E336" i="6"/>
  <c r="F335" i="6"/>
  <c r="L334" i="6"/>
  <c r="M333" i="6"/>
  <c r="N332" i="6"/>
  <c r="U331" i="6"/>
  <c r="V330" i="6"/>
  <c r="W329" i="6"/>
  <c r="D329" i="6"/>
  <c r="E328" i="6"/>
  <c r="F327" i="6"/>
  <c r="L326" i="6"/>
  <c r="M325" i="6"/>
  <c r="W324" i="6"/>
  <c r="L324" i="6"/>
  <c r="A324" i="6"/>
  <c r="Q323" i="6"/>
  <c r="G323" i="6"/>
  <c r="X322" i="6"/>
  <c r="P322" i="6"/>
  <c r="G322" i="6"/>
  <c r="X321" i="6"/>
  <c r="P321" i="6"/>
  <c r="G321" i="6"/>
  <c r="X320" i="6"/>
  <c r="P320" i="6"/>
  <c r="G320" i="6"/>
  <c r="X319" i="6"/>
  <c r="P319" i="6"/>
  <c r="G319" i="6"/>
  <c r="X318" i="6"/>
  <c r="P318" i="6"/>
  <c r="G318" i="6"/>
  <c r="X317" i="6"/>
  <c r="P317" i="6"/>
  <c r="G317" i="6"/>
  <c r="X316" i="6"/>
  <c r="P316" i="6"/>
  <c r="G316" i="6"/>
  <c r="X315" i="6"/>
  <c r="P315" i="6"/>
  <c r="G315" i="6"/>
  <c r="X314" i="6"/>
  <c r="P314" i="6"/>
  <c r="G314" i="6"/>
  <c r="X313" i="6"/>
  <c r="P313" i="6"/>
  <c r="G313" i="6"/>
  <c r="X312" i="6"/>
  <c r="P312" i="6"/>
  <c r="G312" i="6"/>
  <c r="X311" i="6"/>
  <c r="P311" i="6"/>
  <c r="G311" i="6"/>
  <c r="X310" i="6"/>
  <c r="P310" i="6"/>
  <c r="G310" i="6"/>
  <c r="X309" i="6"/>
  <c r="P309" i="6"/>
  <c r="G309" i="6"/>
  <c r="X308" i="6"/>
  <c r="P308" i="6"/>
  <c r="G308" i="6"/>
  <c r="X307" i="6"/>
  <c r="P307" i="6"/>
  <c r="G307" i="6"/>
  <c r="X306" i="6"/>
  <c r="P306" i="6"/>
  <c r="G306" i="6"/>
  <c r="X305" i="6"/>
  <c r="P305" i="6"/>
  <c r="G305" i="6"/>
  <c r="X304" i="6"/>
  <c r="P304" i="6"/>
  <c r="G304" i="6"/>
  <c r="X303" i="6"/>
  <c r="P303" i="6"/>
  <c r="G303" i="6"/>
  <c r="X302" i="6"/>
  <c r="P302" i="6"/>
  <c r="G302" i="6"/>
  <c r="X301" i="6"/>
  <c r="P301" i="6"/>
  <c r="G301" i="6"/>
  <c r="X300" i="6"/>
  <c r="P300" i="6"/>
  <c r="G300" i="6"/>
  <c r="X299" i="6"/>
  <c r="P299" i="6"/>
  <c r="G299" i="6"/>
  <c r="X298" i="6"/>
  <c r="P298" i="6"/>
  <c r="G298" i="6"/>
  <c r="X297" i="6"/>
  <c r="P297" i="6"/>
  <c r="G297" i="6"/>
  <c r="X296" i="6"/>
  <c r="P296" i="6"/>
  <c r="G296" i="6"/>
  <c r="X295" i="6"/>
  <c r="P295" i="6"/>
  <c r="G295" i="6"/>
  <c r="X294" i="6"/>
  <c r="P294" i="6"/>
  <c r="G294" i="6"/>
  <c r="X293" i="6"/>
  <c r="P293" i="6"/>
  <c r="G293" i="6"/>
  <c r="X292" i="6"/>
  <c r="P292" i="6"/>
  <c r="G292" i="6"/>
  <c r="X291" i="6"/>
  <c r="P291" i="6"/>
  <c r="G291" i="6"/>
  <c r="X290" i="6"/>
  <c r="P290" i="6"/>
  <c r="G290" i="6"/>
  <c r="X289" i="6"/>
  <c r="P289" i="6"/>
  <c r="G289" i="6"/>
  <c r="X288" i="6"/>
  <c r="Q450" i="6"/>
  <c r="V426" i="6"/>
  <c r="G418" i="6"/>
  <c r="N412" i="6"/>
  <c r="G407" i="6"/>
  <c r="N403" i="6"/>
  <c r="V400" i="6"/>
  <c r="F398" i="6"/>
  <c r="F396" i="6"/>
  <c r="P393" i="6"/>
  <c r="E391" i="6"/>
  <c r="E389" i="6"/>
  <c r="N386" i="6"/>
  <c r="X383" i="6"/>
  <c r="X381" i="6"/>
  <c r="M379" i="6"/>
  <c r="W376" i="6"/>
  <c r="W374" i="6"/>
  <c r="G372" i="6"/>
  <c r="V369" i="6"/>
  <c r="V367" i="6"/>
  <c r="F365" i="6"/>
  <c r="P362" i="6"/>
  <c r="T360" i="6"/>
  <c r="E359" i="6"/>
  <c r="F358" i="6"/>
  <c r="L357" i="6"/>
  <c r="M356" i="6"/>
  <c r="N355" i="6"/>
  <c r="U354" i="6"/>
  <c r="V353" i="6"/>
  <c r="W352" i="6"/>
  <c r="D352" i="6"/>
  <c r="E351" i="6"/>
  <c r="F350" i="6"/>
  <c r="L349" i="6"/>
  <c r="M348" i="6"/>
  <c r="N347" i="6"/>
  <c r="U346" i="6"/>
  <c r="V345" i="6"/>
  <c r="W344" i="6"/>
  <c r="D344" i="6"/>
  <c r="E343" i="6"/>
  <c r="F342" i="6"/>
  <c r="L341" i="6"/>
  <c r="M340" i="6"/>
  <c r="N339" i="6"/>
  <c r="U338" i="6"/>
  <c r="V337" i="6"/>
  <c r="W336" i="6"/>
  <c r="D336" i="6"/>
  <c r="E335" i="6"/>
  <c r="F334" i="6"/>
  <c r="L333" i="6"/>
  <c r="M332" i="6"/>
  <c r="N331" i="6"/>
  <c r="U330" i="6"/>
  <c r="V329" i="6"/>
  <c r="W328" i="6"/>
  <c r="D328" i="6"/>
  <c r="E327" i="6"/>
  <c r="F326" i="6"/>
  <c r="L325" i="6"/>
  <c r="V324" i="6"/>
  <c r="J324" i="6"/>
  <c r="Y323" i="6"/>
  <c r="P323" i="6"/>
  <c r="F323" i="6"/>
  <c r="W322" i="6"/>
  <c r="N322" i="6"/>
  <c r="F322" i="6"/>
  <c r="W321" i="6"/>
  <c r="N321" i="6"/>
  <c r="F321" i="6"/>
  <c r="W320" i="6"/>
  <c r="N320" i="6"/>
  <c r="F320" i="6"/>
  <c r="W319" i="6"/>
  <c r="N319" i="6"/>
  <c r="F319" i="6"/>
  <c r="W318" i="6"/>
  <c r="N318" i="6"/>
  <c r="F318" i="6"/>
  <c r="W317" i="6"/>
  <c r="N317" i="6"/>
  <c r="F317" i="6"/>
  <c r="W316" i="6"/>
  <c r="N316" i="6"/>
  <c r="F316" i="6"/>
  <c r="W315" i="6"/>
  <c r="N315" i="6"/>
  <c r="F315" i="6"/>
  <c r="W314" i="6"/>
  <c r="N314" i="6"/>
  <c r="F314" i="6"/>
  <c r="W313" i="6"/>
  <c r="N313" i="6"/>
  <c r="F313" i="6"/>
  <c r="W312" i="6"/>
  <c r="N312" i="6"/>
  <c r="F312" i="6"/>
  <c r="W311" i="6"/>
  <c r="N311" i="6"/>
  <c r="F311" i="6"/>
  <c r="W310" i="6"/>
  <c r="N310" i="6"/>
  <c r="F310" i="6"/>
  <c r="W309" i="6"/>
  <c r="N309" i="6"/>
  <c r="F309" i="6"/>
  <c r="W308" i="6"/>
  <c r="N308" i="6"/>
  <c r="F308" i="6"/>
  <c r="W307" i="6"/>
  <c r="N307" i="6"/>
  <c r="F307" i="6"/>
  <c r="W306" i="6"/>
  <c r="N306" i="6"/>
  <c r="F306" i="6"/>
  <c r="W305" i="6"/>
  <c r="N305" i="6"/>
  <c r="F305" i="6"/>
  <c r="W304" i="6"/>
  <c r="N304" i="6"/>
  <c r="F304" i="6"/>
  <c r="W303" i="6"/>
  <c r="N303" i="6"/>
  <c r="F303" i="6"/>
  <c r="W302" i="6"/>
  <c r="N302" i="6"/>
  <c r="F302" i="6"/>
  <c r="W301" i="6"/>
  <c r="N301" i="6"/>
  <c r="F301" i="6"/>
  <c r="W300" i="6"/>
  <c r="N300" i="6"/>
  <c r="F300" i="6"/>
  <c r="W299" i="6"/>
  <c r="N299" i="6"/>
  <c r="F299" i="6"/>
  <c r="W298" i="6"/>
  <c r="N298" i="6"/>
  <c r="F298" i="6"/>
  <c r="W297" i="6"/>
  <c r="N297" i="6"/>
  <c r="F297" i="6"/>
  <c r="W296" i="6"/>
  <c r="N296" i="6"/>
  <c r="F296" i="6"/>
  <c r="W295" i="6"/>
  <c r="N295" i="6"/>
  <c r="F295" i="6"/>
  <c r="W294" i="6"/>
  <c r="N294" i="6"/>
  <c r="F294" i="6"/>
  <c r="W293" i="6"/>
  <c r="N293" i="6"/>
  <c r="F293" i="6"/>
  <c r="W292" i="6"/>
  <c r="N292" i="6"/>
  <c r="F292" i="6"/>
  <c r="W291" i="6"/>
  <c r="N291" i="6"/>
  <c r="F291" i="6"/>
  <c r="W290" i="6"/>
  <c r="N290" i="6"/>
  <c r="W449" i="6"/>
  <c r="D425" i="6"/>
  <c r="N416" i="6"/>
  <c r="L412" i="6"/>
  <c r="F407" i="6"/>
  <c r="Q402" i="6"/>
  <c r="P400" i="6"/>
  <c r="E398" i="6"/>
  <c r="N395" i="6"/>
  <c r="N393" i="6"/>
  <c r="X390" i="6"/>
  <c r="M388" i="6"/>
  <c r="M386" i="6"/>
  <c r="W383" i="6"/>
  <c r="G381" i="6"/>
  <c r="G379" i="6"/>
  <c r="V376" i="6"/>
  <c r="F374" i="6"/>
  <c r="F372" i="6"/>
  <c r="P369" i="6"/>
  <c r="E367" i="6"/>
  <c r="E365" i="6"/>
  <c r="N362" i="6"/>
  <c r="G360" i="6"/>
  <c r="D359" i="6"/>
  <c r="E358" i="6"/>
  <c r="F357" i="6"/>
  <c r="L356" i="6"/>
  <c r="M355" i="6"/>
  <c r="N354" i="6"/>
  <c r="U353" i="6"/>
  <c r="V352" i="6"/>
  <c r="W351" i="6"/>
  <c r="D351" i="6"/>
  <c r="E350" i="6"/>
  <c r="F349" i="6"/>
  <c r="L348" i="6"/>
  <c r="M347" i="6"/>
  <c r="N346" i="6"/>
  <c r="U345" i="6"/>
  <c r="V344" i="6"/>
  <c r="W343" i="6"/>
  <c r="D343" i="6"/>
  <c r="E342" i="6"/>
  <c r="F341" i="6"/>
  <c r="L340" i="6"/>
  <c r="M339" i="6"/>
  <c r="N338" i="6"/>
  <c r="U337" i="6"/>
  <c r="V336" i="6"/>
  <c r="W335" i="6"/>
  <c r="D335" i="6"/>
  <c r="E334" i="6"/>
  <c r="F333" i="6"/>
  <c r="L332" i="6"/>
  <c r="M331" i="6"/>
  <c r="N330" i="6"/>
  <c r="U329" i="6"/>
  <c r="V328" i="6"/>
  <c r="W327" i="6"/>
  <c r="D327" i="6"/>
  <c r="E326" i="6"/>
  <c r="F325" i="6"/>
  <c r="U324" i="6"/>
  <c r="H324" i="6"/>
  <c r="X323" i="6"/>
  <c r="N323" i="6"/>
  <c r="E323" i="6"/>
  <c r="V322" i="6"/>
  <c r="M322" i="6"/>
  <c r="E322" i="6"/>
  <c r="V321" i="6"/>
  <c r="M321" i="6"/>
  <c r="E321" i="6"/>
  <c r="V320" i="6"/>
  <c r="M320" i="6"/>
  <c r="E320" i="6"/>
  <c r="V319" i="6"/>
  <c r="M319" i="6"/>
  <c r="E319" i="6"/>
  <c r="V318" i="6"/>
  <c r="M318" i="6"/>
  <c r="E318" i="6"/>
  <c r="V317" i="6"/>
  <c r="M317" i="6"/>
  <c r="E317" i="6"/>
  <c r="V316" i="6"/>
  <c r="M316" i="6"/>
  <c r="E316" i="6"/>
  <c r="V315" i="6"/>
  <c r="M315" i="6"/>
  <c r="E315" i="6"/>
  <c r="V314" i="6"/>
  <c r="M314" i="6"/>
  <c r="E314" i="6"/>
  <c r="V313" i="6"/>
  <c r="M313" i="6"/>
  <c r="E313" i="6"/>
  <c r="V312" i="6"/>
  <c r="M312" i="6"/>
  <c r="E312" i="6"/>
  <c r="V311" i="6"/>
  <c r="M311" i="6"/>
  <c r="E311" i="6"/>
  <c r="V310" i="6"/>
  <c r="M310" i="6"/>
  <c r="E310" i="6"/>
  <c r="V309" i="6"/>
  <c r="M309" i="6"/>
  <c r="E309" i="6"/>
  <c r="V308" i="6"/>
  <c r="M308" i="6"/>
  <c r="E308" i="6"/>
  <c r="V307" i="6"/>
  <c r="M307" i="6"/>
  <c r="E307" i="6"/>
  <c r="V306" i="6"/>
  <c r="M306" i="6"/>
  <c r="E306" i="6"/>
  <c r="V305" i="6"/>
  <c r="M305" i="6"/>
  <c r="E305" i="6"/>
  <c r="V304" i="6"/>
  <c r="M304" i="6"/>
  <c r="E304" i="6"/>
  <c r="V303" i="6"/>
  <c r="M303" i="6"/>
  <c r="E303" i="6"/>
  <c r="V302" i="6"/>
  <c r="M302" i="6"/>
  <c r="E302" i="6"/>
  <c r="V301" i="6"/>
  <c r="M301" i="6"/>
  <c r="E301" i="6"/>
  <c r="V300" i="6"/>
  <c r="M300" i="6"/>
  <c r="E300" i="6"/>
  <c r="V299" i="6"/>
  <c r="M299" i="6"/>
  <c r="E299" i="6"/>
  <c r="V298" i="6"/>
  <c r="M298" i="6"/>
  <c r="E298" i="6"/>
  <c r="V297" i="6"/>
  <c r="M297" i="6"/>
  <c r="E297" i="6"/>
  <c r="V296" i="6"/>
  <c r="M296" i="6"/>
  <c r="E296" i="6"/>
  <c r="V295" i="6"/>
  <c r="M295" i="6"/>
  <c r="E295" i="6"/>
  <c r="V294" i="6"/>
  <c r="M294" i="6"/>
  <c r="E294" i="6"/>
  <c r="V293" i="6"/>
  <c r="M293" i="6"/>
  <c r="E293" i="6"/>
  <c r="V292" i="6"/>
  <c r="M292" i="6"/>
  <c r="E292" i="6"/>
  <c r="V291" i="6"/>
  <c r="M291" i="6"/>
  <c r="E291" i="6"/>
  <c r="V290" i="6"/>
  <c r="M290" i="6"/>
  <c r="E290" i="6"/>
  <c r="E439" i="6"/>
  <c r="W424" i="6"/>
  <c r="X415" i="6"/>
  <c r="D411" i="6"/>
  <c r="D407" i="6"/>
  <c r="P402" i="6"/>
  <c r="X399" i="6"/>
  <c r="X397" i="6"/>
  <c r="M395" i="6"/>
  <c r="W392" i="6"/>
  <c r="W390" i="6"/>
  <c r="G388" i="6"/>
  <c r="V385" i="6"/>
  <c r="V383" i="6"/>
  <c r="F381" i="6"/>
  <c r="P378" i="6"/>
  <c r="P376" i="6"/>
  <c r="E374" i="6"/>
  <c r="N371" i="6"/>
  <c r="N369" i="6"/>
  <c r="X366" i="6"/>
  <c r="M364" i="6"/>
  <c r="M362" i="6"/>
  <c r="F360" i="6"/>
  <c r="W358" i="6"/>
  <c r="D358" i="6"/>
  <c r="E357" i="6"/>
  <c r="F356" i="6"/>
  <c r="L355" i="6"/>
  <c r="M354" i="6"/>
  <c r="N353" i="6"/>
  <c r="U352" i="6"/>
  <c r="V351" i="6"/>
  <c r="W350" i="6"/>
  <c r="D350" i="6"/>
  <c r="E349" i="6"/>
  <c r="F348" i="6"/>
  <c r="L347" i="6"/>
  <c r="M346" i="6"/>
  <c r="N345" i="6"/>
  <c r="U344" i="6"/>
  <c r="V343" i="6"/>
  <c r="W342" i="6"/>
  <c r="D342" i="6"/>
  <c r="E341" i="6"/>
  <c r="F340" i="6"/>
  <c r="L339" i="6"/>
  <c r="M338" i="6"/>
  <c r="N337" i="6"/>
  <c r="U336" i="6"/>
  <c r="V335" i="6"/>
  <c r="W334" i="6"/>
  <c r="D334" i="6"/>
  <c r="E333" i="6"/>
  <c r="F332" i="6"/>
  <c r="L331" i="6"/>
  <c r="M330" i="6"/>
  <c r="N329" i="6"/>
  <c r="U328" i="6"/>
  <c r="V327" i="6"/>
  <c r="W326" i="6"/>
  <c r="D326" i="6"/>
  <c r="E325" i="6"/>
  <c r="S324" i="6"/>
  <c r="G324" i="6"/>
  <c r="W323" i="6"/>
  <c r="M323" i="6"/>
  <c r="D323" i="6"/>
  <c r="U322" i="6"/>
  <c r="L322" i="6"/>
  <c r="D322" i="6"/>
  <c r="U321" i="6"/>
  <c r="L321" i="6"/>
  <c r="D321" i="6"/>
  <c r="U320" i="6"/>
  <c r="L320" i="6"/>
  <c r="D320" i="6"/>
  <c r="U319" i="6"/>
  <c r="L319" i="6"/>
  <c r="D319" i="6"/>
  <c r="U318" i="6"/>
  <c r="L318" i="6"/>
  <c r="D318" i="6"/>
  <c r="U317" i="6"/>
  <c r="L317" i="6"/>
  <c r="D317" i="6"/>
  <c r="U316" i="6"/>
  <c r="L316" i="6"/>
  <c r="D316" i="6"/>
  <c r="U315" i="6"/>
  <c r="L315" i="6"/>
  <c r="D315" i="6"/>
  <c r="U314" i="6"/>
  <c r="L314" i="6"/>
  <c r="D314" i="6"/>
  <c r="U313" i="6"/>
  <c r="L313" i="6"/>
  <c r="D313" i="6"/>
  <c r="U312" i="6"/>
  <c r="L312" i="6"/>
  <c r="D312" i="6"/>
  <c r="U311" i="6"/>
  <c r="L311" i="6"/>
  <c r="D311" i="6"/>
  <c r="U310" i="6"/>
  <c r="L310" i="6"/>
  <c r="D310" i="6"/>
  <c r="U309" i="6"/>
  <c r="L309" i="6"/>
  <c r="D309" i="6"/>
  <c r="U308" i="6"/>
  <c r="L308" i="6"/>
  <c r="D308" i="6"/>
  <c r="U307" i="6"/>
  <c r="L307" i="6"/>
  <c r="D307" i="6"/>
  <c r="U306" i="6"/>
  <c r="L306" i="6"/>
  <c r="D306" i="6"/>
  <c r="U305" i="6"/>
  <c r="L305" i="6"/>
  <c r="D305" i="6"/>
  <c r="U304" i="6"/>
  <c r="L304" i="6"/>
  <c r="D304" i="6"/>
  <c r="U303" i="6"/>
  <c r="L303" i="6"/>
  <c r="D303" i="6"/>
  <c r="U302" i="6"/>
  <c r="L302" i="6"/>
  <c r="D302" i="6"/>
  <c r="U301" i="6"/>
  <c r="L301" i="6"/>
  <c r="D301" i="6"/>
  <c r="U300" i="6"/>
  <c r="L300" i="6"/>
  <c r="D300" i="6"/>
  <c r="U299" i="6"/>
  <c r="L299" i="6"/>
  <c r="D299" i="6"/>
  <c r="U298" i="6"/>
  <c r="L298" i="6"/>
  <c r="D298" i="6"/>
  <c r="U297" i="6"/>
  <c r="L297" i="6"/>
  <c r="D297" i="6"/>
  <c r="U296" i="6"/>
  <c r="L296" i="6"/>
  <c r="D296" i="6"/>
  <c r="U295" i="6"/>
  <c r="L295" i="6"/>
  <c r="D295" i="6"/>
  <c r="U294" i="6"/>
  <c r="L294" i="6"/>
  <c r="D294" i="6"/>
  <c r="U293" i="6"/>
  <c r="L293" i="6"/>
  <c r="D293" i="6"/>
  <c r="U292" i="6"/>
  <c r="L292" i="6"/>
  <c r="D292" i="6"/>
  <c r="U291" i="6"/>
  <c r="L291" i="6"/>
  <c r="D291" i="6"/>
  <c r="U290" i="6"/>
  <c r="L290" i="6"/>
  <c r="U438" i="6"/>
  <c r="D421" i="6"/>
  <c r="W415" i="6"/>
  <c r="P410" i="6"/>
  <c r="U405" i="6"/>
  <c r="N402" i="6"/>
  <c r="W399" i="6"/>
  <c r="G397" i="6"/>
  <c r="G395" i="6"/>
  <c r="V392" i="6"/>
  <c r="F390" i="6"/>
  <c r="F388" i="6"/>
  <c r="P385" i="6"/>
  <c r="E383" i="6"/>
  <c r="E381" i="6"/>
  <c r="N378" i="6"/>
  <c r="X375" i="6"/>
  <c r="X373" i="6"/>
  <c r="M371" i="6"/>
  <c r="W368" i="6"/>
  <c r="W366" i="6"/>
  <c r="G364" i="6"/>
  <c r="V361" i="6"/>
  <c r="E360" i="6"/>
  <c r="V358" i="6"/>
  <c r="W357" i="6"/>
  <c r="D357" i="6"/>
  <c r="E356" i="6"/>
  <c r="F355" i="6"/>
  <c r="L354" i="6"/>
  <c r="M353" i="6"/>
  <c r="N352" i="6"/>
  <c r="U351" i="6"/>
  <c r="V350" i="6"/>
  <c r="W349" i="6"/>
  <c r="D349" i="6"/>
  <c r="E348" i="6"/>
  <c r="F347" i="6"/>
  <c r="L346" i="6"/>
  <c r="M345" i="6"/>
  <c r="N344" i="6"/>
  <c r="U343" i="6"/>
  <c r="V342" i="6"/>
  <c r="W341" i="6"/>
  <c r="D341" i="6"/>
  <c r="E340" i="6"/>
  <c r="F339" i="6"/>
  <c r="L338" i="6"/>
  <c r="M337" i="6"/>
  <c r="N336" i="6"/>
  <c r="U335" i="6"/>
  <c r="V334" i="6"/>
  <c r="W333" i="6"/>
  <c r="D333" i="6"/>
  <c r="E332" i="6"/>
  <c r="F331" i="6"/>
  <c r="L330" i="6"/>
  <c r="M329" i="6"/>
  <c r="N328" i="6"/>
  <c r="U327" i="6"/>
  <c r="V326" i="6"/>
  <c r="W325" i="6"/>
  <c r="D325" i="6"/>
  <c r="Q324" i="6"/>
  <c r="F324" i="6"/>
  <c r="V323" i="6"/>
  <c r="L323" i="6"/>
  <c r="C323" i="6"/>
  <c r="T322" i="6"/>
  <c r="K322" i="6"/>
  <c r="C322" i="6"/>
  <c r="T321" i="6"/>
  <c r="K321" i="6"/>
  <c r="C321" i="6"/>
  <c r="T320" i="6"/>
  <c r="K320" i="6"/>
  <c r="C320" i="6"/>
  <c r="T319" i="6"/>
  <c r="K319" i="6"/>
  <c r="C319" i="6"/>
  <c r="T318" i="6"/>
  <c r="K318" i="6"/>
  <c r="C318" i="6"/>
  <c r="T317" i="6"/>
  <c r="K317" i="6"/>
  <c r="C317" i="6"/>
  <c r="T316" i="6"/>
  <c r="K316" i="6"/>
  <c r="C316" i="6"/>
  <c r="T315" i="6"/>
  <c r="K315" i="6"/>
  <c r="C315" i="6"/>
  <c r="T314" i="6"/>
  <c r="K314" i="6"/>
  <c r="C314" i="6"/>
  <c r="T313" i="6"/>
  <c r="K313" i="6"/>
  <c r="C313" i="6"/>
  <c r="T312" i="6"/>
  <c r="K312" i="6"/>
  <c r="C312" i="6"/>
  <c r="T311" i="6"/>
  <c r="K311" i="6"/>
  <c r="C311" i="6"/>
  <c r="T310" i="6"/>
  <c r="K310" i="6"/>
  <c r="C310" i="6"/>
  <c r="T309" i="6"/>
  <c r="K309" i="6"/>
  <c r="C309" i="6"/>
  <c r="T308" i="6"/>
  <c r="K308" i="6"/>
  <c r="C308" i="6"/>
  <c r="T307" i="6"/>
  <c r="K307" i="6"/>
  <c r="C307" i="6"/>
  <c r="T306" i="6"/>
  <c r="K306" i="6"/>
  <c r="C306" i="6"/>
  <c r="T305" i="6"/>
  <c r="K305" i="6"/>
  <c r="C305" i="6"/>
  <c r="T304" i="6"/>
  <c r="K304" i="6"/>
  <c r="C304" i="6"/>
  <c r="T303" i="6"/>
  <c r="K303" i="6"/>
  <c r="C303" i="6"/>
  <c r="T302" i="6"/>
  <c r="K302" i="6"/>
  <c r="C302" i="6"/>
  <c r="T301" i="6"/>
  <c r="K301" i="6"/>
  <c r="C301" i="6"/>
  <c r="T300" i="6"/>
  <c r="K300" i="6"/>
  <c r="C300" i="6"/>
  <c r="T299" i="6"/>
  <c r="K299" i="6"/>
  <c r="C299" i="6"/>
  <c r="T298" i="6"/>
  <c r="K298" i="6"/>
  <c r="C298" i="6"/>
  <c r="T297" i="6"/>
  <c r="K297" i="6"/>
  <c r="C297" i="6"/>
  <c r="T296" i="6"/>
  <c r="K296" i="6"/>
  <c r="C296" i="6"/>
  <c r="T295" i="6"/>
  <c r="K295" i="6"/>
  <c r="C295" i="6"/>
  <c r="T294" i="6"/>
  <c r="K294" i="6"/>
  <c r="C294" i="6"/>
  <c r="T293" i="6"/>
  <c r="K293" i="6"/>
  <c r="C293" i="6"/>
  <c r="T292" i="6"/>
  <c r="K292" i="6"/>
  <c r="C292" i="6"/>
  <c r="T291" i="6"/>
  <c r="K291" i="6"/>
  <c r="C291" i="6"/>
  <c r="T290" i="6"/>
  <c r="K290" i="6"/>
  <c r="C290" i="6"/>
  <c r="T289" i="6"/>
  <c r="K289" i="6"/>
  <c r="C289" i="6"/>
  <c r="W436" i="6"/>
  <c r="X413" i="6"/>
  <c r="P401" i="6"/>
  <c r="P394" i="6"/>
  <c r="G389" i="6"/>
  <c r="W382" i="6"/>
  <c r="W375" i="6"/>
  <c r="N370" i="6"/>
  <c r="N363" i="6"/>
  <c r="U358" i="6"/>
  <c r="U356" i="6"/>
  <c r="E354" i="6"/>
  <c r="N351" i="6"/>
  <c r="N349" i="6"/>
  <c r="D347" i="6"/>
  <c r="M344" i="6"/>
  <c r="M342" i="6"/>
  <c r="W339" i="6"/>
  <c r="L337" i="6"/>
  <c r="L335" i="6"/>
  <c r="V332" i="6"/>
  <c r="F330" i="6"/>
  <c r="F328" i="6"/>
  <c r="U325" i="6"/>
  <c r="E324" i="6"/>
  <c r="H323" i="6"/>
  <c r="I322" i="6"/>
  <c r="J321" i="6"/>
  <c r="Q320" i="6"/>
  <c r="R319" i="6"/>
  <c r="S318" i="6"/>
  <c r="Y317" i="6"/>
  <c r="A317" i="6"/>
  <c r="B316" i="6"/>
  <c r="H315" i="6"/>
  <c r="I314" i="6"/>
  <c r="J313" i="6"/>
  <c r="Q312" i="6"/>
  <c r="R311" i="6"/>
  <c r="S310" i="6"/>
  <c r="Y309" i="6"/>
  <c r="A309" i="6"/>
  <c r="B308" i="6"/>
  <c r="H307" i="6"/>
  <c r="I306" i="6"/>
  <c r="J305" i="6"/>
  <c r="Q304" i="6"/>
  <c r="R303" i="6"/>
  <c r="S302" i="6"/>
  <c r="Y301" i="6"/>
  <c r="A301" i="6"/>
  <c r="B300" i="6"/>
  <c r="H299" i="6"/>
  <c r="I298" i="6"/>
  <c r="J297" i="6"/>
  <c r="Q296" i="6"/>
  <c r="R295" i="6"/>
  <c r="S294" i="6"/>
  <c r="Y293" i="6"/>
  <c r="A293" i="6"/>
  <c r="B292" i="6"/>
  <c r="H291" i="6"/>
  <c r="I290" i="6"/>
  <c r="V289" i="6"/>
  <c r="J289" i="6"/>
  <c r="Y288" i="6"/>
  <c r="P288" i="6"/>
  <c r="G288" i="6"/>
  <c r="X287" i="6"/>
  <c r="P287" i="6"/>
  <c r="G287" i="6"/>
  <c r="X286" i="6"/>
  <c r="P286" i="6"/>
  <c r="G286" i="6"/>
  <c r="X285" i="6"/>
  <c r="P285" i="6"/>
  <c r="G285" i="6"/>
  <c r="X284" i="6"/>
  <c r="P284" i="6"/>
  <c r="G284" i="6"/>
  <c r="X283" i="6"/>
  <c r="P283" i="6"/>
  <c r="G283" i="6"/>
  <c r="X282" i="6"/>
  <c r="P282" i="6"/>
  <c r="G282" i="6"/>
  <c r="X281" i="6"/>
  <c r="P281" i="6"/>
  <c r="G281" i="6"/>
  <c r="X280" i="6"/>
  <c r="P280" i="6"/>
  <c r="G280" i="6"/>
  <c r="X279" i="6"/>
  <c r="P279" i="6"/>
  <c r="G279" i="6"/>
  <c r="X278" i="6"/>
  <c r="P278" i="6"/>
  <c r="G278" i="6"/>
  <c r="X277" i="6"/>
  <c r="P277" i="6"/>
  <c r="G277" i="6"/>
  <c r="X276" i="6"/>
  <c r="P276" i="6"/>
  <c r="G276" i="6"/>
  <c r="X275" i="6"/>
  <c r="P275" i="6"/>
  <c r="G275" i="6"/>
  <c r="X274" i="6"/>
  <c r="P274" i="6"/>
  <c r="G274" i="6"/>
  <c r="X273" i="6"/>
  <c r="P273" i="6"/>
  <c r="G273" i="6"/>
  <c r="X272" i="6"/>
  <c r="P272" i="6"/>
  <c r="G272" i="6"/>
  <c r="X271" i="6"/>
  <c r="P271" i="6"/>
  <c r="G271" i="6"/>
  <c r="X270" i="6"/>
  <c r="P270" i="6"/>
  <c r="G270" i="6"/>
  <c r="X269" i="6"/>
  <c r="P269" i="6"/>
  <c r="G269" i="6"/>
  <c r="X268" i="6"/>
  <c r="P268" i="6"/>
  <c r="G268" i="6"/>
  <c r="X267" i="6"/>
  <c r="P267" i="6"/>
  <c r="G267" i="6"/>
  <c r="X266" i="6"/>
  <c r="P266" i="6"/>
  <c r="G266" i="6"/>
  <c r="X265" i="6"/>
  <c r="P265" i="6"/>
  <c r="G265" i="6"/>
  <c r="X264" i="6"/>
  <c r="P264" i="6"/>
  <c r="G264" i="6"/>
  <c r="X263" i="6"/>
  <c r="P263" i="6"/>
  <c r="G263" i="6"/>
  <c r="X262" i="6"/>
  <c r="P262" i="6"/>
  <c r="G262" i="6"/>
  <c r="X261" i="6"/>
  <c r="P261" i="6"/>
  <c r="G261" i="6"/>
  <c r="X260" i="6"/>
  <c r="P260" i="6"/>
  <c r="G260" i="6"/>
  <c r="X259" i="6"/>
  <c r="P259" i="6"/>
  <c r="G259" i="6"/>
  <c r="X258" i="6"/>
  <c r="P258" i="6"/>
  <c r="G258" i="6"/>
  <c r="X257" i="6"/>
  <c r="P257" i="6"/>
  <c r="G257" i="6"/>
  <c r="X256" i="6"/>
  <c r="P256" i="6"/>
  <c r="G256" i="6"/>
  <c r="X255" i="6"/>
  <c r="P255" i="6"/>
  <c r="G255" i="6"/>
  <c r="X254" i="6"/>
  <c r="P254" i="6"/>
  <c r="G254" i="6"/>
  <c r="X253" i="6"/>
  <c r="P253" i="6"/>
  <c r="G253" i="6"/>
  <c r="X252" i="6"/>
  <c r="P252" i="6"/>
  <c r="G252" i="6"/>
  <c r="X251" i="6"/>
  <c r="P251" i="6"/>
  <c r="E432" i="6"/>
  <c r="N410" i="6"/>
  <c r="N401" i="6"/>
  <c r="N394" i="6"/>
  <c r="N387" i="6"/>
  <c r="F382" i="6"/>
  <c r="V375" i="6"/>
  <c r="V368" i="6"/>
  <c r="M363" i="6"/>
  <c r="N358" i="6"/>
  <c r="D356" i="6"/>
  <c r="D354" i="6"/>
  <c r="M351" i="6"/>
  <c r="W348" i="6"/>
  <c r="W346" i="6"/>
  <c r="L344" i="6"/>
  <c r="V341" i="6"/>
  <c r="V339" i="6"/>
  <c r="F337" i="6"/>
  <c r="U334" i="6"/>
  <c r="U332" i="6"/>
  <c r="E330" i="6"/>
  <c r="N327" i="6"/>
  <c r="N325" i="6"/>
  <c r="D324" i="6"/>
  <c r="B323" i="6"/>
  <c r="H322" i="6"/>
  <c r="I321" i="6"/>
  <c r="J320" i="6"/>
  <c r="Q319" i="6"/>
  <c r="R318" i="6"/>
  <c r="S317" i="6"/>
  <c r="Y316" i="6"/>
  <c r="A316" i="6"/>
  <c r="B315" i="6"/>
  <c r="H314" i="6"/>
  <c r="I313" i="6"/>
  <c r="J312" i="6"/>
  <c r="Q311" i="6"/>
  <c r="R310" i="6"/>
  <c r="S309" i="6"/>
  <c r="Y308" i="6"/>
  <c r="A308" i="6"/>
  <c r="B307" i="6"/>
  <c r="H306" i="6"/>
  <c r="I305" i="6"/>
  <c r="J304" i="6"/>
  <c r="Q303" i="6"/>
  <c r="R302" i="6"/>
  <c r="S301" i="6"/>
  <c r="Y300" i="6"/>
  <c r="A300" i="6"/>
  <c r="B299" i="6"/>
  <c r="H298" i="6"/>
  <c r="I297" i="6"/>
  <c r="J296" i="6"/>
  <c r="Q295" i="6"/>
  <c r="R294" i="6"/>
  <c r="S293" i="6"/>
  <c r="Y292" i="6"/>
  <c r="A292" i="6"/>
  <c r="B291" i="6"/>
  <c r="H290" i="6"/>
  <c r="U289" i="6"/>
  <c r="I289" i="6"/>
  <c r="W288" i="6"/>
  <c r="N288" i="6"/>
  <c r="F288" i="6"/>
  <c r="W287" i="6"/>
  <c r="N287" i="6"/>
  <c r="F287" i="6"/>
  <c r="W286" i="6"/>
  <c r="N286" i="6"/>
  <c r="F286" i="6"/>
  <c r="W285" i="6"/>
  <c r="N285" i="6"/>
  <c r="F285" i="6"/>
  <c r="W284" i="6"/>
  <c r="N284" i="6"/>
  <c r="F284" i="6"/>
  <c r="W283" i="6"/>
  <c r="N283" i="6"/>
  <c r="F283" i="6"/>
  <c r="W282" i="6"/>
  <c r="N282" i="6"/>
  <c r="F282" i="6"/>
  <c r="W281" i="6"/>
  <c r="N281" i="6"/>
  <c r="F281" i="6"/>
  <c r="W280" i="6"/>
  <c r="N280" i="6"/>
  <c r="F280" i="6"/>
  <c r="W279" i="6"/>
  <c r="N279" i="6"/>
  <c r="F279" i="6"/>
  <c r="W278" i="6"/>
  <c r="N278" i="6"/>
  <c r="F278" i="6"/>
  <c r="W277" i="6"/>
  <c r="N277" i="6"/>
  <c r="F277" i="6"/>
  <c r="W276" i="6"/>
  <c r="N276" i="6"/>
  <c r="F276" i="6"/>
  <c r="W275" i="6"/>
  <c r="N275" i="6"/>
  <c r="F275" i="6"/>
  <c r="W274" i="6"/>
  <c r="N274" i="6"/>
  <c r="F274" i="6"/>
  <c r="W273" i="6"/>
  <c r="N273" i="6"/>
  <c r="F273" i="6"/>
  <c r="W272" i="6"/>
  <c r="N272" i="6"/>
  <c r="F272" i="6"/>
  <c r="W271" i="6"/>
  <c r="N271" i="6"/>
  <c r="F271" i="6"/>
  <c r="W270" i="6"/>
  <c r="N270" i="6"/>
  <c r="F270" i="6"/>
  <c r="W269" i="6"/>
  <c r="N269" i="6"/>
  <c r="F269" i="6"/>
  <c r="W268" i="6"/>
  <c r="N268" i="6"/>
  <c r="F268" i="6"/>
  <c r="W267" i="6"/>
  <c r="N267" i="6"/>
  <c r="F267" i="6"/>
  <c r="W266" i="6"/>
  <c r="N266" i="6"/>
  <c r="F266" i="6"/>
  <c r="W265" i="6"/>
  <c r="N265" i="6"/>
  <c r="F265" i="6"/>
  <c r="W264" i="6"/>
  <c r="N264" i="6"/>
  <c r="F264" i="6"/>
  <c r="W263" i="6"/>
  <c r="N263" i="6"/>
  <c r="F263" i="6"/>
  <c r="W262" i="6"/>
  <c r="N262" i="6"/>
  <c r="F262" i="6"/>
  <c r="W261" i="6"/>
  <c r="N261" i="6"/>
  <c r="F261" i="6"/>
  <c r="W260" i="6"/>
  <c r="N260" i="6"/>
  <c r="F260" i="6"/>
  <c r="W259" i="6"/>
  <c r="N259" i="6"/>
  <c r="F259" i="6"/>
  <c r="W258" i="6"/>
  <c r="N258" i="6"/>
  <c r="F258" i="6"/>
  <c r="W257" i="6"/>
  <c r="N257" i="6"/>
  <c r="F257" i="6"/>
  <c r="W256" i="6"/>
  <c r="N256" i="6"/>
  <c r="F256" i="6"/>
  <c r="W255" i="6"/>
  <c r="N255" i="6"/>
  <c r="F255" i="6"/>
  <c r="W254" i="6"/>
  <c r="N254" i="6"/>
  <c r="F254" i="6"/>
  <c r="D432" i="6"/>
  <c r="F409" i="6"/>
  <c r="V399" i="6"/>
  <c r="M394" i="6"/>
  <c r="M387" i="6"/>
  <c r="M380" i="6"/>
  <c r="E375" i="6"/>
  <c r="P368" i="6"/>
  <c r="P361" i="6"/>
  <c r="M358" i="6"/>
  <c r="W355" i="6"/>
  <c r="L353" i="6"/>
  <c r="L351" i="6"/>
  <c r="V348" i="6"/>
  <c r="F346" i="6"/>
  <c r="F344" i="6"/>
  <c r="U341" i="6"/>
  <c r="E339" i="6"/>
  <c r="E337" i="6"/>
  <c r="N334" i="6"/>
  <c r="D332" i="6"/>
  <c r="D330" i="6"/>
  <c r="M327" i="6"/>
  <c r="B325" i="6"/>
  <c r="B324" i="6"/>
  <c r="A323" i="6"/>
  <c r="B322" i="6"/>
  <c r="H321" i="6"/>
  <c r="I320" i="6"/>
  <c r="J319" i="6"/>
  <c r="Q318" i="6"/>
  <c r="R317" i="6"/>
  <c r="S316" i="6"/>
  <c r="Y315" i="6"/>
  <c r="A315" i="6"/>
  <c r="B314" i="6"/>
  <c r="H313" i="6"/>
  <c r="I312" i="6"/>
  <c r="J311" i="6"/>
  <c r="Q310" i="6"/>
  <c r="R309" i="6"/>
  <c r="S308" i="6"/>
  <c r="Y307" i="6"/>
  <c r="A307" i="6"/>
  <c r="B306" i="6"/>
  <c r="H305" i="6"/>
  <c r="I304" i="6"/>
  <c r="J303" i="6"/>
  <c r="Q302" i="6"/>
  <c r="R301" i="6"/>
  <c r="S300" i="6"/>
  <c r="Y299" i="6"/>
  <c r="A299" i="6"/>
  <c r="B298" i="6"/>
  <c r="H297" i="6"/>
  <c r="I296" i="6"/>
  <c r="J295" i="6"/>
  <c r="Q294" i="6"/>
  <c r="R293" i="6"/>
  <c r="S292" i="6"/>
  <c r="Y291" i="6"/>
  <c r="A291" i="6"/>
  <c r="F290" i="6"/>
  <c r="S289" i="6"/>
  <c r="H289" i="6"/>
  <c r="V288" i="6"/>
  <c r="M288" i="6"/>
  <c r="E288" i="6"/>
  <c r="V287" i="6"/>
  <c r="M287" i="6"/>
  <c r="E287" i="6"/>
  <c r="V286" i="6"/>
  <c r="M286" i="6"/>
  <c r="E286" i="6"/>
  <c r="V285" i="6"/>
  <c r="M285" i="6"/>
  <c r="E285" i="6"/>
  <c r="V284" i="6"/>
  <c r="M284" i="6"/>
  <c r="E284" i="6"/>
  <c r="V283" i="6"/>
  <c r="M283" i="6"/>
  <c r="E283" i="6"/>
  <c r="V282" i="6"/>
  <c r="M282" i="6"/>
  <c r="E282" i="6"/>
  <c r="V281" i="6"/>
  <c r="M281" i="6"/>
  <c r="E281" i="6"/>
  <c r="V280" i="6"/>
  <c r="M280" i="6"/>
  <c r="E280" i="6"/>
  <c r="V279" i="6"/>
  <c r="M279" i="6"/>
  <c r="E279" i="6"/>
  <c r="V278" i="6"/>
  <c r="M278" i="6"/>
  <c r="E278" i="6"/>
  <c r="V277" i="6"/>
  <c r="M277" i="6"/>
  <c r="E277" i="6"/>
  <c r="V276" i="6"/>
  <c r="M276" i="6"/>
  <c r="E276" i="6"/>
  <c r="V275" i="6"/>
  <c r="M275" i="6"/>
  <c r="E275" i="6"/>
  <c r="V274" i="6"/>
  <c r="M274" i="6"/>
  <c r="E274" i="6"/>
  <c r="V273" i="6"/>
  <c r="M273" i="6"/>
  <c r="E273" i="6"/>
  <c r="V272" i="6"/>
  <c r="M272" i="6"/>
  <c r="E272" i="6"/>
  <c r="V271" i="6"/>
  <c r="M271" i="6"/>
  <c r="E271" i="6"/>
  <c r="V270" i="6"/>
  <c r="M270" i="6"/>
  <c r="E270" i="6"/>
  <c r="V269" i="6"/>
  <c r="M269" i="6"/>
  <c r="E269" i="6"/>
  <c r="V268" i="6"/>
  <c r="M268" i="6"/>
  <c r="E268" i="6"/>
  <c r="V267" i="6"/>
  <c r="M267" i="6"/>
  <c r="E267" i="6"/>
  <c r="V266" i="6"/>
  <c r="M266" i="6"/>
  <c r="E266" i="6"/>
  <c r="V265" i="6"/>
  <c r="M265" i="6"/>
  <c r="E265" i="6"/>
  <c r="V264" i="6"/>
  <c r="M264" i="6"/>
  <c r="E264" i="6"/>
  <c r="V263" i="6"/>
  <c r="M263" i="6"/>
  <c r="E263" i="6"/>
  <c r="V262" i="6"/>
  <c r="M262" i="6"/>
  <c r="E262" i="6"/>
  <c r="V261" i="6"/>
  <c r="M261" i="6"/>
  <c r="E261" i="6"/>
  <c r="V260" i="6"/>
  <c r="M260" i="6"/>
  <c r="E260" i="6"/>
  <c r="V259" i="6"/>
  <c r="M259" i="6"/>
  <c r="E259" i="6"/>
  <c r="V258" i="6"/>
  <c r="M258" i="6"/>
  <c r="E258" i="6"/>
  <c r="V257" i="6"/>
  <c r="M257" i="6"/>
  <c r="E257" i="6"/>
  <c r="V256" i="6"/>
  <c r="M256" i="6"/>
  <c r="E256" i="6"/>
  <c r="V255" i="6"/>
  <c r="M255" i="6"/>
  <c r="E255" i="6"/>
  <c r="V254" i="6"/>
  <c r="M254" i="6"/>
  <c r="Y420" i="6"/>
  <c r="D409" i="6"/>
  <c r="E399" i="6"/>
  <c r="P392" i="6"/>
  <c r="G387" i="6"/>
  <c r="G380" i="6"/>
  <c r="G373" i="6"/>
  <c r="X367" i="6"/>
  <c r="N361" i="6"/>
  <c r="V357" i="6"/>
  <c r="V355" i="6"/>
  <c r="F353" i="6"/>
  <c r="U350" i="6"/>
  <c r="U348" i="6"/>
  <c r="E346" i="6"/>
  <c r="N343" i="6"/>
  <c r="N341" i="6"/>
  <c r="D339" i="6"/>
  <c r="M336" i="6"/>
  <c r="M334" i="6"/>
  <c r="W331" i="6"/>
  <c r="L329" i="6"/>
  <c r="L327" i="6"/>
  <c r="Y324" i="6"/>
  <c r="U323" i="6"/>
  <c r="Y322" i="6"/>
  <c r="A322" i="6"/>
  <c r="B321" i="6"/>
  <c r="H320" i="6"/>
  <c r="I319" i="6"/>
  <c r="J318" i="6"/>
  <c r="Q317" i="6"/>
  <c r="R316" i="6"/>
  <c r="S315" i="6"/>
  <c r="Y314" i="6"/>
  <c r="A314" i="6"/>
  <c r="B313" i="6"/>
  <c r="H312" i="6"/>
  <c r="I311" i="6"/>
  <c r="J310" i="6"/>
  <c r="Q309" i="6"/>
  <c r="R308" i="6"/>
  <c r="S307" i="6"/>
  <c r="Y306" i="6"/>
  <c r="A306" i="6"/>
  <c r="B305" i="6"/>
  <c r="H304" i="6"/>
  <c r="I303" i="6"/>
  <c r="J302" i="6"/>
  <c r="Q301" i="6"/>
  <c r="R300" i="6"/>
  <c r="S299" i="6"/>
  <c r="Y298" i="6"/>
  <c r="A298" i="6"/>
  <c r="B297" i="6"/>
  <c r="H296" i="6"/>
  <c r="I295" i="6"/>
  <c r="J294" i="6"/>
  <c r="Q293" i="6"/>
  <c r="R292" i="6"/>
  <c r="S291" i="6"/>
  <c r="Y290" i="6"/>
  <c r="D290" i="6"/>
  <c r="R289" i="6"/>
  <c r="F289" i="6"/>
  <c r="U288" i="6"/>
  <c r="L288" i="6"/>
  <c r="D288" i="6"/>
  <c r="U287" i="6"/>
  <c r="L287" i="6"/>
  <c r="D287" i="6"/>
  <c r="U286" i="6"/>
  <c r="L286" i="6"/>
  <c r="D286" i="6"/>
  <c r="U285" i="6"/>
  <c r="L285" i="6"/>
  <c r="D285" i="6"/>
  <c r="U284" i="6"/>
  <c r="L284" i="6"/>
  <c r="D284" i="6"/>
  <c r="U283" i="6"/>
  <c r="L283" i="6"/>
  <c r="D283" i="6"/>
  <c r="U282" i="6"/>
  <c r="L282" i="6"/>
  <c r="D282" i="6"/>
  <c r="U281" i="6"/>
  <c r="L281" i="6"/>
  <c r="D281" i="6"/>
  <c r="U280" i="6"/>
  <c r="L280" i="6"/>
  <c r="D280" i="6"/>
  <c r="U279" i="6"/>
  <c r="L279" i="6"/>
  <c r="D279" i="6"/>
  <c r="U278" i="6"/>
  <c r="L278" i="6"/>
  <c r="D278" i="6"/>
  <c r="U277" i="6"/>
  <c r="L277" i="6"/>
  <c r="D277" i="6"/>
  <c r="U276" i="6"/>
  <c r="L276" i="6"/>
  <c r="D276" i="6"/>
  <c r="U275" i="6"/>
  <c r="L275" i="6"/>
  <c r="D275" i="6"/>
  <c r="U274" i="6"/>
  <c r="L274" i="6"/>
  <c r="D274" i="6"/>
  <c r="U273" i="6"/>
  <c r="L273" i="6"/>
  <c r="D273" i="6"/>
  <c r="U272" i="6"/>
  <c r="L272" i="6"/>
  <c r="D272" i="6"/>
  <c r="U271" i="6"/>
  <c r="L271" i="6"/>
  <c r="D271" i="6"/>
  <c r="U270" i="6"/>
  <c r="L270" i="6"/>
  <c r="D270" i="6"/>
  <c r="U269" i="6"/>
  <c r="L269" i="6"/>
  <c r="D269" i="6"/>
  <c r="U268" i="6"/>
  <c r="L268" i="6"/>
  <c r="D268" i="6"/>
  <c r="U267" i="6"/>
  <c r="L267" i="6"/>
  <c r="D267" i="6"/>
  <c r="U266" i="6"/>
  <c r="L266" i="6"/>
  <c r="D266" i="6"/>
  <c r="U265" i="6"/>
  <c r="L265" i="6"/>
  <c r="D265" i="6"/>
  <c r="U264" i="6"/>
  <c r="L264" i="6"/>
  <c r="D264" i="6"/>
  <c r="U263" i="6"/>
  <c r="L263" i="6"/>
  <c r="D263" i="6"/>
  <c r="U262" i="6"/>
  <c r="L262" i="6"/>
  <c r="D262" i="6"/>
  <c r="U261" i="6"/>
  <c r="L261" i="6"/>
  <c r="D261" i="6"/>
  <c r="U260" i="6"/>
  <c r="L260" i="6"/>
  <c r="D260" i="6"/>
  <c r="U259" i="6"/>
  <c r="L259" i="6"/>
  <c r="D259" i="6"/>
  <c r="U258" i="6"/>
  <c r="L258" i="6"/>
  <c r="D258" i="6"/>
  <c r="U257" i="6"/>
  <c r="L257" i="6"/>
  <c r="D257" i="6"/>
  <c r="U256" i="6"/>
  <c r="L256" i="6"/>
  <c r="D256" i="6"/>
  <c r="U255" i="6"/>
  <c r="L255" i="6"/>
  <c r="D255" i="6"/>
  <c r="U254" i="6"/>
  <c r="L254" i="6"/>
  <c r="D254" i="6"/>
  <c r="G420" i="6"/>
  <c r="G405" i="6"/>
  <c r="X398" i="6"/>
  <c r="X391" i="6"/>
  <c r="N385" i="6"/>
  <c r="F380" i="6"/>
  <c r="F373" i="6"/>
  <c r="F366" i="6"/>
  <c r="W360" i="6"/>
  <c r="U357" i="6"/>
  <c r="E355" i="6"/>
  <c r="E353" i="6"/>
  <c r="N350" i="6"/>
  <c r="D348" i="6"/>
  <c r="D346" i="6"/>
  <c r="M343" i="6"/>
  <c r="W340" i="6"/>
  <c r="W338" i="6"/>
  <c r="L336" i="6"/>
  <c r="V333" i="6"/>
  <c r="V331" i="6"/>
  <c r="F329" i="6"/>
  <c r="U326" i="6"/>
  <c r="X324" i="6"/>
  <c r="S323" i="6"/>
  <c r="S322" i="6"/>
  <c r="Y321" i="6"/>
  <c r="A321" i="6"/>
  <c r="B320" i="6"/>
  <c r="H319" i="6"/>
  <c r="I318" i="6"/>
  <c r="J317" i="6"/>
  <c r="Q316" i="6"/>
  <c r="R315" i="6"/>
  <c r="S314" i="6"/>
  <c r="Y313" i="6"/>
  <c r="A313" i="6"/>
  <c r="B312" i="6"/>
  <c r="H311" i="6"/>
  <c r="I310" i="6"/>
  <c r="J309" i="6"/>
  <c r="Q308" i="6"/>
  <c r="R307" i="6"/>
  <c r="S306" i="6"/>
  <c r="Y305" i="6"/>
  <c r="A305" i="6"/>
  <c r="B304" i="6"/>
  <c r="H303" i="6"/>
  <c r="I302" i="6"/>
  <c r="J301" i="6"/>
  <c r="Q300" i="6"/>
  <c r="R299" i="6"/>
  <c r="S298" i="6"/>
  <c r="Y297" i="6"/>
  <c r="A297" i="6"/>
  <c r="B296" i="6"/>
  <c r="H295" i="6"/>
  <c r="I294" i="6"/>
  <c r="J293" i="6"/>
  <c r="Q292" i="6"/>
  <c r="R291" i="6"/>
  <c r="S290" i="6"/>
  <c r="B290" i="6"/>
  <c r="Q289" i="6"/>
  <c r="E289" i="6"/>
  <c r="T288" i="6"/>
  <c r="K288" i="6"/>
  <c r="C288" i="6"/>
  <c r="T287" i="6"/>
  <c r="K287" i="6"/>
  <c r="C287" i="6"/>
  <c r="T286" i="6"/>
  <c r="K286" i="6"/>
  <c r="C286" i="6"/>
  <c r="T285" i="6"/>
  <c r="K285" i="6"/>
  <c r="C285" i="6"/>
  <c r="T284" i="6"/>
  <c r="K284" i="6"/>
  <c r="C284" i="6"/>
  <c r="T283" i="6"/>
  <c r="K283" i="6"/>
  <c r="C283" i="6"/>
  <c r="T282" i="6"/>
  <c r="K282" i="6"/>
  <c r="C282" i="6"/>
  <c r="T281" i="6"/>
  <c r="K281" i="6"/>
  <c r="C281" i="6"/>
  <c r="T280" i="6"/>
  <c r="K280" i="6"/>
  <c r="C280" i="6"/>
  <c r="T279" i="6"/>
  <c r="K279" i="6"/>
  <c r="C279" i="6"/>
  <c r="T278" i="6"/>
  <c r="K278" i="6"/>
  <c r="C278" i="6"/>
  <c r="T277" i="6"/>
  <c r="K277" i="6"/>
  <c r="C277" i="6"/>
  <c r="T276" i="6"/>
  <c r="K276" i="6"/>
  <c r="C276" i="6"/>
  <c r="T275" i="6"/>
  <c r="K275" i="6"/>
  <c r="C275" i="6"/>
  <c r="T274" i="6"/>
  <c r="K274" i="6"/>
  <c r="C274" i="6"/>
  <c r="T273" i="6"/>
  <c r="K273" i="6"/>
  <c r="C273" i="6"/>
  <c r="T272" i="6"/>
  <c r="K272" i="6"/>
  <c r="C272" i="6"/>
  <c r="T271" i="6"/>
  <c r="K271" i="6"/>
  <c r="C271" i="6"/>
  <c r="T270" i="6"/>
  <c r="K270" i="6"/>
  <c r="C270" i="6"/>
  <c r="T269" i="6"/>
  <c r="K269" i="6"/>
  <c r="C269" i="6"/>
  <c r="T268" i="6"/>
  <c r="K268" i="6"/>
  <c r="C268" i="6"/>
  <c r="T267" i="6"/>
  <c r="K267" i="6"/>
  <c r="C267" i="6"/>
  <c r="T266" i="6"/>
  <c r="K266" i="6"/>
  <c r="C266" i="6"/>
  <c r="T265" i="6"/>
  <c r="K265" i="6"/>
  <c r="C265" i="6"/>
  <c r="T264" i="6"/>
  <c r="K264" i="6"/>
  <c r="C264" i="6"/>
  <c r="T263" i="6"/>
  <c r="K263" i="6"/>
  <c r="C263" i="6"/>
  <c r="T262" i="6"/>
  <c r="K262" i="6"/>
  <c r="C262" i="6"/>
  <c r="T261" i="6"/>
  <c r="K261" i="6"/>
  <c r="C261" i="6"/>
  <c r="T260" i="6"/>
  <c r="K260" i="6"/>
  <c r="C260" i="6"/>
  <c r="T259" i="6"/>
  <c r="K259" i="6"/>
  <c r="C259" i="6"/>
  <c r="T258" i="6"/>
  <c r="K258" i="6"/>
  <c r="C258" i="6"/>
  <c r="T257" i="6"/>
  <c r="K257" i="6"/>
  <c r="C257" i="6"/>
  <c r="T256" i="6"/>
  <c r="K256" i="6"/>
  <c r="C256" i="6"/>
  <c r="T255" i="6"/>
  <c r="K255" i="6"/>
  <c r="C255" i="6"/>
  <c r="T254" i="6"/>
  <c r="K254" i="6"/>
  <c r="C254" i="6"/>
  <c r="T253" i="6"/>
  <c r="K253" i="6"/>
  <c r="C253" i="6"/>
  <c r="T252" i="6"/>
  <c r="N418" i="6"/>
  <c r="F405" i="6"/>
  <c r="F397" i="6"/>
  <c r="W391" i="6"/>
  <c r="W384" i="6"/>
  <c r="M378" i="6"/>
  <c r="E373" i="6"/>
  <c r="E366" i="6"/>
  <c r="T359" i="6"/>
  <c r="N357" i="6"/>
  <c r="D355" i="6"/>
  <c r="M352" i="6"/>
  <c r="M350" i="6"/>
  <c r="W347" i="6"/>
  <c r="L345" i="6"/>
  <c r="L343" i="6"/>
  <c r="V340" i="6"/>
  <c r="F338" i="6"/>
  <c r="F336" i="6"/>
  <c r="U333" i="6"/>
  <c r="E331" i="6"/>
  <c r="E329" i="6"/>
  <c r="N326" i="6"/>
  <c r="P324" i="6"/>
  <c r="R323" i="6"/>
  <c r="R322" i="6"/>
  <c r="S321" i="6"/>
  <c r="Y320" i="6"/>
  <c r="A320" i="6"/>
  <c r="B319" i="6"/>
  <c r="H318" i="6"/>
  <c r="I317" i="6"/>
  <c r="J316" i="6"/>
  <c r="Q315" i="6"/>
  <c r="R314" i="6"/>
  <c r="S313" i="6"/>
  <c r="Y312" i="6"/>
  <c r="A312" i="6"/>
  <c r="B311" i="6"/>
  <c r="H310" i="6"/>
  <c r="I309" i="6"/>
  <c r="J308" i="6"/>
  <c r="Q307" i="6"/>
  <c r="R306" i="6"/>
  <c r="S305" i="6"/>
  <c r="Y304" i="6"/>
  <c r="A304" i="6"/>
  <c r="B303" i="6"/>
  <c r="H302" i="6"/>
  <c r="I301" i="6"/>
  <c r="J300" i="6"/>
  <c r="Q299" i="6"/>
  <c r="R298" i="6"/>
  <c r="S297" i="6"/>
  <c r="Y296" i="6"/>
  <c r="A296" i="6"/>
  <c r="B295" i="6"/>
  <c r="H294" i="6"/>
  <c r="I293" i="6"/>
  <c r="J292" i="6"/>
  <c r="Q291" i="6"/>
  <c r="R290" i="6"/>
  <c r="A290" i="6"/>
  <c r="N289" i="6"/>
  <c r="D289" i="6"/>
  <c r="S288" i="6"/>
  <c r="J288" i="6"/>
  <c r="B288" i="6"/>
  <c r="S287" i="6"/>
  <c r="J287" i="6"/>
  <c r="B287" i="6"/>
  <c r="S286" i="6"/>
  <c r="J286" i="6"/>
  <c r="B286" i="6"/>
  <c r="S285" i="6"/>
  <c r="J285" i="6"/>
  <c r="B285" i="6"/>
  <c r="S284" i="6"/>
  <c r="J284" i="6"/>
  <c r="B284" i="6"/>
  <c r="S283" i="6"/>
  <c r="J283" i="6"/>
  <c r="B283" i="6"/>
  <c r="S282" i="6"/>
  <c r="J282" i="6"/>
  <c r="B282" i="6"/>
  <c r="S281" i="6"/>
  <c r="J281" i="6"/>
  <c r="B281" i="6"/>
  <c r="S280" i="6"/>
  <c r="J280" i="6"/>
  <c r="B280" i="6"/>
  <c r="S279" i="6"/>
  <c r="J279" i="6"/>
  <c r="B279" i="6"/>
  <c r="S278" i="6"/>
  <c r="J278" i="6"/>
  <c r="B278" i="6"/>
  <c r="S277" i="6"/>
  <c r="J277" i="6"/>
  <c r="B277" i="6"/>
  <c r="S276" i="6"/>
  <c r="J276" i="6"/>
  <c r="B276" i="6"/>
  <c r="S275" i="6"/>
  <c r="J275" i="6"/>
  <c r="B275" i="6"/>
  <c r="S274" i="6"/>
  <c r="J274" i="6"/>
  <c r="B274" i="6"/>
  <c r="S273" i="6"/>
  <c r="J273" i="6"/>
  <c r="B273" i="6"/>
  <c r="S272" i="6"/>
  <c r="J272" i="6"/>
  <c r="B272" i="6"/>
  <c r="S271" i="6"/>
  <c r="J271" i="6"/>
  <c r="B271" i="6"/>
  <c r="S270" i="6"/>
  <c r="J270" i="6"/>
  <c r="B270" i="6"/>
  <c r="S269" i="6"/>
  <c r="J269" i="6"/>
  <c r="B269" i="6"/>
  <c r="S268" i="6"/>
  <c r="J268" i="6"/>
  <c r="B268" i="6"/>
  <c r="S267" i="6"/>
  <c r="J267" i="6"/>
  <c r="B267" i="6"/>
  <c r="S266" i="6"/>
  <c r="J266" i="6"/>
  <c r="B266" i="6"/>
  <c r="S265" i="6"/>
  <c r="J265" i="6"/>
  <c r="N414" i="6"/>
  <c r="V384" i="6"/>
  <c r="R359" i="6"/>
  <c r="V349" i="6"/>
  <c r="U340" i="6"/>
  <c r="D331" i="6"/>
  <c r="J323" i="6"/>
  <c r="Y319" i="6"/>
  <c r="I316" i="6"/>
  <c r="S312" i="6"/>
  <c r="H309" i="6"/>
  <c r="R305" i="6"/>
  <c r="B302" i="6"/>
  <c r="Q298" i="6"/>
  <c r="A295" i="6"/>
  <c r="J291" i="6"/>
  <c r="B289" i="6"/>
  <c r="R287" i="6"/>
  <c r="I286" i="6"/>
  <c r="A285" i="6"/>
  <c r="R283" i="6"/>
  <c r="I282" i="6"/>
  <c r="A281" i="6"/>
  <c r="R279" i="6"/>
  <c r="I278" i="6"/>
  <c r="A277" i="6"/>
  <c r="R275" i="6"/>
  <c r="I274" i="6"/>
  <c r="A273" i="6"/>
  <c r="R271" i="6"/>
  <c r="I270" i="6"/>
  <c r="A269" i="6"/>
  <c r="R267" i="6"/>
  <c r="I266" i="6"/>
  <c r="B265" i="6"/>
  <c r="H264" i="6"/>
  <c r="I263" i="6"/>
  <c r="J262" i="6"/>
  <c r="Q261" i="6"/>
  <c r="R260" i="6"/>
  <c r="S259" i="6"/>
  <c r="Y258" i="6"/>
  <c r="A258" i="6"/>
  <c r="B257" i="6"/>
  <c r="H256" i="6"/>
  <c r="I255" i="6"/>
  <c r="J254" i="6"/>
  <c r="V253" i="6"/>
  <c r="J253" i="6"/>
  <c r="Y252" i="6"/>
  <c r="M252" i="6"/>
  <c r="D252" i="6"/>
  <c r="T251" i="6"/>
  <c r="J251" i="6"/>
  <c r="B251" i="6"/>
  <c r="S250" i="6"/>
  <c r="J250" i="6"/>
  <c r="B250" i="6"/>
  <c r="S249" i="6"/>
  <c r="J249" i="6"/>
  <c r="B249" i="6"/>
  <c r="S248" i="6"/>
  <c r="J248" i="6"/>
  <c r="B248" i="6"/>
  <c r="S247" i="6"/>
  <c r="J247" i="6"/>
  <c r="B247" i="6"/>
  <c r="S246" i="6"/>
  <c r="J246" i="6"/>
  <c r="B246" i="6"/>
  <c r="S245" i="6"/>
  <c r="J245" i="6"/>
  <c r="B245" i="6"/>
  <c r="S244" i="6"/>
  <c r="J244" i="6"/>
  <c r="B244" i="6"/>
  <c r="S243" i="6"/>
  <c r="J243" i="6"/>
  <c r="B243" i="6"/>
  <c r="S242" i="6"/>
  <c r="J242" i="6"/>
  <c r="B242" i="6"/>
  <c r="S241" i="6"/>
  <c r="J241" i="6"/>
  <c r="B241" i="6"/>
  <c r="S240" i="6"/>
  <c r="J240" i="6"/>
  <c r="B240" i="6"/>
  <c r="S239" i="6"/>
  <c r="J239" i="6"/>
  <c r="B239" i="6"/>
  <c r="S238" i="6"/>
  <c r="J238" i="6"/>
  <c r="B238" i="6"/>
  <c r="S237" i="6"/>
  <c r="J237" i="6"/>
  <c r="B237" i="6"/>
  <c r="S236" i="6"/>
  <c r="J236" i="6"/>
  <c r="B236" i="6"/>
  <c r="S235" i="6"/>
  <c r="J235" i="6"/>
  <c r="B235" i="6"/>
  <c r="S234" i="6"/>
  <c r="J234" i="6"/>
  <c r="B234" i="6"/>
  <c r="S233" i="6"/>
  <c r="J233" i="6"/>
  <c r="B233" i="6"/>
  <c r="S232" i="6"/>
  <c r="J232" i="6"/>
  <c r="B232" i="6"/>
  <c r="S231" i="6"/>
  <c r="J231" i="6"/>
  <c r="B231" i="6"/>
  <c r="S230" i="6"/>
  <c r="J230" i="6"/>
  <c r="B230" i="6"/>
  <c r="S229" i="6"/>
  <c r="J229" i="6"/>
  <c r="B229" i="6"/>
  <c r="S228" i="6"/>
  <c r="J228" i="6"/>
  <c r="B228" i="6"/>
  <c r="S227" i="6"/>
  <c r="J227" i="6"/>
  <c r="B227" i="6"/>
  <c r="S226" i="6"/>
  <c r="J226" i="6"/>
  <c r="B226" i="6"/>
  <c r="S225" i="6"/>
  <c r="J225" i="6"/>
  <c r="B225" i="6"/>
  <c r="S224" i="6"/>
  <c r="J224" i="6"/>
  <c r="B224" i="6"/>
  <c r="S223" i="6"/>
  <c r="J223" i="6"/>
  <c r="B223" i="6"/>
  <c r="S222" i="6"/>
  <c r="J222" i="6"/>
  <c r="B222" i="6"/>
  <c r="S221" i="6"/>
  <c r="J221" i="6"/>
  <c r="B221" i="6"/>
  <c r="S220" i="6"/>
  <c r="J220" i="6"/>
  <c r="B220" i="6"/>
  <c r="S219" i="6"/>
  <c r="J219" i="6"/>
  <c r="B219" i="6"/>
  <c r="S218" i="6"/>
  <c r="J218" i="6"/>
  <c r="B218" i="6"/>
  <c r="S217" i="6"/>
  <c r="J217" i="6"/>
  <c r="B217" i="6"/>
  <c r="S216" i="6"/>
  <c r="J216" i="6"/>
  <c r="B216" i="6"/>
  <c r="S215" i="6"/>
  <c r="J215" i="6"/>
  <c r="B215" i="6"/>
  <c r="S214" i="6"/>
  <c r="J214" i="6"/>
  <c r="B214" i="6"/>
  <c r="S213" i="6"/>
  <c r="J213" i="6"/>
  <c r="B213" i="6"/>
  <c r="S212" i="6"/>
  <c r="J212" i="6"/>
  <c r="L414" i="6"/>
  <c r="X382" i="6"/>
  <c r="P359" i="6"/>
  <c r="U349" i="6"/>
  <c r="D340" i="6"/>
  <c r="W330" i="6"/>
  <c r="I323" i="6"/>
  <c r="S319" i="6"/>
  <c r="H316" i="6"/>
  <c r="R312" i="6"/>
  <c r="B309" i="6"/>
  <c r="Q305" i="6"/>
  <c r="A302" i="6"/>
  <c r="J298" i="6"/>
  <c r="Y294" i="6"/>
  <c r="I291" i="6"/>
  <c r="A289" i="6"/>
  <c r="Q287" i="6"/>
  <c r="H286" i="6"/>
  <c r="Y284" i="6"/>
  <c r="Q283" i="6"/>
  <c r="H282" i="6"/>
  <c r="Y280" i="6"/>
  <c r="Q279" i="6"/>
  <c r="H278" i="6"/>
  <c r="Y276" i="6"/>
  <c r="Q275" i="6"/>
  <c r="H274" i="6"/>
  <c r="Y272" i="6"/>
  <c r="Q271" i="6"/>
  <c r="H270" i="6"/>
  <c r="Y268" i="6"/>
  <c r="Q267" i="6"/>
  <c r="H266" i="6"/>
  <c r="A265" i="6"/>
  <c r="B264" i="6"/>
  <c r="H263" i="6"/>
  <c r="I262" i="6"/>
  <c r="J261" i="6"/>
  <c r="Q260" i="6"/>
  <c r="R259" i="6"/>
  <c r="S258" i="6"/>
  <c r="Y257" i="6"/>
  <c r="A257" i="6"/>
  <c r="B256" i="6"/>
  <c r="H255" i="6"/>
  <c r="I254" i="6"/>
  <c r="U253" i="6"/>
  <c r="I253" i="6"/>
  <c r="W252" i="6"/>
  <c r="L252" i="6"/>
  <c r="C252" i="6"/>
  <c r="S251" i="6"/>
  <c r="I251" i="6"/>
  <c r="A251" i="6"/>
  <c r="R250" i="6"/>
  <c r="I250" i="6"/>
  <c r="A250" i="6"/>
  <c r="R249" i="6"/>
  <c r="I249" i="6"/>
  <c r="A249" i="6"/>
  <c r="R248" i="6"/>
  <c r="I248" i="6"/>
  <c r="A248" i="6"/>
  <c r="R247" i="6"/>
  <c r="I247" i="6"/>
  <c r="A247" i="6"/>
  <c r="R246" i="6"/>
  <c r="I246" i="6"/>
  <c r="A246" i="6"/>
  <c r="R245" i="6"/>
  <c r="I245" i="6"/>
  <c r="A245" i="6"/>
  <c r="R244" i="6"/>
  <c r="I244" i="6"/>
  <c r="A244" i="6"/>
  <c r="R243" i="6"/>
  <c r="I243" i="6"/>
  <c r="A243" i="6"/>
  <c r="R242" i="6"/>
  <c r="I242" i="6"/>
  <c r="A242" i="6"/>
  <c r="R241" i="6"/>
  <c r="I241" i="6"/>
  <c r="A241" i="6"/>
  <c r="R240" i="6"/>
  <c r="I240" i="6"/>
  <c r="A240" i="6"/>
  <c r="R239" i="6"/>
  <c r="I239" i="6"/>
  <c r="A239" i="6"/>
  <c r="R238" i="6"/>
  <c r="I238" i="6"/>
  <c r="A238" i="6"/>
  <c r="R237" i="6"/>
  <c r="I237" i="6"/>
  <c r="A237" i="6"/>
  <c r="R236" i="6"/>
  <c r="I236" i="6"/>
  <c r="A236" i="6"/>
  <c r="R235" i="6"/>
  <c r="I235" i="6"/>
  <c r="A235" i="6"/>
  <c r="R234" i="6"/>
  <c r="I234" i="6"/>
  <c r="A234" i="6"/>
  <c r="R233" i="6"/>
  <c r="I233" i="6"/>
  <c r="A233" i="6"/>
  <c r="R232" i="6"/>
  <c r="I232" i="6"/>
  <c r="A232" i="6"/>
  <c r="R231" i="6"/>
  <c r="I231" i="6"/>
  <c r="A231" i="6"/>
  <c r="R230" i="6"/>
  <c r="I230" i="6"/>
  <c r="A230" i="6"/>
  <c r="R229" i="6"/>
  <c r="I229" i="6"/>
  <c r="A229" i="6"/>
  <c r="R228" i="6"/>
  <c r="I228" i="6"/>
  <c r="A228" i="6"/>
  <c r="R227" i="6"/>
  <c r="I227" i="6"/>
  <c r="A227" i="6"/>
  <c r="R226" i="6"/>
  <c r="I226" i="6"/>
  <c r="A226" i="6"/>
  <c r="R225" i="6"/>
  <c r="I225" i="6"/>
  <c r="A225" i="6"/>
  <c r="R224" i="6"/>
  <c r="I224" i="6"/>
  <c r="A224" i="6"/>
  <c r="R223" i="6"/>
  <c r="I223" i="6"/>
  <c r="A223" i="6"/>
  <c r="R222" i="6"/>
  <c r="I222" i="6"/>
  <c r="A222" i="6"/>
  <c r="R221" i="6"/>
  <c r="I221" i="6"/>
  <c r="A221" i="6"/>
  <c r="R220" i="6"/>
  <c r="I220" i="6"/>
  <c r="A220" i="6"/>
  <c r="R219" i="6"/>
  <c r="I219" i="6"/>
  <c r="A219" i="6"/>
  <c r="R218" i="6"/>
  <c r="I218" i="6"/>
  <c r="A218" i="6"/>
  <c r="R217" i="6"/>
  <c r="I217" i="6"/>
  <c r="A217" i="6"/>
  <c r="R216" i="6"/>
  <c r="I216" i="6"/>
  <c r="A216" i="6"/>
  <c r="R215" i="6"/>
  <c r="I215" i="6"/>
  <c r="A215" i="6"/>
  <c r="R214" i="6"/>
  <c r="I214" i="6"/>
  <c r="A214" i="6"/>
  <c r="R213" i="6"/>
  <c r="I213" i="6"/>
  <c r="A213" i="6"/>
  <c r="R212" i="6"/>
  <c r="I212" i="6"/>
  <c r="X403" i="6"/>
  <c r="V377" i="6"/>
  <c r="W356" i="6"/>
  <c r="V347" i="6"/>
  <c r="E338" i="6"/>
  <c r="M328" i="6"/>
  <c r="Q322" i="6"/>
  <c r="A319" i="6"/>
  <c r="J315" i="6"/>
  <c r="Y311" i="6"/>
  <c r="I308" i="6"/>
  <c r="S304" i="6"/>
  <c r="H301" i="6"/>
  <c r="R297" i="6"/>
  <c r="B294" i="6"/>
  <c r="Q290" i="6"/>
  <c r="R288" i="6"/>
  <c r="I287" i="6"/>
  <c r="A286" i="6"/>
  <c r="R284" i="6"/>
  <c r="I283" i="6"/>
  <c r="A282" i="6"/>
  <c r="R280" i="6"/>
  <c r="I279" i="6"/>
  <c r="A278" i="6"/>
  <c r="R276" i="6"/>
  <c r="I275" i="6"/>
  <c r="A274" i="6"/>
  <c r="R272" i="6"/>
  <c r="I271" i="6"/>
  <c r="A270" i="6"/>
  <c r="R268" i="6"/>
  <c r="I267" i="6"/>
  <c r="A266" i="6"/>
  <c r="Y264" i="6"/>
  <c r="A264" i="6"/>
  <c r="B263" i="6"/>
  <c r="H262" i="6"/>
  <c r="I261" i="6"/>
  <c r="J260" i="6"/>
  <c r="Q259" i="6"/>
  <c r="R258" i="6"/>
  <c r="S257" i="6"/>
  <c r="Y256" i="6"/>
  <c r="A256" i="6"/>
  <c r="B255" i="6"/>
  <c r="H254" i="6"/>
  <c r="S253" i="6"/>
  <c r="H253" i="6"/>
  <c r="V252" i="6"/>
  <c r="K252" i="6"/>
  <c r="B252" i="6"/>
  <c r="R251" i="6"/>
  <c r="H251" i="6"/>
  <c r="Y250" i="6"/>
  <c r="Q250" i="6"/>
  <c r="H250" i="6"/>
  <c r="Y249" i="6"/>
  <c r="Q249" i="6"/>
  <c r="H249" i="6"/>
  <c r="Y248" i="6"/>
  <c r="Q248" i="6"/>
  <c r="H248" i="6"/>
  <c r="Y247" i="6"/>
  <c r="Q247" i="6"/>
  <c r="H247" i="6"/>
  <c r="Y246" i="6"/>
  <c r="Q246" i="6"/>
  <c r="H246" i="6"/>
  <c r="Y245" i="6"/>
  <c r="Q245" i="6"/>
  <c r="H245" i="6"/>
  <c r="Y244" i="6"/>
  <c r="Q244" i="6"/>
  <c r="H244" i="6"/>
  <c r="Y243" i="6"/>
  <c r="Q243" i="6"/>
  <c r="H243" i="6"/>
  <c r="Y242" i="6"/>
  <c r="Q242" i="6"/>
  <c r="H242" i="6"/>
  <c r="Y241" i="6"/>
  <c r="Q241" i="6"/>
  <c r="H241" i="6"/>
  <c r="Y240" i="6"/>
  <c r="Q240" i="6"/>
  <c r="H240" i="6"/>
  <c r="Y239" i="6"/>
  <c r="Q239" i="6"/>
  <c r="H239" i="6"/>
  <c r="Y238" i="6"/>
  <c r="Q238" i="6"/>
  <c r="H238" i="6"/>
  <c r="Y237" i="6"/>
  <c r="Q237" i="6"/>
  <c r="H237" i="6"/>
  <c r="Y236" i="6"/>
  <c r="Q236" i="6"/>
  <c r="H236" i="6"/>
  <c r="Y235" i="6"/>
  <c r="Q235" i="6"/>
  <c r="H235" i="6"/>
  <c r="Y234" i="6"/>
  <c r="Q234" i="6"/>
  <c r="H234" i="6"/>
  <c r="Y233" i="6"/>
  <c r="Q233" i="6"/>
  <c r="H233" i="6"/>
  <c r="Y232" i="6"/>
  <c r="Q232" i="6"/>
  <c r="H232" i="6"/>
  <c r="Y231" i="6"/>
  <c r="Q231" i="6"/>
  <c r="H231" i="6"/>
  <c r="Y230" i="6"/>
  <c r="Q230" i="6"/>
  <c r="H230" i="6"/>
  <c r="Y229" i="6"/>
  <c r="Q229" i="6"/>
  <c r="H229" i="6"/>
  <c r="Y228" i="6"/>
  <c r="Q228" i="6"/>
  <c r="H228" i="6"/>
  <c r="Y227" i="6"/>
  <c r="Q227" i="6"/>
  <c r="H227" i="6"/>
  <c r="Y226" i="6"/>
  <c r="Q226" i="6"/>
  <c r="H226" i="6"/>
  <c r="Y225" i="6"/>
  <c r="Q225" i="6"/>
  <c r="H225" i="6"/>
  <c r="Y224" i="6"/>
  <c r="Q224" i="6"/>
  <c r="H224" i="6"/>
  <c r="Y223" i="6"/>
  <c r="Q223" i="6"/>
  <c r="H223" i="6"/>
  <c r="Y222" i="6"/>
  <c r="Q222" i="6"/>
  <c r="H222" i="6"/>
  <c r="Y221" i="6"/>
  <c r="Q221" i="6"/>
  <c r="H221" i="6"/>
  <c r="Y220" i="6"/>
  <c r="Q220" i="6"/>
  <c r="H220" i="6"/>
  <c r="Y219" i="6"/>
  <c r="Q219" i="6"/>
  <c r="H219" i="6"/>
  <c r="Y218" i="6"/>
  <c r="Q218" i="6"/>
  <c r="H218" i="6"/>
  <c r="Y217" i="6"/>
  <c r="Q217" i="6"/>
  <c r="H217" i="6"/>
  <c r="Y216" i="6"/>
  <c r="Q216" i="6"/>
  <c r="H216" i="6"/>
  <c r="Y215" i="6"/>
  <c r="Q215" i="6"/>
  <c r="H215" i="6"/>
  <c r="Y214" i="6"/>
  <c r="Q214" i="6"/>
  <c r="H214" i="6"/>
  <c r="Y213" i="6"/>
  <c r="Q213" i="6"/>
  <c r="H213" i="6"/>
  <c r="Y212" i="6"/>
  <c r="Q212" i="6"/>
  <c r="H212" i="6"/>
  <c r="V401" i="6"/>
  <c r="P377" i="6"/>
  <c r="V356" i="6"/>
  <c r="E347" i="6"/>
  <c r="D338" i="6"/>
  <c r="L328" i="6"/>
  <c r="J322" i="6"/>
  <c r="Y318" i="6"/>
  <c r="I315" i="6"/>
  <c r="S311" i="6"/>
  <c r="H308" i="6"/>
  <c r="R304" i="6"/>
  <c r="B301" i="6"/>
  <c r="Q297" i="6"/>
  <c r="A294" i="6"/>
  <c r="J290" i="6"/>
  <c r="Q288" i="6"/>
  <c r="H287" i="6"/>
  <c r="Y285" i="6"/>
  <c r="Q284" i="6"/>
  <c r="H283" i="6"/>
  <c r="Y281" i="6"/>
  <c r="Q280" i="6"/>
  <c r="H279" i="6"/>
  <c r="Y277" i="6"/>
  <c r="Q276" i="6"/>
  <c r="H275" i="6"/>
  <c r="Y273" i="6"/>
  <c r="Q272" i="6"/>
  <c r="H271" i="6"/>
  <c r="Y269" i="6"/>
  <c r="Q268" i="6"/>
  <c r="H267" i="6"/>
  <c r="Y265" i="6"/>
  <c r="S264" i="6"/>
  <c r="Y263" i="6"/>
  <c r="A263" i="6"/>
  <c r="B262" i="6"/>
  <c r="H261" i="6"/>
  <c r="I260" i="6"/>
  <c r="J259" i="6"/>
  <c r="Q258" i="6"/>
  <c r="R257" i="6"/>
  <c r="S256" i="6"/>
  <c r="Y255" i="6"/>
  <c r="A255" i="6"/>
  <c r="E254" i="6"/>
  <c r="R253" i="6"/>
  <c r="F253" i="6"/>
  <c r="U252" i="6"/>
  <c r="J252" i="6"/>
  <c r="A252" i="6"/>
  <c r="Q251" i="6"/>
  <c r="G251" i="6"/>
  <c r="X250" i="6"/>
  <c r="P250" i="6"/>
  <c r="G250" i="6"/>
  <c r="X249" i="6"/>
  <c r="P249" i="6"/>
  <c r="G249" i="6"/>
  <c r="X248" i="6"/>
  <c r="P248" i="6"/>
  <c r="G248" i="6"/>
  <c r="X247" i="6"/>
  <c r="P247" i="6"/>
  <c r="G247" i="6"/>
  <c r="X246" i="6"/>
  <c r="P246" i="6"/>
  <c r="G246" i="6"/>
  <c r="X245" i="6"/>
  <c r="P245" i="6"/>
  <c r="G245" i="6"/>
  <c r="X244" i="6"/>
  <c r="P244" i="6"/>
  <c r="G244" i="6"/>
  <c r="X243" i="6"/>
  <c r="P243" i="6"/>
  <c r="G243" i="6"/>
  <c r="X242" i="6"/>
  <c r="P242" i="6"/>
  <c r="G242" i="6"/>
  <c r="X241" i="6"/>
  <c r="P241" i="6"/>
  <c r="G241" i="6"/>
  <c r="X240" i="6"/>
  <c r="P240" i="6"/>
  <c r="G240" i="6"/>
  <c r="X239" i="6"/>
  <c r="P239" i="6"/>
  <c r="G239" i="6"/>
  <c r="X238" i="6"/>
  <c r="P238" i="6"/>
  <c r="G238" i="6"/>
  <c r="X237" i="6"/>
  <c r="P237" i="6"/>
  <c r="G237" i="6"/>
  <c r="X236" i="6"/>
  <c r="P236" i="6"/>
  <c r="G236" i="6"/>
  <c r="X235" i="6"/>
  <c r="P235" i="6"/>
  <c r="G235" i="6"/>
  <c r="X234" i="6"/>
  <c r="P234" i="6"/>
  <c r="G234" i="6"/>
  <c r="X233" i="6"/>
  <c r="P233" i="6"/>
  <c r="G233" i="6"/>
  <c r="X232" i="6"/>
  <c r="P232" i="6"/>
  <c r="G232" i="6"/>
  <c r="X231" i="6"/>
  <c r="P231" i="6"/>
  <c r="G231" i="6"/>
  <c r="X230" i="6"/>
  <c r="P230" i="6"/>
  <c r="G230" i="6"/>
  <c r="X229" i="6"/>
  <c r="P229" i="6"/>
  <c r="G229" i="6"/>
  <c r="X228" i="6"/>
  <c r="P228" i="6"/>
  <c r="G228" i="6"/>
  <c r="X227" i="6"/>
  <c r="P227" i="6"/>
  <c r="G227" i="6"/>
  <c r="X226" i="6"/>
  <c r="P226" i="6"/>
  <c r="G226" i="6"/>
  <c r="X225" i="6"/>
  <c r="P225" i="6"/>
  <c r="G225" i="6"/>
  <c r="X224" i="6"/>
  <c r="P224" i="6"/>
  <c r="G224" i="6"/>
  <c r="X223" i="6"/>
  <c r="P223" i="6"/>
  <c r="G223" i="6"/>
  <c r="X222" i="6"/>
  <c r="P222" i="6"/>
  <c r="G222" i="6"/>
  <c r="X221" i="6"/>
  <c r="P221" i="6"/>
  <c r="G221" i="6"/>
  <c r="X220" i="6"/>
  <c r="P220" i="6"/>
  <c r="G220" i="6"/>
  <c r="X219" i="6"/>
  <c r="P219" i="6"/>
  <c r="G219" i="6"/>
  <c r="X218" i="6"/>
  <c r="P218" i="6"/>
  <c r="G218" i="6"/>
  <c r="X217" i="6"/>
  <c r="P217" i="6"/>
  <c r="G217" i="6"/>
  <c r="X216" i="6"/>
  <c r="P216" i="6"/>
  <c r="G216" i="6"/>
  <c r="X215" i="6"/>
  <c r="P215" i="6"/>
  <c r="G215" i="6"/>
  <c r="X214" i="6"/>
  <c r="P214" i="6"/>
  <c r="G214" i="6"/>
  <c r="X213" i="6"/>
  <c r="P213" i="6"/>
  <c r="G213" i="6"/>
  <c r="X212" i="6"/>
  <c r="P212" i="6"/>
  <c r="E397" i="6"/>
  <c r="G371" i="6"/>
  <c r="W354" i="6"/>
  <c r="F345" i="6"/>
  <c r="N335" i="6"/>
  <c r="M326" i="6"/>
  <c r="R321" i="6"/>
  <c r="B318" i="6"/>
  <c r="Q314" i="6"/>
  <c r="A311" i="6"/>
  <c r="J307" i="6"/>
  <c r="Y303" i="6"/>
  <c r="I300" i="6"/>
  <c r="S296" i="6"/>
  <c r="H293" i="6"/>
  <c r="Y289" i="6"/>
  <c r="I288" i="6"/>
  <c r="A287" i="6"/>
  <c r="R285" i="6"/>
  <c r="I284" i="6"/>
  <c r="A283" i="6"/>
  <c r="R281" i="6"/>
  <c r="I280" i="6"/>
  <c r="A279" i="6"/>
  <c r="R277" i="6"/>
  <c r="I276" i="6"/>
  <c r="A275" i="6"/>
  <c r="R273" i="6"/>
  <c r="I272" i="6"/>
  <c r="A271" i="6"/>
  <c r="R269" i="6"/>
  <c r="I268" i="6"/>
  <c r="A267" i="6"/>
  <c r="R265" i="6"/>
  <c r="R264" i="6"/>
  <c r="S263" i="6"/>
  <c r="Y262" i="6"/>
  <c r="A262" i="6"/>
  <c r="B261" i="6"/>
  <c r="H260" i="6"/>
  <c r="I259" i="6"/>
  <c r="J258" i="6"/>
  <c r="Q257" i="6"/>
  <c r="R256" i="6"/>
  <c r="S255" i="6"/>
  <c r="Y254" i="6"/>
  <c r="B254" i="6"/>
  <c r="Q253" i="6"/>
  <c r="E253" i="6"/>
  <c r="S252" i="6"/>
  <c r="I252" i="6"/>
  <c r="Y251" i="6"/>
  <c r="N251" i="6"/>
  <c r="F251" i="6"/>
  <c r="W250" i="6"/>
  <c r="N250" i="6"/>
  <c r="F250" i="6"/>
  <c r="W249" i="6"/>
  <c r="N249" i="6"/>
  <c r="F249" i="6"/>
  <c r="W248" i="6"/>
  <c r="N248" i="6"/>
  <c r="F248" i="6"/>
  <c r="W247" i="6"/>
  <c r="N247" i="6"/>
  <c r="F247" i="6"/>
  <c r="W246" i="6"/>
  <c r="N246" i="6"/>
  <c r="F246" i="6"/>
  <c r="W245" i="6"/>
  <c r="N245" i="6"/>
  <c r="F245" i="6"/>
  <c r="W244" i="6"/>
  <c r="N244" i="6"/>
  <c r="F244" i="6"/>
  <c r="W243" i="6"/>
  <c r="N243" i="6"/>
  <c r="F243" i="6"/>
  <c r="W242" i="6"/>
  <c r="N242" i="6"/>
  <c r="F242" i="6"/>
  <c r="W241" i="6"/>
  <c r="N241" i="6"/>
  <c r="F241" i="6"/>
  <c r="W240" i="6"/>
  <c r="N240" i="6"/>
  <c r="F240" i="6"/>
  <c r="W239" i="6"/>
  <c r="N239" i="6"/>
  <c r="F239" i="6"/>
  <c r="W238" i="6"/>
  <c r="N238" i="6"/>
  <c r="F238" i="6"/>
  <c r="W237" i="6"/>
  <c r="N237" i="6"/>
  <c r="F237" i="6"/>
  <c r="W236" i="6"/>
  <c r="N236" i="6"/>
  <c r="F236" i="6"/>
  <c r="W235" i="6"/>
  <c r="N235" i="6"/>
  <c r="F235" i="6"/>
  <c r="W234" i="6"/>
  <c r="N234" i="6"/>
  <c r="F234" i="6"/>
  <c r="W233" i="6"/>
  <c r="N233" i="6"/>
  <c r="F233" i="6"/>
  <c r="W232" i="6"/>
  <c r="N232" i="6"/>
  <c r="F232" i="6"/>
  <c r="W231" i="6"/>
  <c r="N231" i="6"/>
  <c r="F231" i="6"/>
  <c r="W230" i="6"/>
  <c r="N230" i="6"/>
  <c r="F230" i="6"/>
  <c r="W229" i="6"/>
  <c r="N229" i="6"/>
  <c r="F229" i="6"/>
  <c r="W228" i="6"/>
  <c r="N228" i="6"/>
  <c r="F228" i="6"/>
  <c r="W227" i="6"/>
  <c r="N227" i="6"/>
  <c r="F227" i="6"/>
  <c r="W226" i="6"/>
  <c r="N226" i="6"/>
  <c r="F226" i="6"/>
  <c r="W225" i="6"/>
  <c r="N225" i="6"/>
  <c r="F225" i="6"/>
  <c r="W224" i="6"/>
  <c r="N224" i="6"/>
  <c r="F224" i="6"/>
  <c r="W223" i="6"/>
  <c r="N223" i="6"/>
  <c r="F223" i="6"/>
  <c r="W222" i="6"/>
  <c r="N222" i="6"/>
  <c r="F222" i="6"/>
  <c r="W221" i="6"/>
  <c r="N221" i="6"/>
  <c r="F221" i="6"/>
  <c r="W220" i="6"/>
  <c r="N220" i="6"/>
  <c r="F220" i="6"/>
  <c r="W219" i="6"/>
  <c r="N219" i="6"/>
  <c r="F219" i="6"/>
  <c r="W218" i="6"/>
  <c r="N218" i="6"/>
  <c r="F218" i="6"/>
  <c r="W217" i="6"/>
  <c r="N217" i="6"/>
  <c r="F217" i="6"/>
  <c r="W216" i="6"/>
  <c r="N216" i="6"/>
  <c r="F216" i="6"/>
  <c r="W215" i="6"/>
  <c r="N215" i="6"/>
  <c r="F215" i="6"/>
  <c r="W214" i="6"/>
  <c r="N214" i="6"/>
  <c r="F214" i="6"/>
  <c r="W213" i="6"/>
  <c r="N213" i="6"/>
  <c r="F213" i="6"/>
  <c r="W212" i="6"/>
  <c r="N212" i="6"/>
  <c r="M396" i="6"/>
  <c r="P370" i="6"/>
  <c r="F354" i="6"/>
  <c r="E345" i="6"/>
  <c r="M335" i="6"/>
  <c r="V325" i="6"/>
  <c r="Q321" i="6"/>
  <c r="A318" i="6"/>
  <c r="J314" i="6"/>
  <c r="Y310" i="6"/>
  <c r="I307" i="6"/>
  <c r="S303" i="6"/>
  <c r="H300" i="6"/>
  <c r="R296" i="6"/>
  <c r="B293" i="6"/>
  <c r="W289" i="6"/>
  <c r="H288" i="6"/>
  <c r="Y286" i="6"/>
  <c r="Q285" i="6"/>
  <c r="H284" i="6"/>
  <c r="Y282" i="6"/>
  <c r="Q281" i="6"/>
  <c r="H280" i="6"/>
  <c r="Y278" i="6"/>
  <c r="Q277" i="6"/>
  <c r="H276" i="6"/>
  <c r="Y274" i="6"/>
  <c r="Q273" i="6"/>
  <c r="H272" i="6"/>
  <c r="Y270" i="6"/>
  <c r="Q269" i="6"/>
  <c r="H268" i="6"/>
  <c r="Y266" i="6"/>
  <c r="Q265" i="6"/>
  <c r="Q264" i="6"/>
  <c r="R263" i="6"/>
  <c r="S262" i="6"/>
  <c r="Y261" i="6"/>
  <c r="A261" i="6"/>
  <c r="B260" i="6"/>
  <c r="H259" i="6"/>
  <c r="I258" i="6"/>
  <c r="J257" i="6"/>
  <c r="Q256" i="6"/>
  <c r="R255" i="6"/>
  <c r="S254" i="6"/>
  <c r="A254" i="6"/>
  <c r="N253" i="6"/>
  <c r="D253" i="6"/>
  <c r="R252" i="6"/>
  <c r="H252" i="6"/>
  <c r="W251" i="6"/>
  <c r="M251" i="6"/>
  <c r="E251" i="6"/>
  <c r="V250" i="6"/>
  <c r="M250" i="6"/>
  <c r="E250" i="6"/>
  <c r="V249" i="6"/>
  <c r="M249" i="6"/>
  <c r="E249" i="6"/>
  <c r="V248" i="6"/>
  <c r="M248" i="6"/>
  <c r="E248" i="6"/>
  <c r="V247" i="6"/>
  <c r="M247" i="6"/>
  <c r="E247" i="6"/>
  <c r="V246" i="6"/>
  <c r="M246" i="6"/>
  <c r="E246" i="6"/>
  <c r="V245" i="6"/>
  <c r="M245" i="6"/>
  <c r="E245" i="6"/>
  <c r="V244" i="6"/>
  <c r="M244" i="6"/>
  <c r="E244" i="6"/>
  <c r="V243" i="6"/>
  <c r="M243" i="6"/>
  <c r="E243" i="6"/>
  <c r="V242" i="6"/>
  <c r="M242" i="6"/>
  <c r="E242" i="6"/>
  <c r="V241" i="6"/>
  <c r="M241" i="6"/>
  <c r="E241" i="6"/>
  <c r="V240" i="6"/>
  <c r="M240" i="6"/>
  <c r="E240" i="6"/>
  <c r="V239" i="6"/>
  <c r="M239" i="6"/>
  <c r="E239" i="6"/>
  <c r="V238" i="6"/>
  <c r="M238" i="6"/>
  <c r="E238" i="6"/>
  <c r="V237" i="6"/>
  <c r="M237" i="6"/>
  <c r="E237" i="6"/>
  <c r="V236" i="6"/>
  <c r="M236" i="6"/>
  <c r="E236" i="6"/>
  <c r="V235" i="6"/>
  <c r="M235" i="6"/>
  <c r="E235" i="6"/>
  <c r="V234" i="6"/>
  <c r="M234" i="6"/>
  <c r="E234" i="6"/>
  <c r="V233" i="6"/>
  <c r="M233" i="6"/>
  <c r="E233" i="6"/>
  <c r="V232" i="6"/>
  <c r="M232" i="6"/>
  <c r="E232" i="6"/>
  <c r="V231" i="6"/>
  <c r="M231" i="6"/>
  <c r="E231" i="6"/>
  <c r="V230" i="6"/>
  <c r="M230" i="6"/>
  <c r="E230" i="6"/>
  <c r="V229" i="6"/>
  <c r="M229" i="6"/>
  <c r="E229" i="6"/>
  <c r="V228" i="6"/>
  <c r="M228" i="6"/>
  <c r="E228" i="6"/>
  <c r="V227" i="6"/>
  <c r="M227" i="6"/>
  <c r="E227" i="6"/>
  <c r="V226" i="6"/>
  <c r="M226" i="6"/>
  <c r="E226" i="6"/>
  <c r="V225" i="6"/>
  <c r="M225" i="6"/>
  <c r="E225" i="6"/>
  <c r="V224" i="6"/>
  <c r="M224" i="6"/>
  <c r="E224" i="6"/>
  <c r="V223" i="6"/>
  <c r="M223" i="6"/>
  <c r="E223" i="6"/>
  <c r="V222" i="6"/>
  <c r="M222" i="6"/>
  <c r="E222" i="6"/>
  <c r="V221" i="6"/>
  <c r="M221" i="6"/>
  <c r="E221" i="6"/>
  <c r="V220" i="6"/>
  <c r="M220" i="6"/>
  <c r="E220" i="6"/>
  <c r="V219" i="6"/>
  <c r="M219" i="6"/>
  <c r="E219" i="6"/>
  <c r="V218" i="6"/>
  <c r="M218" i="6"/>
  <c r="E218" i="6"/>
  <c r="V217" i="6"/>
  <c r="M217" i="6"/>
  <c r="E217" i="6"/>
  <c r="V216" i="6"/>
  <c r="M216" i="6"/>
  <c r="E216" i="6"/>
  <c r="V215" i="6"/>
  <c r="M215" i="6"/>
  <c r="E215" i="6"/>
  <c r="V214" i="6"/>
  <c r="M214" i="6"/>
  <c r="E390" i="6"/>
  <c r="N333" i="6"/>
  <c r="R313" i="6"/>
  <c r="J299" i="6"/>
  <c r="A288" i="6"/>
  <c r="R282" i="6"/>
  <c r="I277" i="6"/>
  <c r="A272" i="6"/>
  <c r="R266" i="6"/>
  <c r="R262" i="6"/>
  <c r="B259" i="6"/>
  <c r="Q255" i="6"/>
  <c r="B253" i="6"/>
  <c r="L251" i="6"/>
  <c r="D250" i="6"/>
  <c r="U248" i="6"/>
  <c r="L247" i="6"/>
  <c r="D246" i="6"/>
  <c r="U244" i="6"/>
  <c r="L243" i="6"/>
  <c r="D242" i="6"/>
  <c r="U240" i="6"/>
  <c r="L239" i="6"/>
  <c r="D238" i="6"/>
  <c r="U236" i="6"/>
  <c r="L235" i="6"/>
  <c r="D234" i="6"/>
  <c r="U232" i="6"/>
  <c r="L231" i="6"/>
  <c r="D230" i="6"/>
  <c r="U228" i="6"/>
  <c r="L227" i="6"/>
  <c r="D226" i="6"/>
  <c r="U224" i="6"/>
  <c r="L223" i="6"/>
  <c r="D222" i="6"/>
  <c r="U220" i="6"/>
  <c r="L219" i="6"/>
  <c r="D218" i="6"/>
  <c r="U216" i="6"/>
  <c r="L215" i="6"/>
  <c r="E214" i="6"/>
  <c r="K213" i="6"/>
  <c r="L212" i="6"/>
  <c r="A212" i="6"/>
  <c r="R211" i="6"/>
  <c r="I211" i="6"/>
  <c r="A211" i="6"/>
  <c r="R210" i="6"/>
  <c r="I210" i="6"/>
  <c r="A210" i="6"/>
  <c r="R209" i="6"/>
  <c r="I209" i="6"/>
  <c r="A209" i="6"/>
  <c r="R208" i="6"/>
  <c r="I208" i="6"/>
  <c r="A208" i="6"/>
  <c r="R207" i="6"/>
  <c r="I207" i="6"/>
  <c r="A207" i="6"/>
  <c r="R206" i="6"/>
  <c r="I206" i="6"/>
  <c r="A206" i="6"/>
  <c r="R205" i="6"/>
  <c r="I205" i="6"/>
  <c r="A205" i="6"/>
  <c r="R204" i="6"/>
  <c r="I204" i="6"/>
  <c r="A204" i="6"/>
  <c r="R203" i="6"/>
  <c r="I203" i="6"/>
  <c r="A203" i="6"/>
  <c r="R202" i="6"/>
  <c r="I202" i="6"/>
  <c r="A202" i="6"/>
  <c r="R201" i="6"/>
  <c r="I201" i="6"/>
  <c r="A201" i="6"/>
  <c r="R200" i="6"/>
  <c r="I200" i="6"/>
  <c r="A200" i="6"/>
  <c r="R199" i="6"/>
  <c r="I199" i="6"/>
  <c r="A199" i="6"/>
  <c r="R198" i="6"/>
  <c r="I198" i="6"/>
  <c r="A198" i="6"/>
  <c r="R197" i="6"/>
  <c r="I197" i="6"/>
  <c r="A197" i="6"/>
  <c r="R196" i="6"/>
  <c r="X389" i="6"/>
  <c r="W332" i="6"/>
  <c r="Q313" i="6"/>
  <c r="I299" i="6"/>
  <c r="Y287" i="6"/>
  <c r="Q282" i="6"/>
  <c r="H277" i="6"/>
  <c r="Y271" i="6"/>
  <c r="Q266" i="6"/>
  <c r="Q262" i="6"/>
  <c r="A259" i="6"/>
  <c r="J255" i="6"/>
  <c r="A253" i="6"/>
  <c r="K251" i="6"/>
  <c r="C250" i="6"/>
  <c r="T248" i="6"/>
  <c r="K247" i="6"/>
  <c r="C246" i="6"/>
  <c r="T244" i="6"/>
  <c r="K243" i="6"/>
  <c r="C242" i="6"/>
  <c r="T240" i="6"/>
  <c r="K239" i="6"/>
  <c r="C238" i="6"/>
  <c r="T236" i="6"/>
  <c r="K235" i="6"/>
  <c r="C234" i="6"/>
  <c r="T232" i="6"/>
  <c r="K231" i="6"/>
  <c r="C230" i="6"/>
  <c r="T228" i="6"/>
  <c r="K227" i="6"/>
  <c r="C226" i="6"/>
  <c r="T224" i="6"/>
  <c r="K223" i="6"/>
  <c r="C222" i="6"/>
  <c r="T220" i="6"/>
  <c r="K219" i="6"/>
  <c r="C218" i="6"/>
  <c r="T216" i="6"/>
  <c r="K215" i="6"/>
  <c r="D214" i="6"/>
  <c r="E213" i="6"/>
  <c r="K212" i="6"/>
  <c r="Y211" i="6"/>
  <c r="Q211" i="6"/>
  <c r="H211" i="6"/>
  <c r="Y210" i="6"/>
  <c r="Q210" i="6"/>
  <c r="H210" i="6"/>
  <c r="Y209" i="6"/>
  <c r="Q209" i="6"/>
  <c r="H209" i="6"/>
  <c r="Y208" i="6"/>
  <c r="Q208" i="6"/>
  <c r="H208" i="6"/>
  <c r="Y207" i="6"/>
  <c r="Q207" i="6"/>
  <c r="H207" i="6"/>
  <c r="Y206" i="6"/>
  <c r="Q206" i="6"/>
  <c r="H206" i="6"/>
  <c r="Y205" i="6"/>
  <c r="Q205" i="6"/>
  <c r="H205" i="6"/>
  <c r="Y204" i="6"/>
  <c r="Q204" i="6"/>
  <c r="H204" i="6"/>
  <c r="Y203" i="6"/>
  <c r="Q203" i="6"/>
  <c r="H203" i="6"/>
  <c r="Y202" i="6"/>
  <c r="Q202" i="6"/>
  <c r="H202" i="6"/>
  <c r="Y201" i="6"/>
  <c r="Q201" i="6"/>
  <c r="H201" i="6"/>
  <c r="Y200" i="6"/>
  <c r="Q200" i="6"/>
  <c r="H200" i="6"/>
  <c r="Y199" i="6"/>
  <c r="Q199" i="6"/>
  <c r="H199" i="6"/>
  <c r="Y198" i="6"/>
  <c r="Q198" i="6"/>
  <c r="H198" i="6"/>
  <c r="Y197" i="6"/>
  <c r="Q197" i="6"/>
  <c r="H197" i="6"/>
  <c r="X365" i="6"/>
  <c r="N324" i="6"/>
  <c r="B310" i="6"/>
  <c r="Y295" i="6"/>
  <c r="R286" i="6"/>
  <c r="I281" i="6"/>
  <c r="A276" i="6"/>
  <c r="R270" i="6"/>
  <c r="I265" i="6"/>
  <c r="S261" i="6"/>
  <c r="H258" i="6"/>
  <c r="R254" i="6"/>
  <c r="Q252" i="6"/>
  <c r="D251" i="6"/>
  <c r="U249" i="6"/>
  <c r="L248" i="6"/>
  <c r="D247" i="6"/>
  <c r="U245" i="6"/>
  <c r="L244" i="6"/>
  <c r="D243" i="6"/>
  <c r="U241" i="6"/>
  <c r="L240" i="6"/>
  <c r="D239" i="6"/>
  <c r="U237" i="6"/>
  <c r="L236" i="6"/>
  <c r="D235" i="6"/>
  <c r="U233" i="6"/>
  <c r="L232" i="6"/>
  <c r="D231" i="6"/>
  <c r="U229" i="6"/>
  <c r="L228" i="6"/>
  <c r="D227" i="6"/>
  <c r="U225" i="6"/>
  <c r="L224" i="6"/>
  <c r="D223" i="6"/>
  <c r="U221" i="6"/>
  <c r="L220" i="6"/>
  <c r="D219" i="6"/>
  <c r="U217" i="6"/>
  <c r="L216" i="6"/>
  <c r="D215" i="6"/>
  <c r="C214" i="6"/>
  <c r="D213" i="6"/>
  <c r="G212" i="6"/>
  <c r="X211" i="6"/>
  <c r="P211" i="6"/>
  <c r="G211" i="6"/>
  <c r="X210" i="6"/>
  <c r="P210" i="6"/>
  <c r="G210" i="6"/>
  <c r="X209" i="6"/>
  <c r="P209" i="6"/>
  <c r="G209" i="6"/>
  <c r="X208" i="6"/>
  <c r="P208" i="6"/>
  <c r="G208" i="6"/>
  <c r="X207" i="6"/>
  <c r="P207" i="6"/>
  <c r="G207" i="6"/>
  <c r="X206" i="6"/>
  <c r="P206" i="6"/>
  <c r="G206" i="6"/>
  <c r="X205" i="6"/>
  <c r="P205" i="6"/>
  <c r="G205" i="6"/>
  <c r="X204" i="6"/>
  <c r="P204" i="6"/>
  <c r="G204" i="6"/>
  <c r="X203" i="6"/>
  <c r="P203" i="6"/>
  <c r="G203" i="6"/>
  <c r="X202" i="6"/>
  <c r="P202" i="6"/>
  <c r="G202" i="6"/>
  <c r="X201" i="6"/>
  <c r="P201" i="6"/>
  <c r="G201" i="6"/>
  <c r="X200" i="6"/>
  <c r="P200" i="6"/>
  <c r="G200" i="6"/>
  <c r="X199" i="6"/>
  <c r="P199" i="6"/>
  <c r="G199" i="6"/>
  <c r="X198" i="6"/>
  <c r="P198" i="6"/>
  <c r="G198" i="6"/>
  <c r="X197" i="6"/>
  <c r="P197" i="6"/>
  <c r="G197" i="6"/>
  <c r="X196" i="6"/>
  <c r="P196" i="6"/>
  <c r="F364" i="6"/>
  <c r="M324" i="6"/>
  <c r="A310" i="6"/>
  <c r="S295" i="6"/>
  <c r="Q286" i="6"/>
  <c r="H281" i="6"/>
  <c r="Y275" i="6"/>
  <c r="Q270" i="6"/>
  <c r="H265" i="6"/>
  <c r="R261" i="6"/>
  <c r="B258" i="6"/>
  <c r="Q254" i="6"/>
  <c r="N252" i="6"/>
  <c r="C251" i="6"/>
  <c r="T249" i="6"/>
  <c r="K248" i="6"/>
  <c r="C247" i="6"/>
  <c r="T245" i="6"/>
  <c r="K244" i="6"/>
  <c r="C243" i="6"/>
  <c r="T241" i="6"/>
  <c r="K240" i="6"/>
  <c r="C239" i="6"/>
  <c r="T237" i="6"/>
  <c r="K236" i="6"/>
  <c r="C235" i="6"/>
  <c r="T233" i="6"/>
  <c r="K232" i="6"/>
  <c r="C231" i="6"/>
  <c r="T229" i="6"/>
  <c r="K228" i="6"/>
  <c r="C227" i="6"/>
  <c r="T225" i="6"/>
  <c r="K224" i="6"/>
  <c r="C223" i="6"/>
  <c r="T221" i="6"/>
  <c r="K220" i="6"/>
  <c r="C219" i="6"/>
  <c r="T217" i="6"/>
  <c r="K216" i="6"/>
  <c r="C215" i="6"/>
  <c r="V213" i="6"/>
  <c r="C213" i="6"/>
  <c r="F212" i="6"/>
  <c r="W211" i="6"/>
  <c r="N211" i="6"/>
  <c r="F211" i="6"/>
  <c r="W210" i="6"/>
  <c r="N210" i="6"/>
  <c r="F210" i="6"/>
  <c r="W209" i="6"/>
  <c r="N209" i="6"/>
  <c r="F209" i="6"/>
  <c r="W208" i="6"/>
  <c r="N208" i="6"/>
  <c r="F208" i="6"/>
  <c r="W207" i="6"/>
  <c r="N207" i="6"/>
  <c r="F207" i="6"/>
  <c r="W206" i="6"/>
  <c r="N206" i="6"/>
  <c r="F206" i="6"/>
  <c r="W205" i="6"/>
  <c r="N205" i="6"/>
  <c r="F205" i="6"/>
  <c r="W204" i="6"/>
  <c r="N204" i="6"/>
  <c r="F204" i="6"/>
  <c r="W203" i="6"/>
  <c r="N203" i="6"/>
  <c r="F203" i="6"/>
  <c r="W202" i="6"/>
  <c r="N202" i="6"/>
  <c r="F202" i="6"/>
  <c r="W201" i="6"/>
  <c r="N201" i="6"/>
  <c r="F201" i="6"/>
  <c r="W200" i="6"/>
  <c r="N200" i="6"/>
  <c r="F200" i="6"/>
  <c r="W199" i="6"/>
  <c r="N199" i="6"/>
  <c r="F199" i="6"/>
  <c r="W198" i="6"/>
  <c r="N198" i="6"/>
  <c r="F198" i="6"/>
  <c r="W197" i="6"/>
  <c r="N197" i="6"/>
  <c r="F352" i="6"/>
  <c r="R320" i="6"/>
  <c r="J306" i="6"/>
  <c r="H292" i="6"/>
  <c r="H285" i="6"/>
  <c r="Y279" i="6"/>
  <c r="Q274" i="6"/>
  <c r="H269" i="6"/>
  <c r="I264" i="6"/>
  <c r="S260" i="6"/>
  <c r="H257" i="6"/>
  <c r="W253" i="6"/>
  <c r="E252" i="6"/>
  <c r="T250" i="6"/>
  <c r="K249" i="6"/>
  <c r="C248" i="6"/>
  <c r="T246" i="6"/>
  <c r="K245" i="6"/>
  <c r="C244" i="6"/>
  <c r="T242" i="6"/>
  <c r="K241" i="6"/>
  <c r="C240" i="6"/>
  <c r="T238" i="6"/>
  <c r="K237" i="6"/>
  <c r="C236" i="6"/>
  <c r="T234" i="6"/>
  <c r="K233" i="6"/>
  <c r="C232" i="6"/>
  <c r="T230" i="6"/>
  <c r="K229" i="6"/>
  <c r="C228" i="6"/>
  <c r="T226" i="6"/>
  <c r="K225" i="6"/>
  <c r="C224" i="6"/>
  <c r="T222" i="6"/>
  <c r="K221" i="6"/>
  <c r="C220" i="6"/>
  <c r="T218" i="6"/>
  <c r="K217" i="6"/>
  <c r="C216" i="6"/>
  <c r="T214" i="6"/>
  <c r="T213" i="6"/>
  <c r="U212" i="6"/>
  <c r="D212" i="6"/>
  <c r="U211" i="6"/>
  <c r="L211" i="6"/>
  <c r="D211" i="6"/>
  <c r="U210" i="6"/>
  <c r="L210" i="6"/>
  <c r="D210" i="6"/>
  <c r="U209" i="6"/>
  <c r="L209" i="6"/>
  <c r="D209" i="6"/>
  <c r="U208" i="6"/>
  <c r="L208" i="6"/>
  <c r="D208" i="6"/>
  <c r="U207" i="6"/>
  <c r="L207" i="6"/>
  <c r="D207" i="6"/>
  <c r="U206" i="6"/>
  <c r="L206" i="6"/>
  <c r="D206" i="6"/>
  <c r="U205" i="6"/>
  <c r="L205" i="6"/>
  <c r="D205" i="6"/>
  <c r="U204" i="6"/>
  <c r="L204" i="6"/>
  <c r="D204" i="6"/>
  <c r="U203" i="6"/>
  <c r="L203" i="6"/>
  <c r="D203" i="6"/>
  <c r="U202" i="6"/>
  <c r="L202" i="6"/>
  <c r="D202" i="6"/>
  <c r="U201" i="6"/>
  <c r="L201" i="6"/>
  <c r="D201" i="6"/>
  <c r="U200" i="6"/>
  <c r="L200" i="6"/>
  <c r="D200" i="6"/>
  <c r="U199" i="6"/>
  <c r="L199" i="6"/>
  <c r="D199" i="6"/>
  <c r="U198" i="6"/>
  <c r="L198" i="6"/>
  <c r="D198" i="6"/>
  <c r="U197" i="6"/>
  <c r="L197" i="6"/>
  <c r="N342" i="6"/>
  <c r="B317" i="6"/>
  <c r="Y302" i="6"/>
  <c r="L289" i="6"/>
  <c r="Y283" i="6"/>
  <c r="Q278" i="6"/>
  <c r="H273" i="6"/>
  <c r="Y267" i="6"/>
  <c r="J263" i="6"/>
  <c r="Y259" i="6"/>
  <c r="I256" i="6"/>
  <c r="L253" i="6"/>
  <c r="U251" i="6"/>
  <c r="K250" i="6"/>
  <c r="C249" i="6"/>
  <c r="T247" i="6"/>
  <c r="K246" i="6"/>
  <c r="C245" i="6"/>
  <c r="T243" i="6"/>
  <c r="K242" i="6"/>
  <c r="C241" i="6"/>
  <c r="T239" i="6"/>
  <c r="K238" i="6"/>
  <c r="C237" i="6"/>
  <c r="T235" i="6"/>
  <c r="K234" i="6"/>
  <c r="C233" i="6"/>
  <c r="T231" i="6"/>
  <c r="K230" i="6"/>
  <c r="C229" i="6"/>
  <c r="T227" i="6"/>
  <c r="K226" i="6"/>
  <c r="C225" i="6"/>
  <c r="T223" i="6"/>
  <c r="K222" i="6"/>
  <c r="C221" i="6"/>
  <c r="T219" i="6"/>
  <c r="K218" i="6"/>
  <c r="C217" i="6"/>
  <c r="T215" i="6"/>
  <c r="K214" i="6"/>
  <c r="L213" i="6"/>
  <c r="M212" i="6"/>
  <c r="B212" i="6"/>
  <c r="S211" i="6"/>
  <c r="J211" i="6"/>
  <c r="B211" i="6"/>
  <c r="S210" i="6"/>
  <c r="J210" i="6"/>
  <c r="B210" i="6"/>
  <c r="S209" i="6"/>
  <c r="J209" i="6"/>
  <c r="B209" i="6"/>
  <c r="S208" i="6"/>
  <c r="J208" i="6"/>
  <c r="B208" i="6"/>
  <c r="S207" i="6"/>
  <c r="J207" i="6"/>
  <c r="B207" i="6"/>
  <c r="S206" i="6"/>
  <c r="J206" i="6"/>
  <c r="B206" i="6"/>
  <c r="S205" i="6"/>
  <c r="J205" i="6"/>
  <c r="B205" i="6"/>
  <c r="S204" i="6"/>
  <c r="J204" i="6"/>
  <c r="B204" i="6"/>
  <c r="S203" i="6"/>
  <c r="J203" i="6"/>
  <c r="B203" i="6"/>
  <c r="S202" i="6"/>
  <c r="J202" i="6"/>
  <c r="B202" i="6"/>
  <c r="S201" i="6"/>
  <c r="J201" i="6"/>
  <c r="B201" i="6"/>
  <c r="S200" i="6"/>
  <c r="J200" i="6"/>
  <c r="B200" i="6"/>
  <c r="S199" i="6"/>
  <c r="J199" i="6"/>
  <c r="B199" i="6"/>
  <c r="S198" i="6"/>
  <c r="J198" i="6"/>
  <c r="L352" i="6"/>
  <c r="I285" i="6"/>
  <c r="J264" i="6"/>
  <c r="F252" i="6"/>
  <c r="U246" i="6"/>
  <c r="L241" i="6"/>
  <c r="D236" i="6"/>
  <c r="U230" i="6"/>
  <c r="L225" i="6"/>
  <c r="D220" i="6"/>
  <c r="U214" i="6"/>
  <c r="V211" i="6"/>
  <c r="M210" i="6"/>
  <c r="E209" i="6"/>
  <c r="V207" i="6"/>
  <c r="M206" i="6"/>
  <c r="E205" i="6"/>
  <c r="V203" i="6"/>
  <c r="M202" i="6"/>
  <c r="E201" i="6"/>
  <c r="V199" i="6"/>
  <c r="M198" i="6"/>
  <c r="M197" i="6"/>
  <c r="Y196" i="6"/>
  <c r="M196" i="6"/>
  <c r="E196" i="6"/>
  <c r="V195" i="6"/>
  <c r="M195" i="6"/>
  <c r="E195" i="6"/>
  <c r="V194" i="6"/>
  <c r="M194" i="6"/>
  <c r="E194" i="6"/>
  <c r="V193" i="6"/>
  <c r="M193" i="6"/>
  <c r="E193" i="6"/>
  <c r="V192" i="6"/>
  <c r="M192" i="6"/>
  <c r="E192" i="6"/>
  <c r="V191" i="6"/>
  <c r="M191" i="6"/>
  <c r="E191" i="6"/>
  <c r="V190" i="6"/>
  <c r="M190" i="6"/>
  <c r="E190" i="6"/>
  <c r="V189" i="6"/>
  <c r="M189" i="6"/>
  <c r="E189" i="6"/>
  <c r="V188" i="6"/>
  <c r="M188" i="6"/>
  <c r="E188" i="6"/>
  <c r="V187" i="6"/>
  <c r="M187" i="6"/>
  <c r="E187" i="6"/>
  <c r="V186" i="6"/>
  <c r="M186" i="6"/>
  <c r="E186" i="6"/>
  <c r="V185" i="6"/>
  <c r="M185" i="6"/>
  <c r="E185" i="6"/>
  <c r="V184" i="6"/>
  <c r="M184" i="6"/>
  <c r="E184" i="6"/>
  <c r="V183" i="6"/>
  <c r="M183" i="6"/>
  <c r="E183" i="6"/>
  <c r="V182" i="6"/>
  <c r="M182" i="6"/>
  <c r="E182" i="6"/>
  <c r="V181" i="6"/>
  <c r="M181" i="6"/>
  <c r="E181" i="6"/>
  <c r="V180" i="6"/>
  <c r="M180" i="6"/>
  <c r="E180" i="6"/>
  <c r="V179" i="6"/>
  <c r="M179" i="6"/>
  <c r="E179" i="6"/>
  <c r="V178" i="6"/>
  <c r="M178" i="6"/>
  <c r="E178" i="6"/>
  <c r="V177" i="6"/>
  <c r="M177" i="6"/>
  <c r="E177" i="6"/>
  <c r="V176" i="6"/>
  <c r="M176" i="6"/>
  <c r="E176" i="6"/>
  <c r="V175" i="6"/>
  <c r="M175" i="6"/>
  <c r="E175" i="6"/>
  <c r="V174" i="6"/>
  <c r="M174" i="6"/>
  <c r="E174" i="6"/>
  <c r="V173" i="6"/>
  <c r="M173" i="6"/>
  <c r="E173" i="6"/>
  <c r="V172" i="6"/>
  <c r="M172" i="6"/>
  <c r="E172" i="6"/>
  <c r="V171" i="6"/>
  <c r="M171" i="6"/>
  <c r="E171" i="6"/>
  <c r="V170" i="6"/>
  <c r="M170" i="6"/>
  <c r="E170" i="6"/>
  <c r="V169" i="6"/>
  <c r="M169" i="6"/>
  <c r="E169" i="6"/>
  <c r="V168" i="6"/>
  <c r="M168" i="6"/>
  <c r="E168" i="6"/>
  <c r="V167" i="6"/>
  <c r="M167" i="6"/>
  <c r="E167" i="6"/>
  <c r="V166" i="6"/>
  <c r="M166" i="6"/>
  <c r="E166" i="6"/>
  <c r="V165" i="6"/>
  <c r="M165" i="6"/>
  <c r="E165" i="6"/>
  <c r="V164" i="6"/>
  <c r="M164" i="6"/>
  <c r="E164" i="6"/>
  <c r="V163" i="6"/>
  <c r="M163" i="6"/>
  <c r="E163" i="6"/>
  <c r="V162" i="6"/>
  <c r="M162" i="6"/>
  <c r="E162" i="6"/>
  <c r="V161" i="6"/>
  <c r="M161" i="6"/>
  <c r="U342" i="6"/>
  <c r="A284" i="6"/>
  <c r="Q263" i="6"/>
  <c r="V251" i="6"/>
  <c r="L246" i="6"/>
  <c r="D241" i="6"/>
  <c r="U235" i="6"/>
  <c r="L230" i="6"/>
  <c r="D225" i="6"/>
  <c r="U219" i="6"/>
  <c r="L214" i="6"/>
  <c r="T211" i="6"/>
  <c r="K210" i="6"/>
  <c r="C209" i="6"/>
  <c r="T207" i="6"/>
  <c r="K206" i="6"/>
  <c r="C205" i="6"/>
  <c r="T203" i="6"/>
  <c r="K202" i="6"/>
  <c r="C201" i="6"/>
  <c r="T199" i="6"/>
  <c r="K198" i="6"/>
  <c r="K197" i="6"/>
  <c r="W196" i="6"/>
  <c r="L196" i="6"/>
  <c r="D196" i="6"/>
  <c r="U195" i="6"/>
  <c r="L195" i="6"/>
  <c r="D195" i="6"/>
  <c r="U194" i="6"/>
  <c r="L194" i="6"/>
  <c r="D194" i="6"/>
  <c r="U193" i="6"/>
  <c r="L193" i="6"/>
  <c r="D193" i="6"/>
  <c r="U192" i="6"/>
  <c r="L192" i="6"/>
  <c r="D192" i="6"/>
  <c r="U191" i="6"/>
  <c r="L191" i="6"/>
  <c r="D191" i="6"/>
  <c r="U190" i="6"/>
  <c r="L190" i="6"/>
  <c r="D190" i="6"/>
  <c r="U189" i="6"/>
  <c r="L189" i="6"/>
  <c r="D189" i="6"/>
  <c r="U188" i="6"/>
  <c r="L188" i="6"/>
  <c r="D188" i="6"/>
  <c r="U187" i="6"/>
  <c r="L187" i="6"/>
  <c r="D187" i="6"/>
  <c r="U186" i="6"/>
  <c r="L186" i="6"/>
  <c r="D186" i="6"/>
  <c r="U185" i="6"/>
  <c r="L185" i="6"/>
  <c r="D185" i="6"/>
  <c r="U184" i="6"/>
  <c r="L184" i="6"/>
  <c r="D184" i="6"/>
  <c r="U183" i="6"/>
  <c r="L183" i="6"/>
  <c r="D183" i="6"/>
  <c r="U182" i="6"/>
  <c r="L182" i="6"/>
  <c r="D182" i="6"/>
  <c r="U181" i="6"/>
  <c r="L181" i="6"/>
  <c r="D181" i="6"/>
  <c r="U180" i="6"/>
  <c r="L180" i="6"/>
  <c r="D180" i="6"/>
  <c r="U179" i="6"/>
  <c r="L179" i="6"/>
  <c r="D179" i="6"/>
  <c r="U178" i="6"/>
  <c r="L178" i="6"/>
  <c r="D178" i="6"/>
  <c r="U177" i="6"/>
  <c r="L177" i="6"/>
  <c r="D177" i="6"/>
  <c r="U176" i="6"/>
  <c r="L176" i="6"/>
  <c r="D176" i="6"/>
  <c r="U175" i="6"/>
  <c r="L175" i="6"/>
  <c r="D175" i="6"/>
  <c r="U174" i="6"/>
  <c r="L174" i="6"/>
  <c r="D174" i="6"/>
  <c r="U173" i="6"/>
  <c r="L173" i="6"/>
  <c r="D173" i="6"/>
  <c r="U172" i="6"/>
  <c r="L172" i="6"/>
  <c r="D172" i="6"/>
  <c r="U171" i="6"/>
  <c r="L171" i="6"/>
  <c r="D171" i="6"/>
  <c r="U170" i="6"/>
  <c r="L170" i="6"/>
  <c r="D170" i="6"/>
  <c r="U169" i="6"/>
  <c r="L169" i="6"/>
  <c r="D169" i="6"/>
  <c r="U168" i="6"/>
  <c r="L168" i="6"/>
  <c r="D168" i="6"/>
  <c r="U167" i="6"/>
  <c r="L167" i="6"/>
  <c r="D167" i="6"/>
  <c r="U166" i="6"/>
  <c r="L166" i="6"/>
  <c r="D166" i="6"/>
  <c r="U165" i="6"/>
  <c r="L165" i="6"/>
  <c r="D165" i="6"/>
  <c r="U164" i="6"/>
  <c r="L164" i="6"/>
  <c r="D164" i="6"/>
  <c r="U163" i="6"/>
  <c r="L163" i="6"/>
  <c r="D163" i="6"/>
  <c r="U162" i="6"/>
  <c r="L162" i="6"/>
  <c r="D162" i="6"/>
  <c r="U161" i="6"/>
  <c r="L161" i="6"/>
  <c r="D161" i="6"/>
  <c r="U160" i="6"/>
  <c r="L160" i="6"/>
  <c r="D160" i="6"/>
  <c r="U159" i="6"/>
  <c r="L159" i="6"/>
  <c r="D159" i="6"/>
  <c r="U158" i="6"/>
  <c r="L158" i="6"/>
  <c r="D158" i="6"/>
  <c r="U157" i="6"/>
  <c r="L157" i="6"/>
  <c r="D157" i="6"/>
  <c r="U156" i="6"/>
  <c r="L156" i="6"/>
  <c r="D156" i="6"/>
  <c r="U155" i="6"/>
  <c r="L155" i="6"/>
  <c r="D155" i="6"/>
  <c r="U154" i="6"/>
  <c r="L154" i="6"/>
  <c r="D154" i="6"/>
  <c r="U153" i="6"/>
  <c r="L153" i="6"/>
  <c r="D153" i="6"/>
  <c r="U152" i="6"/>
  <c r="L152" i="6"/>
  <c r="D152" i="6"/>
  <c r="U151" i="6"/>
  <c r="L151" i="6"/>
  <c r="D151" i="6"/>
  <c r="U150" i="6"/>
  <c r="L150" i="6"/>
  <c r="D150" i="6"/>
  <c r="U149" i="6"/>
  <c r="L149" i="6"/>
  <c r="D149" i="6"/>
  <c r="U148" i="6"/>
  <c r="L148" i="6"/>
  <c r="D148" i="6"/>
  <c r="S320" i="6"/>
  <c r="A280" i="6"/>
  <c r="Y260" i="6"/>
  <c r="U250" i="6"/>
  <c r="L245" i="6"/>
  <c r="D240" i="6"/>
  <c r="U234" i="6"/>
  <c r="L229" i="6"/>
  <c r="D224" i="6"/>
  <c r="U218" i="6"/>
  <c r="U213" i="6"/>
  <c r="M211" i="6"/>
  <c r="E210" i="6"/>
  <c r="V208" i="6"/>
  <c r="M207" i="6"/>
  <c r="E206" i="6"/>
  <c r="V204" i="6"/>
  <c r="M203" i="6"/>
  <c r="E202" i="6"/>
  <c r="V200" i="6"/>
  <c r="M199" i="6"/>
  <c r="E198" i="6"/>
  <c r="J197" i="6"/>
  <c r="V196" i="6"/>
  <c r="K196" i="6"/>
  <c r="C196" i="6"/>
  <c r="T195" i="6"/>
  <c r="K195" i="6"/>
  <c r="C195" i="6"/>
  <c r="T194" i="6"/>
  <c r="K194" i="6"/>
  <c r="C194" i="6"/>
  <c r="T193" i="6"/>
  <c r="K193" i="6"/>
  <c r="C193" i="6"/>
  <c r="T192" i="6"/>
  <c r="K192" i="6"/>
  <c r="C192" i="6"/>
  <c r="T191" i="6"/>
  <c r="K191" i="6"/>
  <c r="C191" i="6"/>
  <c r="T190" i="6"/>
  <c r="K190" i="6"/>
  <c r="C190" i="6"/>
  <c r="T189" i="6"/>
  <c r="K189" i="6"/>
  <c r="C189" i="6"/>
  <c r="T188" i="6"/>
  <c r="K188" i="6"/>
  <c r="C188" i="6"/>
  <c r="T187" i="6"/>
  <c r="K187" i="6"/>
  <c r="C187" i="6"/>
  <c r="T186" i="6"/>
  <c r="K186" i="6"/>
  <c r="C186" i="6"/>
  <c r="T185" i="6"/>
  <c r="K185" i="6"/>
  <c r="C185" i="6"/>
  <c r="T184" i="6"/>
  <c r="K184" i="6"/>
  <c r="C184" i="6"/>
  <c r="T183" i="6"/>
  <c r="K183" i="6"/>
  <c r="C183" i="6"/>
  <c r="T182" i="6"/>
  <c r="K182" i="6"/>
  <c r="C182" i="6"/>
  <c r="T181" i="6"/>
  <c r="K181" i="6"/>
  <c r="C181" i="6"/>
  <c r="T180" i="6"/>
  <c r="K180" i="6"/>
  <c r="C180" i="6"/>
  <c r="T179" i="6"/>
  <c r="K179" i="6"/>
  <c r="C179" i="6"/>
  <c r="T178" i="6"/>
  <c r="K178" i="6"/>
  <c r="C178" i="6"/>
  <c r="T177" i="6"/>
  <c r="K177" i="6"/>
  <c r="C177" i="6"/>
  <c r="T176" i="6"/>
  <c r="K176" i="6"/>
  <c r="C176" i="6"/>
  <c r="T175" i="6"/>
  <c r="K175" i="6"/>
  <c r="C175" i="6"/>
  <c r="T174" i="6"/>
  <c r="K174" i="6"/>
  <c r="C174" i="6"/>
  <c r="T173" i="6"/>
  <c r="K173" i="6"/>
  <c r="C173" i="6"/>
  <c r="T172" i="6"/>
  <c r="K172" i="6"/>
  <c r="C172" i="6"/>
  <c r="T171" i="6"/>
  <c r="K171" i="6"/>
  <c r="C171" i="6"/>
  <c r="T170" i="6"/>
  <c r="K170" i="6"/>
  <c r="C170" i="6"/>
  <c r="T169" i="6"/>
  <c r="K169" i="6"/>
  <c r="C169" i="6"/>
  <c r="T168" i="6"/>
  <c r="K168" i="6"/>
  <c r="C168" i="6"/>
  <c r="T167" i="6"/>
  <c r="K167" i="6"/>
  <c r="C167" i="6"/>
  <c r="T166" i="6"/>
  <c r="K166" i="6"/>
  <c r="C166" i="6"/>
  <c r="T165" i="6"/>
  <c r="K165" i="6"/>
  <c r="C165" i="6"/>
  <c r="T164" i="6"/>
  <c r="K164" i="6"/>
  <c r="C164" i="6"/>
  <c r="T163" i="6"/>
  <c r="K163" i="6"/>
  <c r="C163" i="6"/>
  <c r="T162" i="6"/>
  <c r="K162" i="6"/>
  <c r="C162" i="6"/>
  <c r="T161" i="6"/>
  <c r="K161" i="6"/>
  <c r="C161" i="6"/>
  <c r="T160" i="6"/>
  <c r="K160" i="6"/>
  <c r="C160" i="6"/>
  <c r="T159" i="6"/>
  <c r="K159" i="6"/>
  <c r="C159" i="6"/>
  <c r="T158" i="6"/>
  <c r="K158" i="6"/>
  <c r="C158" i="6"/>
  <c r="T157" i="6"/>
  <c r="K157" i="6"/>
  <c r="C157" i="6"/>
  <c r="T156" i="6"/>
  <c r="K156" i="6"/>
  <c r="C156" i="6"/>
  <c r="T155" i="6"/>
  <c r="K155" i="6"/>
  <c r="C155" i="6"/>
  <c r="T154" i="6"/>
  <c r="K154" i="6"/>
  <c r="C154" i="6"/>
  <c r="T153" i="6"/>
  <c r="K153" i="6"/>
  <c r="C153" i="6"/>
  <c r="T152" i="6"/>
  <c r="K152" i="6"/>
  <c r="C152" i="6"/>
  <c r="T151" i="6"/>
  <c r="K151" i="6"/>
  <c r="C151" i="6"/>
  <c r="T150" i="6"/>
  <c r="K150" i="6"/>
  <c r="C150" i="6"/>
  <c r="T149" i="6"/>
  <c r="K149" i="6"/>
  <c r="C149" i="6"/>
  <c r="T148" i="6"/>
  <c r="K148" i="6"/>
  <c r="C148" i="6"/>
  <c r="T147" i="6"/>
  <c r="H317" i="6"/>
  <c r="R278" i="6"/>
  <c r="A260" i="6"/>
  <c r="L250" i="6"/>
  <c r="D245" i="6"/>
  <c r="U239" i="6"/>
  <c r="L234" i="6"/>
  <c r="D229" i="6"/>
  <c r="U223" i="6"/>
  <c r="L218" i="6"/>
  <c r="M213" i="6"/>
  <c r="K211" i="6"/>
  <c r="C210" i="6"/>
  <c r="T208" i="6"/>
  <c r="K207" i="6"/>
  <c r="C206" i="6"/>
  <c r="T204" i="6"/>
  <c r="K203" i="6"/>
  <c r="C202" i="6"/>
  <c r="T200" i="6"/>
  <c r="K199" i="6"/>
  <c r="C198" i="6"/>
  <c r="F197" i="6"/>
  <c r="U196" i="6"/>
  <c r="J196" i="6"/>
  <c r="B196" i="6"/>
  <c r="S195" i="6"/>
  <c r="J195" i="6"/>
  <c r="B195" i="6"/>
  <c r="S194" i="6"/>
  <c r="J194" i="6"/>
  <c r="B194" i="6"/>
  <c r="S193" i="6"/>
  <c r="J193" i="6"/>
  <c r="B193" i="6"/>
  <c r="S192" i="6"/>
  <c r="J192" i="6"/>
  <c r="B192" i="6"/>
  <c r="S191" i="6"/>
  <c r="J191" i="6"/>
  <c r="B191" i="6"/>
  <c r="S190" i="6"/>
  <c r="J190" i="6"/>
  <c r="B190" i="6"/>
  <c r="S189" i="6"/>
  <c r="J189" i="6"/>
  <c r="B189" i="6"/>
  <c r="S188" i="6"/>
  <c r="J188" i="6"/>
  <c r="B188" i="6"/>
  <c r="S187" i="6"/>
  <c r="J187" i="6"/>
  <c r="B187" i="6"/>
  <c r="S186" i="6"/>
  <c r="J186" i="6"/>
  <c r="B186" i="6"/>
  <c r="S185" i="6"/>
  <c r="J185" i="6"/>
  <c r="B185" i="6"/>
  <c r="S184" i="6"/>
  <c r="J184" i="6"/>
  <c r="B184" i="6"/>
  <c r="S183" i="6"/>
  <c r="J183" i="6"/>
  <c r="B183" i="6"/>
  <c r="S182" i="6"/>
  <c r="J182" i="6"/>
  <c r="B182" i="6"/>
  <c r="S181" i="6"/>
  <c r="J181" i="6"/>
  <c r="B181" i="6"/>
  <c r="S180" i="6"/>
  <c r="J180" i="6"/>
  <c r="B180" i="6"/>
  <c r="S179" i="6"/>
  <c r="J179" i="6"/>
  <c r="B179" i="6"/>
  <c r="S178" i="6"/>
  <c r="J178" i="6"/>
  <c r="B178" i="6"/>
  <c r="S177" i="6"/>
  <c r="J177" i="6"/>
  <c r="B177" i="6"/>
  <c r="S176" i="6"/>
  <c r="J176" i="6"/>
  <c r="B176" i="6"/>
  <c r="S175" i="6"/>
  <c r="J175" i="6"/>
  <c r="B175" i="6"/>
  <c r="S174" i="6"/>
  <c r="J174" i="6"/>
  <c r="B174" i="6"/>
  <c r="S173" i="6"/>
  <c r="J173" i="6"/>
  <c r="B173" i="6"/>
  <c r="S172" i="6"/>
  <c r="J172" i="6"/>
  <c r="B172" i="6"/>
  <c r="S171" i="6"/>
  <c r="J171" i="6"/>
  <c r="B171" i="6"/>
  <c r="S170" i="6"/>
  <c r="J170" i="6"/>
  <c r="B170" i="6"/>
  <c r="S169" i="6"/>
  <c r="J169" i="6"/>
  <c r="B169" i="6"/>
  <c r="S168" i="6"/>
  <c r="J168" i="6"/>
  <c r="B168" i="6"/>
  <c r="S167" i="6"/>
  <c r="J167" i="6"/>
  <c r="B167" i="6"/>
  <c r="S166" i="6"/>
  <c r="J166" i="6"/>
  <c r="B166" i="6"/>
  <c r="S165" i="6"/>
  <c r="J165" i="6"/>
  <c r="B165" i="6"/>
  <c r="S164" i="6"/>
  <c r="J164" i="6"/>
  <c r="B164" i="6"/>
  <c r="S163" i="6"/>
  <c r="J163" i="6"/>
  <c r="B163" i="6"/>
  <c r="S162" i="6"/>
  <c r="J162" i="6"/>
  <c r="B162" i="6"/>
  <c r="S161" i="6"/>
  <c r="J161" i="6"/>
  <c r="B161" i="6"/>
  <c r="Q306" i="6"/>
  <c r="R274" i="6"/>
  <c r="I257" i="6"/>
  <c r="L249" i="6"/>
  <c r="D244" i="6"/>
  <c r="U238" i="6"/>
  <c r="L233" i="6"/>
  <c r="D228" i="6"/>
  <c r="U222" i="6"/>
  <c r="L217" i="6"/>
  <c r="V212" i="6"/>
  <c r="E211" i="6"/>
  <c r="V209" i="6"/>
  <c r="M208" i="6"/>
  <c r="E207" i="6"/>
  <c r="V205" i="6"/>
  <c r="M204" i="6"/>
  <c r="E203" i="6"/>
  <c r="V201" i="6"/>
  <c r="M200" i="6"/>
  <c r="E199" i="6"/>
  <c r="B198" i="6"/>
  <c r="E197" i="6"/>
  <c r="T196" i="6"/>
  <c r="I196" i="6"/>
  <c r="A196" i="6"/>
  <c r="R195" i="6"/>
  <c r="I195" i="6"/>
  <c r="A195" i="6"/>
  <c r="R194" i="6"/>
  <c r="I194" i="6"/>
  <c r="A194" i="6"/>
  <c r="R193" i="6"/>
  <c r="I193" i="6"/>
  <c r="A193" i="6"/>
  <c r="R192" i="6"/>
  <c r="I192" i="6"/>
  <c r="A192" i="6"/>
  <c r="R191" i="6"/>
  <c r="I191" i="6"/>
  <c r="A191" i="6"/>
  <c r="R190" i="6"/>
  <c r="I190" i="6"/>
  <c r="A190" i="6"/>
  <c r="R189" i="6"/>
  <c r="I189" i="6"/>
  <c r="A189" i="6"/>
  <c r="R188" i="6"/>
  <c r="I188" i="6"/>
  <c r="A188" i="6"/>
  <c r="R187" i="6"/>
  <c r="I187" i="6"/>
  <c r="A187" i="6"/>
  <c r="R186" i="6"/>
  <c r="I186" i="6"/>
  <c r="A186" i="6"/>
  <c r="R185" i="6"/>
  <c r="I185" i="6"/>
  <c r="A185" i="6"/>
  <c r="R184" i="6"/>
  <c r="I184" i="6"/>
  <c r="A184" i="6"/>
  <c r="R183" i="6"/>
  <c r="I183" i="6"/>
  <c r="A183" i="6"/>
  <c r="R182" i="6"/>
  <c r="I182" i="6"/>
  <c r="A182" i="6"/>
  <c r="R181" i="6"/>
  <c r="I181" i="6"/>
  <c r="A181" i="6"/>
  <c r="R180" i="6"/>
  <c r="I180" i="6"/>
  <c r="A180" i="6"/>
  <c r="R179" i="6"/>
  <c r="I179" i="6"/>
  <c r="A179" i="6"/>
  <c r="R178" i="6"/>
  <c r="I178" i="6"/>
  <c r="A178" i="6"/>
  <c r="R177" i="6"/>
  <c r="I177" i="6"/>
  <c r="A177" i="6"/>
  <c r="R176" i="6"/>
  <c r="I176" i="6"/>
  <c r="A176" i="6"/>
  <c r="R175" i="6"/>
  <c r="I175" i="6"/>
  <c r="A175" i="6"/>
  <c r="R174" i="6"/>
  <c r="I174" i="6"/>
  <c r="A174" i="6"/>
  <c r="R173" i="6"/>
  <c r="I173" i="6"/>
  <c r="A173" i="6"/>
  <c r="R172" i="6"/>
  <c r="I172" i="6"/>
  <c r="A172" i="6"/>
  <c r="R171" i="6"/>
  <c r="I171" i="6"/>
  <c r="A171" i="6"/>
  <c r="R170" i="6"/>
  <c r="I170" i="6"/>
  <c r="A170" i="6"/>
  <c r="R169" i="6"/>
  <c r="I169" i="6"/>
  <c r="A169" i="6"/>
  <c r="R168" i="6"/>
  <c r="I168" i="6"/>
  <c r="A168" i="6"/>
  <c r="R167" i="6"/>
  <c r="I167" i="6"/>
  <c r="A167" i="6"/>
  <c r="R166" i="6"/>
  <c r="I166" i="6"/>
  <c r="A166" i="6"/>
  <c r="R165" i="6"/>
  <c r="I165" i="6"/>
  <c r="A165" i="6"/>
  <c r="R164" i="6"/>
  <c r="I164" i="6"/>
  <c r="A164" i="6"/>
  <c r="R163" i="6"/>
  <c r="I163" i="6"/>
  <c r="A163" i="6"/>
  <c r="R162" i="6"/>
  <c r="I162" i="6"/>
  <c r="A162" i="6"/>
  <c r="R161" i="6"/>
  <c r="I161" i="6"/>
  <c r="A161" i="6"/>
  <c r="R160" i="6"/>
  <c r="I160" i="6"/>
  <c r="A160" i="6"/>
  <c r="R159" i="6"/>
  <c r="I159" i="6"/>
  <c r="A159" i="6"/>
  <c r="R158" i="6"/>
  <c r="I158" i="6"/>
  <c r="A158" i="6"/>
  <c r="R157" i="6"/>
  <c r="I157" i="6"/>
  <c r="A157" i="6"/>
  <c r="R156" i="6"/>
  <c r="I156" i="6"/>
  <c r="A156" i="6"/>
  <c r="R155" i="6"/>
  <c r="I155" i="6"/>
  <c r="A155" i="6"/>
  <c r="R154" i="6"/>
  <c r="I154" i="6"/>
  <c r="A154" i="6"/>
  <c r="R153" i="6"/>
  <c r="I153" i="6"/>
  <c r="A153" i="6"/>
  <c r="R152" i="6"/>
  <c r="I152" i="6"/>
  <c r="A152" i="6"/>
  <c r="R151" i="6"/>
  <c r="I151" i="6"/>
  <c r="A151" i="6"/>
  <c r="R150" i="6"/>
  <c r="I150" i="6"/>
  <c r="A150" i="6"/>
  <c r="R149" i="6"/>
  <c r="I149" i="6"/>
  <c r="A149" i="6"/>
  <c r="R148" i="6"/>
  <c r="I148" i="6"/>
  <c r="A303" i="6"/>
  <c r="I273" i="6"/>
  <c r="J256" i="6"/>
  <c r="D249" i="6"/>
  <c r="U243" i="6"/>
  <c r="L238" i="6"/>
  <c r="D233" i="6"/>
  <c r="U227" i="6"/>
  <c r="L222" i="6"/>
  <c r="D217" i="6"/>
  <c r="T212" i="6"/>
  <c r="C211" i="6"/>
  <c r="T209" i="6"/>
  <c r="K208" i="6"/>
  <c r="C207" i="6"/>
  <c r="T205" i="6"/>
  <c r="K204" i="6"/>
  <c r="C203" i="6"/>
  <c r="T201" i="6"/>
  <c r="K200" i="6"/>
  <c r="C199" i="6"/>
  <c r="V197" i="6"/>
  <c r="D197" i="6"/>
  <c r="S196" i="6"/>
  <c r="H196" i="6"/>
  <c r="Y195" i="6"/>
  <c r="Q195" i="6"/>
  <c r="H195" i="6"/>
  <c r="Y194" i="6"/>
  <c r="Q194" i="6"/>
  <c r="H194" i="6"/>
  <c r="Y193" i="6"/>
  <c r="Q193" i="6"/>
  <c r="H193" i="6"/>
  <c r="Y192" i="6"/>
  <c r="Q192" i="6"/>
  <c r="H192" i="6"/>
  <c r="Y191" i="6"/>
  <c r="Q191" i="6"/>
  <c r="H191" i="6"/>
  <c r="Y190" i="6"/>
  <c r="Q190" i="6"/>
  <c r="H190" i="6"/>
  <c r="Y189" i="6"/>
  <c r="Q189" i="6"/>
  <c r="H189" i="6"/>
  <c r="Y188" i="6"/>
  <c r="Q188" i="6"/>
  <c r="H188" i="6"/>
  <c r="Y187" i="6"/>
  <c r="Q187" i="6"/>
  <c r="H187" i="6"/>
  <c r="Y186" i="6"/>
  <c r="Q186" i="6"/>
  <c r="H186" i="6"/>
  <c r="Y185" i="6"/>
  <c r="Q185" i="6"/>
  <c r="H185" i="6"/>
  <c r="Y184" i="6"/>
  <c r="Q184" i="6"/>
  <c r="H184" i="6"/>
  <c r="Y183" i="6"/>
  <c r="Q183" i="6"/>
  <c r="H183" i="6"/>
  <c r="Y182" i="6"/>
  <c r="Q182" i="6"/>
  <c r="H182" i="6"/>
  <c r="Y181" i="6"/>
  <c r="Q181" i="6"/>
  <c r="H181" i="6"/>
  <c r="Y180" i="6"/>
  <c r="Q180" i="6"/>
  <c r="H180" i="6"/>
  <c r="Y179" i="6"/>
  <c r="Q179" i="6"/>
  <c r="H179" i="6"/>
  <c r="Y178" i="6"/>
  <c r="Q178" i="6"/>
  <c r="H178" i="6"/>
  <c r="Y177" i="6"/>
  <c r="Q177" i="6"/>
  <c r="H177" i="6"/>
  <c r="Y176" i="6"/>
  <c r="Q176" i="6"/>
  <c r="H176" i="6"/>
  <c r="Y175" i="6"/>
  <c r="Q175" i="6"/>
  <c r="H175" i="6"/>
  <c r="Y174" i="6"/>
  <c r="Q174" i="6"/>
  <c r="H174" i="6"/>
  <c r="Y173" i="6"/>
  <c r="Q173" i="6"/>
  <c r="H173" i="6"/>
  <c r="Y172" i="6"/>
  <c r="Q172" i="6"/>
  <c r="H172" i="6"/>
  <c r="Y171" i="6"/>
  <c r="Q171" i="6"/>
  <c r="H171" i="6"/>
  <c r="Y170" i="6"/>
  <c r="Q170" i="6"/>
  <c r="H170" i="6"/>
  <c r="Y169" i="6"/>
  <c r="Q169" i="6"/>
  <c r="H169" i="6"/>
  <c r="Y168" i="6"/>
  <c r="Q168" i="6"/>
  <c r="H168" i="6"/>
  <c r="Y167" i="6"/>
  <c r="Q167" i="6"/>
  <c r="H167" i="6"/>
  <c r="Y166" i="6"/>
  <c r="Q166" i="6"/>
  <c r="H166" i="6"/>
  <c r="Y165" i="6"/>
  <c r="Q165" i="6"/>
  <c r="H165" i="6"/>
  <c r="Y164" i="6"/>
  <c r="Q164" i="6"/>
  <c r="H164" i="6"/>
  <c r="Y163" i="6"/>
  <c r="Q163" i="6"/>
  <c r="H163" i="6"/>
  <c r="Y162" i="6"/>
  <c r="Q162" i="6"/>
  <c r="H162" i="6"/>
  <c r="Y161" i="6"/>
  <c r="Q161" i="6"/>
  <c r="H161" i="6"/>
  <c r="Y160" i="6"/>
  <c r="Q160" i="6"/>
  <c r="H160" i="6"/>
  <c r="Y159" i="6"/>
  <c r="Q159" i="6"/>
  <c r="H159" i="6"/>
  <c r="Y158" i="6"/>
  <c r="Q158" i="6"/>
  <c r="H158" i="6"/>
  <c r="Y157" i="6"/>
  <c r="Q157" i="6"/>
  <c r="H157" i="6"/>
  <c r="Y156" i="6"/>
  <c r="Q156" i="6"/>
  <c r="H156" i="6"/>
  <c r="Y155" i="6"/>
  <c r="Q155" i="6"/>
  <c r="H155" i="6"/>
  <c r="Y154" i="6"/>
  <c r="Q154" i="6"/>
  <c r="H154" i="6"/>
  <c r="Y153" i="6"/>
  <c r="Q153" i="6"/>
  <c r="H153" i="6"/>
  <c r="Y152" i="6"/>
  <c r="Q152" i="6"/>
  <c r="H152" i="6"/>
  <c r="Y151" i="6"/>
  <c r="Q151" i="6"/>
  <c r="H151" i="6"/>
  <c r="Y150" i="6"/>
  <c r="Q150" i="6"/>
  <c r="H150" i="6"/>
  <c r="Y149" i="6"/>
  <c r="Q149" i="6"/>
  <c r="H149" i="6"/>
  <c r="Y148" i="6"/>
  <c r="Q148" i="6"/>
  <c r="H148" i="6"/>
  <c r="Y147" i="6"/>
  <c r="I292" i="6"/>
  <c r="U242" i="6"/>
  <c r="L221" i="6"/>
  <c r="M209" i="6"/>
  <c r="E204" i="6"/>
  <c r="V198" i="6"/>
  <c r="G196" i="6"/>
  <c r="X194" i="6"/>
  <c r="P193" i="6"/>
  <c r="G192" i="6"/>
  <c r="X190" i="6"/>
  <c r="P189" i="6"/>
  <c r="G188" i="6"/>
  <c r="X186" i="6"/>
  <c r="P185" i="6"/>
  <c r="G184" i="6"/>
  <c r="X182" i="6"/>
  <c r="P181" i="6"/>
  <c r="G180" i="6"/>
  <c r="X178" i="6"/>
  <c r="P177" i="6"/>
  <c r="G176" i="6"/>
  <c r="X174" i="6"/>
  <c r="P173" i="6"/>
  <c r="G172" i="6"/>
  <c r="X170" i="6"/>
  <c r="P169" i="6"/>
  <c r="G168" i="6"/>
  <c r="X166" i="6"/>
  <c r="P165" i="6"/>
  <c r="G164" i="6"/>
  <c r="X162" i="6"/>
  <c r="P161" i="6"/>
  <c r="S160" i="6"/>
  <c r="B160" i="6"/>
  <c r="J159" i="6"/>
  <c r="S158" i="6"/>
  <c r="B158" i="6"/>
  <c r="J157" i="6"/>
  <c r="S156" i="6"/>
  <c r="B156" i="6"/>
  <c r="J155" i="6"/>
  <c r="S154" i="6"/>
  <c r="B154" i="6"/>
  <c r="J153" i="6"/>
  <c r="S152" i="6"/>
  <c r="B152" i="6"/>
  <c r="J151" i="6"/>
  <c r="S150" i="6"/>
  <c r="B150" i="6"/>
  <c r="J149" i="6"/>
  <c r="S148" i="6"/>
  <c r="B148" i="6"/>
  <c r="Q147" i="6"/>
  <c r="H147" i="6"/>
  <c r="Y146" i="6"/>
  <c r="Q146" i="6"/>
  <c r="H146" i="6"/>
  <c r="Y145" i="6"/>
  <c r="Q145" i="6"/>
  <c r="H145" i="6"/>
  <c r="Y144" i="6"/>
  <c r="Q144" i="6"/>
  <c r="H144" i="6"/>
  <c r="Y143" i="6"/>
  <c r="Q143" i="6"/>
  <c r="H143" i="6"/>
  <c r="Y142" i="6"/>
  <c r="Q142" i="6"/>
  <c r="H142" i="6"/>
  <c r="Y141" i="6"/>
  <c r="Q141" i="6"/>
  <c r="H141" i="6"/>
  <c r="Y140" i="6"/>
  <c r="Q140" i="6"/>
  <c r="H140" i="6"/>
  <c r="Y139" i="6"/>
  <c r="Q139" i="6"/>
  <c r="H139" i="6"/>
  <c r="Y138" i="6"/>
  <c r="Q138" i="6"/>
  <c r="H138" i="6"/>
  <c r="Y137" i="6"/>
  <c r="Q137" i="6"/>
  <c r="H137" i="6"/>
  <c r="Y136" i="6"/>
  <c r="Q136" i="6"/>
  <c r="H136" i="6"/>
  <c r="Y135" i="6"/>
  <c r="Q135" i="6"/>
  <c r="H135" i="6"/>
  <c r="Y134" i="6"/>
  <c r="Q134" i="6"/>
  <c r="H134" i="6"/>
  <c r="Y133" i="6"/>
  <c r="Q133" i="6"/>
  <c r="H133" i="6"/>
  <c r="Y132" i="6"/>
  <c r="Q132" i="6"/>
  <c r="H132" i="6"/>
  <c r="Y131" i="6"/>
  <c r="Q131" i="6"/>
  <c r="H131" i="6"/>
  <c r="Y130" i="6"/>
  <c r="Q130" i="6"/>
  <c r="H130" i="6"/>
  <c r="Y129" i="6"/>
  <c r="Q129" i="6"/>
  <c r="H129" i="6"/>
  <c r="Y128" i="6"/>
  <c r="Q128" i="6"/>
  <c r="H128" i="6"/>
  <c r="Y127" i="6"/>
  <c r="Q127" i="6"/>
  <c r="H127" i="6"/>
  <c r="Y126" i="6"/>
  <c r="Q126" i="6"/>
  <c r="H126" i="6"/>
  <c r="Y125" i="6"/>
  <c r="Q125" i="6"/>
  <c r="H125" i="6"/>
  <c r="Y124" i="6"/>
  <c r="Q124" i="6"/>
  <c r="H124" i="6"/>
  <c r="Y123" i="6"/>
  <c r="Q123" i="6"/>
  <c r="H123" i="6"/>
  <c r="Y122" i="6"/>
  <c r="Q122" i="6"/>
  <c r="H122" i="6"/>
  <c r="Y121" i="6"/>
  <c r="Q121" i="6"/>
  <c r="H121" i="6"/>
  <c r="Y120" i="6"/>
  <c r="Q120" i="6"/>
  <c r="H120" i="6"/>
  <c r="Y119" i="6"/>
  <c r="Q119" i="6"/>
  <c r="H119" i="6"/>
  <c r="Y118" i="6"/>
  <c r="Q118" i="6"/>
  <c r="H118" i="6"/>
  <c r="Y117" i="6"/>
  <c r="Q117" i="6"/>
  <c r="H117" i="6"/>
  <c r="Y116" i="6"/>
  <c r="Q116" i="6"/>
  <c r="H116" i="6"/>
  <c r="Y115" i="6"/>
  <c r="Q115" i="6"/>
  <c r="H115" i="6"/>
  <c r="Y114" i="6"/>
  <c r="Q114" i="6"/>
  <c r="H114" i="6"/>
  <c r="Y113" i="6"/>
  <c r="Q113" i="6"/>
  <c r="H113" i="6"/>
  <c r="Y112" i="6"/>
  <c r="Q112" i="6"/>
  <c r="H112" i="6"/>
  <c r="Y111" i="6"/>
  <c r="Q111" i="6"/>
  <c r="H111" i="6"/>
  <c r="Y110" i="6"/>
  <c r="Q110" i="6"/>
  <c r="H110" i="6"/>
  <c r="Y109" i="6"/>
  <c r="Q109" i="6"/>
  <c r="H109" i="6"/>
  <c r="Y108" i="6"/>
  <c r="Q108" i="6"/>
  <c r="H108" i="6"/>
  <c r="Y107" i="6"/>
  <c r="Q107" i="6"/>
  <c r="H107" i="6"/>
  <c r="Y106" i="6"/>
  <c r="Q106" i="6"/>
  <c r="H106" i="6"/>
  <c r="Y105" i="6"/>
  <c r="Q105" i="6"/>
  <c r="M289" i="6"/>
  <c r="L242" i="6"/>
  <c r="D221" i="6"/>
  <c r="K209" i="6"/>
  <c r="C204" i="6"/>
  <c r="T198" i="6"/>
  <c r="F196" i="6"/>
  <c r="W194" i="6"/>
  <c r="N193" i="6"/>
  <c r="F192" i="6"/>
  <c r="W190" i="6"/>
  <c r="N189" i="6"/>
  <c r="F188" i="6"/>
  <c r="W186" i="6"/>
  <c r="N185" i="6"/>
  <c r="F184" i="6"/>
  <c r="W182" i="6"/>
  <c r="N181" i="6"/>
  <c r="F180" i="6"/>
  <c r="W178" i="6"/>
  <c r="N177" i="6"/>
  <c r="F176" i="6"/>
  <c r="W174" i="6"/>
  <c r="N173" i="6"/>
  <c r="F172" i="6"/>
  <c r="W170" i="6"/>
  <c r="N169" i="6"/>
  <c r="F168" i="6"/>
  <c r="W166" i="6"/>
  <c r="N165" i="6"/>
  <c r="F164" i="6"/>
  <c r="W162" i="6"/>
  <c r="N161" i="6"/>
  <c r="P160" i="6"/>
  <c r="X159" i="6"/>
  <c r="G159" i="6"/>
  <c r="P158" i="6"/>
  <c r="X157" i="6"/>
  <c r="G157" i="6"/>
  <c r="P156" i="6"/>
  <c r="X155" i="6"/>
  <c r="G155" i="6"/>
  <c r="P154" i="6"/>
  <c r="X153" i="6"/>
  <c r="G153" i="6"/>
  <c r="P152" i="6"/>
  <c r="X151" i="6"/>
  <c r="G151" i="6"/>
  <c r="P150" i="6"/>
  <c r="X149" i="6"/>
  <c r="G149" i="6"/>
  <c r="P148" i="6"/>
  <c r="A148" i="6"/>
  <c r="P147" i="6"/>
  <c r="G147" i="6"/>
  <c r="X146" i="6"/>
  <c r="P146" i="6"/>
  <c r="G146" i="6"/>
  <c r="X145" i="6"/>
  <c r="P145" i="6"/>
  <c r="G145" i="6"/>
  <c r="X144" i="6"/>
  <c r="P144" i="6"/>
  <c r="G144" i="6"/>
  <c r="X143" i="6"/>
  <c r="P143" i="6"/>
  <c r="G143" i="6"/>
  <c r="X142" i="6"/>
  <c r="P142" i="6"/>
  <c r="G142" i="6"/>
  <c r="X141" i="6"/>
  <c r="P141" i="6"/>
  <c r="G141" i="6"/>
  <c r="X140" i="6"/>
  <c r="P140" i="6"/>
  <c r="G140" i="6"/>
  <c r="X139" i="6"/>
  <c r="P139" i="6"/>
  <c r="G139" i="6"/>
  <c r="X138" i="6"/>
  <c r="P138" i="6"/>
  <c r="G138" i="6"/>
  <c r="X137" i="6"/>
  <c r="P137" i="6"/>
  <c r="G137" i="6"/>
  <c r="X136" i="6"/>
  <c r="P136" i="6"/>
  <c r="G136" i="6"/>
  <c r="X135" i="6"/>
  <c r="P135" i="6"/>
  <c r="G135" i="6"/>
  <c r="X134" i="6"/>
  <c r="P134" i="6"/>
  <c r="G134" i="6"/>
  <c r="X133" i="6"/>
  <c r="P133" i="6"/>
  <c r="G133" i="6"/>
  <c r="X132" i="6"/>
  <c r="P132" i="6"/>
  <c r="G132" i="6"/>
  <c r="X131" i="6"/>
  <c r="P131" i="6"/>
  <c r="G131" i="6"/>
  <c r="X130" i="6"/>
  <c r="P130" i="6"/>
  <c r="G130" i="6"/>
  <c r="X129" i="6"/>
  <c r="P129" i="6"/>
  <c r="G129" i="6"/>
  <c r="X128" i="6"/>
  <c r="P128" i="6"/>
  <c r="G128" i="6"/>
  <c r="X127" i="6"/>
  <c r="P127" i="6"/>
  <c r="G127" i="6"/>
  <c r="X126" i="6"/>
  <c r="P126" i="6"/>
  <c r="G126" i="6"/>
  <c r="X125" i="6"/>
  <c r="P125" i="6"/>
  <c r="G125" i="6"/>
  <c r="X124" i="6"/>
  <c r="P124" i="6"/>
  <c r="G124" i="6"/>
  <c r="X123" i="6"/>
  <c r="P123" i="6"/>
  <c r="G123" i="6"/>
  <c r="X122" i="6"/>
  <c r="P122" i="6"/>
  <c r="G122" i="6"/>
  <c r="X121" i="6"/>
  <c r="P121" i="6"/>
  <c r="G121" i="6"/>
  <c r="X120" i="6"/>
  <c r="P120" i="6"/>
  <c r="G120" i="6"/>
  <c r="X119" i="6"/>
  <c r="P119" i="6"/>
  <c r="G119" i="6"/>
  <c r="X118" i="6"/>
  <c r="P118" i="6"/>
  <c r="G118" i="6"/>
  <c r="X117" i="6"/>
  <c r="P117" i="6"/>
  <c r="G117" i="6"/>
  <c r="X116" i="6"/>
  <c r="P116" i="6"/>
  <c r="G116" i="6"/>
  <c r="X115" i="6"/>
  <c r="P115" i="6"/>
  <c r="G115" i="6"/>
  <c r="X114" i="6"/>
  <c r="P114" i="6"/>
  <c r="G114" i="6"/>
  <c r="X113" i="6"/>
  <c r="P113" i="6"/>
  <c r="G113" i="6"/>
  <c r="X112" i="6"/>
  <c r="P112" i="6"/>
  <c r="G112" i="6"/>
  <c r="X111" i="6"/>
  <c r="P111" i="6"/>
  <c r="G111" i="6"/>
  <c r="X110" i="6"/>
  <c r="P110" i="6"/>
  <c r="G110" i="6"/>
  <c r="X109" i="6"/>
  <c r="P109" i="6"/>
  <c r="G109" i="6"/>
  <c r="X108" i="6"/>
  <c r="P108" i="6"/>
  <c r="G108" i="6"/>
  <c r="X107" i="6"/>
  <c r="P107" i="6"/>
  <c r="G107" i="6"/>
  <c r="I269" i="6"/>
  <c r="L237" i="6"/>
  <c r="D216" i="6"/>
  <c r="E208" i="6"/>
  <c r="V202" i="6"/>
  <c r="T197" i="6"/>
  <c r="X195" i="6"/>
  <c r="P194" i="6"/>
  <c r="G193" i="6"/>
  <c r="X191" i="6"/>
  <c r="P190" i="6"/>
  <c r="G189" i="6"/>
  <c r="X187" i="6"/>
  <c r="P186" i="6"/>
  <c r="G185" i="6"/>
  <c r="X183" i="6"/>
  <c r="P182" i="6"/>
  <c r="G181" i="6"/>
  <c r="X179" i="6"/>
  <c r="P178" i="6"/>
  <c r="G177" i="6"/>
  <c r="X175" i="6"/>
  <c r="P174" i="6"/>
  <c r="G173" i="6"/>
  <c r="X171" i="6"/>
  <c r="P170" i="6"/>
  <c r="G169" i="6"/>
  <c r="X167" i="6"/>
  <c r="P166" i="6"/>
  <c r="G165" i="6"/>
  <c r="X163" i="6"/>
  <c r="P162" i="6"/>
  <c r="G161" i="6"/>
  <c r="N160" i="6"/>
  <c r="W159" i="6"/>
  <c r="F159" i="6"/>
  <c r="N158" i="6"/>
  <c r="W157" i="6"/>
  <c r="F157" i="6"/>
  <c r="N156" i="6"/>
  <c r="W155" i="6"/>
  <c r="F155" i="6"/>
  <c r="N154" i="6"/>
  <c r="W153" i="6"/>
  <c r="F153" i="6"/>
  <c r="N152" i="6"/>
  <c r="W151" i="6"/>
  <c r="F151" i="6"/>
  <c r="N150" i="6"/>
  <c r="W149" i="6"/>
  <c r="F149" i="6"/>
  <c r="N148" i="6"/>
  <c r="X147" i="6"/>
  <c r="N147" i="6"/>
  <c r="F147" i="6"/>
  <c r="W146" i="6"/>
  <c r="N146" i="6"/>
  <c r="F146" i="6"/>
  <c r="W145" i="6"/>
  <c r="N145" i="6"/>
  <c r="F145" i="6"/>
  <c r="W144" i="6"/>
  <c r="N144" i="6"/>
  <c r="F144" i="6"/>
  <c r="W143" i="6"/>
  <c r="N143" i="6"/>
  <c r="F143" i="6"/>
  <c r="W142" i="6"/>
  <c r="N142" i="6"/>
  <c r="F142" i="6"/>
  <c r="W141" i="6"/>
  <c r="N141" i="6"/>
  <c r="F141" i="6"/>
  <c r="W140" i="6"/>
  <c r="N140" i="6"/>
  <c r="F140" i="6"/>
  <c r="W139" i="6"/>
  <c r="N139" i="6"/>
  <c r="F139" i="6"/>
  <c r="W138" i="6"/>
  <c r="N138" i="6"/>
  <c r="F138" i="6"/>
  <c r="W137" i="6"/>
  <c r="N137" i="6"/>
  <c r="F137" i="6"/>
  <c r="W136" i="6"/>
  <c r="N136" i="6"/>
  <c r="F136" i="6"/>
  <c r="W135" i="6"/>
  <c r="N135" i="6"/>
  <c r="F135" i="6"/>
  <c r="W134" i="6"/>
  <c r="N134" i="6"/>
  <c r="F134" i="6"/>
  <c r="W133" i="6"/>
  <c r="N133" i="6"/>
  <c r="F133" i="6"/>
  <c r="W132" i="6"/>
  <c r="N132" i="6"/>
  <c r="F132" i="6"/>
  <c r="W131" i="6"/>
  <c r="N131" i="6"/>
  <c r="F131" i="6"/>
  <c r="W130" i="6"/>
  <c r="N130" i="6"/>
  <c r="F130" i="6"/>
  <c r="W129" i="6"/>
  <c r="N129" i="6"/>
  <c r="F129" i="6"/>
  <c r="W128" i="6"/>
  <c r="N128" i="6"/>
  <c r="F128" i="6"/>
  <c r="W127" i="6"/>
  <c r="N127" i="6"/>
  <c r="F127" i="6"/>
  <c r="W126" i="6"/>
  <c r="N126" i="6"/>
  <c r="F126" i="6"/>
  <c r="W125" i="6"/>
  <c r="N125" i="6"/>
  <c r="F125" i="6"/>
  <c r="W124" i="6"/>
  <c r="N124" i="6"/>
  <c r="F124" i="6"/>
  <c r="W123" i="6"/>
  <c r="N123" i="6"/>
  <c r="F123" i="6"/>
  <c r="W122" i="6"/>
  <c r="N122" i="6"/>
  <c r="F122" i="6"/>
  <c r="W121" i="6"/>
  <c r="N121" i="6"/>
  <c r="F121" i="6"/>
  <c r="W120" i="6"/>
  <c r="N120" i="6"/>
  <c r="F120" i="6"/>
  <c r="W119" i="6"/>
  <c r="N119" i="6"/>
  <c r="F119" i="6"/>
  <c r="W118" i="6"/>
  <c r="N118" i="6"/>
  <c r="F118" i="6"/>
  <c r="W117" i="6"/>
  <c r="N117" i="6"/>
  <c r="F117" i="6"/>
  <c r="W116" i="6"/>
  <c r="N116" i="6"/>
  <c r="F116" i="6"/>
  <c r="W115" i="6"/>
  <c r="N115" i="6"/>
  <c r="F115" i="6"/>
  <c r="W114" i="6"/>
  <c r="N114" i="6"/>
  <c r="F114" i="6"/>
  <c r="W113" i="6"/>
  <c r="N113" i="6"/>
  <c r="F113" i="6"/>
  <c r="W112" i="6"/>
  <c r="N112" i="6"/>
  <c r="F112" i="6"/>
  <c r="W111" i="6"/>
  <c r="N111" i="6"/>
  <c r="F111" i="6"/>
  <c r="W110" i="6"/>
  <c r="N110" i="6"/>
  <c r="F110" i="6"/>
  <c r="W109" i="6"/>
  <c r="N109" i="6"/>
  <c r="F109" i="6"/>
  <c r="W108" i="6"/>
  <c r="N108" i="6"/>
  <c r="F108" i="6"/>
  <c r="W107" i="6"/>
  <c r="N107" i="6"/>
  <c r="F107" i="6"/>
  <c r="W106" i="6"/>
  <c r="N106" i="6"/>
  <c r="F106" i="6"/>
  <c r="W105" i="6"/>
  <c r="N105" i="6"/>
  <c r="A268" i="6"/>
  <c r="D237" i="6"/>
  <c r="U215" i="6"/>
  <c r="C208" i="6"/>
  <c r="T202" i="6"/>
  <c r="S197" i="6"/>
  <c r="W195" i="6"/>
  <c r="N194" i="6"/>
  <c r="F193" i="6"/>
  <c r="W191" i="6"/>
  <c r="N190" i="6"/>
  <c r="F189" i="6"/>
  <c r="W187" i="6"/>
  <c r="N186" i="6"/>
  <c r="F185" i="6"/>
  <c r="W183" i="6"/>
  <c r="N182" i="6"/>
  <c r="F181" i="6"/>
  <c r="W179" i="6"/>
  <c r="N178" i="6"/>
  <c r="F177" i="6"/>
  <c r="W175" i="6"/>
  <c r="N174" i="6"/>
  <c r="F173" i="6"/>
  <c r="W171" i="6"/>
  <c r="N170" i="6"/>
  <c r="F169" i="6"/>
  <c r="W167" i="6"/>
  <c r="N166" i="6"/>
  <c r="F165" i="6"/>
  <c r="W163" i="6"/>
  <c r="N162" i="6"/>
  <c r="F161" i="6"/>
  <c r="M160" i="6"/>
  <c r="V159" i="6"/>
  <c r="E159" i="6"/>
  <c r="M158" i="6"/>
  <c r="V157" i="6"/>
  <c r="E157" i="6"/>
  <c r="M156" i="6"/>
  <c r="V155" i="6"/>
  <c r="E155" i="6"/>
  <c r="M154" i="6"/>
  <c r="V153" i="6"/>
  <c r="E153" i="6"/>
  <c r="M152" i="6"/>
  <c r="V151" i="6"/>
  <c r="E151" i="6"/>
  <c r="M150" i="6"/>
  <c r="V149" i="6"/>
  <c r="E149" i="6"/>
  <c r="M148" i="6"/>
  <c r="W147" i="6"/>
  <c r="M147" i="6"/>
  <c r="E147" i="6"/>
  <c r="V146" i="6"/>
  <c r="M146" i="6"/>
  <c r="E146" i="6"/>
  <c r="V145" i="6"/>
  <c r="M145" i="6"/>
  <c r="E145" i="6"/>
  <c r="V144" i="6"/>
  <c r="M144" i="6"/>
  <c r="E144" i="6"/>
  <c r="V143" i="6"/>
  <c r="M143" i="6"/>
  <c r="E143" i="6"/>
  <c r="V142" i="6"/>
  <c r="M142" i="6"/>
  <c r="E142" i="6"/>
  <c r="V141" i="6"/>
  <c r="M141" i="6"/>
  <c r="E141" i="6"/>
  <c r="V140" i="6"/>
  <c r="M140" i="6"/>
  <c r="E140" i="6"/>
  <c r="V139" i="6"/>
  <c r="M139" i="6"/>
  <c r="E139" i="6"/>
  <c r="V138" i="6"/>
  <c r="M138" i="6"/>
  <c r="E138" i="6"/>
  <c r="V137" i="6"/>
  <c r="M137" i="6"/>
  <c r="E137" i="6"/>
  <c r="V136" i="6"/>
  <c r="M136" i="6"/>
  <c r="E136" i="6"/>
  <c r="V135" i="6"/>
  <c r="M135" i="6"/>
  <c r="E135" i="6"/>
  <c r="V134" i="6"/>
  <c r="M134" i="6"/>
  <c r="E134" i="6"/>
  <c r="V133" i="6"/>
  <c r="M133" i="6"/>
  <c r="E133" i="6"/>
  <c r="V132" i="6"/>
  <c r="M132" i="6"/>
  <c r="E132" i="6"/>
  <c r="V131" i="6"/>
  <c r="M131" i="6"/>
  <c r="E131" i="6"/>
  <c r="V130" i="6"/>
  <c r="M130" i="6"/>
  <c r="E130" i="6"/>
  <c r="V129" i="6"/>
  <c r="M129" i="6"/>
  <c r="E129" i="6"/>
  <c r="V128" i="6"/>
  <c r="M128" i="6"/>
  <c r="E128" i="6"/>
  <c r="V127" i="6"/>
  <c r="M127" i="6"/>
  <c r="E127" i="6"/>
  <c r="V126" i="6"/>
  <c r="M126" i="6"/>
  <c r="E126" i="6"/>
  <c r="V125" i="6"/>
  <c r="M125" i="6"/>
  <c r="E125" i="6"/>
  <c r="V124" i="6"/>
  <c r="M124" i="6"/>
  <c r="E124" i="6"/>
  <c r="V123" i="6"/>
  <c r="M123" i="6"/>
  <c r="E123" i="6"/>
  <c r="V122" i="6"/>
  <c r="M122" i="6"/>
  <c r="E122" i="6"/>
  <c r="V121" i="6"/>
  <c r="M121" i="6"/>
  <c r="E121" i="6"/>
  <c r="V120" i="6"/>
  <c r="M120" i="6"/>
  <c r="E120" i="6"/>
  <c r="V119" i="6"/>
  <c r="M119" i="6"/>
  <c r="E119" i="6"/>
  <c r="V118" i="6"/>
  <c r="M118" i="6"/>
  <c r="E118" i="6"/>
  <c r="V117" i="6"/>
  <c r="M117" i="6"/>
  <c r="E117" i="6"/>
  <c r="V116" i="6"/>
  <c r="M116" i="6"/>
  <c r="E116" i="6"/>
  <c r="V115" i="6"/>
  <c r="M115" i="6"/>
  <c r="E115" i="6"/>
  <c r="V114" i="6"/>
  <c r="M114" i="6"/>
  <c r="E114" i="6"/>
  <c r="V113" i="6"/>
  <c r="M113" i="6"/>
  <c r="E113" i="6"/>
  <c r="V112" i="6"/>
  <c r="M112" i="6"/>
  <c r="E112" i="6"/>
  <c r="V111" i="6"/>
  <c r="M111" i="6"/>
  <c r="E111" i="6"/>
  <c r="V110" i="6"/>
  <c r="M110" i="6"/>
  <c r="E110" i="6"/>
  <c r="V109" i="6"/>
  <c r="M109" i="6"/>
  <c r="E109" i="6"/>
  <c r="V108" i="6"/>
  <c r="M108" i="6"/>
  <c r="E108" i="6"/>
  <c r="V107" i="6"/>
  <c r="M253" i="6"/>
  <c r="U231" i="6"/>
  <c r="C212" i="6"/>
  <c r="T206" i="6"/>
  <c r="K201" i="6"/>
  <c r="B197" i="6"/>
  <c r="N195" i="6"/>
  <c r="F194" i="6"/>
  <c r="W192" i="6"/>
  <c r="N191" i="6"/>
  <c r="F190" i="6"/>
  <c r="W188" i="6"/>
  <c r="N187" i="6"/>
  <c r="F186" i="6"/>
  <c r="W184" i="6"/>
  <c r="N183" i="6"/>
  <c r="F182" i="6"/>
  <c r="W180" i="6"/>
  <c r="N179" i="6"/>
  <c r="F178" i="6"/>
  <c r="W176" i="6"/>
  <c r="N175" i="6"/>
  <c r="F174" i="6"/>
  <c r="W172" i="6"/>
  <c r="N171" i="6"/>
  <c r="F170" i="6"/>
  <c r="W168" i="6"/>
  <c r="N167" i="6"/>
  <c r="F166" i="6"/>
  <c r="W164" i="6"/>
  <c r="N163" i="6"/>
  <c r="F162" i="6"/>
  <c r="X160" i="6"/>
  <c r="G160" i="6"/>
  <c r="P159" i="6"/>
  <c r="X158" i="6"/>
  <c r="G158" i="6"/>
  <c r="P157" i="6"/>
  <c r="X156" i="6"/>
  <c r="G156" i="6"/>
  <c r="P155" i="6"/>
  <c r="X154" i="6"/>
  <c r="G154" i="6"/>
  <c r="P153" i="6"/>
  <c r="X152" i="6"/>
  <c r="G152" i="6"/>
  <c r="P151" i="6"/>
  <c r="X150" i="6"/>
  <c r="G150" i="6"/>
  <c r="P149" i="6"/>
  <c r="X148" i="6"/>
  <c r="G148" i="6"/>
  <c r="U147" i="6"/>
  <c r="K147" i="6"/>
  <c r="C147" i="6"/>
  <c r="T146" i="6"/>
  <c r="K146" i="6"/>
  <c r="C146" i="6"/>
  <c r="T145" i="6"/>
  <c r="K145" i="6"/>
  <c r="C145" i="6"/>
  <c r="T144" i="6"/>
  <c r="K144" i="6"/>
  <c r="C144" i="6"/>
  <c r="T143" i="6"/>
  <c r="K143" i="6"/>
  <c r="C143" i="6"/>
  <c r="T142" i="6"/>
  <c r="K142" i="6"/>
  <c r="C142" i="6"/>
  <c r="T141" i="6"/>
  <c r="K141" i="6"/>
  <c r="C141" i="6"/>
  <c r="T140" i="6"/>
  <c r="K140" i="6"/>
  <c r="C140" i="6"/>
  <c r="T139" i="6"/>
  <c r="K139" i="6"/>
  <c r="C139" i="6"/>
  <c r="T138" i="6"/>
  <c r="K138" i="6"/>
  <c r="C138" i="6"/>
  <c r="T137" i="6"/>
  <c r="K137" i="6"/>
  <c r="C137" i="6"/>
  <c r="T136" i="6"/>
  <c r="K136" i="6"/>
  <c r="C136" i="6"/>
  <c r="T135" i="6"/>
  <c r="K135" i="6"/>
  <c r="C135" i="6"/>
  <c r="T134" i="6"/>
  <c r="K134" i="6"/>
  <c r="C134" i="6"/>
  <c r="T133" i="6"/>
  <c r="K133" i="6"/>
  <c r="C133" i="6"/>
  <c r="T132" i="6"/>
  <c r="K132" i="6"/>
  <c r="C132" i="6"/>
  <c r="T131" i="6"/>
  <c r="K131" i="6"/>
  <c r="C131" i="6"/>
  <c r="T130" i="6"/>
  <c r="K130" i="6"/>
  <c r="C130" i="6"/>
  <c r="T129" i="6"/>
  <c r="K129" i="6"/>
  <c r="C129" i="6"/>
  <c r="T128" i="6"/>
  <c r="K128" i="6"/>
  <c r="C128" i="6"/>
  <c r="T127" i="6"/>
  <c r="K127" i="6"/>
  <c r="C127" i="6"/>
  <c r="T126" i="6"/>
  <c r="K126" i="6"/>
  <c r="C126" i="6"/>
  <c r="T125" i="6"/>
  <c r="K125" i="6"/>
  <c r="C125" i="6"/>
  <c r="T124" i="6"/>
  <c r="K124" i="6"/>
  <c r="C124" i="6"/>
  <c r="T123" i="6"/>
  <c r="K123" i="6"/>
  <c r="C123" i="6"/>
  <c r="T122" i="6"/>
  <c r="K122" i="6"/>
  <c r="C122" i="6"/>
  <c r="T121" i="6"/>
  <c r="K121" i="6"/>
  <c r="C121" i="6"/>
  <c r="T120" i="6"/>
  <c r="K120" i="6"/>
  <c r="C120" i="6"/>
  <c r="T119" i="6"/>
  <c r="K119" i="6"/>
  <c r="C119" i="6"/>
  <c r="T118" i="6"/>
  <c r="K118" i="6"/>
  <c r="C118" i="6"/>
  <c r="T117" i="6"/>
  <c r="K117" i="6"/>
  <c r="C117" i="6"/>
  <c r="T116" i="6"/>
  <c r="K116" i="6"/>
  <c r="C116" i="6"/>
  <c r="T115" i="6"/>
  <c r="K115" i="6"/>
  <c r="C115" i="6"/>
  <c r="T114" i="6"/>
  <c r="K114" i="6"/>
  <c r="C114" i="6"/>
  <c r="T113" i="6"/>
  <c r="K113" i="6"/>
  <c r="C113" i="6"/>
  <c r="T112" i="6"/>
  <c r="K112" i="6"/>
  <c r="C112" i="6"/>
  <c r="T111" i="6"/>
  <c r="K111" i="6"/>
  <c r="C111" i="6"/>
  <c r="T110" i="6"/>
  <c r="K110" i="6"/>
  <c r="C110" i="6"/>
  <c r="T109" i="6"/>
  <c r="K109" i="6"/>
  <c r="C109" i="6"/>
  <c r="T108" i="6"/>
  <c r="K108" i="6"/>
  <c r="C108" i="6"/>
  <c r="T107" i="6"/>
  <c r="U247" i="6"/>
  <c r="L226" i="6"/>
  <c r="T210" i="6"/>
  <c r="K205" i="6"/>
  <c r="C200" i="6"/>
  <c r="N196" i="6"/>
  <c r="F195" i="6"/>
  <c r="W193" i="6"/>
  <c r="N192" i="6"/>
  <c r="F191" i="6"/>
  <c r="W189" i="6"/>
  <c r="N188" i="6"/>
  <c r="F187" i="6"/>
  <c r="W185" i="6"/>
  <c r="N184" i="6"/>
  <c r="F183" i="6"/>
  <c r="W181" i="6"/>
  <c r="N180" i="6"/>
  <c r="F179" i="6"/>
  <c r="W177" i="6"/>
  <c r="N176" i="6"/>
  <c r="F175" i="6"/>
  <c r="W173" i="6"/>
  <c r="N172" i="6"/>
  <c r="F171" i="6"/>
  <c r="W169" i="6"/>
  <c r="N168" i="6"/>
  <c r="F167" i="6"/>
  <c r="W165" i="6"/>
  <c r="N164" i="6"/>
  <c r="F163" i="6"/>
  <c r="W161" i="6"/>
  <c r="V160" i="6"/>
  <c r="E160" i="6"/>
  <c r="M159" i="6"/>
  <c r="V158" i="6"/>
  <c r="E158" i="6"/>
  <c r="M157" i="6"/>
  <c r="V156" i="6"/>
  <c r="E156" i="6"/>
  <c r="M155" i="6"/>
  <c r="V154" i="6"/>
  <c r="E154" i="6"/>
  <c r="M153" i="6"/>
  <c r="V152" i="6"/>
  <c r="E152" i="6"/>
  <c r="M151" i="6"/>
  <c r="V150" i="6"/>
  <c r="E150" i="6"/>
  <c r="M149" i="6"/>
  <c r="V148" i="6"/>
  <c r="E148" i="6"/>
  <c r="R147" i="6"/>
  <c r="I147" i="6"/>
  <c r="A147" i="6"/>
  <c r="R146" i="6"/>
  <c r="I146" i="6"/>
  <c r="A146" i="6"/>
  <c r="R145" i="6"/>
  <c r="I145" i="6"/>
  <c r="A145" i="6"/>
  <c r="R144" i="6"/>
  <c r="I144" i="6"/>
  <c r="A144" i="6"/>
  <c r="R143" i="6"/>
  <c r="I143" i="6"/>
  <c r="A143" i="6"/>
  <c r="R142" i="6"/>
  <c r="I142" i="6"/>
  <c r="A142" i="6"/>
  <c r="R141" i="6"/>
  <c r="I141" i="6"/>
  <c r="A141" i="6"/>
  <c r="R140" i="6"/>
  <c r="I140" i="6"/>
  <c r="A140" i="6"/>
  <c r="R139" i="6"/>
  <c r="I139" i="6"/>
  <c r="A139" i="6"/>
  <c r="R138" i="6"/>
  <c r="I138" i="6"/>
  <c r="A138" i="6"/>
  <c r="R137" i="6"/>
  <c r="I137" i="6"/>
  <c r="A137" i="6"/>
  <c r="R136" i="6"/>
  <c r="I136" i="6"/>
  <c r="A136" i="6"/>
  <c r="R135" i="6"/>
  <c r="I135" i="6"/>
  <c r="A135" i="6"/>
  <c r="R134" i="6"/>
  <c r="I134" i="6"/>
  <c r="A134" i="6"/>
  <c r="R133" i="6"/>
  <c r="I133" i="6"/>
  <c r="A133" i="6"/>
  <c r="R132" i="6"/>
  <c r="I132" i="6"/>
  <c r="A132" i="6"/>
  <c r="R131" i="6"/>
  <c r="I131" i="6"/>
  <c r="A131" i="6"/>
  <c r="R130" i="6"/>
  <c r="I130" i="6"/>
  <c r="A130" i="6"/>
  <c r="R129" i="6"/>
  <c r="I129" i="6"/>
  <c r="A129" i="6"/>
  <c r="R128" i="6"/>
  <c r="I128" i="6"/>
  <c r="A128" i="6"/>
  <c r="R127" i="6"/>
  <c r="I127" i="6"/>
  <c r="A127" i="6"/>
  <c r="R126" i="6"/>
  <c r="I126" i="6"/>
  <c r="A126" i="6"/>
  <c r="R125" i="6"/>
  <c r="I125" i="6"/>
  <c r="A125" i="6"/>
  <c r="R124" i="6"/>
  <c r="I124" i="6"/>
  <c r="A124" i="6"/>
  <c r="R123" i="6"/>
  <c r="I123" i="6"/>
  <c r="A123" i="6"/>
  <c r="R122" i="6"/>
  <c r="I122" i="6"/>
  <c r="A122" i="6"/>
  <c r="R121" i="6"/>
  <c r="I121" i="6"/>
  <c r="A121" i="6"/>
  <c r="R120" i="6"/>
  <c r="I120" i="6"/>
  <c r="A120" i="6"/>
  <c r="R119" i="6"/>
  <c r="I119" i="6"/>
  <c r="A119" i="6"/>
  <c r="R118" i="6"/>
  <c r="I118" i="6"/>
  <c r="A118" i="6"/>
  <c r="R117" i="6"/>
  <c r="I117" i="6"/>
  <c r="A117" i="6"/>
  <c r="R116" i="6"/>
  <c r="I116" i="6"/>
  <c r="A116" i="6"/>
  <c r="R115" i="6"/>
  <c r="I115" i="6"/>
  <c r="A115" i="6"/>
  <c r="R114" i="6"/>
  <c r="I114" i="6"/>
  <c r="A114" i="6"/>
  <c r="R113" i="6"/>
  <c r="I113" i="6"/>
  <c r="A113" i="6"/>
  <c r="R112" i="6"/>
  <c r="I112" i="6"/>
  <c r="A112" i="6"/>
  <c r="R111" i="6"/>
  <c r="I111" i="6"/>
  <c r="A111" i="6"/>
  <c r="R110" i="6"/>
  <c r="I110" i="6"/>
  <c r="A110" i="6"/>
  <c r="R109" i="6"/>
  <c r="I109" i="6"/>
  <c r="A109" i="6"/>
  <c r="R108" i="6"/>
  <c r="Y253" i="6"/>
  <c r="M201" i="6"/>
  <c r="X192" i="6"/>
  <c r="P187" i="6"/>
  <c r="G182" i="6"/>
  <c r="X176" i="6"/>
  <c r="P171" i="6"/>
  <c r="G166" i="6"/>
  <c r="E161" i="6"/>
  <c r="J158" i="6"/>
  <c r="S155" i="6"/>
  <c r="B153" i="6"/>
  <c r="J150" i="6"/>
  <c r="V147" i="6"/>
  <c r="L146" i="6"/>
  <c r="D145" i="6"/>
  <c r="U143" i="6"/>
  <c r="L142" i="6"/>
  <c r="D141" i="6"/>
  <c r="U139" i="6"/>
  <c r="L138" i="6"/>
  <c r="D137" i="6"/>
  <c r="U135" i="6"/>
  <c r="L134" i="6"/>
  <c r="D133" i="6"/>
  <c r="U131" i="6"/>
  <c r="L130" i="6"/>
  <c r="D129" i="6"/>
  <c r="U127" i="6"/>
  <c r="L126" i="6"/>
  <c r="D125" i="6"/>
  <c r="U123" i="6"/>
  <c r="L122" i="6"/>
  <c r="D121" i="6"/>
  <c r="U119" i="6"/>
  <c r="L118" i="6"/>
  <c r="D117" i="6"/>
  <c r="U115" i="6"/>
  <c r="L114" i="6"/>
  <c r="D113" i="6"/>
  <c r="U111" i="6"/>
  <c r="L110" i="6"/>
  <c r="D109" i="6"/>
  <c r="B108" i="6"/>
  <c r="J107" i="6"/>
  <c r="V106" i="6"/>
  <c r="K106" i="6"/>
  <c r="A106" i="6"/>
  <c r="M105" i="6"/>
  <c r="E105" i="6"/>
  <c r="V104" i="6"/>
  <c r="M104" i="6"/>
  <c r="E104" i="6"/>
  <c r="V103" i="6"/>
  <c r="M103" i="6"/>
  <c r="E103" i="6"/>
  <c r="V102" i="6"/>
  <c r="M102" i="6"/>
  <c r="E102" i="6"/>
  <c r="V101" i="6"/>
  <c r="M101" i="6"/>
  <c r="E101" i="6"/>
  <c r="V100" i="6"/>
  <c r="M100" i="6"/>
  <c r="E100" i="6"/>
  <c r="V99" i="6"/>
  <c r="M99" i="6"/>
  <c r="E99" i="6"/>
  <c r="V98" i="6"/>
  <c r="M98" i="6"/>
  <c r="E98" i="6"/>
  <c r="V97" i="6"/>
  <c r="M97" i="6"/>
  <c r="E97" i="6"/>
  <c r="V96" i="6"/>
  <c r="M96" i="6"/>
  <c r="E96" i="6"/>
  <c r="V95" i="6"/>
  <c r="M95" i="6"/>
  <c r="E95" i="6"/>
  <c r="V94" i="6"/>
  <c r="M94" i="6"/>
  <c r="E94" i="6"/>
  <c r="V93" i="6"/>
  <c r="M93" i="6"/>
  <c r="E93" i="6"/>
  <c r="V92" i="6"/>
  <c r="M92" i="6"/>
  <c r="E92" i="6"/>
  <c r="V91" i="6"/>
  <c r="M91" i="6"/>
  <c r="E91" i="6"/>
  <c r="V90" i="6"/>
  <c r="M90" i="6"/>
  <c r="E90" i="6"/>
  <c r="V89" i="6"/>
  <c r="M89" i="6"/>
  <c r="E89" i="6"/>
  <c r="V88" i="6"/>
  <c r="M88" i="6"/>
  <c r="E88" i="6"/>
  <c r="V87" i="6"/>
  <c r="M87" i="6"/>
  <c r="E87" i="6"/>
  <c r="V86" i="6"/>
  <c r="M86" i="6"/>
  <c r="E86" i="6"/>
  <c r="V85" i="6"/>
  <c r="M85" i="6"/>
  <c r="E85" i="6"/>
  <c r="V84" i="6"/>
  <c r="M84" i="6"/>
  <c r="E84" i="6"/>
  <c r="V83" i="6"/>
  <c r="M83" i="6"/>
  <c r="E83" i="6"/>
  <c r="V82" i="6"/>
  <c r="M82" i="6"/>
  <c r="E82" i="6"/>
  <c r="V81" i="6"/>
  <c r="M81" i="6"/>
  <c r="E81" i="6"/>
  <c r="V80" i="6"/>
  <c r="M80" i="6"/>
  <c r="E80" i="6"/>
  <c r="V79" i="6"/>
  <c r="M79" i="6"/>
  <c r="E79" i="6"/>
  <c r="V78" i="6"/>
  <c r="M78" i="6"/>
  <c r="E78" i="6"/>
  <c r="V77" i="6"/>
  <c r="M77" i="6"/>
  <c r="E77" i="6"/>
  <c r="V76" i="6"/>
  <c r="M76" i="6"/>
  <c r="E76" i="6"/>
  <c r="V75" i="6"/>
  <c r="M75" i="6"/>
  <c r="E75" i="6"/>
  <c r="V74" i="6"/>
  <c r="M74" i="6"/>
  <c r="E74" i="6"/>
  <c r="V73" i="6"/>
  <c r="M73" i="6"/>
  <c r="E73" i="6"/>
  <c r="V72" i="6"/>
  <c r="M72" i="6"/>
  <c r="E72" i="6"/>
  <c r="V71" i="6"/>
  <c r="M71" i="6"/>
  <c r="E71" i="6"/>
  <c r="V70" i="6"/>
  <c r="M70" i="6"/>
  <c r="E70" i="6"/>
  <c r="V69" i="6"/>
  <c r="M69" i="6"/>
  <c r="E69" i="6"/>
  <c r="V68" i="6"/>
  <c r="M68" i="6"/>
  <c r="E68" i="6"/>
  <c r="V67" i="6"/>
  <c r="M67" i="6"/>
  <c r="E67" i="6"/>
  <c r="V66" i="6"/>
  <c r="M66" i="6"/>
  <c r="E66" i="6"/>
  <c r="V65" i="6"/>
  <c r="M65" i="6"/>
  <c r="E65" i="6"/>
  <c r="V64" i="6"/>
  <c r="M64" i="6"/>
  <c r="E64" i="6"/>
  <c r="V63" i="6"/>
  <c r="M63" i="6"/>
  <c r="E63" i="6"/>
  <c r="V62" i="6"/>
  <c r="M62" i="6"/>
  <c r="E62" i="6"/>
  <c r="V61" i="6"/>
  <c r="M61" i="6"/>
  <c r="E61" i="6"/>
  <c r="V60" i="6"/>
  <c r="M60" i="6"/>
  <c r="E60" i="6"/>
  <c r="V59" i="6"/>
  <c r="M59" i="6"/>
  <c r="E59" i="6"/>
  <c r="V58" i="6"/>
  <c r="M58" i="6"/>
  <c r="E58" i="6"/>
  <c r="V57" i="6"/>
  <c r="M57" i="6"/>
  <c r="E57" i="6"/>
  <c r="V56" i="6"/>
  <c r="M56" i="6"/>
  <c r="E56" i="6"/>
  <c r="V55" i="6"/>
  <c r="M55" i="6"/>
  <c r="E55" i="6"/>
  <c r="V54" i="6"/>
  <c r="M54" i="6"/>
  <c r="E54" i="6"/>
  <c r="V53" i="6"/>
  <c r="M53" i="6"/>
  <c r="E53" i="6"/>
  <c r="V52" i="6"/>
  <c r="M52" i="6"/>
  <c r="E52" i="6"/>
  <c r="V51" i="6"/>
  <c r="M51" i="6"/>
  <c r="E51" i="6"/>
  <c r="V50" i="6"/>
  <c r="M50" i="6"/>
  <c r="E50" i="6"/>
  <c r="V49" i="6"/>
  <c r="M49" i="6"/>
  <c r="E49" i="6"/>
  <c r="V48" i="6"/>
  <c r="M48" i="6"/>
  <c r="E48" i="6"/>
  <c r="V47" i="6"/>
  <c r="M47" i="6"/>
  <c r="E47" i="6"/>
  <c r="V46" i="6"/>
  <c r="M46" i="6"/>
  <c r="E46" i="6"/>
  <c r="V45" i="6"/>
  <c r="M45" i="6"/>
  <c r="E45" i="6"/>
  <c r="V44" i="6"/>
  <c r="M44" i="6"/>
  <c r="E44" i="6"/>
  <c r="V43" i="6"/>
  <c r="M43" i="6"/>
  <c r="E43" i="6"/>
  <c r="V42" i="6"/>
  <c r="M42" i="6"/>
  <c r="E42" i="6"/>
  <c r="V41" i="6"/>
  <c r="M41" i="6"/>
  <c r="E41" i="6"/>
  <c r="V40" i="6"/>
  <c r="M40" i="6"/>
  <c r="E40" i="6"/>
  <c r="V39" i="6"/>
  <c r="M39" i="6"/>
  <c r="E39" i="6"/>
  <c r="V38" i="6"/>
  <c r="M38" i="6"/>
  <c r="E38" i="6"/>
  <c r="V37" i="6"/>
  <c r="M37" i="6"/>
  <c r="E37" i="6"/>
  <c r="V36" i="6"/>
  <c r="M36" i="6"/>
  <c r="E36" i="6"/>
  <c r="V35" i="6"/>
  <c r="M35" i="6"/>
  <c r="E35" i="6"/>
  <c r="V34" i="6"/>
  <c r="M34" i="6"/>
  <c r="E34" i="6"/>
  <c r="V33" i="6"/>
  <c r="M33" i="6"/>
  <c r="E33" i="6"/>
  <c r="V32" i="6"/>
  <c r="M32" i="6"/>
  <c r="E32" i="6"/>
  <c r="V31" i="6"/>
  <c r="M31" i="6"/>
  <c r="E31" i="6"/>
  <c r="V30" i="6"/>
  <c r="M30" i="6"/>
  <c r="E30" i="6"/>
  <c r="V29" i="6"/>
  <c r="M29" i="6"/>
  <c r="E29" i="6"/>
  <c r="V28" i="6"/>
  <c r="M28" i="6"/>
  <c r="E28" i="6"/>
  <c r="V27" i="6"/>
  <c r="M27" i="6"/>
  <c r="E27" i="6"/>
  <c r="V26" i="6"/>
  <c r="M26" i="6"/>
  <c r="E26" i="6"/>
  <c r="V25" i="6"/>
  <c r="M25" i="6"/>
  <c r="E25" i="6"/>
  <c r="V24" i="6"/>
  <c r="M24" i="6"/>
  <c r="E24" i="6"/>
  <c r="V23" i="6"/>
  <c r="M23" i="6"/>
  <c r="E23" i="6"/>
  <c r="V22" i="6"/>
  <c r="M22" i="6"/>
  <c r="E22" i="6"/>
  <c r="V21" i="6"/>
  <c r="M21" i="6"/>
  <c r="E21" i="6"/>
  <c r="V20" i="6"/>
  <c r="M20" i="6"/>
  <c r="E20" i="6"/>
  <c r="V19" i="6"/>
  <c r="M19" i="6"/>
  <c r="E19" i="6"/>
  <c r="V18" i="6"/>
  <c r="M18" i="6"/>
  <c r="E18" i="6"/>
  <c r="V17" i="6"/>
  <c r="M17" i="6"/>
  <c r="E17" i="6"/>
  <c r="V16" i="6"/>
  <c r="M16" i="6"/>
  <c r="E16" i="6"/>
  <c r="V15" i="6"/>
  <c r="M15" i="6"/>
  <c r="E15" i="6"/>
  <c r="V14" i="6"/>
  <c r="M14" i="6"/>
  <c r="E14" i="6"/>
  <c r="V13" i="6"/>
  <c r="M13" i="6"/>
  <c r="E13" i="6"/>
  <c r="V12" i="6"/>
  <c r="M12" i="6"/>
  <c r="E12" i="6"/>
  <c r="V11" i="6"/>
  <c r="M11" i="6"/>
  <c r="E11" i="6"/>
  <c r="V10" i="6"/>
  <c r="M10" i="6"/>
  <c r="E10" i="6"/>
  <c r="V9" i="6"/>
  <c r="M9" i="6"/>
  <c r="E9" i="6"/>
  <c r="V8" i="6"/>
  <c r="M8" i="6"/>
  <c r="D248" i="6"/>
  <c r="E200" i="6"/>
  <c r="P192" i="6"/>
  <c r="G187" i="6"/>
  <c r="X181" i="6"/>
  <c r="P176" i="6"/>
  <c r="G171" i="6"/>
  <c r="X165" i="6"/>
  <c r="W160" i="6"/>
  <c r="F158" i="6"/>
  <c r="N155" i="6"/>
  <c r="W152" i="6"/>
  <c r="F150" i="6"/>
  <c r="S147" i="6"/>
  <c r="J146" i="6"/>
  <c r="B145" i="6"/>
  <c r="S143" i="6"/>
  <c r="J142" i="6"/>
  <c r="B141" i="6"/>
  <c r="S139" i="6"/>
  <c r="J138" i="6"/>
  <c r="B137" i="6"/>
  <c r="S135" i="6"/>
  <c r="J134" i="6"/>
  <c r="B133" i="6"/>
  <c r="S131" i="6"/>
  <c r="J130" i="6"/>
  <c r="B129" i="6"/>
  <c r="S127" i="6"/>
  <c r="J126" i="6"/>
  <c r="B125" i="6"/>
  <c r="S123" i="6"/>
  <c r="J122" i="6"/>
  <c r="B121" i="6"/>
  <c r="S119" i="6"/>
  <c r="J118" i="6"/>
  <c r="B117" i="6"/>
  <c r="S115" i="6"/>
  <c r="J114" i="6"/>
  <c r="B113" i="6"/>
  <c r="S111" i="6"/>
  <c r="J110" i="6"/>
  <c r="B109" i="6"/>
  <c r="A108" i="6"/>
  <c r="I107" i="6"/>
  <c r="U106" i="6"/>
  <c r="J106" i="6"/>
  <c r="X105" i="6"/>
  <c r="L105" i="6"/>
  <c r="D105" i="6"/>
  <c r="U104" i="6"/>
  <c r="L104" i="6"/>
  <c r="D104" i="6"/>
  <c r="U103" i="6"/>
  <c r="L103" i="6"/>
  <c r="D103" i="6"/>
  <c r="U102" i="6"/>
  <c r="L102" i="6"/>
  <c r="D102" i="6"/>
  <c r="U101" i="6"/>
  <c r="L101" i="6"/>
  <c r="D101" i="6"/>
  <c r="U100" i="6"/>
  <c r="L100" i="6"/>
  <c r="D100" i="6"/>
  <c r="U99" i="6"/>
  <c r="L99" i="6"/>
  <c r="D99" i="6"/>
  <c r="U98" i="6"/>
  <c r="L98" i="6"/>
  <c r="D98" i="6"/>
  <c r="U97" i="6"/>
  <c r="L97" i="6"/>
  <c r="D97" i="6"/>
  <c r="U96" i="6"/>
  <c r="L96" i="6"/>
  <c r="D96" i="6"/>
  <c r="U95" i="6"/>
  <c r="L95" i="6"/>
  <c r="D95" i="6"/>
  <c r="U94" i="6"/>
  <c r="L94" i="6"/>
  <c r="D94" i="6"/>
  <c r="U93" i="6"/>
  <c r="L93" i="6"/>
  <c r="D93" i="6"/>
  <c r="U92" i="6"/>
  <c r="L92" i="6"/>
  <c r="D92" i="6"/>
  <c r="U91" i="6"/>
  <c r="L91" i="6"/>
  <c r="D91" i="6"/>
  <c r="U90" i="6"/>
  <c r="L90" i="6"/>
  <c r="D90" i="6"/>
  <c r="U89" i="6"/>
  <c r="L89" i="6"/>
  <c r="D89" i="6"/>
  <c r="U88" i="6"/>
  <c r="L88" i="6"/>
  <c r="D88" i="6"/>
  <c r="U87" i="6"/>
  <c r="L87" i="6"/>
  <c r="D87" i="6"/>
  <c r="U86" i="6"/>
  <c r="L86" i="6"/>
  <c r="D86" i="6"/>
  <c r="U85" i="6"/>
  <c r="L85" i="6"/>
  <c r="D85" i="6"/>
  <c r="U84" i="6"/>
  <c r="L84" i="6"/>
  <c r="D84" i="6"/>
  <c r="U83" i="6"/>
  <c r="L83" i="6"/>
  <c r="D83" i="6"/>
  <c r="U82" i="6"/>
  <c r="L82" i="6"/>
  <c r="D82" i="6"/>
  <c r="U81" i="6"/>
  <c r="L81" i="6"/>
  <c r="D81" i="6"/>
  <c r="U80" i="6"/>
  <c r="L80" i="6"/>
  <c r="D80" i="6"/>
  <c r="U79" i="6"/>
  <c r="L79" i="6"/>
  <c r="D79" i="6"/>
  <c r="U78" i="6"/>
  <c r="L78" i="6"/>
  <c r="D78" i="6"/>
  <c r="U77" i="6"/>
  <c r="L77" i="6"/>
  <c r="D77" i="6"/>
  <c r="U76" i="6"/>
  <c r="L76" i="6"/>
  <c r="D76" i="6"/>
  <c r="U75" i="6"/>
  <c r="L75" i="6"/>
  <c r="D75" i="6"/>
  <c r="U74" i="6"/>
  <c r="L74" i="6"/>
  <c r="D74" i="6"/>
  <c r="U73" i="6"/>
  <c r="L73" i="6"/>
  <c r="D73" i="6"/>
  <c r="U72" i="6"/>
  <c r="L72" i="6"/>
  <c r="D72" i="6"/>
  <c r="U71" i="6"/>
  <c r="L71" i="6"/>
  <c r="D71" i="6"/>
  <c r="U70" i="6"/>
  <c r="L70" i="6"/>
  <c r="D70" i="6"/>
  <c r="U69" i="6"/>
  <c r="L69" i="6"/>
  <c r="D69" i="6"/>
  <c r="U68" i="6"/>
  <c r="L68" i="6"/>
  <c r="D68" i="6"/>
  <c r="U67" i="6"/>
  <c r="L67" i="6"/>
  <c r="D67" i="6"/>
  <c r="U66" i="6"/>
  <c r="L66" i="6"/>
  <c r="D66" i="6"/>
  <c r="U65" i="6"/>
  <c r="L65" i="6"/>
  <c r="D65" i="6"/>
  <c r="U64" i="6"/>
  <c r="L64" i="6"/>
  <c r="D64" i="6"/>
  <c r="U63" i="6"/>
  <c r="L63" i="6"/>
  <c r="D63" i="6"/>
  <c r="U62" i="6"/>
  <c r="L62" i="6"/>
  <c r="D62" i="6"/>
  <c r="U61" i="6"/>
  <c r="L61" i="6"/>
  <c r="D61" i="6"/>
  <c r="U60" i="6"/>
  <c r="L60" i="6"/>
  <c r="D60" i="6"/>
  <c r="U59" i="6"/>
  <c r="L59" i="6"/>
  <c r="D59" i="6"/>
  <c r="U58" i="6"/>
  <c r="L58" i="6"/>
  <c r="D58" i="6"/>
  <c r="U57" i="6"/>
  <c r="L57" i="6"/>
  <c r="D57" i="6"/>
  <c r="U56" i="6"/>
  <c r="L56" i="6"/>
  <c r="D56" i="6"/>
  <c r="U55" i="6"/>
  <c r="L55" i="6"/>
  <c r="D55" i="6"/>
  <c r="U54" i="6"/>
  <c r="L54" i="6"/>
  <c r="D54" i="6"/>
  <c r="U53" i="6"/>
  <c r="L53" i="6"/>
  <c r="D53" i="6"/>
  <c r="U52" i="6"/>
  <c r="L52" i="6"/>
  <c r="D52" i="6"/>
  <c r="U51" i="6"/>
  <c r="L51" i="6"/>
  <c r="D51" i="6"/>
  <c r="U50" i="6"/>
  <c r="L50" i="6"/>
  <c r="D50" i="6"/>
  <c r="U49" i="6"/>
  <c r="L49" i="6"/>
  <c r="D49" i="6"/>
  <c r="U48" i="6"/>
  <c r="L48" i="6"/>
  <c r="D48" i="6"/>
  <c r="U47" i="6"/>
  <c r="L47" i="6"/>
  <c r="D47" i="6"/>
  <c r="U46" i="6"/>
  <c r="L46" i="6"/>
  <c r="D46" i="6"/>
  <c r="U45" i="6"/>
  <c r="L45" i="6"/>
  <c r="D45" i="6"/>
  <c r="U44" i="6"/>
  <c r="L44" i="6"/>
  <c r="D44" i="6"/>
  <c r="U43" i="6"/>
  <c r="L43" i="6"/>
  <c r="D43" i="6"/>
  <c r="U42" i="6"/>
  <c r="L42" i="6"/>
  <c r="D42" i="6"/>
  <c r="U41" i="6"/>
  <c r="L41" i="6"/>
  <c r="D41" i="6"/>
  <c r="U40" i="6"/>
  <c r="L40" i="6"/>
  <c r="D40" i="6"/>
  <c r="U39" i="6"/>
  <c r="L39" i="6"/>
  <c r="D39" i="6"/>
  <c r="U38" i="6"/>
  <c r="L38" i="6"/>
  <c r="D38" i="6"/>
  <c r="U37" i="6"/>
  <c r="L37" i="6"/>
  <c r="D37" i="6"/>
  <c r="U36" i="6"/>
  <c r="L36" i="6"/>
  <c r="D36" i="6"/>
  <c r="U35" i="6"/>
  <c r="L35" i="6"/>
  <c r="D35" i="6"/>
  <c r="U34" i="6"/>
  <c r="L34" i="6"/>
  <c r="D34" i="6"/>
  <c r="U33" i="6"/>
  <c r="L33" i="6"/>
  <c r="D33" i="6"/>
  <c r="U32" i="6"/>
  <c r="L32" i="6"/>
  <c r="D32" i="6"/>
  <c r="U31" i="6"/>
  <c r="L31" i="6"/>
  <c r="D31" i="6"/>
  <c r="U30" i="6"/>
  <c r="L30" i="6"/>
  <c r="D30" i="6"/>
  <c r="U29" i="6"/>
  <c r="L29" i="6"/>
  <c r="D29" i="6"/>
  <c r="U28" i="6"/>
  <c r="L28" i="6"/>
  <c r="D28" i="6"/>
  <c r="U27" i="6"/>
  <c r="L27" i="6"/>
  <c r="D27" i="6"/>
  <c r="U26" i="6"/>
  <c r="L26" i="6"/>
  <c r="D26" i="6"/>
  <c r="U25" i="6"/>
  <c r="L25" i="6"/>
  <c r="D25" i="6"/>
  <c r="U24" i="6"/>
  <c r="L24" i="6"/>
  <c r="D24" i="6"/>
  <c r="U23" i="6"/>
  <c r="L23" i="6"/>
  <c r="D23" i="6"/>
  <c r="U22" i="6"/>
  <c r="L22" i="6"/>
  <c r="D22" i="6"/>
  <c r="U21" i="6"/>
  <c r="L21" i="6"/>
  <c r="D21" i="6"/>
  <c r="U20" i="6"/>
  <c r="L20" i="6"/>
  <c r="D20" i="6"/>
  <c r="U19" i="6"/>
  <c r="L19" i="6"/>
  <c r="D19" i="6"/>
  <c r="U18" i="6"/>
  <c r="L18" i="6"/>
  <c r="D18" i="6"/>
  <c r="U17" i="6"/>
  <c r="L17" i="6"/>
  <c r="D17" i="6"/>
  <c r="U16" i="6"/>
  <c r="L16" i="6"/>
  <c r="D16" i="6"/>
  <c r="U15" i="6"/>
  <c r="L15" i="6"/>
  <c r="D15" i="6"/>
  <c r="U14" i="6"/>
  <c r="L14" i="6"/>
  <c r="D14" i="6"/>
  <c r="U13" i="6"/>
  <c r="L13" i="6"/>
  <c r="D13" i="6"/>
  <c r="U12" i="6"/>
  <c r="L12" i="6"/>
  <c r="D12" i="6"/>
  <c r="U11" i="6"/>
  <c r="L11" i="6"/>
  <c r="D11" i="6"/>
  <c r="U10" i="6"/>
  <c r="L10" i="6"/>
  <c r="D10" i="6"/>
  <c r="U9" i="6"/>
  <c r="L9" i="6"/>
  <c r="D9" i="6"/>
  <c r="U8" i="6"/>
  <c r="D232" i="6"/>
  <c r="C197" i="6"/>
  <c r="P191" i="6"/>
  <c r="G186" i="6"/>
  <c r="X180" i="6"/>
  <c r="P175" i="6"/>
  <c r="G170" i="6"/>
  <c r="X164" i="6"/>
  <c r="J160" i="6"/>
  <c r="S157" i="6"/>
  <c r="B155" i="6"/>
  <c r="J152" i="6"/>
  <c r="S149" i="6"/>
  <c r="L147" i="6"/>
  <c r="D146" i="6"/>
  <c r="U144" i="6"/>
  <c r="L143" i="6"/>
  <c r="D142" i="6"/>
  <c r="U140" i="6"/>
  <c r="L139" i="6"/>
  <c r="D138" i="6"/>
  <c r="U136" i="6"/>
  <c r="L135" i="6"/>
  <c r="D134" i="6"/>
  <c r="U132" i="6"/>
  <c r="L131" i="6"/>
  <c r="D130" i="6"/>
  <c r="U128" i="6"/>
  <c r="L127" i="6"/>
  <c r="D126" i="6"/>
  <c r="U124" i="6"/>
  <c r="L123" i="6"/>
  <c r="D122" i="6"/>
  <c r="U120" i="6"/>
  <c r="L119" i="6"/>
  <c r="D118" i="6"/>
  <c r="U116" i="6"/>
  <c r="L115" i="6"/>
  <c r="D114" i="6"/>
  <c r="U112" i="6"/>
  <c r="L111" i="6"/>
  <c r="D110" i="6"/>
  <c r="U108" i="6"/>
  <c r="U107" i="6"/>
  <c r="E107" i="6"/>
  <c r="T106" i="6"/>
  <c r="I106" i="6"/>
  <c r="V105" i="6"/>
  <c r="K105" i="6"/>
  <c r="C105" i="6"/>
  <c r="T104" i="6"/>
  <c r="K104" i="6"/>
  <c r="C104" i="6"/>
  <c r="T103" i="6"/>
  <c r="K103" i="6"/>
  <c r="C103" i="6"/>
  <c r="T102" i="6"/>
  <c r="K102" i="6"/>
  <c r="C102" i="6"/>
  <c r="T101" i="6"/>
  <c r="K101" i="6"/>
  <c r="C101" i="6"/>
  <c r="T100" i="6"/>
  <c r="K100" i="6"/>
  <c r="C100" i="6"/>
  <c r="T99" i="6"/>
  <c r="K99" i="6"/>
  <c r="C99" i="6"/>
  <c r="T98" i="6"/>
  <c r="K98" i="6"/>
  <c r="C98" i="6"/>
  <c r="T97" i="6"/>
  <c r="K97" i="6"/>
  <c r="C97" i="6"/>
  <c r="T96" i="6"/>
  <c r="K96" i="6"/>
  <c r="C96" i="6"/>
  <c r="T95" i="6"/>
  <c r="K95" i="6"/>
  <c r="C95" i="6"/>
  <c r="T94" i="6"/>
  <c r="K94" i="6"/>
  <c r="C94" i="6"/>
  <c r="T93" i="6"/>
  <c r="K93" i="6"/>
  <c r="C93" i="6"/>
  <c r="T92" i="6"/>
  <c r="K92" i="6"/>
  <c r="C92" i="6"/>
  <c r="T91" i="6"/>
  <c r="K91" i="6"/>
  <c r="C91" i="6"/>
  <c r="T90" i="6"/>
  <c r="K90" i="6"/>
  <c r="C90" i="6"/>
  <c r="T89" i="6"/>
  <c r="K89" i="6"/>
  <c r="C89" i="6"/>
  <c r="T88" i="6"/>
  <c r="K88" i="6"/>
  <c r="C88" i="6"/>
  <c r="T87" i="6"/>
  <c r="K87" i="6"/>
  <c r="C87" i="6"/>
  <c r="T86" i="6"/>
  <c r="K86" i="6"/>
  <c r="C86" i="6"/>
  <c r="T85" i="6"/>
  <c r="K85" i="6"/>
  <c r="C85" i="6"/>
  <c r="T84" i="6"/>
  <c r="K84" i="6"/>
  <c r="C84" i="6"/>
  <c r="T83" i="6"/>
  <c r="K83" i="6"/>
  <c r="C83" i="6"/>
  <c r="T82" i="6"/>
  <c r="K82" i="6"/>
  <c r="C82" i="6"/>
  <c r="T81" i="6"/>
  <c r="K81" i="6"/>
  <c r="C81" i="6"/>
  <c r="T80" i="6"/>
  <c r="K80" i="6"/>
  <c r="C80" i="6"/>
  <c r="T79" i="6"/>
  <c r="K79" i="6"/>
  <c r="C79" i="6"/>
  <c r="T78" i="6"/>
  <c r="K78" i="6"/>
  <c r="C78" i="6"/>
  <c r="T77" i="6"/>
  <c r="K77" i="6"/>
  <c r="C77" i="6"/>
  <c r="T76" i="6"/>
  <c r="K76" i="6"/>
  <c r="C76" i="6"/>
  <c r="T75" i="6"/>
  <c r="K75" i="6"/>
  <c r="C75" i="6"/>
  <c r="T74" i="6"/>
  <c r="K74" i="6"/>
  <c r="C74" i="6"/>
  <c r="T73" i="6"/>
  <c r="K73" i="6"/>
  <c r="C73" i="6"/>
  <c r="T72" i="6"/>
  <c r="K72" i="6"/>
  <c r="C72" i="6"/>
  <c r="T71" i="6"/>
  <c r="K71" i="6"/>
  <c r="C71" i="6"/>
  <c r="T70" i="6"/>
  <c r="K70" i="6"/>
  <c r="C70" i="6"/>
  <c r="T69" i="6"/>
  <c r="K69" i="6"/>
  <c r="C69" i="6"/>
  <c r="T68" i="6"/>
  <c r="K68" i="6"/>
  <c r="C68" i="6"/>
  <c r="T67" i="6"/>
  <c r="K67" i="6"/>
  <c r="C67" i="6"/>
  <c r="T66" i="6"/>
  <c r="K66" i="6"/>
  <c r="C66" i="6"/>
  <c r="T65" i="6"/>
  <c r="K65" i="6"/>
  <c r="C65" i="6"/>
  <c r="T64" i="6"/>
  <c r="K64" i="6"/>
  <c r="C64" i="6"/>
  <c r="T63" i="6"/>
  <c r="K63" i="6"/>
  <c r="C63" i="6"/>
  <c r="T62" i="6"/>
  <c r="K62" i="6"/>
  <c r="C62" i="6"/>
  <c r="T61" i="6"/>
  <c r="K61" i="6"/>
  <c r="C61" i="6"/>
  <c r="T60" i="6"/>
  <c r="K60" i="6"/>
  <c r="C60" i="6"/>
  <c r="T59" i="6"/>
  <c r="K59" i="6"/>
  <c r="C59" i="6"/>
  <c r="T58" i="6"/>
  <c r="K58" i="6"/>
  <c r="C58" i="6"/>
  <c r="T57" i="6"/>
  <c r="K57" i="6"/>
  <c r="C57" i="6"/>
  <c r="T56" i="6"/>
  <c r="K56" i="6"/>
  <c r="C56" i="6"/>
  <c r="T55" i="6"/>
  <c r="K55" i="6"/>
  <c r="C55" i="6"/>
  <c r="T54" i="6"/>
  <c r="K54" i="6"/>
  <c r="C54" i="6"/>
  <c r="T53" i="6"/>
  <c r="K53" i="6"/>
  <c r="C53" i="6"/>
  <c r="T52" i="6"/>
  <c r="K52" i="6"/>
  <c r="C52" i="6"/>
  <c r="T51" i="6"/>
  <c r="K51" i="6"/>
  <c r="C51" i="6"/>
  <c r="T50" i="6"/>
  <c r="K50" i="6"/>
  <c r="C50" i="6"/>
  <c r="T49" i="6"/>
  <c r="K49" i="6"/>
  <c r="C49" i="6"/>
  <c r="T48" i="6"/>
  <c r="K48" i="6"/>
  <c r="C48" i="6"/>
  <c r="T47" i="6"/>
  <c r="K47" i="6"/>
  <c r="C47" i="6"/>
  <c r="T46" i="6"/>
  <c r="K46" i="6"/>
  <c r="C46" i="6"/>
  <c r="T45" i="6"/>
  <c r="K45" i="6"/>
  <c r="C45" i="6"/>
  <c r="T44" i="6"/>
  <c r="K44" i="6"/>
  <c r="C44" i="6"/>
  <c r="T43" i="6"/>
  <c r="K43" i="6"/>
  <c r="C43" i="6"/>
  <c r="T42" i="6"/>
  <c r="K42" i="6"/>
  <c r="C42" i="6"/>
  <c r="T41" i="6"/>
  <c r="K41" i="6"/>
  <c r="C41" i="6"/>
  <c r="T40" i="6"/>
  <c r="K40" i="6"/>
  <c r="C40" i="6"/>
  <c r="T39" i="6"/>
  <c r="K39" i="6"/>
  <c r="C39" i="6"/>
  <c r="T38" i="6"/>
  <c r="K38" i="6"/>
  <c r="C38" i="6"/>
  <c r="T37" i="6"/>
  <c r="K37" i="6"/>
  <c r="C37" i="6"/>
  <c r="T36" i="6"/>
  <c r="K36" i="6"/>
  <c r="C36" i="6"/>
  <c r="T35" i="6"/>
  <c r="K35" i="6"/>
  <c r="C35" i="6"/>
  <c r="T34" i="6"/>
  <c r="K34" i="6"/>
  <c r="C34" i="6"/>
  <c r="T33" i="6"/>
  <c r="K33" i="6"/>
  <c r="C33" i="6"/>
  <c r="T32" i="6"/>
  <c r="K32" i="6"/>
  <c r="C32" i="6"/>
  <c r="T31" i="6"/>
  <c r="K31" i="6"/>
  <c r="C31" i="6"/>
  <c r="T30" i="6"/>
  <c r="K30" i="6"/>
  <c r="C30" i="6"/>
  <c r="T29" i="6"/>
  <c r="K29" i="6"/>
  <c r="C29" i="6"/>
  <c r="T28" i="6"/>
  <c r="K28" i="6"/>
  <c r="C28" i="6"/>
  <c r="T27" i="6"/>
  <c r="K27" i="6"/>
  <c r="C27" i="6"/>
  <c r="T26" i="6"/>
  <c r="K26" i="6"/>
  <c r="C26" i="6"/>
  <c r="T25" i="6"/>
  <c r="K25" i="6"/>
  <c r="C25" i="6"/>
  <c r="T24" i="6"/>
  <c r="K24" i="6"/>
  <c r="C24" i="6"/>
  <c r="T23" i="6"/>
  <c r="K23" i="6"/>
  <c r="C23" i="6"/>
  <c r="T22" i="6"/>
  <c r="K22" i="6"/>
  <c r="C22" i="6"/>
  <c r="T21" i="6"/>
  <c r="K21" i="6"/>
  <c r="C21" i="6"/>
  <c r="T20" i="6"/>
  <c r="K20" i="6"/>
  <c r="C20" i="6"/>
  <c r="T19" i="6"/>
  <c r="K19" i="6"/>
  <c r="C19" i="6"/>
  <c r="T18" i="6"/>
  <c r="K18" i="6"/>
  <c r="C18" i="6"/>
  <c r="T17" i="6"/>
  <c r="K17" i="6"/>
  <c r="C17" i="6"/>
  <c r="T16" i="6"/>
  <c r="K16" i="6"/>
  <c r="C16" i="6"/>
  <c r="T15" i="6"/>
  <c r="K15" i="6"/>
  <c r="C15" i="6"/>
  <c r="T14" i="6"/>
  <c r="K14" i="6"/>
  <c r="C14" i="6"/>
  <c r="T13" i="6"/>
  <c r="K13" i="6"/>
  <c r="C13" i="6"/>
  <c r="T12" i="6"/>
  <c r="K12" i="6"/>
  <c r="C12" i="6"/>
  <c r="T11" i="6"/>
  <c r="K11" i="6"/>
  <c r="C11" i="6"/>
  <c r="T10" i="6"/>
  <c r="K10" i="6"/>
  <c r="C10" i="6"/>
  <c r="T9" i="6"/>
  <c r="K9" i="6"/>
  <c r="C9" i="6"/>
  <c r="T8" i="6"/>
  <c r="K8" i="6"/>
  <c r="U226" i="6"/>
  <c r="Q196" i="6"/>
  <c r="G191" i="6"/>
  <c r="X185" i="6"/>
  <c r="P180" i="6"/>
  <c r="G175" i="6"/>
  <c r="X169" i="6"/>
  <c r="P164" i="6"/>
  <c r="F160" i="6"/>
  <c r="N157" i="6"/>
  <c r="W154" i="6"/>
  <c r="F152" i="6"/>
  <c r="N149" i="6"/>
  <c r="J147" i="6"/>
  <c r="B146" i="6"/>
  <c r="S144" i="6"/>
  <c r="J143" i="6"/>
  <c r="B142" i="6"/>
  <c r="S140" i="6"/>
  <c r="J139" i="6"/>
  <c r="B138" i="6"/>
  <c r="S136" i="6"/>
  <c r="J135" i="6"/>
  <c r="B134" i="6"/>
  <c r="S132" i="6"/>
  <c r="J131" i="6"/>
  <c r="B130" i="6"/>
  <c r="S128" i="6"/>
  <c r="J127" i="6"/>
  <c r="B126" i="6"/>
  <c r="S124" i="6"/>
  <c r="J123" i="6"/>
  <c r="B122" i="6"/>
  <c r="S120" i="6"/>
  <c r="J119" i="6"/>
  <c r="B118" i="6"/>
  <c r="S116" i="6"/>
  <c r="J115" i="6"/>
  <c r="B114" i="6"/>
  <c r="S112" i="6"/>
  <c r="J111" i="6"/>
  <c r="B110" i="6"/>
  <c r="S108" i="6"/>
  <c r="S107" i="6"/>
  <c r="D107" i="6"/>
  <c r="S106" i="6"/>
  <c r="G106" i="6"/>
  <c r="U105" i="6"/>
  <c r="J105" i="6"/>
  <c r="B105" i="6"/>
  <c r="S104" i="6"/>
  <c r="J104" i="6"/>
  <c r="B104" i="6"/>
  <c r="S103" i="6"/>
  <c r="J103" i="6"/>
  <c r="B103" i="6"/>
  <c r="S102" i="6"/>
  <c r="J102" i="6"/>
  <c r="B102" i="6"/>
  <c r="S101" i="6"/>
  <c r="J101" i="6"/>
  <c r="B101" i="6"/>
  <c r="S100" i="6"/>
  <c r="J100" i="6"/>
  <c r="B100" i="6"/>
  <c r="S99" i="6"/>
  <c r="J99" i="6"/>
  <c r="B99" i="6"/>
  <c r="S98" i="6"/>
  <c r="J98" i="6"/>
  <c r="B98" i="6"/>
  <c r="S97" i="6"/>
  <c r="J97" i="6"/>
  <c r="B97" i="6"/>
  <c r="S96" i="6"/>
  <c r="J96" i="6"/>
  <c r="B96" i="6"/>
  <c r="S95" i="6"/>
  <c r="J95" i="6"/>
  <c r="B95" i="6"/>
  <c r="S94" i="6"/>
  <c r="J94" i="6"/>
  <c r="B94" i="6"/>
  <c r="S93" i="6"/>
  <c r="J93" i="6"/>
  <c r="B93" i="6"/>
  <c r="S92" i="6"/>
  <c r="J92" i="6"/>
  <c r="B92" i="6"/>
  <c r="S91" i="6"/>
  <c r="J91" i="6"/>
  <c r="B91" i="6"/>
  <c r="S90" i="6"/>
  <c r="J90" i="6"/>
  <c r="B90" i="6"/>
  <c r="S89" i="6"/>
  <c r="J89" i="6"/>
  <c r="B89" i="6"/>
  <c r="S88" i="6"/>
  <c r="J88" i="6"/>
  <c r="B88" i="6"/>
  <c r="S87" i="6"/>
  <c r="J87" i="6"/>
  <c r="B87" i="6"/>
  <c r="S86" i="6"/>
  <c r="J86" i="6"/>
  <c r="B86" i="6"/>
  <c r="S85" i="6"/>
  <c r="J85" i="6"/>
  <c r="B85" i="6"/>
  <c r="S84" i="6"/>
  <c r="J84" i="6"/>
  <c r="B84" i="6"/>
  <c r="S83" i="6"/>
  <c r="J83" i="6"/>
  <c r="B83" i="6"/>
  <c r="S82" i="6"/>
  <c r="J82" i="6"/>
  <c r="B82" i="6"/>
  <c r="S81" i="6"/>
  <c r="J81" i="6"/>
  <c r="B81" i="6"/>
  <c r="S80" i="6"/>
  <c r="J80" i="6"/>
  <c r="B80" i="6"/>
  <c r="S79" i="6"/>
  <c r="J79" i="6"/>
  <c r="B79" i="6"/>
  <c r="S78" i="6"/>
  <c r="J78" i="6"/>
  <c r="B78" i="6"/>
  <c r="S77" i="6"/>
  <c r="J77" i="6"/>
  <c r="B77" i="6"/>
  <c r="S76" i="6"/>
  <c r="J76" i="6"/>
  <c r="B76" i="6"/>
  <c r="S75" i="6"/>
  <c r="J75" i="6"/>
  <c r="B75" i="6"/>
  <c r="S74" i="6"/>
  <c r="J74" i="6"/>
  <c r="B74" i="6"/>
  <c r="S73" i="6"/>
  <c r="J73" i="6"/>
  <c r="B73" i="6"/>
  <c r="S72" i="6"/>
  <c r="J72" i="6"/>
  <c r="B72" i="6"/>
  <c r="S71" i="6"/>
  <c r="J71" i="6"/>
  <c r="B71" i="6"/>
  <c r="S70" i="6"/>
  <c r="J70" i="6"/>
  <c r="B70" i="6"/>
  <c r="S69" i="6"/>
  <c r="J69" i="6"/>
  <c r="B69" i="6"/>
  <c r="S68" i="6"/>
  <c r="J68" i="6"/>
  <c r="B68" i="6"/>
  <c r="S67" i="6"/>
  <c r="J67" i="6"/>
  <c r="B67" i="6"/>
  <c r="S66" i="6"/>
  <c r="J66" i="6"/>
  <c r="B66" i="6"/>
  <c r="S65" i="6"/>
  <c r="J65" i="6"/>
  <c r="B65" i="6"/>
  <c r="S64" i="6"/>
  <c r="J64" i="6"/>
  <c r="B64" i="6"/>
  <c r="S63" i="6"/>
  <c r="J63" i="6"/>
  <c r="B63" i="6"/>
  <c r="S62" i="6"/>
  <c r="J62" i="6"/>
  <c r="B62" i="6"/>
  <c r="S61" i="6"/>
  <c r="J61" i="6"/>
  <c r="B61" i="6"/>
  <c r="S60" i="6"/>
  <c r="J60" i="6"/>
  <c r="B60" i="6"/>
  <c r="S59" i="6"/>
  <c r="J59" i="6"/>
  <c r="B59" i="6"/>
  <c r="S58" i="6"/>
  <c r="J58" i="6"/>
  <c r="B58" i="6"/>
  <c r="S57" i="6"/>
  <c r="J57" i="6"/>
  <c r="B57" i="6"/>
  <c r="S56" i="6"/>
  <c r="J56" i="6"/>
  <c r="B56" i="6"/>
  <c r="S55" i="6"/>
  <c r="J55" i="6"/>
  <c r="B55" i="6"/>
  <c r="S54" i="6"/>
  <c r="J54" i="6"/>
  <c r="B54" i="6"/>
  <c r="S53" i="6"/>
  <c r="J53" i="6"/>
  <c r="B53" i="6"/>
  <c r="S52" i="6"/>
  <c r="J52" i="6"/>
  <c r="B52" i="6"/>
  <c r="S51" i="6"/>
  <c r="J51" i="6"/>
  <c r="B51" i="6"/>
  <c r="S50" i="6"/>
  <c r="J50" i="6"/>
  <c r="B50" i="6"/>
  <c r="S49" i="6"/>
  <c r="J49" i="6"/>
  <c r="B49" i="6"/>
  <c r="S48" i="6"/>
  <c r="J48" i="6"/>
  <c r="B48" i="6"/>
  <c r="S47" i="6"/>
  <c r="J47" i="6"/>
  <c r="B47" i="6"/>
  <c r="S46" i="6"/>
  <c r="J46" i="6"/>
  <c r="B46" i="6"/>
  <c r="S45" i="6"/>
  <c r="J45" i="6"/>
  <c r="B45" i="6"/>
  <c r="S44" i="6"/>
  <c r="J44" i="6"/>
  <c r="B44" i="6"/>
  <c r="S43" i="6"/>
  <c r="J43" i="6"/>
  <c r="B43" i="6"/>
  <c r="S42" i="6"/>
  <c r="J42" i="6"/>
  <c r="B42" i="6"/>
  <c r="S41" i="6"/>
  <c r="J41" i="6"/>
  <c r="B41" i="6"/>
  <c r="S40" i="6"/>
  <c r="J40" i="6"/>
  <c r="B40" i="6"/>
  <c r="S39" i="6"/>
  <c r="J39" i="6"/>
  <c r="B39" i="6"/>
  <c r="S38" i="6"/>
  <c r="J38" i="6"/>
  <c r="B38" i="6"/>
  <c r="S37" i="6"/>
  <c r="J37" i="6"/>
  <c r="B37" i="6"/>
  <c r="S36" i="6"/>
  <c r="J36" i="6"/>
  <c r="B36" i="6"/>
  <c r="S35" i="6"/>
  <c r="J35" i="6"/>
  <c r="B35" i="6"/>
  <c r="S34" i="6"/>
  <c r="J34" i="6"/>
  <c r="B34" i="6"/>
  <c r="S33" i="6"/>
  <c r="J33" i="6"/>
  <c r="B33" i="6"/>
  <c r="S32" i="6"/>
  <c r="J32" i="6"/>
  <c r="B32" i="6"/>
  <c r="S31" i="6"/>
  <c r="J31" i="6"/>
  <c r="B31" i="6"/>
  <c r="S30" i="6"/>
  <c r="J30" i="6"/>
  <c r="B30" i="6"/>
  <c r="S29" i="6"/>
  <c r="J29" i="6"/>
  <c r="B29" i="6"/>
  <c r="S28" i="6"/>
  <c r="J28" i="6"/>
  <c r="B28" i="6"/>
  <c r="S27" i="6"/>
  <c r="J27" i="6"/>
  <c r="B27" i="6"/>
  <c r="S26" i="6"/>
  <c r="J26" i="6"/>
  <c r="B26" i="6"/>
  <c r="S25" i="6"/>
  <c r="J25" i="6"/>
  <c r="B25" i="6"/>
  <c r="S24" i="6"/>
  <c r="J24" i="6"/>
  <c r="B24" i="6"/>
  <c r="S23" i="6"/>
  <c r="J23" i="6"/>
  <c r="B23" i="6"/>
  <c r="S22" i="6"/>
  <c r="J22" i="6"/>
  <c r="B22" i="6"/>
  <c r="S21" i="6"/>
  <c r="J21" i="6"/>
  <c r="B21" i="6"/>
  <c r="S20" i="6"/>
  <c r="J20" i="6"/>
  <c r="B20" i="6"/>
  <c r="S19" i="6"/>
  <c r="J19" i="6"/>
  <c r="B19" i="6"/>
  <c r="S18" i="6"/>
  <c r="J18" i="6"/>
  <c r="B18" i="6"/>
  <c r="S17" i="6"/>
  <c r="J17" i="6"/>
  <c r="B17" i="6"/>
  <c r="S16" i="6"/>
  <c r="J16" i="6"/>
  <c r="B16" i="6"/>
  <c r="S15" i="6"/>
  <c r="J15" i="6"/>
  <c r="B15" i="6"/>
  <c r="S14" i="6"/>
  <c r="J14" i="6"/>
  <c r="B14" i="6"/>
  <c r="S13" i="6"/>
  <c r="J13" i="6"/>
  <c r="B13" i="6"/>
  <c r="S12" i="6"/>
  <c r="J12" i="6"/>
  <c r="B12" i="6"/>
  <c r="S11" i="6"/>
  <c r="J11" i="6"/>
  <c r="B11" i="6"/>
  <c r="S10" i="6"/>
  <c r="J10" i="6"/>
  <c r="B10" i="6"/>
  <c r="S9" i="6"/>
  <c r="J9" i="6"/>
  <c r="B9" i="6"/>
  <c r="S8" i="6"/>
  <c r="J8" i="6"/>
  <c r="B8" i="6"/>
  <c r="V210" i="6"/>
  <c r="G195" i="6"/>
  <c r="X189" i="6"/>
  <c r="P184" i="6"/>
  <c r="G179" i="6"/>
  <c r="X173" i="6"/>
  <c r="P168" i="6"/>
  <c r="G163" i="6"/>
  <c r="N159" i="6"/>
  <c r="W156" i="6"/>
  <c r="F154" i="6"/>
  <c r="N151" i="6"/>
  <c r="W148" i="6"/>
  <c r="B147" i="6"/>
  <c r="S145" i="6"/>
  <c r="J144" i="6"/>
  <c r="B143" i="6"/>
  <c r="S141" i="6"/>
  <c r="J140" i="6"/>
  <c r="B139" i="6"/>
  <c r="S137" i="6"/>
  <c r="J136" i="6"/>
  <c r="B135" i="6"/>
  <c r="S133" i="6"/>
  <c r="J132" i="6"/>
  <c r="B131" i="6"/>
  <c r="S129" i="6"/>
  <c r="J128" i="6"/>
  <c r="B127" i="6"/>
  <c r="S125" i="6"/>
  <c r="J124" i="6"/>
  <c r="B123" i="6"/>
  <c r="S121" i="6"/>
  <c r="J120" i="6"/>
  <c r="B119" i="6"/>
  <c r="S117" i="6"/>
  <c r="J116" i="6"/>
  <c r="B115" i="6"/>
  <c r="S113" i="6"/>
  <c r="J112" i="6"/>
  <c r="B111" i="6"/>
  <c r="S109" i="6"/>
  <c r="J108" i="6"/>
  <c r="M107" i="6"/>
  <c r="B107" i="6"/>
  <c r="P106" i="6"/>
  <c r="D106" i="6"/>
  <c r="S105" i="6"/>
  <c r="H105" i="6"/>
  <c r="Y104" i="6"/>
  <c r="Q104" i="6"/>
  <c r="H104" i="6"/>
  <c r="Y103" i="6"/>
  <c r="Q103" i="6"/>
  <c r="H103" i="6"/>
  <c r="Y102" i="6"/>
  <c r="Q102" i="6"/>
  <c r="H102" i="6"/>
  <c r="Y101" i="6"/>
  <c r="Q101" i="6"/>
  <c r="H101" i="6"/>
  <c r="Y100" i="6"/>
  <c r="Q100" i="6"/>
  <c r="H100" i="6"/>
  <c r="Y99" i="6"/>
  <c r="Q99" i="6"/>
  <c r="H99" i="6"/>
  <c r="Y98" i="6"/>
  <c r="Q98" i="6"/>
  <c r="H98" i="6"/>
  <c r="Y97" i="6"/>
  <c r="Q97" i="6"/>
  <c r="H97" i="6"/>
  <c r="Y96" i="6"/>
  <c r="Q96" i="6"/>
  <c r="H96" i="6"/>
  <c r="Y95" i="6"/>
  <c r="Q95" i="6"/>
  <c r="H95" i="6"/>
  <c r="Y94" i="6"/>
  <c r="Q94" i="6"/>
  <c r="H94" i="6"/>
  <c r="Y93" i="6"/>
  <c r="Q93" i="6"/>
  <c r="H93" i="6"/>
  <c r="Y92" i="6"/>
  <c r="Q92" i="6"/>
  <c r="H92" i="6"/>
  <c r="Y91" i="6"/>
  <c r="Q91" i="6"/>
  <c r="H91" i="6"/>
  <c r="Y90" i="6"/>
  <c r="Q90" i="6"/>
  <c r="H90" i="6"/>
  <c r="Y89" i="6"/>
  <c r="Q89" i="6"/>
  <c r="H89" i="6"/>
  <c r="Y88" i="6"/>
  <c r="Q88" i="6"/>
  <c r="H88" i="6"/>
  <c r="Y87" i="6"/>
  <c r="Q87" i="6"/>
  <c r="H87" i="6"/>
  <c r="Y86" i="6"/>
  <c r="Q86" i="6"/>
  <c r="H86" i="6"/>
  <c r="Y85" i="6"/>
  <c r="Q85" i="6"/>
  <c r="H85" i="6"/>
  <c r="Y84" i="6"/>
  <c r="Q84" i="6"/>
  <c r="H84" i="6"/>
  <c r="Y83" i="6"/>
  <c r="Q83" i="6"/>
  <c r="H83" i="6"/>
  <c r="Y82" i="6"/>
  <c r="Q82" i="6"/>
  <c r="H82" i="6"/>
  <c r="Y81" i="6"/>
  <c r="Q81" i="6"/>
  <c r="H81" i="6"/>
  <c r="Y80" i="6"/>
  <c r="Q80" i="6"/>
  <c r="H80" i="6"/>
  <c r="Y79" i="6"/>
  <c r="Q79" i="6"/>
  <c r="H79" i="6"/>
  <c r="Y78" i="6"/>
  <c r="Q78" i="6"/>
  <c r="H78" i="6"/>
  <c r="Y77" i="6"/>
  <c r="Q77" i="6"/>
  <c r="H77" i="6"/>
  <c r="Y76" i="6"/>
  <c r="Q76" i="6"/>
  <c r="H76" i="6"/>
  <c r="Y75" i="6"/>
  <c r="Q75" i="6"/>
  <c r="H75" i="6"/>
  <c r="Y74" i="6"/>
  <c r="Q74" i="6"/>
  <c r="H74" i="6"/>
  <c r="Y73" i="6"/>
  <c r="Q73" i="6"/>
  <c r="H73" i="6"/>
  <c r="Y72" i="6"/>
  <c r="Q72" i="6"/>
  <c r="H72" i="6"/>
  <c r="Y71" i="6"/>
  <c r="Q71" i="6"/>
  <c r="H71" i="6"/>
  <c r="Y70" i="6"/>
  <c r="Q70" i="6"/>
  <c r="H70" i="6"/>
  <c r="Y69" i="6"/>
  <c r="Q69" i="6"/>
  <c r="H69" i="6"/>
  <c r="Y68" i="6"/>
  <c r="Q68" i="6"/>
  <c r="H68" i="6"/>
  <c r="Y67" i="6"/>
  <c r="Q67" i="6"/>
  <c r="H67" i="6"/>
  <c r="Y66" i="6"/>
  <c r="Q66" i="6"/>
  <c r="H66" i="6"/>
  <c r="Y65" i="6"/>
  <c r="Q65" i="6"/>
  <c r="H65" i="6"/>
  <c r="Y64" i="6"/>
  <c r="Q64" i="6"/>
  <c r="H64" i="6"/>
  <c r="Y63" i="6"/>
  <c r="Q63" i="6"/>
  <c r="H63" i="6"/>
  <c r="Y62" i="6"/>
  <c r="Q62" i="6"/>
  <c r="H62" i="6"/>
  <c r="Y61" i="6"/>
  <c r="Q61" i="6"/>
  <c r="H61" i="6"/>
  <c r="Y60" i="6"/>
  <c r="Q60" i="6"/>
  <c r="H60" i="6"/>
  <c r="Y59" i="6"/>
  <c r="Q59" i="6"/>
  <c r="H59" i="6"/>
  <c r="Y58" i="6"/>
  <c r="Q58" i="6"/>
  <c r="H58" i="6"/>
  <c r="Y57" i="6"/>
  <c r="Q57" i="6"/>
  <c r="H57" i="6"/>
  <c r="Y56" i="6"/>
  <c r="Q56" i="6"/>
  <c r="H56" i="6"/>
  <c r="Y55" i="6"/>
  <c r="Q55" i="6"/>
  <c r="H55" i="6"/>
  <c r="Y54" i="6"/>
  <c r="Q54" i="6"/>
  <c r="H54" i="6"/>
  <c r="Y53" i="6"/>
  <c r="Q53" i="6"/>
  <c r="H53" i="6"/>
  <c r="Y52" i="6"/>
  <c r="Q52" i="6"/>
  <c r="H52" i="6"/>
  <c r="Y51" i="6"/>
  <c r="Q51" i="6"/>
  <c r="H51" i="6"/>
  <c r="Y50" i="6"/>
  <c r="Q50" i="6"/>
  <c r="H50" i="6"/>
  <c r="Y49" i="6"/>
  <c r="Q49" i="6"/>
  <c r="H49" i="6"/>
  <c r="Y48" i="6"/>
  <c r="Q48" i="6"/>
  <c r="H48" i="6"/>
  <c r="Y47" i="6"/>
  <c r="Q47" i="6"/>
  <c r="H47" i="6"/>
  <c r="Y46" i="6"/>
  <c r="Q46" i="6"/>
  <c r="H46" i="6"/>
  <c r="Y45" i="6"/>
  <c r="Q45" i="6"/>
  <c r="H45" i="6"/>
  <c r="Y44" i="6"/>
  <c r="Q44" i="6"/>
  <c r="H44" i="6"/>
  <c r="Y43" i="6"/>
  <c r="Q43" i="6"/>
  <c r="H43" i="6"/>
  <c r="Y42" i="6"/>
  <c r="Q42" i="6"/>
  <c r="H42" i="6"/>
  <c r="Y41" i="6"/>
  <c r="Q41" i="6"/>
  <c r="H41" i="6"/>
  <c r="Y40" i="6"/>
  <c r="Q40" i="6"/>
  <c r="H40" i="6"/>
  <c r="Y39" i="6"/>
  <c r="Q39" i="6"/>
  <c r="H39" i="6"/>
  <c r="Y38" i="6"/>
  <c r="Q38" i="6"/>
  <c r="H38" i="6"/>
  <c r="Y37" i="6"/>
  <c r="Q37" i="6"/>
  <c r="H37" i="6"/>
  <c r="Y36" i="6"/>
  <c r="Q36" i="6"/>
  <c r="H36" i="6"/>
  <c r="Y35" i="6"/>
  <c r="Q35" i="6"/>
  <c r="H35" i="6"/>
  <c r="Y34" i="6"/>
  <c r="Q34" i="6"/>
  <c r="H34" i="6"/>
  <c r="Y33" i="6"/>
  <c r="Q33" i="6"/>
  <c r="H33" i="6"/>
  <c r="Y32" i="6"/>
  <c r="Q32" i="6"/>
  <c r="H32" i="6"/>
  <c r="Y31" i="6"/>
  <c r="Q31" i="6"/>
  <c r="H31" i="6"/>
  <c r="Y30" i="6"/>
  <c r="Q30" i="6"/>
  <c r="H30" i="6"/>
  <c r="Y29" i="6"/>
  <c r="Q29" i="6"/>
  <c r="H29" i="6"/>
  <c r="Y28" i="6"/>
  <c r="Q28" i="6"/>
  <c r="H28" i="6"/>
  <c r="Y27" i="6"/>
  <c r="Q27" i="6"/>
  <c r="H27" i="6"/>
  <c r="Y26" i="6"/>
  <c r="Q26" i="6"/>
  <c r="H26" i="6"/>
  <c r="Y25" i="6"/>
  <c r="Q25" i="6"/>
  <c r="H25" i="6"/>
  <c r="Y24" i="6"/>
  <c r="Q24" i="6"/>
  <c r="H24" i="6"/>
  <c r="Y23" i="6"/>
  <c r="Q23" i="6"/>
  <c r="H23" i="6"/>
  <c r="Y22" i="6"/>
  <c r="Q22" i="6"/>
  <c r="H22" i="6"/>
  <c r="Y21" i="6"/>
  <c r="Q21" i="6"/>
  <c r="H21" i="6"/>
  <c r="Y20" i="6"/>
  <c r="Q20" i="6"/>
  <c r="H20" i="6"/>
  <c r="Y19" i="6"/>
  <c r="Q19" i="6"/>
  <c r="H19" i="6"/>
  <c r="Y18" i="6"/>
  <c r="Q18" i="6"/>
  <c r="H18" i="6"/>
  <c r="Y17" i="6"/>
  <c r="Q17" i="6"/>
  <c r="H17" i="6"/>
  <c r="Y16" i="6"/>
  <c r="Q16" i="6"/>
  <c r="H16" i="6"/>
  <c r="Y15" i="6"/>
  <c r="Q15" i="6"/>
  <c r="H15" i="6"/>
  <c r="Y14" i="6"/>
  <c r="Q14" i="6"/>
  <c r="H14" i="6"/>
  <c r="Y13" i="6"/>
  <c r="Q13" i="6"/>
  <c r="H13" i="6"/>
  <c r="Y12" i="6"/>
  <c r="Q12" i="6"/>
  <c r="H12" i="6"/>
  <c r="Y11" i="6"/>
  <c r="Q11" i="6"/>
  <c r="H11" i="6"/>
  <c r="Y10" i="6"/>
  <c r="Q10" i="6"/>
  <c r="H10" i="6"/>
  <c r="Y9" i="6"/>
  <c r="Q9" i="6"/>
  <c r="H9" i="6"/>
  <c r="Y8" i="6"/>
  <c r="Q8" i="6"/>
  <c r="H8" i="6"/>
  <c r="M205" i="6"/>
  <c r="X193" i="6"/>
  <c r="P188" i="6"/>
  <c r="G183" i="6"/>
  <c r="X177" i="6"/>
  <c r="P172" i="6"/>
  <c r="G167" i="6"/>
  <c r="X161" i="6"/>
  <c r="W158" i="6"/>
  <c r="F156" i="6"/>
  <c r="N153" i="6"/>
  <c r="W150" i="6"/>
  <c r="F148" i="6"/>
  <c r="S146" i="6"/>
  <c r="J145" i="6"/>
  <c r="B144" i="6"/>
  <c r="S142" i="6"/>
  <c r="J141" i="6"/>
  <c r="B140" i="6"/>
  <c r="S138" i="6"/>
  <c r="J137" i="6"/>
  <c r="B136" i="6"/>
  <c r="S134" i="6"/>
  <c r="J133" i="6"/>
  <c r="B132" i="6"/>
  <c r="S130" i="6"/>
  <c r="J129" i="6"/>
  <c r="B128" i="6"/>
  <c r="S126" i="6"/>
  <c r="J125" i="6"/>
  <c r="B124" i="6"/>
  <c r="S122" i="6"/>
  <c r="J121" i="6"/>
  <c r="B120" i="6"/>
  <c r="S118" i="6"/>
  <c r="J117" i="6"/>
  <c r="B116" i="6"/>
  <c r="S114" i="6"/>
  <c r="J113" i="6"/>
  <c r="B112" i="6"/>
  <c r="S110" i="6"/>
  <c r="J109" i="6"/>
  <c r="D108" i="6"/>
  <c r="K107" i="6"/>
  <c r="X106" i="6"/>
  <c r="L106" i="6"/>
  <c r="B106" i="6"/>
  <c r="P105" i="6"/>
  <c r="F105" i="6"/>
  <c r="W104" i="6"/>
  <c r="N104" i="6"/>
  <c r="F104" i="6"/>
  <c r="W103" i="6"/>
  <c r="N103" i="6"/>
  <c r="F103" i="6"/>
  <c r="W102" i="6"/>
  <c r="N102" i="6"/>
  <c r="F102" i="6"/>
  <c r="W101" i="6"/>
  <c r="N101" i="6"/>
  <c r="F101" i="6"/>
  <c r="W100" i="6"/>
  <c r="N100" i="6"/>
  <c r="F100" i="6"/>
  <c r="W99" i="6"/>
  <c r="N99" i="6"/>
  <c r="F99" i="6"/>
  <c r="W98" i="6"/>
  <c r="N98" i="6"/>
  <c r="F98" i="6"/>
  <c r="W97" i="6"/>
  <c r="N97" i="6"/>
  <c r="F97" i="6"/>
  <c r="W96" i="6"/>
  <c r="N96" i="6"/>
  <c r="F96" i="6"/>
  <c r="W95" i="6"/>
  <c r="N95" i="6"/>
  <c r="F95" i="6"/>
  <c r="W94" i="6"/>
  <c r="N94" i="6"/>
  <c r="F94" i="6"/>
  <c r="W93" i="6"/>
  <c r="N93" i="6"/>
  <c r="F93" i="6"/>
  <c r="W92" i="6"/>
  <c r="N92" i="6"/>
  <c r="F92" i="6"/>
  <c r="W91" i="6"/>
  <c r="N91" i="6"/>
  <c r="F91" i="6"/>
  <c r="W90" i="6"/>
  <c r="N90" i="6"/>
  <c r="F90" i="6"/>
  <c r="W89" i="6"/>
  <c r="N89" i="6"/>
  <c r="F89" i="6"/>
  <c r="W88" i="6"/>
  <c r="N88" i="6"/>
  <c r="F88" i="6"/>
  <c r="W87" i="6"/>
  <c r="N87" i="6"/>
  <c r="F87" i="6"/>
  <c r="W86" i="6"/>
  <c r="N86" i="6"/>
  <c r="F86" i="6"/>
  <c r="W85" i="6"/>
  <c r="N85" i="6"/>
  <c r="F85" i="6"/>
  <c r="W84" i="6"/>
  <c r="N84" i="6"/>
  <c r="F84" i="6"/>
  <c r="W83" i="6"/>
  <c r="N83" i="6"/>
  <c r="F83" i="6"/>
  <c r="W82" i="6"/>
  <c r="N82" i="6"/>
  <c r="F82" i="6"/>
  <c r="W81" i="6"/>
  <c r="N81" i="6"/>
  <c r="F81" i="6"/>
  <c r="W80" i="6"/>
  <c r="N80" i="6"/>
  <c r="F80" i="6"/>
  <c r="W79" i="6"/>
  <c r="N79" i="6"/>
  <c r="F79" i="6"/>
  <c r="W78" i="6"/>
  <c r="N78" i="6"/>
  <c r="F78" i="6"/>
  <c r="W77" i="6"/>
  <c r="N77" i="6"/>
  <c r="F77" i="6"/>
  <c r="W76" i="6"/>
  <c r="N76" i="6"/>
  <c r="F76" i="6"/>
  <c r="W75" i="6"/>
  <c r="N75" i="6"/>
  <c r="F75" i="6"/>
  <c r="W74" i="6"/>
  <c r="N74" i="6"/>
  <c r="F74" i="6"/>
  <c r="W73" i="6"/>
  <c r="N73" i="6"/>
  <c r="F73" i="6"/>
  <c r="W72" i="6"/>
  <c r="N72" i="6"/>
  <c r="F72" i="6"/>
  <c r="W71" i="6"/>
  <c r="N71" i="6"/>
  <c r="F71" i="6"/>
  <c r="W70" i="6"/>
  <c r="N70" i="6"/>
  <c r="F70" i="6"/>
  <c r="W69" i="6"/>
  <c r="N69" i="6"/>
  <c r="F69" i="6"/>
  <c r="W68" i="6"/>
  <c r="N68" i="6"/>
  <c r="F68" i="6"/>
  <c r="W67" i="6"/>
  <c r="N67" i="6"/>
  <c r="F67" i="6"/>
  <c r="W66" i="6"/>
  <c r="N66" i="6"/>
  <c r="F66" i="6"/>
  <c r="W65" i="6"/>
  <c r="N65" i="6"/>
  <c r="F65" i="6"/>
  <c r="W64" i="6"/>
  <c r="N64" i="6"/>
  <c r="F64" i="6"/>
  <c r="W63" i="6"/>
  <c r="N63" i="6"/>
  <c r="F63" i="6"/>
  <c r="W62" i="6"/>
  <c r="N62" i="6"/>
  <c r="F62" i="6"/>
  <c r="W61" i="6"/>
  <c r="N61" i="6"/>
  <c r="F61" i="6"/>
  <c r="W60" i="6"/>
  <c r="N60" i="6"/>
  <c r="F60" i="6"/>
  <c r="W59" i="6"/>
  <c r="N59" i="6"/>
  <c r="F59" i="6"/>
  <c r="W58" i="6"/>
  <c r="N58" i="6"/>
  <c r="F58" i="6"/>
  <c r="W57" i="6"/>
  <c r="N57" i="6"/>
  <c r="F57" i="6"/>
  <c r="W56" i="6"/>
  <c r="N56" i="6"/>
  <c r="F56" i="6"/>
  <c r="W55" i="6"/>
  <c r="N55" i="6"/>
  <c r="F55" i="6"/>
  <c r="W54" i="6"/>
  <c r="N54" i="6"/>
  <c r="F54" i="6"/>
  <c r="W53" i="6"/>
  <c r="N53" i="6"/>
  <c r="F53" i="6"/>
  <c r="W52" i="6"/>
  <c r="N52" i="6"/>
  <c r="F52" i="6"/>
  <c r="W51" i="6"/>
  <c r="N51" i="6"/>
  <c r="F51" i="6"/>
  <c r="W50" i="6"/>
  <c r="N50" i="6"/>
  <c r="F50" i="6"/>
  <c r="W49" i="6"/>
  <c r="N49" i="6"/>
  <c r="F49" i="6"/>
  <c r="W48" i="6"/>
  <c r="N48" i="6"/>
  <c r="F48" i="6"/>
  <c r="W47" i="6"/>
  <c r="N47" i="6"/>
  <c r="F47" i="6"/>
  <c r="W46" i="6"/>
  <c r="N46" i="6"/>
  <c r="F46" i="6"/>
  <c r="W45" i="6"/>
  <c r="N45" i="6"/>
  <c r="F45" i="6"/>
  <c r="W44" i="6"/>
  <c r="N44" i="6"/>
  <c r="F44" i="6"/>
  <c r="W43" i="6"/>
  <c r="N43" i="6"/>
  <c r="F43" i="6"/>
  <c r="W42" i="6"/>
  <c r="N42" i="6"/>
  <c r="F42" i="6"/>
  <c r="W41" i="6"/>
  <c r="N41" i="6"/>
  <c r="F41" i="6"/>
  <c r="W40" i="6"/>
  <c r="N40" i="6"/>
  <c r="F40" i="6"/>
  <c r="W39" i="6"/>
  <c r="N39" i="6"/>
  <c r="F39" i="6"/>
  <c r="W38" i="6"/>
  <c r="N38" i="6"/>
  <c r="F38" i="6"/>
  <c r="W37" i="6"/>
  <c r="N37" i="6"/>
  <c r="F37" i="6"/>
  <c r="W36" i="6"/>
  <c r="N36" i="6"/>
  <c r="F36" i="6"/>
  <c r="W35" i="6"/>
  <c r="N35" i="6"/>
  <c r="F35" i="6"/>
  <c r="W34" i="6"/>
  <c r="N34" i="6"/>
  <c r="F34" i="6"/>
  <c r="W33" i="6"/>
  <c r="N33" i="6"/>
  <c r="F33" i="6"/>
  <c r="W32" i="6"/>
  <c r="N32" i="6"/>
  <c r="F32" i="6"/>
  <c r="W31" i="6"/>
  <c r="N31" i="6"/>
  <c r="F31" i="6"/>
  <c r="W30" i="6"/>
  <c r="N30" i="6"/>
  <c r="F30" i="6"/>
  <c r="W29" i="6"/>
  <c r="N29" i="6"/>
  <c r="F29" i="6"/>
  <c r="W28" i="6"/>
  <c r="N28" i="6"/>
  <c r="F28" i="6"/>
  <c r="W27" i="6"/>
  <c r="N27" i="6"/>
  <c r="F27" i="6"/>
  <c r="W26" i="6"/>
  <c r="N26" i="6"/>
  <c r="F26" i="6"/>
  <c r="W25" i="6"/>
  <c r="N25" i="6"/>
  <c r="F25" i="6"/>
  <c r="W24" i="6"/>
  <c r="N24" i="6"/>
  <c r="F24" i="6"/>
  <c r="W23" i="6"/>
  <c r="N23" i="6"/>
  <c r="F23" i="6"/>
  <c r="W22" i="6"/>
  <c r="N22" i="6"/>
  <c r="F22" i="6"/>
  <c r="W21" i="6"/>
  <c r="N21" i="6"/>
  <c r="F21" i="6"/>
  <c r="W20" i="6"/>
  <c r="N20" i="6"/>
  <c r="F20" i="6"/>
  <c r="W19" i="6"/>
  <c r="N19" i="6"/>
  <c r="F19" i="6"/>
  <c r="W18" i="6"/>
  <c r="N18" i="6"/>
  <c r="F18" i="6"/>
  <c r="W17" i="6"/>
  <c r="N17" i="6"/>
  <c r="F17" i="6"/>
  <c r="W16" i="6"/>
  <c r="N16" i="6"/>
  <c r="F16" i="6"/>
  <c r="W15" i="6"/>
  <c r="N15" i="6"/>
  <c r="F15" i="6"/>
  <c r="W14" i="6"/>
  <c r="N14" i="6"/>
  <c r="F14" i="6"/>
  <c r="W13" i="6"/>
  <c r="N13" i="6"/>
  <c r="F13" i="6"/>
  <c r="W12" i="6"/>
  <c r="N12" i="6"/>
  <c r="F12" i="6"/>
  <c r="W11" i="6"/>
  <c r="N11" i="6"/>
  <c r="F11" i="6"/>
  <c r="W10" i="6"/>
  <c r="N10" i="6"/>
  <c r="F10" i="6"/>
  <c r="W9" i="6"/>
  <c r="N9" i="6"/>
  <c r="F9" i="6"/>
  <c r="W8" i="6"/>
  <c r="E212" i="6"/>
  <c r="P179" i="6"/>
  <c r="S159" i="6"/>
  <c r="B149" i="6"/>
  <c r="D143" i="6"/>
  <c r="U137" i="6"/>
  <c r="L132" i="6"/>
  <c r="D127" i="6"/>
  <c r="U121" i="6"/>
  <c r="L116" i="6"/>
  <c r="D111" i="6"/>
  <c r="C107" i="6"/>
  <c r="I105" i="6"/>
  <c r="A104" i="6"/>
  <c r="R102" i="6"/>
  <c r="I101" i="6"/>
  <c r="A100" i="6"/>
  <c r="R98" i="6"/>
  <c r="I97" i="6"/>
  <c r="A96" i="6"/>
  <c r="R94" i="6"/>
  <c r="I93" i="6"/>
  <c r="A92" i="6"/>
  <c r="R90" i="6"/>
  <c r="I89" i="6"/>
  <c r="A88" i="6"/>
  <c r="R86" i="6"/>
  <c r="I85" i="6"/>
  <c r="A84" i="6"/>
  <c r="R82" i="6"/>
  <c r="I81" i="6"/>
  <c r="A80" i="6"/>
  <c r="R78" i="6"/>
  <c r="I77" i="6"/>
  <c r="A76" i="6"/>
  <c r="R74" i="6"/>
  <c r="I73" i="6"/>
  <c r="A72" i="6"/>
  <c r="R70" i="6"/>
  <c r="I69" i="6"/>
  <c r="A68" i="6"/>
  <c r="R66" i="6"/>
  <c r="I65" i="6"/>
  <c r="A64" i="6"/>
  <c r="R62" i="6"/>
  <c r="I61" i="6"/>
  <c r="A60" i="6"/>
  <c r="R58" i="6"/>
  <c r="I57" i="6"/>
  <c r="A56" i="6"/>
  <c r="R54" i="6"/>
  <c r="I53" i="6"/>
  <c r="A52" i="6"/>
  <c r="R50" i="6"/>
  <c r="I49" i="6"/>
  <c r="A48" i="6"/>
  <c r="R46" i="6"/>
  <c r="I45" i="6"/>
  <c r="A44" i="6"/>
  <c r="R42" i="6"/>
  <c r="I41" i="6"/>
  <c r="A40" i="6"/>
  <c r="R38" i="6"/>
  <c r="I37" i="6"/>
  <c r="A36" i="6"/>
  <c r="R34" i="6"/>
  <c r="I33" i="6"/>
  <c r="A32" i="6"/>
  <c r="R30" i="6"/>
  <c r="I29" i="6"/>
  <c r="A28" i="6"/>
  <c r="R26" i="6"/>
  <c r="I25" i="6"/>
  <c r="A24" i="6"/>
  <c r="R22" i="6"/>
  <c r="I21" i="6"/>
  <c r="A20" i="6"/>
  <c r="R18" i="6"/>
  <c r="I17" i="6"/>
  <c r="A16" i="6"/>
  <c r="R14" i="6"/>
  <c r="I13" i="6"/>
  <c r="A12" i="6"/>
  <c r="R10" i="6"/>
  <c r="I9" i="6"/>
  <c r="I8" i="6"/>
  <c r="X7" i="6"/>
  <c r="P7" i="6"/>
  <c r="G7" i="6"/>
  <c r="X6" i="6"/>
  <c r="P6" i="6"/>
  <c r="G6" i="6"/>
  <c r="V206" i="6"/>
  <c r="G178" i="6"/>
  <c r="B159" i="6"/>
  <c r="J148" i="6"/>
  <c r="U142" i="6"/>
  <c r="L137" i="6"/>
  <c r="D132" i="6"/>
  <c r="U126" i="6"/>
  <c r="L121" i="6"/>
  <c r="D116" i="6"/>
  <c r="U110" i="6"/>
  <c r="A107" i="6"/>
  <c r="G105" i="6"/>
  <c r="X103" i="6"/>
  <c r="P102" i="6"/>
  <c r="G101" i="6"/>
  <c r="X99" i="6"/>
  <c r="P98" i="6"/>
  <c r="G97" i="6"/>
  <c r="X95" i="6"/>
  <c r="P94" i="6"/>
  <c r="G93" i="6"/>
  <c r="X91" i="6"/>
  <c r="P90" i="6"/>
  <c r="G89" i="6"/>
  <c r="X87" i="6"/>
  <c r="P86" i="6"/>
  <c r="G85" i="6"/>
  <c r="X83" i="6"/>
  <c r="P82" i="6"/>
  <c r="G81" i="6"/>
  <c r="X79" i="6"/>
  <c r="P78" i="6"/>
  <c r="G77" i="6"/>
  <c r="X75" i="6"/>
  <c r="P74" i="6"/>
  <c r="G73" i="6"/>
  <c r="X71" i="6"/>
  <c r="P70" i="6"/>
  <c r="G69" i="6"/>
  <c r="X67" i="6"/>
  <c r="P66" i="6"/>
  <c r="G65" i="6"/>
  <c r="X63" i="6"/>
  <c r="P62" i="6"/>
  <c r="G61" i="6"/>
  <c r="X59" i="6"/>
  <c r="P58" i="6"/>
  <c r="G57" i="6"/>
  <c r="X55" i="6"/>
  <c r="P54" i="6"/>
  <c r="G53" i="6"/>
  <c r="X51" i="6"/>
  <c r="P50" i="6"/>
  <c r="G49" i="6"/>
  <c r="X47" i="6"/>
  <c r="P46" i="6"/>
  <c r="G45" i="6"/>
  <c r="X43" i="6"/>
  <c r="P42" i="6"/>
  <c r="G41" i="6"/>
  <c r="X39" i="6"/>
  <c r="P38" i="6"/>
  <c r="G37" i="6"/>
  <c r="X35" i="6"/>
  <c r="P34" i="6"/>
  <c r="G33" i="6"/>
  <c r="X31" i="6"/>
  <c r="P30" i="6"/>
  <c r="G29" i="6"/>
  <c r="X27" i="6"/>
  <c r="P26" i="6"/>
  <c r="G25" i="6"/>
  <c r="X23" i="6"/>
  <c r="P22" i="6"/>
  <c r="G21" i="6"/>
  <c r="X19" i="6"/>
  <c r="P18" i="6"/>
  <c r="G17" i="6"/>
  <c r="X15" i="6"/>
  <c r="P14" i="6"/>
  <c r="G13" i="6"/>
  <c r="X11" i="6"/>
  <c r="P10" i="6"/>
  <c r="G9" i="6"/>
  <c r="G8" i="6"/>
  <c r="W7" i="6"/>
  <c r="N7" i="6"/>
  <c r="F7" i="6"/>
  <c r="W6" i="6"/>
  <c r="N6" i="6"/>
  <c r="F6" i="6"/>
  <c r="P195" i="6"/>
  <c r="G174" i="6"/>
  <c r="B157" i="6"/>
  <c r="D147" i="6"/>
  <c r="U141" i="6"/>
  <c r="L136" i="6"/>
  <c r="D131" i="6"/>
  <c r="U125" i="6"/>
  <c r="L120" i="6"/>
  <c r="D115" i="6"/>
  <c r="U109" i="6"/>
  <c r="R106" i="6"/>
  <c r="A105" i="6"/>
  <c r="R103" i="6"/>
  <c r="I102" i="6"/>
  <c r="A101" i="6"/>
  <c r="R99" i="6"/>
  <c r="I98" i="6"/>
  <c r="A97" i="6"/>
  <c r="R95" i="6"/>
  <c r="I94" i="6"/>
  <c r="A93" i="6"/>
  <c r="R91" i="6"/>
  <c r="I90" i="6"/>
  <c r="A89" i="6"/>
  <c r="R87" i="6"/>
  <c r="I86" i="6"/>
  <c r="A85" i="6"/>
  <c r="R83" i="6"/>
  <c r="I82" i="6"/>
  <c r="A81" i="6"/>
  <c r="R79" i="6"/>
  <c r="I78" i="6"/>
  <c r="A77" i="6"/>
  <c r="R75" i="6"/>
  <c r="I74" i="6"/>
  <c r="A73" i="6"/>
  <c r="R71" i="6"/>
  <c r="I70" i="6"/>
  <c r="A69" i="6"/>
  <c r="R67" i="6"/>
  <c r="I66" i="6"/>
  <c r="A65" i="6"/>
  <c r="R63" i="6"/>
  <c r="I62" i="6"/>
  <c r="A61" i="6"/>
  <c r="R59" i="6"/>
  <c r="I58" i="6"/>
  <c r="A57" i="6"/>
  <c r="R55" i="6"/>
  <c r="I54" i="6"/>
  <c r="A53" i="6"/>
  <c r="R51" i="6"/>
  <c r="I50" i="6"/>
  <c r="A49" i="6"/>
  <c r="R47" i="6"/>
  <c r="I46" i="6"/>
  <c r="A45" i="6"/>
  <c r="R43" i="6"/>
  <c r="I42" i="6"/>
  <c r="A41" i="6"/>
  <c r="R39" i="6"/>
  <c r="I38" i="6"/>
  <c r="A37" i="6"/>
  <c r="R35" i="6"/>
  <c r="I34" i="6"/>
  <c r="A33" i="6"/>
  <c r="R31" i="6"/>
  <c r="I30" i="6"/>
  <c r="A29" i="6"/>
  <c r="R27" i="6"/>
  <c r="I26" i="6"/>
  <c r="A25" i="6"/>
  <c r="R23" i="6"/>
  <c r="I22" i="6"/>
  <c r="A21" i="6"/>
  <c r="R19" i="6"/>
  <c r="I18" i="6"/>
  <c r="A17" i="6"/>
  <c r="R15" i="6"/>
  <c r="I14" i="6"/>
  <c r="A13" i="6"/>
  <c r="R11" i="6"/>
  <c r="I10" i="6"/>
  <c r="A9" i="6"/>
  <c r="F8" i="6"/>
  <c r="V7" i="6"/>
  <c r="M7" i="6"/>
  <c r="E7" i="6"/>
  <c r="V6" i="6"/>
  <c r="M6" i="6"/>
  <c r="E6" i="6"/>
  <c r="G194" i="6"/>
  <c r="X172" i="6"/>
  <c r="J156" i="6"/>
  <c r="U146" i="6"/>
  <c r="L141" i="6"/>
  <c r="D136" i="6"/>
  <c r="U130" i="6"/>
  <c r="L125" i="6"/>
  <c r="D120" i="6"/>
  <c r="U114" i="6"/>
  <c r="L109" i="6"/>
  <c r="M106" i="6"/>
  <c r="X104" i="6"/>
  <c r="P103" i="6"/>
  <c r="G102" i="6"/>
  <c r="X100" i="6"/>
  <c r="P99" i="6"/>
  <c r="G98" i="6"/>
  <c r="X96" i="6"/>
  <c r="P95" i="6"/>
  <c r="G94" i="6"/>
  <c r="X92" i="6"/>
  <c r="P91" i="6"/>
  <c r="G90" i="6"/>
  <c r="X88" i="6"/>
  <c r="P87" i="6"/>
  <c r="G86" i="6"/>
  <c r="X84" i="6"/>
  <c r="P83" i="6"/>
  <c r="G82" i="6"/>
  <c r="X80" i="6"/>
  <c r="P79" i="6"/>
  <c r="G78" i="6"/>
  <c r="X76" i="6"/>
  <c r="P75" i="6"/>
  <c r="G74" i="6"/>
  <c r="X72" i="6"/>
  <c r="P71" i="6"/>
  <c r="G70" i="6"/>
  <c r="X68" i="6"/>
  <c r="P67" i="6"/>
  <c r="G66" i="6"/>
  <c r="X64" i="6"/>
  <c r="P63" i="6"/>
  <c r="G62" i="6"/>
  <c r="X60" i="6"/>
  <c r="P59" i="6"/>
  <c r="G58" i="6"/>
  <c r="X56" i="6"/>
  <c r="P55" i="6"/>
  <c r="G54" i="6"/>
  <c r="X52" i="6"/>
  <c r="P51" i="6"/>
  <c r="G50" i="6"/>
  <c r="X48" i="6"/>
  <c r="P47" i="6"/>
  <c r="G46" i="6"/>
  <c r="X44" i="6"/>
  <c r="P43" i="6"/>
  <c r="G42" i="6"/>
  <c r="X40" i="6"/>
  <c r="P39" i="6"/>
  <c r="G38" i="6"/>
  <c r="X36" i="6"/>
  <c r="P35" i="6"/>
  <c r="G34" i="6"/>
  <c r="X32" i="6"/>
  <c r="P31" i="6"/>
  <c r="G30" i="6"/>
  <c r="X28" i="6"/>
  <c r="P27" i="6"/>
  <c r="G26" i="6"/>
  <c r="X24" i="6"/>
  <c r="P23" i="6"/>
  <c r="G22" i="6"/>
  <c r="X20" i="6"/>
  <c r="P19" i="6"/>
  <c r="G18" i="6"/>
  <c r="X16" i="6"/>
  <c r="P15" i="6"/>
  <c r="G14" i="6"/>
  <c r="X12" i="6"/>
  <c r="P11" i="6"/>
  <c r="G10" i="6"/>
  <c r="X8" i="6"/>
  <c r="E8" i="6"/>
  <c r="U7" i="6"/>
  <c r="L7" i="6"/>
  <c r="D7" i="6"/>
  <c r="U6" i="6"/>
  <c r="L6" i="6"/>
  <c r="D6" i="6"/>
  <c r="G190" i="6"/>
  <c r="X168" i="6"/>
  <c r="J154" i="6"/>
  <c r="U145" i="6"/>
  <c r="L140" i="6"/>
  <c r="D135" i="6"/>
  <c r="U129" i="6"/>
  <c r="L124" i="6"/>
  <c r="D119" i="6"/>
  <c r="U113" i="6"/>
  <c r="L108" i="6"/>
  <c r="E106" i="6"/>
  <c r="R104" i="6"/>
  <c r="I103" i="6"/>
  <c r="A102" i="6"/>
  <c r="R100" i="6"/>
  <c r="I99" i="6"/>
  <c r="A98" i="6"/>
  <c r="R96" i="6"/>
  <c r="I95" i="6"/>
  <c r="A94" i="6"/>
  <c r="R92" i="6"/>
  <c r="I91" i="6"/>
  <c r="A90" i="6"/>
  <c r="R88" i="6"/>
  <c r="I87" i="6"/>
  <c r="A86" i="6"/>
  <c r="R84" i="6"/>
  <c r="I83" i="6"/>
  <c r="A82" i="6"/>
  <c r="R80" i="6"/>
  <c r="I79" i="6"/>
  <c r="A78" i="6"/>
  <c r="R76" i="6"/>
  <c r="I75" i="6"/>
  <c r="A74" i="6"/>
  <c r="R72" i="6"/>
  <c r="I71" i="6"/>
  <c r="A70" i="6"/>
  <c r="R68" i="6"/>
  <c r="I67" i="6"/>
  <c r="A66" i="6"/>
  <c r="R64" i="6"/>
  <c r="I63" i="6"/>
  <c r="A62" i="6"/>
  <c r="R60" i="6"/>
  <c r="I59" i="6"/>
  <c r="A58" i="6"/>
  <c r="R56" i="6"/>
  <c r="I55" i="6"/>
  <c r="A54" i="6"/>
  <c r="R52" i="6"/>
  <c r="I51" i="6"/>
  <c r="A50" i="6"/>
  <c r="R48" i="6"/>
  <c r="I47" i="6"/>
  <c r="A46" i="6"/>
  <c r="R44" i="6"/>
  <c r="I43" i="6"/>
  <c r="A42" i="6"/>
  <c r="R40" i="6"/>
  <c r="I39" i="6"/>
  <c r="A38" i="6"/>
  <c r="R36" i="6"/>
  <c r="I35" i="6"/>
  <c r="A34" i="6"/>
  <c r="R32" i="6"/>
  <c r="I31" i="6"/>
  <c r="A30" i="6"/>
  <c r="R28" i="6"/>
  <c r="I27" i="6"/>
  <c r="A26" i="6"/>
  <c r="R24" i="6"/>
  <c r="I23" i="6"/>
  <c r="A22" i="6"/>
  <c r="R20" i="6"/>
  <c r="I19" i="6"/>
  <c r="A18" i="6"/>
  <c r="R16" i="6"/>
  <c r="I15" i="6"/>
  <c r="A14" i="6"/>
  <c r="R12" i="6"/>
  <c r="I11" i="6"/>
  <c r="A10" i="6"/>
  <c r="R8" i="6"/>
  <c r="D8" i="6"/>
  <c r="T7" i="6"/>
  <c r="K7" i="6"/>
  <c r="C7" i="6"/>
  <c r="T6" i="6"/>
  <c r="K6" i="6"/>
  <c r="C6" i="6"/>
  <c r="X188" i="6"/>
  <c r="P167" i="6"/>
  <c r="S153" i="6"/>
  <c r="L145" i="6"/>
  <c r="D140" i="6"/>
  <c r="U134" i="6"/>
  <c r="L129" i="6"/>
  <c r="D124" i="6"/>
  <c r="U118" i="6"/>
  <c r="L113" i="6"/>
  <c r="I108" i="6"/>
  <c r="C106" i="6"/>
  <c r="P104" i="6"/>
  <c r="G103" i="6"/>
  <c r="X101" i="6"/>
  <c r="P100" i="6"/>
  <c r="G99" i="6"/>
  <c r="X97" i="6"/>
  <c r="P96" i="6"/>
  <c r="G95" i="6"/>
  <c r="X93" i="6"/>
  <c r="P92" i="6"/>
  <c r="G91" i="6"/>
  <c r="X89" i="6"/>
  <c r="P88" i="6"/>
  <c r="G87" i="6"/>
  <c r="X85" i="6"/>
  <c r="P84" i="6"/>
  <c r="G83" i="6"/>
  <c r="X81" i="6"/>
  <c r="P80" i="6"/>
  <c r="G79" i="6"/>
  <c r="X77" i="6"/>
  <c r="P76" i="6"/>
  <c r="G75" i="6"/>
  <c r="X73" i="6"/>
  <c r="P72" i="6"/>
  <c r="G71" i="6"/>
  <c r="X69" i="6"/>
  <c r="P68" i="6"/>
  <c r="G67" i="6"/>
  <c r="X65" i="6"/>
  <c r="P64" i="6"/>
  <c r="G63" i="6"/>
  <c r="X61" i="6"/>
  <c r="P60" i="6"/>
  <c r="G59" i="6"/>
  <c r="X57" i="6"/>
  <c r="P56" i="6"/>
  <c r="G55" i="6"/>
  <c r="X53" i="6"/>
  <c r="P52" i="6"/>
  <c r="G51" i="6"/>
  <c r="X49" i="6"/>
  <c r="P48" i="6"/>
  <c r="G47" i="6"/>
  <c r="X45" i="6"/>
  <c r="P44" i="6"/>
  <c r="G43" i="6"/>
  <c r="X41" i="6"/>
  <c r="P40" i="6"/>
  <c r="G39" i="6"/>
  <c r="X37" i="6"/>
  <c r="P36" i="6"/>
  <c r="G35" i="6"/>
  <c r="X33" i="6"/>
  <c r="P32" i="6"/>
  <c r="G31" i="6"/>
  <c r="X29" i="6"/>
  <c r="P28" i="6"/>
  <c r="G27" i="6"/>
  <c r="X25" i="6"/>
  <c r="P24" i="6"/>
  <c r="G23" i="6"/>
  <c r="X21" i="6"/>
  <c r="P20" i="6"/>
  <c r="G19" i="6"/>
  <c r="X17" i="6"/>
  <c r="P16" i="6"/>
  <c r="G15" i="6"/>
  <c r="X13" i="6"/>
  <c r="P12" i="6"/>
  <c r="G11" i="6"/>
  <c r="X9" i="6"/>
  <c r="P8" i="6"/>
  <c r="C8" i="6"/>
  <c r="S7" i="6"/>
  <c r="J7" i="6"/>
  <c r="B7" i="6"/>
  <c r="S6" i="6"/>
  <c r="J6" i="6"/>
  <c r="B6" i="6"/>
  <c r="X184" i="6"/>
  <c r="P163" i="6"/>
  <c r="S151" i="6"/>
  <c r="L144" i="6"/>
  <c r="D139" i="6"/>
  <c r="U133" i="6"/>
  <c r="L128" i="6"/>
  <c r="D123" i="6"/>
  <c r="U117" i="6"/>
  <c r="L112" i="6"/>
  <c r="R107" i="6"/>
  <c r="T105" i="6"/>
  <c r="I104" i="6"/>
  <c r="A103" i="6"/>
  <c r="R101" i="6"/>
  <c r="I100" i="6"/>
  <c r="A99" i="6"/>
  <c r="R97" i="6"/>
  <c r="I96" i="6"/>
  <c r="A95" i="6"/>
  <c r="R93" i="6"/>
  <c r="I92" i="6"/>
  <c r="A91" i="6"/>
  <c r="R89" i="6"/>
  <c r="I88" i="6"/>
  <c r="A87" i="6"/>
  <c r="R85" i="6"/>
  <c r="I84" i="6"/>
  <c r="A83" i="6"/>
  <c r="R81" i="6"/>
  <c r="I80" i="6"/>
  <c r="A79" i="6"/>
  <c r="R77" i="6"/>
  <c r="I76" i="6"/>
  <c r="A75" i="6"/>
  <c r="R73" i="6"/>
  <c r="I72" i="6"/>
  <c r="A71" i="6"/>
  <c r="R69" i="6"/>
  <c r="I68" i="6"/>
  <c r="A67" i="6"/>
  <c r="R65" i="6"/>
  <c r="I64" i="6"/>
  <c r="A63" i="6"/>
  <c r="R61" i="6"/>
  <c r="I60" i="6"/>
  <c r="A59" i="6"/>
  <c r="R57" i="6"/>
  <c r="I56" i="6"/>
  <c r="A55" i="6"/>
  <c r="R53" i="6"/>
  <c r="I52" i="6"/>
  <c r="A51" i="6"/>
  <c r="R49" i="6"/>
  <c r="I48" i="6"/>
  <c r="A47" i="6"/>
  <c r="R45" i="6"/>
  <c r="I44" i="6"/>
  <c r="A43" i="6"/>
  <c r="R41" i="6"/>
  <c r="I40" i="6"/>
  <c r="A39" i="6"/>
  <c r="R37" i="6"/>
  <c r="I36" i="6"/>
  <c r="A35" i="6"/>
  <c r="R33" i="6"/>
  <c r="I32" i="6"/>
  <c r="A31" i="6"/>
  <c r="R29" i="6"/>
  <c r="I28" i="6"/>
  <c r="A27" i="6"/>
  <c r="R25" i="6"/>
  <c r="I24" i="6"/>
  <c r="A23" i="6"/>
  <c r="R21" i="6"/>
  <c r="I20" i="6"/>
  <c r="A19" i="6"/>
  <c r="R17" i="6"/>
  <c r="I16" i="6"/>
  <c r="A15" i="6"/>
  <c r="R13" i="6"/>
  <c r="I12" i="6"/>
  <c r="A11" i="6"/>
  <c r="R9" i="6"/>
  <c r="N8" i="6"/>
  <c r="P183" i="6"/>
  <c r="G162" i="6"/>
  <c r="B151" i="6"/>
  <c r="D144" i="6"/>
  <c r="U138" i="6"/>
  <c r="L133" i="6"/>
  <c r="D128" i="6"/>
  <c r="U122" i="6"/>
  <c r="L117" i="6"/>
  <c r="D112" i="6"/>
  <c r="L107" i="6"/>
  <c r="R105" i="6"/>
  <c r="G104" i="6"/>
  <c r="X102" i="6"/>
  <c r="P101" i="6"/>
  <c r="G100" i="6"/>
  <c r="X98" i="6"/>
  <c r="P97" i="6"/>
  <c r="G96" i="6"/>
  <c r="X94" i="6"/>
  <c r="P93" i="6"/>
  <c r="G92" i="6"/>
  <c r="X90" i="6"/>
  <c r="P89" i="6"/>
  <c r="G88" i="6"/>
  <c r="X86" i="6"/>
  <c r="P85" i="6"/>
  <c r="G84" i="6"/>
  <c r="X82" i="6"/>
  <c r="P81" i="6"/>
  <c r="G80" i="6"/>
  <c r="X78" i="6"/>
  <c r="P77" i="6"/>
  <c r="G76" i="6"/>
  <c r="X74" i="6"/>
  <c r="P73" i="6"/>
  <c r="G72" i="6"/>
  <c r="X70" i="6"/>
  <c r="P69" i="6"/>
  <c r="G68" i="6"/>
  <c r="X66" i="6"/>
  <c r="P65" i="6"/>
  <c r="G64" i="6"/>
  <c r="X62" i="6"/>
  <c r="P61" i="6"/>
  <c r="G60" i="6"/>
  <c r="X58" i="6"/>
  <c r="P57" i="6"/>
  <c r="G56" i="6"/>
  <c r="X54" i="6"/>
  <c r="P53" i="6"/>
  <c r="G52" i="6"/>
  <c r="X50" i="6"/>
  <c r="P49" i="6"/>
  <c r="G48" i="6"/>
  <c r="X46" i="6"/>
  <c r="P45" i="6"/>
  <c r="G44" i="6"/>
  <c r="X42" i="6"/>
  <c r="P41" i="6"/>
  <c r="G40" i="6"/>
  <c r="X38" i="6"/>
  <c r="P37" i="6"/>
  <c r="G36" i="6"/>
  <c r="X34" i="6"/>
  <c r="P33" i="6"/>
  <c r="G32" i="6"/>
  <c r="X30" i="6"/>
  <c r="P29" i="6"/>
  <c r="G28" i="6"/>
  <c r="X26" i="6"/>
  <c r="P25" i="6"/>
  <c r="G24" i="6"/>
  <c r="X22" i="6"/>
  <c r="P21" i="6"/>
  <c r="G20" i="6"/>
  <c r="X18" i="6"/>
  <c r="P17" i="6"/>
  <c r="G16" i="6"/>
  <c r="X14" i="6"/>
  <c r="P13" i="6"/>
  <c r="G12" i="6"/>
  <c r="X10" i="6"/>
  <c r="P9" i="6"/>
  <c r="L8" i="6"/>
  <c r="Y7" i="6"/>
  <c r="Q7" i="6"/>
  <c r="H7" i="6"/>
  <c r="Y6" i="6"/>
  <c r="Q6" i="6"/>
  <c r="H6" i="6"/>
  <c r="A8" i="6"/>
  <c r="R7" i="6"/>
  <c r="I7" i="6"/>
  <c r="A7" i="6"/>
  <c r="R6" i="6"/>
  <c r="I6" i="6"/>
  <c r="A6" i="6"/>
  <c r="F62" i="5"/>
  <c r="D62" i="5"/>
</calcChain>
</file>

<file path=xl/sharedStrings.xml><?xml version="1.0" encoding="utf-8"?>
<sst xmlns="http://schemas.openxmlformats.org/spreadsheetml/2006/main" count="6943" uniqueCount="2644">
  <si>
    <t>Plan de Necesidades 2027 — Escuela Tecnológica Instituto Técnico Central (ETITC)</t>
  </si>
  <si>
    <t>Oficina Asesora de Planeación y Desarrollo Institucional (OAPDI) · Versión 1 · Complemento de la Plantilla de Formulación 2027 (versión 7) · Libro protegido: solo se diligencian las celdas amarillas.</t>
  </si>
  <si>
    <t>1. Propósito</t>
  </si>
  <si>
    <t>Este libro es el instrumento con el que cada dependencia y área funcional de la ETITC registra los bienes, obras y servicios que necesita contratar en 2027 para ejecutar las acciones de su Plan de Acción. Es el complemento de la Plantilla de Formulación 2027: en la plantilla el área dice qué va a hacer (acción, producto, indicador); en este libro dice qué necesita adquirir para hacerlo. Cada necesidad se vincula a una acción del Plan de Acción 2027 y, por medio de ella, a una meta del Plan de Desarrollo Institucional (PDI) 2025-2032, de modo que ningún recurso se programe sin una meta que lo justifique. La OAPDI consolida el libro y lo entrega como insumo del Plan Anual de Adquisiciones que la ETITC publica en SECOP II. Convención de siglas: en este libro, como en la plantilla, la sigla PAA se reserva para el Plan de Acción Anual; el Plan Anual de Adquisiciones se escribe siempre completo para no confundirlos.</t>
  </si>
  <si>
    <t>2. Marco normativo</t>
  </si>
  <si>
    <t>Ley 80 de 1993 (Estatuto General de Contratación de la Administración Pública) y Ley 1150 de 2007 (modalidades de selección, artículo 2). Ley 1474 de 2011, artículo 74: las entidades publican en su página web, a más tardar el 31 de enero de cada año, el plan de acción con los proyectos de inversión, el presupuesto y el plan general de compras. Decreto 1082 de 2015, artículos 2.2.1.1.1.4.1 a 2.2.1.1.1.4.4: el Plan Anual de Adquisiciones debe listar los bienes, obras y servicios que se pretende adquirir, identificados con el Clasificador de Bienes y Servicios (UNSPSC), con su valor estimado, la fuente de los recursos, la modalidad de selección y la fecha aproximada de inicio del proceso; se publica en la página web y en SECOP y se actualiza por lo menos una vez durante la vigencia. Guía para elaborar el Plan Anual de Adquisiciones de Colombia Compra Eficiente. Decreto 111 de 1996 (Estatuto Orgánico del Presupuesto): ninguna necesidad se contrata sin certificado de disponibilidad presupuestal. Ley 152 de 1994 y Modelo Integrado de Planeación y Gestión (MIPG): articulación entre planeación, presupuesto y contratación.</t>
  </si>
  <si>
    <t>3. Del plan de necesidades al Plan Anual de Adquisiciones: la ruta</t>
  </si>
  <si>
    <t>Etapa 1 — El área formula sus acciones 2027 en la Plantilla de Formulación 2027.</t>
  </si>
  <si>
    <t>Etapa 2 — El área registra en la hoja "Formulación PDN 2027" cada bien, obra o servicio que requiere una de esas acciones, con su código UNSPSC, valor, fechas, modalidad estimada, fuente y responsable.</t>
  </si>
  <si>
    <t>Etapa 3 — La OAPDI revisa el Tablero_Consistencia: alineación con la meta y la acción, alertas, comparación con 2026 y acciones con presupuesto que no registran necesidades.</t>
  </si>
  <si>
    <t>Etapa 4 — La Vicerrectoría Administrativa y Financiera (presupuesto) confirma la fuente, el rubro o proyecto de inversión y la viabilidad de las vigencias futuras.</t>
  </si>
  <si>
    <t>Etapa 5 — El GIT de Contratación y Adquisiciones toma la hoja "Insumo_Plan_Adquisiciones", agrupa necesidades iguales, confirma la modalidad según los topes de la vigencia, asigna la unidad de contratación y convierte los textos a los códigos de la plantilla de cargue de SECOP II.</t>
  </si>
  <si>
    <t>Etapa 6 — Se aprueba el Plan Anual de Adquisiciones según el procedimiento interno de Gestión de Adquisiciones [PENDIENTE DE VERIFICAR instancia de aprobación] y se publica en la página web y en SECOP II a más tardar el 31 de enero de 2027.</t>
  </si>
  <si>
    <t>Etapa 7 — Durante 2027 toda necesidad nueva o modificada se tramita como actualización del Plan Anual de Adquisiciones; no se inicia un proceso que no esté en el plan.</t>
  </si>
  <si>
    <t>4. Hojas del libro</t>
  </si>
  <si>
    <t>Instructivo: esta hoja.</t>
  </si>
  <si>
    <t>Guía UNSPSC: qué es el código de las Naciones Unidas, cómo se estructura, cómo buscarlo paso a paso, errores frecuentes de 2026 y los códigos que la ETITC usó en 2026 como consulta rápida.</t>
  </si>
  <si>
    <t>Formulación PDN 2027: hoja que diligencia el área, una necesidad por fila (columnas amarillas). Las columnas grises se completan solas y la columna "Alerta de consistencia" valida cada fila.</t>
  </si>
  <si>
    <t>2026: el Plan de Necesidades formulado en 2026 (424 registros), protegido para que no se modifique ni se borre. Sirve de referencia y de trazabilidad: si una necesidad 2027 continúa una de 2026, se cita su número PN26-###.</t>
  </si>
  <si>
    <t>Tablero_Consistencia: parámetros de la vigencia, resumen, alertas por tipo, comparativo 2026-2027 por dependencia, distribución por eje, modalidad y fuente, y acciones del Plan de Acción 2027 con presupuesto sin necesidades registradas.</t>
  </si>
  <si>
    <t>Insumo_Plan_Adquisiciones: se llena automáticamente con las necesidades en estado OK, en el orden de los campos de la plantilla de cargue de SECOP II, más la trazabilidad interna.</t>
  </si>
  <si>
    <t>Catálogos (oculta y protegida): metas, ejes y líneas del PDI, áreas y dependencias, acciones del Plan de Acción 2027 y listas desplegables, idénticas a las de la Plantilla de Formulación 2027.</t>
  </si>
  <si>
    <t>5. Cómo diligenciar</t>
  </si>
  <si>
    <t>Paso 1. Tenga a mano su Plantilla de Formulación 2027 diligenciada: cada necesidad debe servir a una acción que ya formuló.</t>
  </si>
  <si>
    <t>Paso 2. En la hoja "Formulación PDN 2027", en una fila libre, seleccione su área (columna B). La dependencia y el proceso aparecen solos.</t>
  </si>
  <si>
    <t>Paso 3. Seleccione la meta PDI (columna E). El eje y la línea aparecen solos.</t>
  </si>
  <si>
    <t>Paso 4. Seleccione la acción del Plan de Acción 2027 (columna H). La lista muestra solo las acciones de la meta elegida. Si la necesidad sirve a una acción que el área formuló por su cuenta, elija "PROPIA" y escriba el nombre de la acción en la columna I, tal como quedó en la plantilla.</t>
  </si>
  <si>
    <t>Paso 5. Describa la necesidad: tipo (J), justificación (K) y objeto contractual (L). Un objeto por fila; si una acción requiere varios contratos, use varias filas.</t>
  </si>
  <si>
    <t>Paso 6. Identifique el código UNSPSC (M y, si aplica, N) con la hoja Guía UNSPSC.</t>
  </si>
  <si>
    <t>Paso 7. Diligencie los datos del Plan Anual de Adquisiciones (O a AA): meses estimados, duración, modalidad estimada, fuente, tipo de gasto, valores y vigencias futuras.</t>
  </si>
  <si>
    <t>Paso 8. Registre el responsable (AB a AE) y la trazabilidad 2026 y la prioridad (AF a AI).</t>
  </si>
  <si>
    <t>Paso 9. Verifique que la columna AJ "Alerta de consistencia" diga OK en todas sus filas y remita el libro a la OAPDI en la fecha indicada en el Tablero_Consistencia.</t>
  </si>
  <si>
    <t>6. Diccionario de campos de la hoja Formulación PDN 2027</t>
  </si>
  <si>
    <t>Columna</t>
  </si>
  <si>
    <t>Campo</t>
  </si>
  <si>
    <t>Qué registrar</t>
  </si>
  <si>
    <t>Obligatorio</t>
  </si>
  <si>
    <t>Uso en el Plan Anual de Adquisiciones (campo SECOP II)</t>
  </si>
  <si>
    <t>A</t>
  </si>
  <si>
    <t>N.° necesidad</t>
  </si>
  <si>
    <t>Automático (PN27-001, PN27-002…). Identifica la necesidad en toda la cadena: OAPDI, presupuesto y contratación.</t>
  </si>
  <si>
    <t>Automático</t>
  </si>
  <si>
    <t>Trazabilidad interna.</t>
  </si>
  <si>
    <t>B</t>
  </si>
  <si>
    <t>Área funcional que formula</t>
  </si>
  <si>
    <t>Seleccione su área de la lista (las mismas 47 áreas de la Plantilla de Formulación 2027).</t>
  </si>
  <si>
    <t>Sí</t>
  </si>
  <si>
    <t>Trazabilidad; define la unidad de contratación.</t>
  </si>
  <si>
    <t>C-D</t>
  </si>
  <si>
    <t>Dependencia y proceso</t>
  </si>
  <si>
    <t>Automáticos: dependencia del Decreto 902 de 2013 / Resolución 215 de 2022 y proceso del mapa GDC-DI-01 V9.</t>
  </si>
  <si>
    <t>E</t>
  </si>
  <si>
    <t>Meta estratégica PDI</t>
  </si>
  <si>
    <t>Seleccione la meta (código eje.línea.objetivo.meta) a la que aporta la acción que requiere la necesidad.</t>
  </si>
  <si>
    <t>Justificación estratégica de la adquisición.</t>
  </si>
  <si>
    <t>F-G</t>
  </si>
  <si>
    <t>Eje y línea</t>
  </si>
  <si>
    <t>Automáticos a partir de la meta.</t>
  </si>
  <si>
    <t>H</t>
  </si>
  <si>
    <t>Acción del Plan de Acción 2027</t>
  </si>
  <si>
    <t>Seleccione la acción A27-### de la lista (filtrada por la meta) o "PROPIA" si es una acción formulada por el área.</t>
  </si>
  <si>
    <t>Vincula el gasto con la planeación (Ley 1474 de 2011, art. 74).</t>
  </si>
  <si>
    <t>I</t>
  </si>
  <si>
    <t>Nombre de la acción propia</t>
  </si>
  <si>
    <t>Solo si eligió PROPIA: el nombre de la acción tal como quedó en la Plantilla de Formulación 2027.</t>
  </si>
  <si>
    <t>Condicional</t>
  </si>
  <si>
    <t>J</t>
  </si>
  <si>
    <t>Tipo de necesidad</t>
  </si>
  <si>
    <t>Servicios profesionales, apoyo a la gestión, bienes, suministro, mantenimiento, obra, consultoría, interventoría, licencias, arrendamiento u otro.</t>
  </si>
  <si>
    <t>Orienta la modalidad y la agrupación de procesos.</t>
  </si>
  <si>
    <t>K</t>
  </si>
  <si>
    <t>Justificación de la necesidad</t>
  </si>
  <si>
    <t>Qué problema resuelve y qué producto de la acción no podría lograrse sin ella. Sea concreto: es la base de los estudios previos.</t>
  </si>
  <si>
    <t>Estudios previos.</t>
  </si>
  <si>
    <t>L</t>
  </si>
  <si>
    <t>Descripción del objeto contractual</t>
  </si>
  <si>
    <t>Qué se va a adquirir o contratar y para qué. Ejemplo: "Prestar servicios profesionales para…", "Adquirir equipos de cómputo para…".</t>
  </si>
  <si>
    <t>Descripción.</t>
  </si>
  <si>
    <t>M</t>
  </si>
  <si>
    <t>Código UNSPSC principal</t>
  </si>
  <si>
    <t>Un solo código de 8 dígitos, como número, a nivel de clase (termina en 00) o de producto. Ver Guía UNSPSC.</t>
  </si>
  <si>
    <t>Códigos UNSPSC.</t>
  </si>
  <si>
    <t>N</t>
  </si>
  <si>
    <t>Códigos UNSPSC adicionales</t>
  </si>
  <si>
    <t>Otros códigos que el objeto requiera, separados por punto y coma.</t>
  </si>
  <si>
    <t>No</t>
  </si>
  <si>
    <t>Códigos UNSPSC (adicionales).</t>
  </si>
  <si>
    <t>O</t>
  </si>
  <si>
    <t>Mes de inicio del proceso</t>
  </si>
  <si>
    <t>Mes en que se prevé iniciar el proceso de selección (publicación o invitación).</t>
  </si>
  <si>
    <t>Fecha estimada de inicio de proceso de selección.</t>
  </si>
  <si>
    <t>P</t>
  </si>
  <si>
    <t>Mes de presentación de ofertas</t>
  </si>
  <si>
    <t>Mes en que se prevé recibir las ofertas. No puede ser anterior al mes de inicio.</t>
  </si>
  <si>
    <t>Fecha estimada de presentación de ofertas.</t>
  </si>
  <si>
    <t>Q-R</t>
  </si>
  <si>
    <t>Duración y unidad</t>
  </si>
  <si>
    <t>Número (Q) y unidad: días, meses o años (R). Ejemplo: 10 / Meses.</t>
  </si>
  <si>
    <t>Duración del contrato (número e intervalo).</t>
  </si>
  <si>
    <t>S</t>
  </si>
  <si>
    <t>Modalidad de selección</t>
  </si>
  <si>
    <t>Modalidad estimada según el objeto y el valor. Contratación la confirma con los topes 2027.</t>
  </si>
  <si>
    <t>Modalidad de selección.</t>
  </si>
  <si>
    <t>T-U</t>
  </si>
  <si>
    <t>Fuente y tipo de gasto</t>
  </si>
  <si>
    <t>Fuente de los recursos (Nación, propios, MEN, convenio) y si es funcionamiento o inversión.</t>
  </si>
  <si>
    <t>Fuente de los recursos.</t>
  </si>
  <si>
    <t>V</t>
  </si>
  <si>
    <t>Rubro o proyecto (BPIN)</t>
  </si>
  <si>
    <t>Rubro presupuestal o código del proyecto de inversión, si lo conoce.</t>
  </si>
  <si>
    <t>Soporte para el certificado de disponibilidad presupuestal.</t>
  </si>
  <si>
    <t>W</t>
  </si>
  <si>
    <t>Valor total estimado</t>
  </si>
  <si>
    <t>Valor del contrato en pesos, solo números (sin puntos ni $), con base en cotizaciones o históricos.</t>
  </si>
  <si>
    <t>Valor total estimado.</t>
  </si>
  <si>
    <t>X</t>
  </si>
  <si>
    <t>Valor vigencia 2027</t>
  </si>
  <si>
    <t>Parte del valor que se pagará en 2027. Si es menor que el total, requiere vigencias futuras.</t>
  </si>
  <si>
    <t>Valor estimado en la vigencia actual.</t>
  </si>
  <si>
    <t>Y-Z</t>
  </si>
  <si>
    <t>Vigencias futuras</t>
  </si>
  <si>
    <t>¿Requiere? (Sí/No) y estado: no solicitadas, solicitadas, aprobadas o no aplica.</t>
  </si>
  <si>
    <t>¿Se requieren vigencias futuras? / Estado de solicitud.</t>
  </si>
  <si>
    <t>AA</t>
  </si>
  <si>
    <t>Sede o lugar de ejecución</t>
  </si>
  <si>
    <t>Sede de la ETITC o lugar de desarrollo donde se ejecutará.</t>
  </si>
  <si>
    <t>Ubicación.</t>
  </si>
  <si>
    <t>AB-AE</t>
  </si>
  <si>
    <t>Responsable</t>
  </si>
  <si>
    <t>Nombre, cargo, teléfono y correo institucional @itc.edu.co del supervisor previsto.</t>
  </si>
  <si>
    <t>Sí (salvo teléfono)</t>
  </si>
  <si>
    <t>Nombre, teléfono y correo del responsable.</t>
  </si>
  <si>
    <t>AF-AG</t>
  </si>
  <si>
    <t>Continuidad 2026</t>
  </si>
  <si>
    <t>¿Continúa una necesidad 2026? Si es Sí, seleccione su número PN26-### de la hoja 2026.</t>
  </si>
  <si>
    <t>Sí / condicional</t>
  </si>
  <si>
    <t>AH-AI</t>
  </si>
  <si>
    <t>Prioridad y observaciones</t>
  </si>
  <si>
    <t>Alta, media o baja, para el caso de que el presupuesto no alcance; observaciones libres.</t>
  </si>
  <si>
    <t>Prioridad: no</t>
  </si>
  <si>
    <t>Priorización interna.</t>
  </si>
  <si>
    <t>AJ</t>
  </si>
  <si>
    <t>Alerta de consistencia</t>
  </si>
  <si>
    <t>Automática. Debe decir OK para que la necesidad pase al Insumo del Plan Anual de Adquisiciones.</t>
  </si>
  <si>
    <t>Control de calidad.</t>
  </si>
  <si>
    <t>7. Reglas de calidad</t>
  </si>
  <si>
    <t>Una necesidad por fila y un objeto por necesidad. Toda necesidad sirve a una acción del Plan de Acción 2027; si la acción no existe, primero se formula en la plantilla. El código UNSPSC se registra como número de 8 dígitos (clase o producto). Los valores se registran en pesos colombianos, sin puntos, signos ni texto, y el valor de la vigencia 2027 no supera el total. Si el contrato se paga en más de una vigencia, marque vigencias futuras y su estado. El mes de presentación de ofertas no es anterior al de inicio. El responsable se identifica con correo institucional @itc.edu.co, sin tildes ni espacios. No registre como necesidad algo que no se va a contratar (por ejemplo, actividades que el área ejecuta con su propio personal de planta).</t>
  </si>
  <si>
    <t>8. Convenciones</t>
  </si>
  <si>
    <t>Gris: información automática o de la OAPDI (bloqueada). Amarillo: celdas habilitadas para diligenciar. Verde: control y anotaciones de la OAPDI. El marcador [PENDIENTE DE VERIFICAR] señala un dato que ningún documento fuente confirma y que debe validarse antes de usarlo. El libro está protegido; la hoja 2026 y la estructura del libro (crear, borrar u ocultar hojas) solo las puede desbloquear la OAPDI.</t>
  </si>
  <si>
    <t>9. Ejemplo de fila diligenciada (solo ilustrativo; no corresponde a una necesidad aprobada)</t>
  </si>
  <si>
    <t>Área (B)</t>
  </si>
  <si>
    <t>A05 · Planeación y Plan de Acción (101)</t>
  </si>
  <si>
    <t>Meta PDI (E)</t>
  </si>
  <si>
    <t>4.2.1.2 · Contar con un (1) sistema de información estratégico.</t>
  </si>
  <si>
    <t>Acción (H)</t>
  </si>
  <si>
    <t>A27-093 · Formalizar el cierre de la implementación del SIUE y su manual de uso</t>
  </si>
  <si>
    <t>Tipo / objeto (J, L)</t>
  </si>
  <si>
    <t>Prestación de servicios profesionales / Prestar servicios profesionales a la OAPDI para el mantenimiento y fortalecimiento del sistema de información estratégico y la analítica de datos institucional.</t>
  </si>
  <si>
    <t>UNSPSC (M)</t>
  </si>
  <si>
    <t>80111600 (clase; verifique en el clasificador si existe un producto más preciso)</t>
  </si>
  <si>
    <t>Meses (O, P) / duración (Q, R)</t>
  </si>
  <si>
    <t>Enero / Enero — 11 Meses</t>
  </si>
  <si>
    <t>Modalidad / fuente / gasto (S, T, U)</t>
  </si>
  <si>
    <t>Contratación directa / Presupuesto General de la Nación – funcionamiento / Funcionamiento</t>
  </si>
  <si>
    <t>Valor total y 2027 (W, X)</t>
  </si>
  <si>
    <t>60500000 y 60500000 (cifras ilustrativas tomadas de una necesidad similar de 2026)</t>
  </si>
  <si>
    <t>Vigencias futuras (Y, Z)</t>
  </si>
  <si>
    <t>No / No aplica</t>
  </si>
  <si>
    <t>Responsable (AB-AE)</t>
  </si>
  <si>
    <t>Nombre del supervisor previsto / Jefe de la Oficina Asesora de Planeación / extensión / planeacion@itc.edu.co</t>
  </si>
  <si>
    <t>Continuidad 2026 (AF, AG)</t>
  </si>
  <si>
    <t>Sí / el N.° PN26-### de la necesidad 2026 equivalente</t>
  </si>
  <si>
    <t>Alerta (AJ)</t>
  </si>
  <si>
    <t>OK</t>
  </si>
  <si>
    <t>10. Advertencias de la OAPDI antes de remitir</t>
  </si>
  <si>
    <t>a) La formulación 2026 no permite trazar las necesidades al PDI: el instructivo 2026 pedía eje, línea, meta, estrategia y acción, pero la hoja de datos solo tenía diez columnas (código UNSPSC a ID) y ninguna de alineación. Este libro corrige esa brecha con las columnas E a I.</t>
  </si>
  <si>
    <t>b) Existían dos versiones del plan 2026. La versión "PROTEGIDO" (106 registros) está contenida en su totalidad en la versión "Modificado_2" (424 registros), que es la que se conserva en la hoja 2026.</t>
  </si>
  <si>
    <t>c) Calidad del dato 2026: 207 valores escritos como texto (con $, puntos, comas o apóstrofos), 12 registros sin valor, 43 códigos UNSPSC vacíos, en texto o múltiples en una celda, 20 códigos a nivel de segmento o familia, 152 duraciones en texto o vacías (incluidas cuatro filas con el encabezado pegado como dato), 23 formas distintas de escribir la modalidad (incluidas "ORII" y "Vicerrectoría Administrativa"), 42 registros sin correo y 301 sin ID; en un registro la justificación quedó en la columna ID. La columna O de la hoja 2026 señala cada caso.</t>
  </si>
  <si>
    <t>d) El valor 2026 normalizado por la OAPDI (columna M de la hoja 2026) suma $50.409.700.208; es una cifra de referencia: se excluyen los registros sin valor o no interpretables (marcados [PENDIENTE DE VERIFICAR]) y se mantienen tal cual valores atípicos como $25.800 (área protegida) que el área debe confirmar.</t>
  </si>
  <si>
    <t>e) La dependencia de cada registro 2026 se infirió a partir del correo del responsable y, cuando faltaba o no era institucional (por ejemplo, "academusoft@it.edu.co"), a partir del campo ENCARGADO; con ello todos los registros quedaron asignados, pero la asignación es una inferencia. Toda la columna L de la hoja 2026 debe validarse antes de usar el comparativo del tablero.</t>
  </si>
  <si>
    <t>f) Valores 2026 que deben revisarse antes de tomarlos como referencia: 3 contratos de prestación de servicios por $500 millones o más (por ejemplo. PN26-044 por $7.150 millones. PN26-101 por $3.023 millones y PN26-103 por $2.411 millones). que suman $12.583.827.400 y parecen errores de digitación; y 41 necesidades marcadas como mínima cuantía por encima del tope de $39.850.000 que citaba el propio instructivo 2026. con valores de hasta $1.200.000.000. En ambos casos la modalidad o el valor son incompatibles y deben aclararse con el área.</t>
  </si>
  <si>
    <t>g) El instructivo 2026 indicaba "Mínima cuantía: montos hasta $39.850.000" (cifra de 2025) y "Menor cuantía: desde $39.851.000 en adelante". Lo segundo es incompleto: la menor cuantía tiene un tope superior que depende del presupuesto anual de la entidad en salarios mínimos, y por encima de él aplica otra modalidad. Los topes 2027 se registran en el Tablero_Consistencia cuando Contratación los certifique [PENDIENTE DE VERIFICAR].</t>
  </si>
  <si>
    <t>h) Las fuentes de recursos de la lista son una agrupación institucional propuesta por la OAPDI; la Vicerrectoría Administrativa y Financiera debe validarlas y Contratación debe homologarlas a las fuentes de la plantilla de SECOP II.</t>
  </si>
  <si>
    <t>i) La lista de acciones proviene del Plan de acción 2027 (158 acciones A27-001 a A27-158, versión 7 sujeta a revisión del CIGD). Si el CIGD modifica, elimina o renumera acciones, la OAPDI debe actualizar la hoja Catálogos antes de distribuir este libro.</t>
  </si>
  <si>
    <t>j) La hoja Insumo_Plan_Adquisiciones sigue los campos de la plantilla de cargue de SECOP II descritos por Colombia Compra Eficiente; la versión vigente de esa plantilla debe confirmarse con el GIT de Contratación antes del cargue.</t>
  </si>
  <si>
    <t>Guía del Código Estándar de Productos y Servicios de las Naciones Unidas (UNSPSC)</t>
  </si>
  <si>
    <t>Cómo identificar el código de cada necesidad para que el Plan de Necesidades se convierta en el Plan Anual de Adquisiciones.</t>
  </si>
  <si>
    <t>1. Qué es el UNSPSC y por qué es obligatorio</t>
  </si>
  <si>
    <t>El UNSPSC (United Nations Standard Products and Services Code, Código Estándar de Productos y Servicios de las Naciones Unidas) es un sistema de clasificación de cuatro niveles que asigna un código numérico de 8 dígitos a cada bien, obra o servicio. En Colombia se adoptó como el Clasificador de Bienes y Servicios que administra la Agencia Nacional de Contratación Pública – Colombia Compra Eficiente. El Decreto 1082 de 2015 (artículo 2.2.1.1.1.4.1) exige que cada adquisición del Plan Anual de Adquisiciones se identifique con este clasificador, y SECOP II no admite una adquisición sin código. El código tiene además tres efectos prácticos: (a) es el idioma común con los proveedores, porque los proponentes se inscriben en el Registro Único de Proponentes (RUP) con estos mismos códigos; (b) define qué proveedores reciben la alerta del proceso en SECOP II y quiénes pueden acreditar experiencia; y (c) permite a la ETITC agrupar compras iguales de varias áreas en un solo proceso. Un código mal elegido puede dejar por fuera a los proveedores idóneos o invalidar la verificación de experiencia.</t>
  </si>
  <si>
    <t>2. Estructura del código: cuatro niveles, dos dígitos por nivel</t>
  </si>
  <si>
    <t>Nivel</t>
  </si>
  <si>
    <t>Dígitos que identifica</t>
  </si>
  <si>
    <t>Código de ejemplo</t>
  </si>
  <si>
    <t>Denominación de referencia del ejemplo</t>
  </si>
  <si>
    <t>¿Sirve para SECOP II?</t>
  </si>
  <si>
    <t>Comentario</t>
  </si>
  <si>
    <t>1. Segmento</t>
  </si>
  <si>
    <t>2 primeros (80)</t>
  </si>
  <si>
    <t>80000000</t>
  </si>
  <si>
    <t>Servicios de gestión, servicios profesionales de empresa y servicios administrativos</t>
  </si>
  <si>
    <t>Agrupa sectores completos; es demasiado general.</t>
  </si>
  <si>
    <t>2. Familia</t>
  </si>
  <si>
    <t>4 primeros (8011)</t>
  </si>
  <si>
    <t>80110000</t>
  </si>
  <si>
    <t>Servicios de recursos humanos</t>
  </si>
  <si>
    <t>Sigue siendo general; SECOP II exige tercer o cuarto nivel.</t>
  </si>
  <si>
    <t>3. Clase</t>
  </si>
  <si>
    <t>6 primeros (801116)</t>
  </si>
  <si>
    <t>80111600</t>
  </si>
  <si>
    <t>Servicios de personal temporal</t>
  </si>
  <si>
    <t>Termina en 00. Úsela cuando no exista un producto exacto o el objeto agrupe varios productos de la misma clase.</t>
  </si>
  <si>
    <t>4. Producto</t>
  </si>
  <si>
    <t>8 dígitos (80111601)</t>
  </si>
  <si>
    <t>80111601</t>
  </si>
  <si>
    <t>Asistencia de oficina o administrativa temporal</t>
  </si>
  <si>
    <t>Sí (preferible)</t>
  </si>
  <si>
    <t>Es el nivel más preciso; úselo siempre que exista.</t>
  </si>
  <si>
    <t>Nota: las denominaciones de esta guía son de referencia para explicar la estructura. La denominación oficial y vigente es la que muestra el clasificador de Colombia Compra Eficiente; verifíquela siempre allí antes de registrar el código.</t>
  </si>
  <si>
    <t>3. Cómo encontrar el código correcto (paso a paso)</t>
  </si>
  <si>
    <t>Paso 1. Defina primero el objeto: qué se compra o contrata y para qué (columna L de la hoja de formulación). El código se escoge a partir del objeto, no al revés.</t>
  </si>
  <si>
    <t>Paso 2. Ingrese al Clasificador de Bienes y Servicios de Colombia Compra Eficiente: https://operaciones.colombiacompra.gov.co/clasificador-de-bienes-y-servicios (también puede usar el buscador de códigos del Registro Único de Proponentes en SECOP II).</t>
  </si>
  <si>
    <t>Paso 3. Busque por palabra clave del bien o servicio (por ejemplo: "mantenimiento", "licencia de software", "extintores") o navegue de lo general a lo particular: segmento → familia → clase → producto.</t>
  </si>
  <si>
    <t>Paso 4. Elija el producto (8 dígitos) que corresponda exactamente. Si el objeto agrupa varios productos de la misma clase, registre la clase (6 dígitos seguidos de 00).</t>
  </si>
  <si>
    <t>Paso 5. Registre en la columna M un solo código de 8 dígitos, como número, sin espacios, puntos ni texto. Si el objeto requiere códigos de otras clases (por ejemplo, suministro e instalación), regístrelos en la columna N separados por punto y coma (;).</t>
  </si>
  <si>
    <t>Paso 6. Verifique con el GIT de Contratación y Adquisiciones cuando dude entre dos códigos: el código debe ser coherente con los requisitos habilitantes que se pedirán en el RUP.</t>
  </si>
  <si>
    <t>Paso 7. Revise la columna "Alerta de consistencia": si dice "Código UNSPSC inválido" o "a nivel de segmento o familia", corrija antes de remitir.</t>
  </si>
  <si>
    <t>4. Errores frecuentes encontrados en la formulación 2026 (hoja 2026)</t>
  </si>
  <si>
    <t>• De 424 registros 2026, 43 tienen el código vacío, escrito como texto o con varios códigos en la misma celda (por ejemplo, "39120000 39121700"); SECOP II solo lee un código por campo.</t>
  </si>
  <si>
    <t>• 20 registros usan códigos a nivel de segmento o familia (terminados en 0000, por ejemplo 41000000 o 60000000), que SECOP II no acepta como identificación de la adquisición.</t>
  </si>
  <si>
    <t>• Se encontraron códigos con longitud distinta de 8 dígitos: 6010625, 721010507, 811112208. [PENDIENTE DE VERIFICAR] el código que quiso registrar el área.</t>
  </si>
  <si>
    <t>• Un mismo código se usó para objetos muy distintos (por ejemplo, 80111600 para prestación de servicios de áreas diferentes). No es un error en sí mismo, pero obliga a describir bien el objeto para que Contratación pueda agrupar o separar procesos.</t>
  </si>
  <si>
    <t>• Un código cuyo segmento (dos primeros dígitos) es 75 no figura entre los segmentos de referencia de esta guía: [PENDIENTE DE VERIFICAR] en el clasificador.</t>
  </si>
  <si>
    <t>5. Segmentos usados por la ETITC en 2026 (orientación para buscar)</t>
  </si>
  <si>
    <t>Segmento</t>
  </si>
  <si>
    <t>N.° de códigos registrados en 2026</t>
  </si>
  <si>
    <t>Denominación de referencia</t>
  </si>
  <si>
    <t>11</t>
  </si>
  <si>
    <t>Material mineral, textil y vegetal y animal no comestible</t>
  </si>
  <si>
    <t>12</t>
  </si>
  <si>
    <t>Material químico, incluidos bioquímicos y materiales de gas</t>
  </si>
  <si>
    <t>13</t>
  </si>
  <si>
    <t>Materiales de resina, colofonia, caucho, espuma, película y elastómeros</t>
  </si>
  <si>
    <t>14</t>
  </si>
  <si>
    <t>Materiales y productos de papel</t>
  </si>
  <si>
    <t>20</t>
  </si>
  <si>
    <t>Maquinaria y accesorios de minería y perforación de pozos</t>
  </si>
  <si>
    <t>22</t>
  </si>
  <si>
    <t>Maquinaria y accesorios para construcción y edificación</t>
  </si>
  <si>
    <t>23</t>
  </si>
  <si>
    <t>Maquinaria y accesorios de manufactura y procesamiento industrial</t>
  </si>
  <si>
    <t>24</t>
  </si>
  <si>
    <t>Maquinaria, accesorios y suministros para manejo, acondicionamiento y almacenamiento de materiales</t>
  </si>
  <si>
    <t>25</t>
  </si>
  <si>
    <t>Vehículos comerciales, militares y particulares, accesorios y componentes</t>
  </si>
  <si>
    <t>27</t>
  </si>
  <si>
    <t>Herramientas y maquinaria general</t>
  </si>
  <si>
    <t>30</t>
  </si>
  <si>
    <t>Componentes y suministros para estructuras, edificación, construcción y obras civiles</t>
  </si>
  <si>
    <t>31</t>
  </si>
  <si>
    <t>Componentes y suministros de manufactura</t>
  </si>
  <si>
    <t>32</t>
  </si>
  <si>
    <t>Componentes y suministros electrónicos</t>
  </si>
  <si>
    <t>39</t>
  </si>
  <si>
    <t>Componentes, accesorios y suministros de sistemas eléctricos e iluminación</t>
  </si>
  <si>
    <t>40</t>
  </si>
  <si>
    <t>Componentes y equipos para distribución y sistemas de acondicionamiento</t>
  </si>
  <si>
    <t>41</t>
  </si>
  <si>
    <t>Equipos y suministros de laboratorio, de medición, de observación y de pruebas</t>
  </si>
  <si>
    <t>42</t>
  </si>
  <si>
    <t>Equipo médico, accesorios y suministros</t>
  </si>
  <si>
    <t>43</t>
  </si>
  <si>
    <t>Difusión de tecnologías de información y telecomunicaciones</t>
  </si>
  <si>
    <t>44</t>
  </si>
  <si>
    <t>Equipos de oficina, accesorios y suministros</t>
  </si>
  <si>
    <t>45</t>
  </si>
  <si>
    <t>Equipos y suministros para impresión, fotografía y audiovisuales</t>
  </si>
  <si>
    <t>46</t>
  </si>
  <si>
    <t>Equipos y suministros de defensa, orden público, protección, vigilancia y seguridad</t>
  </si>
  <si>
    <t>47</t>
  </si>
  <si>
    <t>Equipos de limpieza y suministros</t>
  </si>
  <si>
    <t>49</t>
  </si>
  <si>
    <t>Equipos, suministros y accesorios para deportes y recreación</t>
  </si>
  <si>
    <t>52</t>
  </si>
  <si>
    <t>Artículos domésticos, suministros y productos electrónicos de consumo</t>
  </si>
  <si>
    <t>53</t>
  </si>
  <si>
    <t>Ropa, maletas y productos de aseo personal</t>
  </si>
  <si>
    <t>55</t>
  </si>
  <si>
    <t>Productos impresos y publicaciones</t>
  </si>
  <si>
    <t>56</t>
  </si>
  <si>
    <t>Muebles, mobiliario y decoración</t>
  </si>
  <si>
    <t>60</t>
  </si>
  <si>
    <t>Instrumentos musicales, juegos, juguetes, artes, artesanías y equipo educativo, materiales, accesorios y suministros</t>
  </si>
  <si>
    <t>64</t>
  </si>
  <si>
    <t>Instrumentos financieros, productos y accesorios</t>
  </si>
  <si>
    <t>72</t>
  </si>
  <si>
    <t>Servicios de edificación, construcción de instalaciones y mantenimiento</t>
  </si>
  <si>
    <t>73</t>
  </si>
  <si>
    <t>Servicios de producción industrial y manufactura</t>
  </si>
  <si>
    <t>75</t>
  </si>
  <si>
    <t>[PENDIENTE DE VERIFICAR] — no figura entre los segmentos de referencia</t>
  </si>
  <si>
    <t>76</t>
  </si>
  <si>
    <t>Servicios de limpieza industrial</t>
  </si>
  <si>
    <t>77</t>
  </si>
  <si>
    <t>Servicios medioambientales</t>
  </si>
  <si>
    <t>78</t>
  </si>
  <si>
    <t>Servicios de transporte, almacenaje y correo</t>
  </si>
  <si>
    <t>80</t>
  </si>
  <si>
    <t>81</t>
  </si>
  <si>
    <t>Servicios basados en ingeniería, investigación y tecnología</t>
  </si>
  <si>
    <t>82</t>
  </si>
  <si>
    <t>Servicios editoriales, de diseño, de artes gráficas y bellas artes</t>
  </si>
  <si>
    <t>84</t>
  </si>
  <si>
    <t>Servicios financieros y de seguros</t>
  </si>
  <si>
    <t>85</t>
  </si>
  <si>
    <t>Servicios de salud</t>
  </si>
  <si>
    <t>86</t>
  </si>
  <si>
    <t>Servicios educativos y de formación</t>
  </si>
  <si>
    <t>90</t>
  </si>
  <si>
    <t>Servicios de viajes, alimentación, alojamiento y entretenimiento</t>
  </si>
  <si>
    <t>93</t>
  </si>
  <si>
    <t>Servicios políticos y de asuntos cívicos</t>
  </si>
  <si>
    <t>94</t>
  </si>
  <si>
    <t>Organizaciones y clubes</t>
  </si>
  <si>
    <t>95</t>
  </si>
  <si>
    <t>Terrenos, edificios, estructuras y vías</t>
  </si>
  <si>
    <t>6. Códigos de 8 dígitos usados en 2026, con un ejemplo de objeto (consulta rápida; verifique siempre la denominación oficial)</t>
  </si>
  <si>
    <t>Código</t>
  </si>
  <si>
    <t>Veces en 2026</t>
  </si>
  <si>
    <t>Ejemplo de objeto contractual 2026</t>
  </si>
  <si>
    <t>N.° registro 2026</t>
  </si>
  <si>
    <t>Área que lo registró (2026)</t>
  </si>
  <si>
    <t>Clase</t>
  </si>
  <si>
    <t>Prestar servicios profesionales para apoyar el diseño, implementación, conformación y seguimiento del Plan de Emergencias de la Escuela Tecnológica Instituto Técnico Central – ETITC y sus sedes, así como para realizar l…</t>
  </si>
  <si>
    <t>PN26-006</t>
  </si>
  <si>
    <t>Talento humano - Seguridad y salud en el trabajo</t>
  </si>
  <si>
    <t>Realizar la interventoría técnica, administrativa y financiera al contrato cuyo objeto es ejecutar la obra civil correspondiente a las soluciones arquitectónicas de la Etapa 1 del Plan de Movilidad Inclusiva y la interv…</t>
  </si>
  <si>
    <t>PN26-160</t>
  </si>
  <si>
    <t>Vicerrectoria administrativa y financiera</t>
  </si>
  <si>
    <t>Prestación de servicios profesionales para la gestión del giteps desarrollando acciones dirigidas a la proyección social a través de articulación de la comunidad con la institución durante la vigencia 2026.</t>
  </si>
  <si>
    <t>PN26-043</t>
  </si>
  <si>
    <t>Proyección social</t>
  </si>
  <si>
    <t>Producto</t>
  </si>
  <si>
    <t>PRESTACIÓN DE SERVICIOS COMO TECNOLOGO EN EL ÁREA DE INFORMÁTICA Y TELECOMUNICACIONES PARA BRINDAR EL SOPORTE DE PRIMER NIVEL CON EL PROPÓSITO DE BRINDAR RESPUESTA Y SOLUCIÓN A LOS INCIDENTES, REQUERIMIENTOS Y SOLICITUD…</t>
  </si>
  <si>
    <t>PN26-377</t>
  </si>
  <si>
    <t>Gestión Tecnología e Informática</t>
  </si>
  <si>
    <t>Renovación de licenciamiento LevelBlue AlienVault USM Anywhere (Unified Security Management) &amp; Threat Intelligent durante doce meses para el servicio de monitoreo de estado de compromisos e inteligencia de amenazas como…</t>
  </si>
  <si>
    <t>PN26-105</t>
  </si>
  <si>
    <t>Planeación - Seguridad de la Información</t>
  </si>
  <si>
    <t>Adquisición del soporte y las actualizaciones del sistema de información de gestión académico del bachillerato GNOSOFT de la escuela tecnológica instituto técnico central</t>
  </si>
  <si>
    <t>PN26-365</t>
  </si>
  <si>
    <t>Vicerretoría académica-Sistemas de información Getión Académica</t>
  </si>
  <si>
    <t>Prestación de servicios de apoyo a la gestión para realizar la gestión administrativa y logística de las actividades relacionadas con el seguimiento y la ejecución de los contratos a cargo de la vicerrectoría administra…</t>
  </si>
  <si>
    <t>PN26-059</t>
  </si>
  <si>
    <t>Pendiente</t>
  </si>
  <si>
    <t>ADQUISICION DE LICENCIAS PARA ACCEDER A LA PLATAFORMA VIRTUAL PRO COMO APOYO AL PROCESO DE FORMACION DE LOS ESTUDIANTES DE LOS PROGRAMAS DE EDUCACIÓN SUSPERIOR DE LA ESCUELA TECNOLOGICA INSTITUTO TECNICO CENTRAL</t>
  </si>
  <si>
    <t>PN26-197</t>
  </si>
  <si>
    <t>Centro de Biblioteca y Recursos Educativos</t>
  </si>
  <si>
    <t>ADQUISICIÓN DE UN HORNO DE SECADO POR CONVECCIÓN PARA LABORATORIO CON CONTROL DIGITAL DE TEMPERATURA Y SISTEMA DE CIRCULACIÓN DE AIRE UNIFORME. EL EQUIPO DEBE CONTAR CON INTERIOR EN ACERO INOXIDABLE DE ALTA RESISTENCIA,…</t>
  </si>
  <si>
    <t>PN26-289</t>
  </si>
  <si>
    <t>Talleres y Laboratorios (Laboratorio física, química y biología)</t>
  </si>
  <si>
    <t>ADQUISICIÓN DE UN LOTE DE 15 KITS MULTIPARAMÉTRICOS Y DE REACCIÓN RÁPIDA PARA ANÁLISIS FISICOQUÍMICO Y AMBIENTAL, QUE INCLUYE KITS PARA ANÁLISIS DE CALIDAD DE AGUAS (DUREZA, CLORO, ALCALINIDAD, OXÍGENO DISUELTO), KITS D…</t>
  </si>
  <si>
    <t>PN26-279</t>
  </si>
  <si>
    <t>Compra de 6 computadores equipos portátiles HP 512 G10, Intel Core I5 1334U, SSD 512GB, DDR4 8GB, NO DVD, Pantalla 15.6" HD.</t>
  </si>
  <si>
    <t>PN26-141</t>
  </si>
  <si>
    <t>Bienestar Universitario</t>
  </si>
  <si>
    <t>Familia</t>
  </si>
  <si>
    <t>SUMINISTRO DE EQUIPOS, HERRAMIENTAS Y MATERIALES ELÉCTRICOS PARA LA ESCUELA TECNOLÓGICA INSTITUTO TÉCNICO CENTRAL Y EXTENSIONES (SUMINISTRO - ADQUISICIÓN)</t>
  </si>
  <si>
    <t>PN26-113</t>
  </si>
  <si>
    <t>Infraestructura electrica</t>
  </si>
  <si>
    <t>ADQUISICIÓN DE 2 COMPUTADORES PORTÁTILES EMPLEADOS PARA ACTIVIDADES DE FORMACIÓN Y EXTENSIÓN DEL CENTRO DE BIBLIOTECA Y RECURSOS EDUCATIVOS</t>
  </si>
  <si>
    <t>PN26-206</t>
  </si>
  <si>
    <t>Compra de insumos, consumibles y herramientas para para el taller de Metalistería de la Escuela Tecnológica Instituto Técnico Central para la vigencia 2026.</t>
  </si>
  <si>
    <t>PN26-316</t>
  </si>
  <si>
    <t>Talleres y Laboratorios (Metalistería)</t>
  </si>
  <si>
    <t>Adquisicion de un horno de secado de machos para fundición, equipo utilizado para el secado y endurecimiento de los machos de arena empleados en la fabricación de moldes para procesos de colada de meta garantizando mayo…</t>
  </si>
  <si>
    <t>PN26-340</t>
  </si>
  <si>
    <t>Talleres y Laboratorios (Taller de fundición)</t>
  </si>
  <si>
    <t>Prestacion de servicios para el mantenimiento preventivo y/o correctivo (a todo costo) del equipos especializad espectómetro de emisión óptica miniLab GNR 300 que presta el servicio en el Laboratorio de Tratamientos Tér…</t>
  </si>
  <si>
    <t>PN26-311</t>
  </si>
  <si>
    <t>Talleres y Laboratorios (Laboratorio de tratamientos térmicos)</t>
  </si>
  <si>
    <t>SUMINISTRO DE HERRAMIENTAS MANUALES PARA EL DESARROLLO DE PRÁCTICAS EN EL LABORATORIO DE AUTOMATIZACIÓN.</t>
  </si>
  <si>
    <t>PN26-273</t>
  </si>
  <si>
    <t>Talleres y Laboratorios (Laboratorio de automatización)</t>
  </si>
  <si>
    <t>ADQUISICIÓN DE UN LOTE DE 350 PIEZAS DE MATERIAL DE VIDRIERÍA DE LABORATORIO EN BOROSILICATO Y VOLUMETRÍA CLASE A, QUE INCLUYA ELEMENTOS GENERALES Y KITS ESPECÍFICOS PARA PROCESOS DE DESTILACIÓN, EXTRACCIÓN, TITULACIÓN…</t>
  </si>
  <si>
    <t>PN26-277</t>
  </si>
  <si>
    <t>ADQUISICIÓN DE SOFTWARE ESPECIALIZADO PARA PRÁCTICAS DE AUTOMATIZACIÓN INDUSTRIAL</t>
  </si>
  <si>
    <t>PN26-275</t>
  </si>
  <si>
    <t>ADQUISICIÓN DE TRES (3) STANDS MODULARES PARA DIVULGACIÓN DE LA OFERTA ACADÉMICA Y EL FORTALECIMIENTO DE LA IMAGEN INSTITUCIONAL DE LA ESCUELA TECNOLOGICA INSTITUTO TECNICO CENTRAL.</t>
  </si>
  <si>
    <t>PN26-244</t>
  </si>
  <si>
    <t>Oficina de Comunicaciones</t>
  </si>
  <si>
    <t>Instrumentos Banda de Honor</t>
  </si>
  <si>
    <t>PN26-229</t>
  </si>
  <si>
    <t>IBTI-VRAC</t>
  </si>
  <si>
    <t>Diccionarios de inglés para la biblioteca.</t>
  </si>
  <si>
    <t>PN26-226</t>
  </si>
  <si>
    <t>ADQUISICIÓN DE TEXTOS IMPRESOS PARA LA COLECCION GENERAL, COMO APOYO A LAS ACTIVIDADES ACADÉMICAS Y DE INVESTIGACIÓN DE LA COMUNIDAD EN GENERAL DEL CENTRO DE BIBLIOTECA Y RECURSOS EDUCATIVOS DE LA ESCUELA TECNOLOGICA IN…</t>
  </si>
  <si>
    <t>PN26-216</t>
  </si>
  <si>
    <t>PRESTACIÓN DE SERVICIO PARA REALIZAR EL MANTENIMIENTO PREVENTIVO Y CORRECTIVO A TODO COSTO DEL SISTEMA FOTOVOLTAICO UBICADO EN EL AREA DEL TALLER DE FUNDICION, DE LA SEDE PRINCIPAL CENTRO Y EXTENSIONES DE LA ESCUELA TEC…</t>
  </si>
  <si>
    <t>PN26-111</t>
  </si>
  <si>
    <t>Servicio de mantenimiento preventivo, predictivo y correctivo a todo costo para tres (3) equipos de control numérico computarizado (CNC) del Taller de Modelería y Laboratorio de Fabricación Digital de la ETITC, incluyen…</t>
  </si>
  <si>
    <t>PN26-344</t>
  </si>
  <si>
    <t>Talleres y Laboratorios (Taller de modeleria y FabLab)</t>
  </si>
  <si>
    <t>Prestación de servicios profesionales para la vicerrectoría administrativa y financiera frente al seguimiento, la planeación y ejecución del desarrollo de los proyectos de la infraestructura fisica, electrica y servicio…</t>
  </si>
  <si>
    <t>PN26-058</t>
  </si>
  <si>
    <t>Consultoría integral para la elaboración de estudios y diseños técnicos requeridos para la obtención de licencias de demolición y construcción en cualquiera de sus modalidades y/o licencia de urbanismo con los permisos…</t>
  </si>
  <si>
    <t>PN26-161</t>
  </si>
  <si>
    <t>Adecuación del gimnasio en sustitución e instalación de nuevos espejos, renovación del sistema de iluminación, instalación y/o reemplazo de lockers, colocación de percheros, cambiar o mejor puertas, incorporación o reno…</t>
  </si>
  <si>
    <t>PN26-117</t>
  </si>
  <si>
    <t>Adquisición de 40 Kit de lienzo para pintar por números 30x30 , 40 Kit de lienzo para pintar por números 50x40, 10 Juego bloques magnéticos para concentración, 40 juegos de Arte 5D Diamante 50x40, 150 AGENDAS 1/2 CARTA…</t>
  </si>
  <si>
    <t>PN26-131</t>
  </si>
  <si>
    <t>Se requiere la adquisición de un (1) taladro fresador para mecanizado de metales, destinado a apoyar las actividades de perforado, roscado y fresado en procesos de formación práctica y fabricación de piezas en el Taller…</t>
  </si>
  <si>
    <t>PN26-329</t>
  </si>
  <si>
    <t>Talleres y Laboratorios (Taller de mecánica)</t>
  </si>
  <si>
    <t>Adquisición de materiales electrónicos (Baterias LiPo Turnigy 7.4V (2S) 2200mAh 30 - 40C ) ; (cables Usb A - Tipo B Arduino Uno 30 - 50 cm); (bluetooth hc-06); (Cables jumper macho hembra), Motorreductores Pololu, Tarje…</t>
  </si>
  <si>
    <t>PN26-227</t>
  </si>
  <si>
    <t>Adquisición de insumos y consumibles para el desarrollo de prácticas académicas en el Taller de Electrónica, incluyendo soldadura de estaño (15 lb), cautines para procesos de ensamblaje y reparación electrónica (30 unid…</t>
  </si>
  <si>
    <t>PN26-265</t>
  </si>
  <si>
    <t>Talleres y Laboratorios (Taller de eléctrónica)</t>
  </si>
  <si>
    <t>Suministro de elementos, dotación y mobiliario para el área de enfermería en la prestación de servicios de atención primaria en salud a los estudiantes, docentes, personal administrativo y visitantes de la Escuela Tecno…</t>
  </si>
  <si>
    <t>PN26-135</t>
  </si>
  <si>
    <t>Adquisición de pantalla táctil (OneScreen) T6 75" con compatibilidad HDMI en buen estado, resoluciones Full HD o superiores</t>
  </si>
  <si>
    <t>PN26-299</t>
  </si>
  <si>
    <t>Talleres y Laboratorios (Laboratorio industria 4.0 FESTO)</t>
  </si>
  <si>
    <t>ADQUISICIÓN DE 1 Impresora HP Laser MFP 137fnw PARA IMPRIMIR SEÑALIZACIONES, POSTERS, EXPEDIR CERTIFICACIONES DE PAZ Y SALVO Y OTROS DOCUMENTOS INHERENTES AL CENTRO DE BIBLIOTECA Y RECURSOS EDUCATIVOS</t>
  </si>
  <si>
    <t>PN26-205</t>
  </si>
  <si>
    <t>Adquisición de licencia en plataformas para descargar y/o crear recursos para las atenciones individuales y grupales, como Genially, Mensactiva entre otras; con el fin de poder brindar recursos para el aprendizaje autón…</t>
  </si>
  <si>
    <t>PN26-140</t>
  </si>
  <si>
    <t>Adquisición de 15 Tableros de Ajedrez 42X42. Enrrollable en lona y 15 temporizador reloj de ajedrez.</t>
  </si>
  <si>
    <t>PN26-129</t>
  </si>
  <si>
    <t>Adquisicion de IPP-R ( IPP-R. Inventario de Intereses y Preferencias Profesionales – Revisado (b) IPP-R. Inventario de Intereses y Preferencias Profesionales – Revisado – Juego completo (Manual, 10 Cuadernillos, Kit cor…</t>
  </si>
  <si>
    <t>PN26-127</t>
  </si>
  <si>
    <t>Compra de canecas y elementos para separación de residuos en la fuente que cumple con el código de colores de la Res2184 de 2019</t>
  </si>
  <si>
    <t>PN26-151</t>
  </si>
  <si>
    <t>Gestion Ambiental</t>
  </si>
  <si>
    <t>Adquisición de insumos, consumibles, herramientas menores para el funcionamiento del Laboratorio de Energías Renovables de la ETITC – Sede Tintal, incluyendo elementos necesarios para el mantenimiento y operación de los…</t>
  </si>
  <si>
    <t>PN26-350</t>
  </si>
  <si>
    <t>Talleres y laboratorios s. el Tintal Laobratorios de Energias Renovables</t>
  </si>
  <si>
    <t>Diseño y elaboración de uniformes seleciones deportivas de Bienestar Universitario, IBTI, Bienestar Laboral y comunicaciones</t>
  </si>
  <si>
    <t>PN26-125</t>
  </si>
  <si>
    <t>Adquisición de elementos deportivos para las modalidades de voleibol, baloncesto, futsal y tenis de mesa</t>
  </si>
  <si>
    <t>PN26-126</t>
  </si>
  <si>
    <t>PRESTACIÓN DE SERVICIOS PARA REALIZAR EL MANTENIMIENTO PREVENTIVO Y CORRECTIVO A TODO COSTO DE LOS EQUIPOS DE MISIÓN CRITICA (GRUPO MOTOR, TRANSFERENCIAS AUTOMÁTICAS, UPS, REGULADORES) A NIVEL DE INFRAESTRUCTURA ELÉCTRI…</t>
  </si>
  <si>
    <t>PN26-108</t>
  </si>
  <si>
    <t>Servicio especializado de mantenimiento segun condicion, calibración certificada y trasabilidad para los equipos de medición del Taller de Electrónica, incluyendo diagnóstico técnico, ajuste, limpieza interna, verificac…</t>
  </si>
  <si>
    <t>PN26-266</t>
  </si>
  <si>
    <t>Experiencia Internacional INFOMATRIX</t>
  </si>
  <si>
    <t>PN26-225</t>
  </si>
  <si>
    <t>Contratar la asesoria para dar inicio a la meta estrategica No. 3 del eje No. 6 de Cuidado por el Bienestar y la Vida: estar entre las cinco universidades colombianas reconocidas por rankings internacionales como Time H…</t>
  </si>
  <si>
    <t>PN26-144</t>
  </si>
  <si>
    <t>Prestación de servicios profesionales para apoyar jurídcamente la formulación, ejecución y seguimiento de los proyectos estratégicos y planes misionales de la escuela tecnológica instituto técnico central - etitc, media…</t>
  </si>
  <si>
    <t>PN26-019</t>
  </si>
  <si>
    <t>Juridico de apoyo</t>
  </si>
  <si>
    <t>Para la dotación de seguridad y atención de emergencias menores, se requiere la adquisición de cuatro (4) botiquines de primeros auxilios, tipo B, en morral portátil con dotación completa, incluidos insumos básicos como…</t>
  </si>
  <si>
    <t>PN26-252</t>
  </si>
  <si>
    <t>Equipo Interno de Trabajo Gestión Documental y Atención al Ciudadano</t>
  </si>
  <si>
    <t>PRESTACIÓN DE SERVICIOS PROFESIONALES EN EL ÁREA DE INFORMÁTICA Y TELECOMUNICACIONES PARA EJECUTAR ACTIVIDADES DE SEGUIMIENTO Y DOCUMENTACIÓN PARA GARANTIZAR EL CUMPLIMIENTO DE LA NORMATIVA VIGENTE EN LA INFRAESTRUCTURA…</t>
  </si>
  <si>
    <t>PN26-375</t>
  </si>
  <si>
    <t>Prestar servicio de Centro de operaciones de Ciberseguridad SOC 24x7, adaptado a la infraestructura tecnológica crítica y sistemas informáticos productivos de la ETITC</t>
  </si>
  <si>
    <t>PN26-104</t>
  </si>
  <si>
    <t>PRESTACIÓN DE SERVICIOS PROFESIONALES EN EL ÁREA DE INFORMÁTICA Y TELECOMUNICACIONES PARA ADMINISTRAR LA MESA DE AYUDA Y LAS PLATAFORMAS MICROSOFT 365, AZURE AD, AZURE MICROSOFT CLOUD SERVICES Y LA INTEGRACIÓN CON OTRAS…</t>
  </si>
  <si>
    <t>PN26-374</t>
  </si>
  <si>
    <t>Servicio para adecuación de accesibilidad digital en la página web institucional, incluyendo herramientas de lectura de pantalla, contraste visual adaptable, ampliación de texto y subtitulación de contenidos audiovisual…</t>
  </si>
  <si>
    <t>PN26-248</t>
  </si>
  <si>
    <t>Prestación de servicio para la realización de Auditoría Interna Integral de los Sistemas de Gestión de Calidad NTC ISO 9001:2015, NTC ISO 14001:2015, ISO/IEC 27001:2022, Decreto 1072 de 2015 y Resolución 0312 de 2019, e…</t>
  </si>
  <si>
    <t>PN26-156</t>
  </si>
  <si>
    <t>Aseguramiento de la Calidad</t>
  </si>
  <si>
    <t>Pruebas de admisión de estudiantes nuevos IBTI 2027</t>
  </si>
  <si>
    <t>PN26-220</t>
  </si>
  <si>
    <t>Mantenimiento preventivo y correctivo de bancos de Dómotica y maqueta de Dómotica. Capacitación de módulos HVAC y Security Expert con certificado.</t>
  </si>
  <si>
    <t>PN26-294</t>
  </si>
  <si>
    <t>Talleres y Laboratorios (Laboratorio Domótica)</t>
  </si>
  <si>
    <t>Suministro de una (1) tonelada de aluminio aleación 7178, una aleación de alta resistencia perteneciente a la serie Al-Zn-Mg-Cu. Esta aleación se caracteriza por presentar una composición química aproximada de: Zinc (Zn…</t>
  </si>
  <si>
    <t>PN26-335</t>
  </si>
  <si>
    <t>ADQUISICIÓN DE UN LOTE DE 150 UNIDADES (ENTRE FRASCOS Y ENVASES) DE REACTIVOS QUÍMICOS DE GRADO ANALÍTICO, SOLVENTES Y FLUIDOS. EL LOTE CONTEMPLA LAS FAMILIAS DE ÁCIDOS, BASES, SALES, METALES E INDICADORES, NECESARIOS P…</t>
  </si>
  <si>
    <t>PN26-278</t>
  </si>
  <si>
    <t>Compra de reactivos grado ACS/analítico, colorantes para tinciones celulares, soluciones patrón para practicas de espectroscopias,kits de análisis de aguas y suelos para muestreo en campo, medios de cultivo para practic…</t>
  </si>
  <si>
    <t>PN26-351</t>
  </si>
  <si>
    <t>Talleres y laboratorios s. el Tintal Laboratorio de Quimica y Fisica</t>
  </si>
  <si>
    <t>Adquisicion caucho de silicona líquida con catalizador, material utilizado para la elaboración de moldes flexibles y resistentes en procesos de modelado, fundición y reproducción de piezas. Este compuesto está formado p…</t>
  </si>
  <si>
    <t>PN26-337</t>
  </si>
  <si>
    <t>Se requiere la adquisición de materiales poliméricos para el Taller de Mecánica, consistentes en nylon (poliamida) en barras cilíndricas en diferentes diámetros y acrílico (PMMA). Las barras de nylon deberán suministrar…</t>
  </si>
  <si>
    <t>PN26-332</t>
  </si>
  <si>
    <t>Adquisición de insumos, consumibles y herramientas menores para el funcionamiento del Taller de Modelería y el Laboratorio de Fabricación Digital de la ETITC, incluyendo materiales como pegantes industriales, láminas de…</t>
  </si>
  <si>
    <t>PN26-343</t>
  </si>
  <si>
    <t>ADQUISICIÓN DE EQUIPOS REQUERIDOS EN DIFERENTES AREAS DEL TALLER</t>
  </si>
  <si>
    <t>PN26-327</t>
  </si>
  <si>
    <t>Talleres y Laboratorios (Motores y electromovilidad)</t>
  </si>
  <si>
    <t>PRESTACION DE SERVICIOS PARA EL MANTENIMIENTO PREVENTIVO Y CORRECTIVO A TODO COSTO PARA LA PLANTA DE INTRUMENTACIÓN Y CONTROL DE PROCESOS DEL TALLER DE MOTORES</t>
  </si>
  <si>
    <t>PN26-323</t>
  </si>
  <si>
    <t>Adquisición de maquinaria y equipos para fortalecimiento del Taller de Modelería y del Laboratorio de Fabricación Digital de la ETITC, incluyendo una escuadradora para corte de madera de precisión, una cabina de fotocur…</t>
  </si>
  <si>
    <t>PN26-346</t>
  </si>
  <si>
    <t>Adquisición, suministro e instalación de una cortadora metalográfica con sus respectivos insumos para el Laboratorio de Tratamientos Térmicos de la Escuela Tecnológica Instituto Técnico Central, con el fin de garantizar…</t>
  </si>
  <si>
    <t>PN26-301</t>
  </si>
  <si>
    <t>Compra de una sierra de cinta horizontal, máquina herramienta utilizada para el corte de materiales metálicos como barras, tubos, perfiles y placas de acero o aluminio. Este equipo opera mediante una hoja dentada en for…</t>
  </si>
  <si>
    <t>PN26-338</t>
  </si>
  <si>
    <t>Suministros de media (0,5) tonelada de arena de fundición, destinada a la elaboración de moldes en procesos de fundición de metales.</t>
  </si>
  <si>
    <t>PN26-336</t>
  </si>
  <si>
    <t>Se requiere la adquisición de dos (2) tornos convencionales para mecanizado de metales, destinados al fortalecimiento de las capacidades técnicas y operativas del Taller de Mecánica, permitiendo la ejecución de procesos…</t>
  </si>
  <si>
    <t>PN26-328</t>
  </si>
  <si>
    <t>Adquisición, suministro e instalación de dos pulidoras metalográficas con sus accesorios para el Laboratorio de Tratamientos Térmicos de la Escuela Tecnológica Instituto Técnico Central, con el fin de garantizar la prep…</t>
  </si>
  <si>
    <t>PN26-302</t>
  </si>
  <si>
    <t>Adquisicion de 4 impresoras 3d con tecnologia FDM, 2 scanners 3D, 3 secadoras de filamento, 2 maquinas de lavado y curado para resina, 1 cortadora laser de escritorio y accesorios para impresoras 3D (Pegante para impres…</t>
  </si>
  <si>
    <t>PN26-290</t>
  </si>
  <si>
    <t>Talleres y Laboratorios (Taller de diseño)</t>
  </si>
  <si>
    <t>Adquision de 10 rollos de hyper PLA, 20 rollos de PLA, 5 litros de resina, 5 rollos de ABS, 6 rollos de PETG, 4 rollos de TPU</t>
  </si>
  <si>
    <t>PN26-291</t>
  </si>
  <si>
    <t>Adquisición de insumos, consumibles, herramientas menores e instrumentos de medición para el funcionamiento del Laboratorio de Electricidad y Electrónica de la ETITC – Sede Tintal, destinados al desarrollo de prácticas…</t>
  </si>
  <si>
    <t>PN26-362</t>
  </si>
  <si>
    <t>Talleres y laboratorios s. el Tintal Taller de Electricidad y electronica</t>
  </si>
  <si>
    <t>Adquisición de dos (2) carros de transporte tipo plataforma para la movilización interna de cajas de archivo tipo X-200, X-300 y otras unidades de almacenamiento documental dentro de los depósitos de archivo de la entid…</t>
  </si>
  <si>
    <t>PN26-256</t>
  </si>
  <si>
    <t>Adquisición de elementos e insumos musicales, destinados a la dotación, reposición y adecuado funcionamiento de los instrumentos y equipos, con el fin de apoyar las actividades formativas, prácticas y artísticas desarro…</t>
  </si>
  <si>
    <t>PN26-132</t>
  </si>
  <si>
    <t>Adquisición de 4 kits de herramientas para mantenimiento de equipos de cómputo, compuestos por: pasta térmica, juego de destornilladores de precisión, palas plásticas para apertura de equipos, cautín con soldadura, limp…</t>
  </si>
  <si>
    <t>PN26-359</t>
  </si>
  <si>
    <t>Talleres y laboratorios s. el Tintal Sala de sistemas</t>
  </si>
  <si>
    <t>Se requiere la adquisición de herramientas y elementos de ferretería mecánica para el Taller de Mecánica, destinados al desarrollo de prácticas académicas, operaciones de mecanizado, medición y preparación de piezas en…</t>
  </si>
  <si>
    <t>PN26-333</t>
  </si>
  <si>
    <t>Se requiere la adquisición de materias primas metálicas para el Taller de Mecánica, consistentes en acero al carbono SAE/AISI 1020 en presentación de barras redondas (cilindros) y platinas en diferentes dimensiones, alu…</t>
  </si>
  <si>
    <t>PN26-331</t>
  </si>
  <si>
    <t>Ejecutar la obra civil de las soluciones arquitectónicas de la etapa 1 del plan de movilidad inclusiva y la intervención integral de las jardineras de acceso en la sede central de la escuela tecnológica instituto técnic…</t>
  </si>
  <si>
    <t>PN26-159</t>
  </si>
  <si>
    <t>Adquisición, suministro e instalación de una empastilladora metalográfica para el Laboratorio de Tratamientos Térmicos de la Escuela Tecnológica Instituto Técnico Central, con el fin de garantizar la preparación de prob…</t>
  </si>
  <si>
    <t>PN26-303</t>
  </si>
  <si>
    <t>Adquisición de materia prima metálica, consumibles, abrasivos, resinas, reactivos químicos y herramientas de mano para el laboratorio de tratamientos térmicos, destinada a la fabricación y preparación de probetas para e…</t>
  </si>
  <si>
    <t>PN26-300</t>
  </si>
  <si>
    <t>Suministro de equipos, herramientas y materiales para el mantenimiento locativo de planta física de la escuela tecnológica instituto técnico central y sus sedes</t>
  </si>
  <si>
    <t>PN26-167</t>
  </si>
  <si>
    <t>Adquisición de componentes electrónicos para prototipado y prácticas de instrumentación para prácticas de física y automatización (cables de protoboard, resistencias de película de carbón y diodos LED).</t>
  </si>
  <si>
    <t>PN26-352</t>
  </si>
  <si>
    <t>MANTENIMIENTO PREVENTIVO Y CORRECTIVO (INCLUIDA MANO DE OBRA Y REPUESTOS) DE LOS AIRES ACONDICIONADOS DE LA ESCUELA TECNOLÓGICA INSTITUTO TÉCNICO CENTRAL SEDE CENTRO E INSTALACIONES UPK - TINTAL (MANTENIMIENTO ESPECIALI…</t>
  </si>
  <si>
    <t>PN26-109</t>
  </si>
  <si>
    <t>Suministro e instalación del sistema de ventilación y extracción mecánica de la cocina de la sede central de la etitc.</t>
  </si>
  <si>
    <t>PN26-163</t>
  </si>
  <si>
    <t>Adquisicion de una mufla para fundición, equipo utilizado para el calentamiento y fusión de metales a altas temperaturas mediante una cámara de calentamiento cerrada y controlada. Este horno permite alcanzar temperatura…</t>
  </si>
  <si>
    <t>PN26-339</t>
  </si>
  <si>
    <t>El objeto de este contrato es la adquisición de cuatro (4) deshumidificadores de alta eficiencia, destinados a mantener un nivel óptimo de humedad en las áreas de archivo y gestión documental de la ETITC, con el fin de…</t>
  </si>
  <si>
    <t>PN26-258</t>
  </si>
  <si>
    <t>ADQUISICIÓN,MONTAJE Y PUESTA EN FUNCIONAMIENTO DE COMPRESOR PARA EL LABORATORIO DE NEUMÁTICA.</t>
  </si>
  <si>
    <t>PN26-272</t>
  </si>
  <si>
    <t>Talleres y Laboratorios (laboratorio de automatización)</t>
  </si>
  <si>
    <t>ADQUISICIÓN DE UNA CABINA DE EXTRACCIÓN DE GASES DE LABORATORIO ESTÁNDAR EQUIPADA CON SISTEMA DE VENTILACIÓN ESPECIALIZADA PARA LA CAPTURA Y EVACUACIÓN DE VAPORES Y PARTÍCULAS QUÍMICAS. EL EQUIPO DEBE CONTAR CON ESTRUCT…</t>
  </si>
  <si>
    <t>PN26-287</t>
  </si>
  <si>
    <t>ADQUISICIÓN DE UNA MUFLA DE LABORATORIO DE ALTA TEMPERATURA CON CONTROLADOR DIGITAL PROGRAMABLE TIPO PID Y CAPACIDAD DE DIEZ LITROS. EL EQUIPO DEBE CONTAR CON CÁMARA INTERNA EN FIBRA CERÁMICA O MATERIAL REFRACTARIO DE A…</t>
  </si>
  <si>
    <t>PN26-286</t>
  </si>
  <si>
    <t>ADQUISICIÓN DE UN LOTE DE 15 EQUIPOS QUE INCLUYE CALORÍMETROS DE PRECISIÓN PARA CALOR ESPECÍFICO Y ENTALPÍA DE REACCIÓN, SENSORES DIGITALES DE TEMPERATURA CON REGISTRO DE DATOS, APARATOS DE EXPANSIÓN LINEAL DE SÓLIDOS,…</t>
  </si>
  <si>
    <t>PN26-282</t>
  </si>
  <si>
    <t>La adquisición de cuatro (4) termohigrómetros digitales con registrador de datos (data logger), diseñados para la medición, monitoreo y almacenamiento de temperatura y humedad relativa del ambiente, que permitan realiza…</t>
  </si>
  <si>
    <t>PN26-257</t>
  </si>
  <si>
    <t>ADQUISICIÓN DE SEIS (6) BANCOS DIDÁCTICOS PARA EL ÁREA DE ELECTRICIDAD, DISEÑADOS PARA EL DESARROLLO DE PRÁCTICAS CON MOTORES ELÉCTRICOS, DESTINADOS AL FORTALECIMIENTO DE LAS ACTIVIDADES ACADÉMICAS Y DE FORMACIÓN PRÁCTI…</t>
  </si>
  <si>
    <t>PN26-269</t>
  </si>
  <si>
    <t>Talleres y Laboratorios (Taller de electricidad)</t>
  </si>
  <si>
    <t>PRESTACION DE SERVICIOS PARA EL MANTENIMIENTO PREVENTIVO Y CORRECTIVO A TODO COSTO PARA LA MÁQUINA DE ENSAYOS UNIVERSAL MARCA SHIMADZU DEL TALLER DE MOTORES</t>
  </si>
  <si>
    <t>PN26-322</t>
  </si>
  <si>
    <t>Adquisición, suministro e instalación de un Durómetro Universal con escalas Rockwell, Rockwell superficial, Brinell, Vickers y Knoop para el Laboratorio de Tratamientos Térmicos de la Escuela Tecnológica Instituto Técni…</t>
  </si>
  <si>
    <t>PN26-304</t>
  </si>
  <si>
    <t>Adquisición, suministro e instalación de un equipo de corrientes Eddy (Eddy Current Tester) para el Laboratorio de Tratamientos Térmicos de la Escuela Tecnológica Instituto Técnico Central, destinado a garantizar la ins…</t>
  </si>
  <si>
    <t>PN26-307</t>
  </si>
  <si>
    <t>Adquisición, suministro e instalación de un equipo de inspección ultrasónica para el Laboratorio de Tratamientos Térmicos de la Escuela Tecnológica Instituto Técnico Central, destinado a garantizar la inspección no dest…</t>
  </si>
  <si>
    <t>PN26-308</t>
  </si>
  <si>
    <t>Adquisición, suministro e instalación de un equipo de inspección por partículas magnéticas para el Laboratorio de Tratamientos Térmicos de la Escuela Tecnológica Instituto Técnico Central, destinado a realizar ensayos n…</t>
  </si>
  <si>
    <t>PN26-310</t>
  </si>
  <si>
    <t>Adquisición, suministro e instalación de un Durómetro Digital en escala micro Vickers para el Laboratorio de Tratamientos Térmicos de la Escuela Tecnológica Instituto Técnico Central, destinado a garantizar la medición…</t>
  </si>
  <si>
    <t>PN26-305</t>
  </si>
  <si>
    <t>Adquisición, suministro e instalación de un equipo portátil para la medición de espesor de recubrimientos metálicos sobre sustratos ferrosos y no ferrosos (Fe/NFe) en el Laboratorio de Tratamientos Térmicos de la Escuel…</t>
  </si>
  <si>
    <t>PN26-306</t>
  </si>
  <si>
    <t>Adquisición, suministro de un equipo de medición de rugosidad superficial para el Laboratorio de Tratamientos Térmicos de la Escuela Tecnológica Instituto Técnico Central, destinado a garantizar la medición precisa de r…</t>
  </si>
  <si>
    <t>PN26-309</t>
  </si>
  <si>
    <t>ADQUISICIÓN DE MOBILIARIO PARA ALMACÉN, GABINETES Y ARMARIOS</t>
  </si>
  <si>
    <t>PN26-325</t>
  </si>
  <si>
    <t>Adquisición de 30 unidades de discos duros de estado sólido (SSD) como repuesto y soporte para la recuperación y mejora del rendimiento de los equipos de cómputo de las salas de sistemas.</t>
  </si>
  <si>
    <t>PN26-360</t>
  </si>
  <si>
    <t>Computadores portatiles robustos (2) y All In One - Dirección de Bachillerato</t>
  </si>
  <si>
    <t>PN26-224</t>
  </si>
  <si>
    <t>Equipo de escritorio reemplazo de equipo actual</t>
  </si>
  <si>
    <t>PN26-238</t>
  </si>
  <si>
    <t>Registro y Contol</t>
  </si>
  <si>
    <t>Cambio de tablets para la especialidad de sistemas de bachillerato específicamente la asignatura de Aplicaciones móviles.</t>
  </si>
  <si>
    <t>PN26-221</t>
  </si>
  <si>
    <t>Adquisición de 10 equipos de cómputo portátiles de última generación con sus respectivos kits de periféricos de entrada (teclado, mouse y audífonos), destinados a fortalecer la infraestructura tecnológica para las activ…</t>
  </si>
  <si>
    <t>PN26-357</t>
  </si>
  <si>
    <t>Adquisición de 100 equipos de cómputo de última generación tipo "All-in-One" para la actualización tecnológica de 4 salas de sistemas, y 10 pantallas inteligentes con sistema OPS (Open Pluggable Specification) y soporte…</t>
  </si>
  <si>
    <t>PN26-358</t>
  </si>
  <si>
    <t>Adquisición de equipos, herramientas y materiales para la dotación de las salas de sistemas de la Escuela Tecnológica Instituto Técnico Central.</t>
  </si>
  <si>
    <t>PN26-348</t>
  </si>
  <si>
    <t>Talleres y Laboratorios (Salas de sistemas)</t>
  </si>
  <si>
    <t>Escáner de producción de alta capacidad para digitalización masiva de documentos El objeto de este contrato es la adquisición de dos escáneres de producción de alta capacidad para la digitalización masiva de expedientes…</t>
  </si>
  <si>
    <t>PN26-264</t>
  </si>
  <si>
    <t>La adquisición de dos impresoras láser multifuncionales corporativas es esencial para mejorar la eficiencia en los procesos administrativos, operativos y de gestión documental dentro de la ETITC. Este equipo permitirá l…</t>
  </si>
  <si>
    <t>PN26-260</t>
  </si>
  <si>
    <t>ADQUISICIÓN DE TRES (3) LICENCIA DEL SOFTWARE POR SUSCRIPCIÓN A LA PLATAFORMA DIGITAL ENVATO, CANVA, FREEPIK, ELEMENTS DURANTE DOCE (12) MESES PARA FORTALECER LA PRODUCCIÓN DE CONTENIDOS MULTIMEDIA DE LA ESCUELA TECNOLÓ…</t>
  </si>
  <si>
    <t>PN26-243</t>
  </si>
  <si>
    <t>ADQUISICIÓN DE LICENCIA DEL SOFTWARE BARTENDER PARA IMPRIMIR ETIQUETAS Y CÓDIGOS DE BARRAS QUE PERMITIRÁ LA ADECUADA UBICACIÓN DE LOS MATERIALES EN LA ESTANTERÍA</t>
  </si>
  <si>
    <t>PN26-208</t>
  </si>
  <si>
    <t>"ADQUISICIÓN DE ELEMENTOS TIPOS CONSUMIBLES TALES COMO PAPELERÍA, ÚTILES ESCOLARES O DE OFICINA E INSUMOS PARA IMPRESORA PARA EL CUMPLIMIENTO DE LAS ACTIVIDADES ACADÉMICAS Y ADMINISTRATIVAS EN LA ESCUELA TECNOLÓGICA INS…</t>
  </si>
  <si>
    <t>PN26-424</t>
  </si>
  <si>
    <t>Profesional almacen</t>
  </si>
  <si>
    <t>Elementos de sonido para el IBTI como consola bafles, micrófonos, bases.</t>
  </si>
  <si>
    <t>PN26-235</t>
  </si>
  <si>
    <t>Adquisición de Cámara Digital Profesional para la Digitalización de Documentos Antiguos y de Gran Formato El objeto de este contrato es la adquisición de una cámara digital profesional de alta resolución, destinada a la…</t>
  </si>
  <si>
    <t>PN26-263</t>
  </si>
  <si>
    <t>Se requiere la adquisición de guantes desechables de nitrilo de calibre 6, diseñados para brindar protección efectiva de las manos contra agentes químicos, contaminación y desgaste durante la manipulación de documentos,…</t>
  </si>
  <si>
    <t>PN26-250</t>
  </si>
  <si>
    <t>Adquisición estibas y d Kits de emergencias y elementos para la atención de derrames químicos e hidrocarburos,destinados a fortalecer la capacidad de respuesta y mitigación de impactos ambientales y de seguridad en el t…</t>
  </si>
  <si>
    <t>PN26-153</t>
  </si>
  <si>
    <t>MANTENIMIENTO CORRECTIVO Y PREVENTIVO DE DOS SISTEMAS DE DETECCIÓN Y EXTINCIÓN DE INCENDIOS UBICADOS EN EL DATACENTER Y EL AULA DE SEGURIDAD INFORMÁTICA DE LA ETITC</t>
  </si>
  <si>
    <t>PN26-405</t>
  </si>
  <si>
    <t>Adquirir el servicio de recarga y mantenimiento de extintores, la dotación y reposición de botiquines, y el suministro de elementos para la la atención de emergencias, para la Escuela Tecnológica Instituto Técnico Centr…</t>
  </si>
  <si>
    <t>PN26-005</t>
  </si>
  <si>
    <t>Adquisición de dos (2) aspiradoras eléctricas con sistema de filtración HEPA (High Efficiency Particulate Air) para la limpieza y control de polvo en los depósitos de archivo de la entidad, con el fin de contribuir a la…</t>
  </si>
  <si>
    <t>PN26-255</t>
  </si>
  <si>
    <t>Adquisición de Kit de herramientas para salas de sistemas de la Escuela Tecnológica Instituto Técnico Central .</t>
  </si>
  <si>
    <t>PN26-349</t>
  </si>
  <si>
    <t>Compra de materiales deportivos para el área de Educación Física del IBTI</t>
  </si>
  <si>
    <t>PN26-222</t>
  </si>
  <si>
    <t>Adquisición y suministro de artículos necesarios para el desarrollo de talleres, actividades formativas, culturales, recreativas y de integración, en el marco de los programas y estrategias de Bienestar Universitario, c…</t>
  </si>
  <si>
    <t>PN26-146</t>
  </si>
  <si>
    <t>Contratación de proveedor para la elaboración de medallas y trofeos para premiar campeonatos de modalidades deportivas del área de deportes</t>
  </si>
  <si>
    <t>PN26-124</t>
  </si>
  <si>
    <t>Compra de utensilios y menaje necesarios para el buen funcionamiento del programa del subsidio de alimentación de la ETITC.</t>
  </si>
  <si>
    <t>PN26-142</t>
  </si>
  <si>
    <t>Compra de chaquetas para participar en las ferias y exposiciones Insgtitucionales</t>
  </si>
  <si>
    <t>PN26-169</t>
  </si>
  <si>
    <t>Vicerrectoría Académica</t>
  </si>
  <si>
    <t>Diseño, suministro e instalación de un Sistema Integral de Información Presencial al Ciudadano, compuesto por: Paneles fijos con información institucional (Sedes, horarios, contactos y Carta de Trato Digno). Directorios…</t>
  </si>
  <si>
    <t>PN26-247</t>
  </si>
  <si>
    <t>Contratación del servicio de diseño, producción e instalación de señalización inclusiva y accesible para las sedes de la ETITC, que incluya placas en Braille, señalética en alto relieve, pictogramas universales en cumpl…</t>
  </si>
  <si>
    <t>PN26-249</t>
  </si>
  <si>
    <t>Adquisición de mobiliario para dotación de oficinas en VIOTA Y ZIPAQUIRA de psicología</t>
  </si>
  <si>
    <t>PN26-145</t>
  </si>
  <si>
    <t>Adquisición de 30 sillas azules tipo oficina con rodachinas</t>
  </si>
  <si>
    <t>PN26-298</t>
  </si>
  <si>
    <t>Equipo movialirio 6 sillas ergonomicas</t>
  </si>
  <si>
    <t>PN26-239</t>
  </si>
  <si>
    <t>El objeto de este contrato es la adquisición de dos estanterías rodantes para archivos de alta capacidad, diseñadas para optimizar el almacenamiento, organización y conservación de documentos dentro de la ETITC. Las est…</t>
  </si>
  <si>
    <t>PN26-259</t>
  </si>
  <si>
    <t>Adquisición de diez (10) sillas ergonómicas para oficina tipo Sihoo M18 o equivalentes, destinadas a los puestos de trabajo administrativos de la entidad, con el fin de mejorar las condiciones ergonómicas y de comodidad…</t>
  </si>
  <si>
    <t>PN26-254</t>
  </si>
  <si>
    <t>COMPRA DE ECOSISTEMA HÍBRIDO DE COMPONENTES DIGITALES (ROBÓTICA, APPS Y SENSORES) PARACREAR EXPERIENCIAS DE JUEGO INTERACTIVAS, INMERSIVAS Y EDUCATIVAS (STEAM).</t>
  </si>
  <si>
    <t>PN26-276</t>
  </si>
  <si>
    <t>Adquisición de instrumentos musicales e insumos asociados para el área de Arte y Cultura, con el fin de fortalecer los procesos formativos, artísticos y culturales desarrollados en las actividades y talleres programados.</t>
  </si>
  <si>
    <t>PN26-133</t>
  </si>
  <si>
    <t>Adquisición de servicios de mantenimiento para instrumentos musicales, con el fin de asegurar su adecuado estado, funcionamiento y uso en actividades formativas y artísticas.</t>
  </si>
  <si>
    <t>PN26-134</t>
  </si>
  <si>
    <t>Afiliación al Instituto Colombiano de Normas Técnicas y Certificaciones- Icontec</t>
  </si>
  <si>
    <t>PN26-157</t>
  </si>
  <si>
    <t>PRESTACIÓN DE SERVICIO PARA REALIZAR EL MANTENIMIENTO PREVENTIVO Y CORRECTIVO (REPOTENCIACION) A TODO COSTO DEL SISTEMA DE CIRCUITO CERRADO DE TELEVISIÓN – CCTV, DE LA SEDE PRINCIPAL CENTRO Y EXTENSIONES DE LA ESCUELA T…</t>
  </si>
  <si>
    <t>PN26-110</t>
  </si>
  <si>
    <t>SERVICIO DE ADECUACIÓN Y MEJORAMIENTO DE LA INFRAESTRUCTURA DEL LABORATORIO MEDIANTE EL ACONDICIONAMIENTO DEL PISO, REORGANIZACIÓN DE ÁREAS DE TRABAJO, SUMINISTRO E INSTALACIÓN DE MESAS DE LABORATORIO, SILLAS ERGONÓMICA…</t>
  </si>
  <si>
    <t>PN26-270</t>
  </si>
  <si>
    <t>Servicio de mantenimiento preventivo y correctivo para autoclaves (esterilizadores) de laboratorio, incluyendo: calibración de parámetros (temperatura, presión y tiempo), revisión de resistencias, válvulas de seguridad,…</t>
  </si>
  <si>
    <t>PN26-355</t>
  </si>
  <si>
    <t>Servicio de mantenimiento preventivo y correctivo para neveras, refrigeradores y congeladores de laboratorio, incluyendo: revisión de compresores, sistemas de refrigeración, termostatos, puertas, empaques, y calibración…</t>
  </si>
  <si>
    <t>PN26-356</t>
  </si>
  <si>
    <t>ADQUISICION E INSTALACION DE UN SISTEMA INTEGRAL DE SEGURIDAD CON TECNOLOGIA RFID, CONFORMADO POR: SISTEMA DE SEGURIDAD DE MATERIAL BIBLIOGRAFICO Y CONTROL DE INVENTARIOS PARA EL CENTRO DE BIBLIOTECA Y RECURSOS EDUCATIV…</t>
  </si>
  <si>
    <t>PN26-204</t>
  </si>
  <si>
    <t>Contratar una empresa especializada en prestar servicios de saneamiento ambiental, que cuente con Concepto sanitario favorable para Lavado y desinfección de tanques de almacenamiento de agua potable, control de plagas y…</t>
  </si>
  <si>
    <t>PN26-147</t>
  </si>
  <si>
    <t>MANTENIMIENTO CORRECTIVO DE LOS EQUIPOS Y MAQUINARIA QUE PRESTAN EL SERVICIO EN EL TALLER DE ELECTRICIDAD: 6 BANCOS DE PRUEBA DE LORENZO REF DL1013M3, 3 BANCOS DE LORENZO TIPO INDUCTIVO REF DL1017L, 3 BANCOS DE LORENZO…</t>
  </si>
  <si>
    <t>PN26-271</t>
  </si>
  <si>
    <t>Prestación de servicio técnico especializado a todo costo incluido insumos para la realización del mantenimiento correctivo del sistema de bombeo en la sede central y sede Tintal de la escuela tecnológica técnico centra…</t>
  </si>
  <si>
    <t>PN26-168</t>
  </si>
  <si>
    <t>Contratar los servicios especializados para recolectar y gestionar los residuos de construcción y demolición que se generen en las actividades de mantenimiento locativo de la ETITC</t>
  </si>
  <si>
    <t>PN26-149</t>
  </si>
  <si>
    <t>Contratar los servicios especializados para recolectar y gestionar los residuos peligrosos que se generen en todas las sedes de la ETITC.</t>
  </si>
  <si>
    <t>PN26-150</t>
  </si>
  <si>
    <t>Adquirir elementos de protección personal y contratar la certificación de los elementos de protección para trabajo en alturas, destinados al personal de la Escuela Tecnológica Instituto Técnico Central – ETITC, de confo…</t>
  </si>
  <si>
    <t>PN26-003</t>
  </si>
  <si>
    <t>Contratar laboratorio que cuente con Resolución de acreditación del IDEAM para realizar muestreo compuesto y análisis de Aguas residuales No Domesticas, según lo establecido en la Res. 631 de 2015.</t>
  </si>
  <si>
    <t>PN26-148</t>
  </si>
  <si>
    <t>Contratar transporte terrestre para asistir a las sedes de ZIPAQUIRÁ y VIOTÁ desde el área de Bienestar Universitario segun indicaciones.</t>
  </si>
  <si>
    <t>PN26-143</t>
  </si>
  <si>
    <t>Ejecución del Programa de Vigilancia Epidemiológica de Riesgo Psicosocial en la Escuela Tecnológica Instituto Técnico Central, que incluya la planeación, la implementación, el seguimiento y la evaluación de las medidas…</t>
  </si>
  <si>
    <t>PN26-002</t>
  </si>
  <si>
    <t>Contratación de servicio de arbitrajes para torneos internos deportivos del área de deportes de Bienestar Universitario</t>
  </si>
  <si>
    <t>PN26-118</t>
  </si>
  <si>
    <t>Gestión y financiación de movilidades académicas nacionales e internacionales (salientes y entrantes) para estudiantes, docentes e investigadores durante la vigencia 2026</t>
  </si>
  <si>
    <t>PN26-369</t>
  </si>
  <si>
    <t>Oficina de relaciones interinstitucionales y de internacionalización</t>
  </si>
  <si>
    <t>Inscripción para participar en la Feria Expoestudiantes 2026</t>
  </si>
  <si>
    <t>PN26-170</t>
  </si>
  <si>
    <t>PRESTACION DE SERVICIOS PARA EL APOYO LOGISTICO QUE CONTEMPLE LA ATENCIÓN, ORGANIZACIÓN Y FOMENTO AL ENCUENTRO DE EGRESADOS DE LA ETITC AÑO 2026.</t>
  </si>
  <si>
    <t>PN26-423</t>
  </si>
  <si>
    <t>Egresados</t>
  </si>
  <si>
    <t>PRESTACIÓN DE SERVICIOS PROFESIONALES PARA APOYAR LA GESTIÓN DEL DIGITALZIACIÓN DE ARCHIVO</t>
  </si>
  <si>
    <t>PN26-240</t>
  </si>
  <si>
    <t>Mantenimiento peventivo y correctivo para impresoras 3D (2 ender 5 pro, 1 artillery genius, 1 ender 3 v2, 1 k1 max, 1 k1, una halot mage s, 1 halot r6) cambio de partes de desgaste por uso.</t>
  </si>
  <si>
    <t>PN26-292</t>
  </si>
  <si>
    <t>Prestación de servicio de consultoría técnica para la realización de una auditoria energética integral en las instalaciones del ETITC, en cumplimiento de la Resolución 40412 de 2024 del Ministerio de Minas y Energía, as…</t>
  </si>
  <si>
    <t>PN26-152</t>
  </si>
  <si>
    <t>Prestacion de servicios para el mantenimiento preventivo y/o correctivo (a todo costo) de equipos especializados durómetros que presta el servicio en el Laboratorio de Tratamientos Térmicos de la Escuela Tecnologica Ins…</t>
  </si>
  <si>
    <t>PN26-312</t>
  </si>
  <si>
    <t>Adquisicón del servicio de calibración a durómetros</t>
  </si>
  <si>
    <t>PN26-315</t>
  </si>
  <si>
    <t>Renovación de la herramienta Kawak por seis (6) meses para ejecutar actividades de la Oficina Asesora De Planeación de la Escuela Tecnológica Instituto Técnico Central</t>
  </si>
  <si>
    <t>PN26-155</t>
  </si>
  <si>
    <t>PRESTACIÓN DE SERVICIOS PROFESIONALES CON DISPONIBILIDAD 7 X 24 EN EL ÁREA DE INFORMÁTICA Y TELECOMUNICACIONES PARA GARANTIZAR LA DISPONIBILIDAD DE LA INFRAESTRUCTURA TECNOLÓGICA Y DE LOS SERVICIOS ACADÉMICOS Y ADMINIST…</t>
  </si>
  <si>
    <t>PN26-371</t>
  </si>
  <si>
    <t>PRESTACIÓN DE SERVICIOS PROFESIONALES EN EL ÁREA DE INFORMÁTICA Y TELECOMUNICACIONES PARA LA ADMINISTRACIÓN DE LOS SISTEMAS DE INFORMACIÓN Y LAS BASES DE DATOS DE LA ETITC</t>
  </si>
  <si>
    <t>PN26-373</t>
  </si>
  <si>
    <t>PRESTACIÓN DE SERVICIOS PROFESIONALES ESPECIALIZADOS EN EL ÁREA DE INFORMÁTICA Y TELECOMUNICACIONES PARA ADMINISTRAR Y GARANTIZAR LA DISPONIBILIDAD DE LA PLATAFORMA MOODLE LMS (CAMPUS VIRTUAL) Y TODOS SUS COMPONENTES CO…</t>
  </si>
  <si>
    <t>PN26-372</t>
  </si>
  <si>
    <t>CONTRATAR EL SERVICIO DE CONECTIVIDAD PARA LA ESCUELA TECNOLÓGICA INSTITUTO TÉCNICO CENTRAL Y SUSINSTALACIONES ANEXAS</t>
  </si>
  <si>
    <t>PN26-399</t>
  </si>
  <si>
    <t>FORTALECIMIENTO DE LA IMAGEN INSTITUCIONAL, CON EL DESARROLLO Y PRODUCCIÓN DE MATERIAL, PARA LA DIVULGACIÓN DE LA OFERTA ACADÉMICA DE LA ESCUELA TECNOLÓGICA INSTITUTO TÉCNICO CENTRAL</t>
  </si>
  <si>
    <t>PN26-241</t>
  </si>
  <si>
    <t>Prestar el servicio de área protegida para la atención prehospitalaria, atención médica de urgencias y emergencias, y el traslado asistencial de pacientes que lo requieran, dirigido a funcionarios, contratistas, estudia…</t>
  </si>
  <si>
    <t>PN26-001</t>
  </si>
  <si>
    <t>Contratación con una entidad prestadora de servicios de salud mental orientada a brindar atención integral para atender los factores de riesgo asociados a trastornos del estado del animo</t>
  </si>
  <si>
    <t>PN26-138</t>
  </si>
  <si>
    <t>Prestar los servicios médicos ocupacionales para la identificación y vigilancia de las condiciones de salud del personal, mediante la realización de exámenes médicos ocupacionales de ingreso, periódicos, de egreso, altu…</t>
  </si>
  <si>
    <t>PN26-004</t>
  </si>
  <si>
    <t>Mantenimiento de tres desfibriladores externos automáticos y adquisición de electrodos para garantizar su funcionamiento óptimo en la prestación de primeros auxilios en caso de paro cardiorrespiratorio en la Escuela Tec…</t>
  </si>
  <si>
    <t>PN26-136</t>
  </si>
  <si>
    <t>Prestación de servicios de entrenamiento en pruebas SABER PRO y TyT que incluye desarrollo de simulacros, contenidos y análisis de valor agregado y aporte relativo en competencias genéricas y específicas de todos los pr…</t>
  </si>
  <si>
    <t>PN26-236</t>
  </si>
  <si>
    <t>Vicerrectoria Académica</t>
  </si>
  <si>
    <t>Proyección de aulas de inmersión en lengua extranjera</t>
  </si>
  <si>
    <t>PN26-223</t>
  </si>
  <si>
    <t>Contratación de logística e inscripción de campeonatos externos del área de deportes</t>
  </si>
  <si>
    <t>PN26-123</t>
  </si>
  <si>
    <t>Servicio de Gestión para garantizar la participación como expositor en en la feria EDUTECHNIA 2026</t>
  </si>
  <si>
    <t>PN26-171</t>
  </si>
  <si>
    <t>Vicerrectoría de Investigación, Extensión y Transferencia</t>
  </si>
  <si>
    <t>DESARROLLAR ACTIVIDADES CULTURALES EN EL CENTRO DE BIBLIOTECA Y RECURSOS EDUCATIVOS PARA OFRECER A LA COMUNIDAD EDUCATIVA ESPACIOS PARA LA APRECIACIÓN DEL ARTE, EL INTERCAMBIO CULTURAL, EL ENCUENTRO CON GRUPOS ÉTNICOS Y…</t>
  </si>
  <si>
    <t>PN26-219</t>
  </si>
  <si>
    <t>Inscripciones a carreras atleticas que se seleccionan los estudiantes desde el área de deportes</t>
  </si>
  <si>
    <t>PN26-119</t>
  </si>
  <si>
    <t>Contratación del mantenimiento y adecuaciones de los escenarios deportivos (canchas) en los patios realizando mantenimiento general, reparación y adecuación de superficies de juego, ajustes necesarios para asegurar cond…</t>
  </si>
  <si>
    <t>PN26-122</t>
  </si>
  <si>
    <t>Formulación del Plan de Necesidades 2027 — Escuela Tecnológica Instituto Técnico Central (ETITC)</t>
  </si>
  <si>
    <t>Una necesidad (bien, obra o servicio) por fila. Cada necesidad se vincula a una acción del Plan de Acción 2027 y, por ella, a una meta del PDI 2025-2032. Lo diligenciado aquí alimenta el Plan Anual de Adquisiciones.</t>
  </si>
  <si>
    <t>Gris: datos automáticos (no se editan). Amarillo: celdas que diligencia el área. Verde oscuro: control de la OAPDI. Diligencie en orden: área → meta → acción → necesidad. Consulte el Instructivo y la Guía UNSPSC.</t>
  </si>
  <si>
    <t>IDENTIFICACIÓN DEL ÁREA</t>
  </si>
  <si>
    <t>ALINEACIÓN CON EL PLAN DE ACCIÓN 2027 Y EL PDI</t>
  </si>
  <si>
    <t>LA NECESIDAD</t>
  </si>
  <si>
    <t>DATOS PARA EL PLAN ANUAL DE ADQUISICIONES (SECOP II)</t>
  </si>
  <si>
    <t>RESPONSABLE</t>
  </si>
  <si>
    <t>TRAZABILIDAD 2026 Y PRIORIDAD</t>
  </si>
  <si>
    <t>CONTROL</t>
  </si>
  <si>
    <t>Dependencia (Decreto 902 de 2013)</t>
  </si>
  <si>
    <t>Proceso (mapa GDC-DI-01 V9)</t>
  </si>
  <si>
    <t>Meta estratégica PDI 2025-2032</t>
  </si>
  <si>
    <t>Eje estratégico</t>
  </si>
  <si>
    <t>Línea de acción</t>
  </si>
  <si>
    <t>Acción del Plan de Acción 2027 a la que sirve la necesidad</t>
  </si>
  <si>
    <t>Nombre de la acción propia del área (solo si eligió PROPIA)</t>
  </si>
  <si>
    <t>Justificación de la necesidad (qué problema resuelve y qué producto de la acción permite)</t>
  </si>
  <si>
    <t>Código UNSPSC principal (8 dígitos)</t>
  </si>
  <si>
    <t>Códigos UNSPSC adicionales (separados por ;)</t>
  </si>
  <si>
    <t>Mes estimado de inicio del proceso de selección</t>
  </si>
  <si>
    <t>Mes estimado de presentación de ofertas</t>
  </si>
  <si>
    <t>Duración del contrato (número)</t>
  </si>
  <si>
    <t>Unidad de duración</t>
  </si>
  <si>
    <t>Fuente de los recursos</t>
  </si>
  <si>
    <t>Tipo de gasto</t>
  </si>
  <si>
    <t>Rubro presupuestal o proyecto de inversión (BPIN)</t>
  </si>
  <si>
    <t>Valor total estimado ($, sin puntos)</t>
  </si>
  <si>
    <t>Valor estimado vigencia 2027 ($, sin puntos)</t>
  </si>
  <si>
    <t>¿Requiere vigencias futuras?</t>
  </si>
  <si>
    <t>Estado de la solicitud de vigencias futuras</t>
  </si>
  <si>
    <t>Nombre del responsable (supervisor previsto)</t>
  </si>
  <si>
    <t>Cargo del responsable</t>
  </si>
  <si>
    <t>Teléfono / extensión</t>
  </si>
  <si>
    <t>Correo institucional del responsable</t>
  </si>
  <si>
    <t>¿Continúa una necesidad 2026?</t>
  </si>
  <si>
    <t>N.° de registro 2026 que continúa (hoja 2026)</t>
  </si>
  <si>
    <t>Prioridad</t>
  </si>
  <si>
    <t>Observaciones</t>
  </si>
  <si>
    <t>Aux. índice exportación</t>
  </si>
  <si>
    <t>Plan de Necesidades 2026 — registro histórico (solo consulta)</t>
  </si>
  <si>
    <t>Fuente: archivo "Plan_de_necesidades_PROTEGIDO_Modificado_2.xlsx", hoja "Plan de necesidades fin" (424 registros), que contiene íntegramente la versión "Plan_de_necesidades_PROTEGIDO.xlsx". Hoja protegida por la OAPDI: no se puede editar ni borrar; sí filtrar.</t>
  </si>
  <si>
    <t>Columnas B a K: información original de la formulación 2026, sin modificar. Columnas L a O (verde): anotaciones de la OAPDI para la consolidación 2027; las inferidas deben validarse.</t>
  </si>
  <si>
    <t>CÓDIGO UNSPSC</t>
  </si>
  <si>
    <t>ENCARGADO</t>
  </si>
  <si>
    <t>DESCRIPCIÓN (OBJETO CONTRACTUAL)</t>
  </si>
  <si>
    <t>DURACIÓN DEL CONTRATO (NUMERO MESES)</t>
  </si>
  <si>
    <t>MODALIDAD DE SELECCIÓN EJEMPLO: -DIRECTA -MINIMA CUANTIA -MENOR CUANTIA</t>
  </si>
  <si>
    <t>VALOR TOTAL ESTIMADO, EN PESOS COLOMBIANOS</t>
  </si>
  <si>
    <t>NOMBRE DEL CARGO RESPONSABLE (SUPERVISOR DEL CONTRATO)</t>
  </si>
  <si>
    <t>TELÉFONO DEL RESPONSABLE</t>
  </si>
  <si>
    <t>CORREO ELECTRÓNICO DEL RESPONSABLE (SUPERVISOR DEL CONTRATO)</t>
  </si>
  <si>
    <t>ID</t>
  </si>
  <si>
    <t>Dependencia (Decreto 902) inferida por el correo o, en su defecto, por el campo ENCARGADO — validar</t>
  </si>
  <si>
    <t>Valor numérico normalizado por la OAPDI ($)</t>
  </si>
  <si>
    <t>Modalidad normalizada por la OAPDI</t>
  </si>
  <si>
    <t>Alerta de calidad del dato (OAPDI)</t>
  </si>
  <si>
    <t>Prestar el servicio de área protegida para la atención prehospitalaria, atención médica de urgencias y emergencias, y el traslado asistencial de pacientes que lo requieran, dirigido a funcionarios, contratistas, estudiantes y visitantes, en las diferentes sedes de la Escuela Tecnológica Instituto Técnico Central – ETITC</t>
  </si>
  <si>
    <t>MINIMA CUANTIA</t>
  </si>
  <si>
    <t>profesional 
universitario 2044-11</t>
  </si>
  <si>
    <t>seguridadysalud@itc.edu.co</t>
  </si>
  <si>
    <t>133 · GIT Gestión de Talento Humano</t>
  </si>
  <si>
    <t>Mínima cuantía</t>
  </si>
  <si>
    <t>Ejecución del Programa de Vigilancia Epidemiológica de Riesgo Psicosocial en la Escuela Tecnológica Instituto Técnico Central, que incluya la planeación,  la implementación, el seguimiento y la evaluación de las medidas de intervención organizacional, grupal e individual, orientadas a la prevención, mitigación y control de los factores de riesgo psicosocial identificados en la batería del 2025, conforme a la normatividad vigente.</t>
  </si>
  <si>
    <t>Adquirir elementos de protección personal y contratar la certificación de los elementos de protección para trabajo en alturas, destinados al personal de la Escuela Tecnológica Instituto Técnico Central – ETITC, de conformidad con la normatividad vigente.</t>
  </si>
  <si>
    <t>SUBASTA</t>
  </si>
  <si>
    <t>Selección abreviada – subasta inversa</t>
  </si>
  <si>
    <t>Prestar los servicios médicos ocupacionales para la identificación y vigilancia de las condiciones de salud del personal, mediante la realización de exámenes médicos ocupacionales de ingreso, periódicos, de egreso, alturas, post-incapacidad, por cambio de ocupación o reubicación laboral, y demás evaluaciones médicas requeridas por la normatividad vigente en Seguridad y Salud en el Trabajo, en la Escuela Tecnológica Instituto Técnico Central – ETITC en todas sus sedes.</t>
  </si>
  <si>
    <t>Adquirir el servicio de recarga y mantenimiento de extintores, la dotación y reposición de botiquines, y el suministro de elementos para la  la atención de emergencias, para la Escuela Tecnológica Instituto Técnico Central – ETITC en todas sus sedes.</t>
  </si>
  <si>
    <t>TIENDA VIRTUAL</t>
  </si>
  <si>
    <t>Acuerdo marco de precios / Tienda Virtual (validar)</t>
  </si>
  <si>
    <t>Prestar servicios profesionales para apoyar el diseño, implementación, conformación y seguimiento del Plan de Emergencias de la Escuela Tecnológica Instituto Técnico Central – ETITC y sus sedes, así como para realizar la coordinación, control, verificación y aplicación del Programa de Protección contra Caídas, en calidad de coordinador de trabajo en alturas, de conformidad con la normatividad vigente.</t>
  </si>
  <si>
    <t>DIRECTA</t>
  </si>
  <si>
    <t>Contratación directa</t>
  </si>
  <si>
    <t>PN26-007</t>
  </si>
  <si>
    <t xml:space="preserve">Talento Humano-vicerrectoria Administrativa </t>
  </si>
  <si>
    <t>Prestación de servicios profesionales para el apoyo logístico, operativo y/o Técnico en la planeación, ejecución y seguimiento de las actividades misionales desarrolladas por la Escuela Tecnológica Instituto Técnico Central, en el marco del programa de Bienestar laboral e incentivos correspondiente a la vigencia de 2026.</t>
  </si>
  <si>
    <t>Profesional Especializado 2028-15</t>
  </si>
  <si>
    <t>personal@itc.edu.co</t>
  </si>
  <si>
    <t>PN26-008</t>
  </si>
  <si>
    <t>Planeación estratégica</t>
  </si>
  <si>
    <t>Prestar los servicios profesionales de apoyo a la oficina asesora de planeación en la formulación, seguimiento y evaluación de los planes institucionales y demás instrumentos de planeación estratégica, así como en la estructuración de proyectos, análisis de indicadores, elaboración de informes y cumplimiento de las obligaciones de reporte ante los entes de control, en el marco del modelo integrado de planeación y gestión (mipg) y las políticas institucionales vigentes.</t>
  </si>
  <si>
    <t>Jefe de la oficina asesora de planeacion</t>
  </si>
  <si>
    <t xml:space="preserve">planeacion@itc.edu.co </t>
  </si>
  <si>
    <t>101 · Oficina Asesora de Planeación y Desarrollo Institucional</t>
  </si>
  <si>
    <t>PN26-009</t>
  </si>
  <si>
    <t>Planeacion financiera - proyectos de inversión</t>
  </si>
  <si>
    <t>Prestar servicios profesionales de apoyo a la oficina asesora de planeación en la formulación, seguimiento y evaluación de los proyectos de inversión institucional, garantizando su coherencia con el direccionamiento estratégico, la planeación presupuestal y los lineamientos del ministerio de hacienda y crédito público y del departamento nacional de planeación. asimismo, apoyar la gestión de recursos, la elaboración de informes y reportes en los sistemas oficiales, en el marco del modelo integrado de planeación y gestión (mipg) y las políticas institucionales vigentes.</t>
  </si>
  <si>
    <t>PN26-010</t>
  </si>
  <si>
    <t>Analítica de datos institucional</t>
  </si>
  <si>
    <t>Prestar los servicios profesionales de apoyo a la oficina asesora de planeación en la implementación, mantenimiento y fortalecimiento del sistema unificado de información y estadística (suie), así como en la recolección, análisis y difusión de información estadística institucional. de igual forma, apoyar el desarrollo de soluciones informáticas y analíticas que faciliten la planeación, el seguimiento y la evaluación de la gestión institucional, promoviendo la toma de decisiones estratégicas y el mejoramiento continuo.</t>
  </si>
  <si>
    <t>PN26-011</t>
  </si>
  <si>
    <t>Seguimiento al modelo y programa mipg y ptep</t>
  </si>
  <si>
    <t>Prestar servicios de apoyo profesional para la implementación, seguimiento y fortalecimiento del modelo integrado de planeación y gestión (mipg) y del programa de transparencia y ética pública (ptep), incluyendo la gestión del riesgo institucional, la transparencia, la rendición de cuentas y la participación ciudadana, conforme a los lineamientos del departamento administrativo de la función pública (dafp) y la normatividad vigente.</t>
  </si>
  <si>
    <t>PN26-012</t>
  </si>
  <si>
    <t>Estrategia de regionalización</t>
  </si>
  <si>
    <t>Prestar servicios de apoyo profesional prestación de servicios profesionales a la oficina asesora de planeación para apoyar la implementación, fomento del desarrollo local de la estrategia de regionalización a través de la docencia, la investigación y extension realizando las acciones necesarias para establecer y fortalecer la oferta educativa en zonas geográficas determinadas, de acuerdo con las políticas vigentes y caracterización de la vocación local en coordinación con las dependencias de la escuela y su respectiva documentación.</t>
  </si>
  <si>
    <t>PN26-013</t>
  </si>
  <si>
    <t>Gestion ambiental</t>
  </si>
  <si>
    <t>Prestación de servicios profesionales con autonomía técnica y administrativa para liderar, fortalecer, actualizar y dar continuidad al sistema de gestión ambiental (sga) institucional, asegurando el cumplimiento normativo, el mejoramiento continuo y la integración con los procesos institucionales para el periodo 2026</t>
  </si>
  <si>
    <t>PN26-014</t>
  </si>
  <si>
    <t>Gestion ambiental apoyo regionalizacion.</t>
  </si>
  <si>
    <t>Prestar servicios profesionales de apoyo a la ejecución, seguimiento y fortalecimiento de las actividades relacionadas con el sistema de gestión ambiental en las sedes y apoyo a los lugares de desarrollo donde se oferta educacion superior de la etitc</t>
  </si>
  <si>
    <t>PN26-015</t>
  </si>
  <si>
    <t>Continuidad del servicio y datos personales.</t>
  </si>
  <si>
    <t>Prestar los servicios profesionales a la oficina asesora de planeación de la escuela tecnológica instituto técnico central – etic, para realizar el seguimiento, verificación y mejora continua del plan de continuidad del servicio y del tratamiento de protección de datos personales, asegurando su conformidad con la normativa vigente relacionada con la continuidad del servicio, la seguridad de la información y la protección de datos personales.</t>
  </si>
  <si>
    <t>PN26-016</t>
  </si>
  <si>
    <t>Ciberseguridad y seguridad de la informacion.</t>
  </si>
  <si>
    <t>Prestación de servicios profesionales a la oficina asesora de planeación para ejecutar actividades orientadas al fortalecimiento de la seguridad de la información, incluyendo monitoreo, inteligencia de amenazas, documentación para garantizar cumplimiento normativo mipg, apoyo técnico al líder de seguridad de la información, gestión de incidentes y vulnerabilidades, concientización en ciberseguridad</t>
  </si>
  <si>
    <t>profesional universitario 2044-11 en Seguridad de la Información</t>
  </si>
  <si>
    <t>seguridaddigital@itc.edu.co</t>
  </si>
  <si>
    <t>132 · GIT Gestión de Informática y Telecomunicaciones</t>
  </si>
  <si>
    <t>PN26-017</t>
  </si>
  <si>
    <t>Sistema de seguridad y salud en el trabajo - regionalizacion</t>
  </si>
  <si>
    <t>Prestación de servicios profesionales para apoyar las actividades, gestión, ejecución y/o acompañamiento para implementar y mantener un sistema de gestión de seguridad y salud en el trabajo (sgsst). en las sedes y lugar de desarrollo donde la etitc oferta programas de educacion superior en cumplimiento de la normativa vigente</t>
  </si>
  <si>
    <t>PN26-018</t>
  </si>
  <si>
    <t xml:space="preserve">Conductor mecanico </t>
  </si>
  <si>
    <t>Prestar   los   servicios   como   conductor   mecanico con   el propósito de transportar personas y materiales a los diversos lugares al interior de la ciudad de bogota, otros municipios y departamentos en   cumplimiento   de   las   obligaciones   inherentes   al desarrollo de las actividades misionales y administrativas, en términos de oportunidad y eficiencia que le permitan a la etitc cumplir su misionalidad</t>
  </si>
  <si>
    <t xml:space="preserve">Prestación de servicios profesionales para apoyar jurídcamente la formulación, ejecución y seguimiento de los proyectos estratégicos y planes misionales de la escuela tecnológica instituto técnico central - etitc, mediante actividades de gestión jurídica, administrativa, coordinación interinstitucional y acompañamiento a la secretaria general, en los distintitos proyectos estratégicos adelantados por la institución que acompaña funcionalmente la secretaría general; así como el apoyo profesional en supervisión de contratos, suplencia de representación judicial y acompañamiento jurídico en actuaciones administrativas y en la gestión administrativa y jurídica para la elaboración de actos administrativos, conceptos jurídicos, entre otros asuntos de la secretaria general. </t>
  </si>
  <si>
    <t>Profesional Especializado de la ORII</t>
  </si>
  <si>
    <t>110 · Secretaría General</t>
  </si>
  <si>
    <t>PN26-020</t>
  </si>
  <si>
    <t xml:space="preserve">Prestación de servicios profesionales de un abogado con especialización en derecho laboral administrativo para apoyar la gestión institucional de la escuela tecnológica instituto técnico central – etitc, mediante el acompañamiento técnico en la revisión y elaboración de actos administrativos, representación judicial, conceptos y demás documentos jurídicos relacionados con la administración del talento humano, y los procesos administrativos de la entidad, en el marco de la normativa vigente y de los objetivos institucionales orientados al fortalecimiento organizacional y la mejora normativa en el marco del reconocimiento como universidad y transformación como ente autónomo universitario de la entidad. </t>
  </si>
  <si>
    <t>Secretario general grado 0185-07</t>
  </si>
  <si>
    <t>PN26-021</t>
  </si>
  <si>
    <t>Prestacion de servicios profesionales para desarrollar las actividades relacionadas con la movilidad académica y administrativa de la oficina de relaciones interinstitucionales y de internacionalización (orii) de la escuela tecnológica instituto técnico central.</t>
  </si>
  <si>
    <t>3443000 Ext 154</t>
  </si>
  <si>
    <t>internacionalizacion@itc.edu.co</t>
  </si>
  <si>
    <t>100 · Rectoría</t>
  </si>
  <si>
    <t>PN26-022</t>
  </si>
  <si>
    <t>Prestacion de servicios profesionales con autonomía técnica y administrativa para la gestión administrativa, académica y operativa de los convenios nacionales e internacionales que desarrolla la oficina de relaciones interinstitucionales e internacionalización (orii) de la escuela tecnológica instituto técnico central.</t>
  </si>
  <si>
    <t>PN26-023</t>
  </si>
  <si>
    <t>Prestación de servicios técnicos y tecnológicos para la gestión administrativa, operativa y de marketing relacionada con la internacionalización, y atención integral a estudiantes, docentes y administrativos en la oficina de relaciones interinstitucionales e internacionalización (orii) de la escuela tecnológica instituto técnico central.</t>
  </si>
  <si>
    <t>PN26-024</t>
  </si>
  <si>
    <t>Oficina de Comunicaciones -  Multimedia</t>
  </si>
  <si>
    <t>Prestación de servicios profesionales para apoyar al área de comunicaciones en el desarrollo proyectos estratégicos de comunicación visual de la escuela tecnológica instituto técnico central</t>
  </si>
  <si>
    <t>PN26-025</t>
  </si>
  <si>
    <t>Oficina de Comunicaciones - Comunicadora</t>
  </si>
  <si>
    <t xml:space="preserve">Prestación de servicios profesionales en comunicación social para el desarrollo de estrategias de comunicación institucional, generación de contenidos, manejo de prensa y apoyo a los procesos de divulgación de la de la escuela tecnológica instituto técnico central </t>
  </si>
  <si>
    <t>PN26-026</t>
  </si>
  <si>
    <t>Oficina de Comunicaciones - Periodista</t>
  </si>
  <si>
    <t xml:space="preserve">Prestación de servicios profesionales como periodista de la emisora institucional emtic, para fortalecer los medios educativos que aportan al proceso formativo de la comunidad académica ​de la escuela tecnológica instituto técnico central </t>
  </si>
  <si>
    <t>PN26-027</t>
  </si>
  <si>
    <t>Oficina de Comunicaciones - Fotografía y video</t>
  </si>
  <si>
    <t xml:space="preserve">Prestación de servicios profesionales para la realización y producción de contenido audiovisual y multimedia con el fin de promover los objetivos estrategicos y lograr un impacto positivo en la audiencia de la escuela tecnológica instituto técnico central </t>
  </si>
  <si>
    <t>PN26-028</t>
  </si>
  <si>
    <t>Oficina de Comunicaciones - Presentación emisora</t>
  </si>
  <si>
    <t>Prestación de servicios como apoyo a la gestión para la operación de la emisora web, la rectoría y el área de comunicaciones de la escuela tecnológica instituto técnico central</t>
  </si>
  <si>
    <t>PN26-029</t>
  </si>
  <si>
    <t>Oficina de Comunicaciones - Mercadeo y admisiones</t>
  </si>
  <si>
    <t xml:space="preserve">Prestación de servicios profesionales para el diseño y ejecución de estrategias de promoción académica y posicionamiento de la oferta institucional de la escuela tecnológica instituto técnico central </t>
  </si>
  <si>
    <t>PN26-030</t>
  </si>
  <si>
    <t>Oficina de Comunicaciones - Redes sociales</t>
  </si>
  <si>
    <t xml:space="preserve">Prestación de servicios profesionales para administrar los contenidos de los medios digitales (portal web, redes sociales, carteleras digitales, carnetización digital) y coordinar la emisora web de la escuela tecnológica instituto técnico central </t>
  </si>
  <si>
    <t>PN26-031</t>
  </si>
  <si>
    <t>Oficina de Comunicaciones - Lider Comunicaciones</t>
  </si>
  <si>
    <t xml:space="preserve">Prestación de servicios profesionales para la planeación, dirección y seguimiento estratégico de las acciones de comunicación institucional, garantizando la articulación entre las áreas, la ejecución del plan estratégico de comunicación y el posicionamiento de la escuela tecnológica instituto técnico central </t>
  </si>
  <si>
    <t>PN26-032</t>
  </si>
  <si>
    <t>Control interno - aspectos generales.</t>
  </si>
  <si>
    <t>Prestacion de servicios profesionales para desarrollar las actividades contables y fiancieras del proceso de control interno, con autonomia tecnica y administrativa, de acuerdo con el plan anual de auditoria de control interno 2026 para la escuela tecnologica instituto tecnico central</t>
  </si>
  <si>
    <t>Profesional especializado 2028-15</t>
  </si>
  <si>
    <t>102 · Control Interno</t>
  </si>
  <si>
    <t>PN26-033</t>
  </si>
  <si>
    <t>Control interno - financiero</t>
  </si>
  <si>
    <t>Prestacion de servicios profesionales para el desarrollo de las actividades del proceso de control interno, con autonomia tecnica y administrativa, orientadas a la ejecucion del plan anual de auditoria incluyendo seguimientos, informes de ley, evaluación del modelo integrado de planeación y gestión (mipg), la aplicación del modelo estándar de control interno (meci), la verificación de los planes de mejoramiento y la gestión de riesgos de la escuela tecnológica instituto técnico central.</t>
  </si>
  <si>
    <t>PN26-034</t>
  </si>
  <si>
    <t>Apoyo registros calificados</t>
  </si>
  <si>
    <t>Apoyar el sistema integrado de aseguramiento de la calidad con procesos de calidad nacional y regional para los programas de educación superior vigentes y la institución, y en obtención de ofertas académicas en diversas áreas de formación.</t>
  </si>
  <si>
    <t>Autoevaluación Institucional</t>
  </si>
  <si>
    <t>autoevaluacion@itc.edu.co</t>
  </si>
  <si>
    <t>PN26-035</t>
  </si>
  <si>
    <t>Apoyo proceso de articulacion</t>
  </si>
  <si>
    <t>Apoyar el sistema integrado de aseguramiento de la calidad con procesos de articulación de condiciones de calidad de programas e institucional, factores de alta calidad y lineamientos internacionales en coherencia con la información estadística de la escuela.</t>
  </si>
  <si>
    <t>PN26-036</t>
  </si>
  <si>
    <t>Apoyo proceso de acreditacion</t>
  </si>
  <si>
    <t>Apoyar el sistema integrado de aseguramiento de la calidad con procesos de alta calidad nacional e internacional para los programas de educación superior vigentes y la institución, y en obtención de ofertas académicas.</t>
  </si>
  <si>
    <t>PN26-037</t>
  </si>
  <si>
    <t xml:space="preserve">Laboratorio inteligente </t>
  </si>
  <si>
    <t>Prestación de servicios profesionales para el desarrollo de actividades del laboratorio inteligente de ciencia, tencología, innovación y emprendimiento, formulación y ejecución de proyectos de emprendimiento del centro de pensamiento y desarrollo tecnológico para la vicerrectoría de investigación, extensión y transferencia de la escuela tecnológica instituto técnico central y sus sedes.</t>
  </si>
  <si>
    <t>Vicerrector de Investigación 0065-09</t>
  </si>
  <si>
    <t>viceinvestigacion@itc.edu.co</t>
  </si>
  <si>
    <t>140 · Vicerrectoría de Investigación, Extensión y Transferencia</t>
  </si>
  <si>
    <t>PN26-038</t>
  </si>
  <si>
    <t xml:space="preserve">Proceso de innovacion desarrollo y transferencia tecnologica </t>
  </si>
  <si>
    <t>Prestación de servicios profesionales para liderar el proceso de innovación, desarrollo y transferencia tecnológica de la escuela tecnológica instituto técnico central y sus sedes.</t>
  </si>
  <si>
    <t>PN26-039</t>
  </si>
  <si>
    <t>Apoyo investigacion</t>
  </si>
  <si>
    <t>Prestación de servicios profesionales para apoyar la categorización de grupos de investigación e investigadores de la escuela tecnológica instituto técnico central, mediante la gestión y registro de productos en plataformas cvlac y gruplac, el análisis estadístico y documental de la producción académica, y la elaboración de reportes e informes que respalden los procesos de reconocimiento y visibilidad institucional conforme a la normatividad vigente.</t>
  </si>
  <si>
    <t>PN26-040</t>
  </si>
  <si>
    <t xml:space="preserve">Centro de pensamiento </t>
  </si>
  <si>
    <t>Prestación de servicios profesionales para liderar el proyecto del centro de pensamiento y desarrollo tecnológico de la vicerrectoría de investigación, extensión y transferencia de la escuela tecnologica instituto tecnico central y sus sedes, de acuerdo con los requerimientos establecidos.</t>
  </si>
  <si>
    <t>PN26-041</t>
  </si>
  <si>
    <t xml:space="preserve">Apoyo semilleros </t>
  </si>
  <si>
    <t>Prestación de servicios profesionales para gestionar y promover los diferentes procesos relacionados con la investigación de los estudiantes, garantizando la calidad académica y generando transferencia del conocimiento a través de la investigación formativa en la escuela tecnológica instituto técnico central.</t>
  </si>
  <si>
    <t>PN26-042</t>
  </si>
  <si>
    <t xml:space="preserve">Revista letras </t>
  </si>
  <si>
    <t xml:space="preserve">Prestación de servicios profesionales para apoyar la gestión del proceso editorial, garantizando la calidad académica y generando transferencia del conocimiento a través de los productos editoriales en cumplimiento de los criterios de clidad científica de conformidad con la normatividad vigente en la escuela tecnológica instituto técnico central. </t>
  </si>
  <si>
    <t xml:space="preserve">Prestación de servicios profesionales para la gestión del giteps desarrollando acciones dirigidas a la proyección social a través de articulación de la comunidad con la institución durante la vigencia 2026. </t>
  </si>
  <si>
    <t>Profesional de Gestión Coordinador del Grupo Interno de
Trabajo de Extensión y Proyección social 2165-13</t>
  </si>
  <si>
    <t>141 · GIT Extensión y Proyección Social</t>
  </si>
  <si>
    <t>PN26-044</t>
  </si>
  <si>
    <t xml:space="preserve">Apoyo profesional centro de lenguas </t>
  </si>
  <si>
    <t xml:space="preserve">Prestación de servicios profesionales especializado para apoyar las actividades del centro de extensión y proyección social y centro de lenguas, en el marco de la gestion de visibilidad institucional y oferta de servicios a nivel oficial y privado. </t>
  </si>
  <si>
    <t>PN26-045</t>
  </si>
  <si>
    <t>Etdh</t>
  </si>
  <si>
    <t>Prestación de servicios profesionales especializados para apoyar las actividades del grupo interno de trabajo extensión y proyección social – giteps, en el marco de la constitución, organización, y registro de la oferta académica de educación para el trabajo y el desarrollo humano - etdh, gestionando de esta forma visibilidad institucional y oferta de servicios para el sector público y privado</t>
  </si>
  <si>
    <t>PN26-046</t>
  </si>
  <si>
    <t xml:space="preserve">Profesional de apoyo extension </t>
  </si>
  <si>
    <t xml:space="preserve">Prestación de servicios profesionales para realizar apoyo administrativo del área, seguimiento a la ejecución de los programas y coordinacion de la oferta académica del giteps en la escuela tecnologica instituto tecnico central durante la vigencia 2026. </t>
  </si>
  <si>
    <t>PN26-047</t>
  </si>
  <si>
    <t>Apoyo tecnico centro de lenguas</t>
  </si>
  <si>
    <t xml:space="preserve">Prestación de servicios de apoyo técnico a la gestión para realizar actividades administrativas y de seguimiento a la oferta académica del giteps y del centro de lenguas en la escuela tecnologica instituto tecnico central durante la vigencia 2026. </t>
  </si>
  <si>
    <t>PN26-048</t>
  </si>
  <si>
    <t xml:space="preserve">Visibilizacion </t>
  </si>
  <si>
    <t>Prestación de servicios profesionales para apoyar las actividades de visibilidad, estrategias de comunicación, organización de eventos, marketing y apoyo en la elaboración de documentos e informes para la acreditación institucional, colaboración en las presentaciones de informes de gestión de giteps y de la etitc durante la vigencia 2026</t>
  </si>
  <si>
    <t>PN26-049</t>
  </si>
  <si>
    <t xml:space="preserve">Profesor ingles c1-b2a centro de lenguas </t>
  </si>
  <si>
    <t>Prestación de servicios profesionales para apoyar las actividades del grupo interno de trabajo de extensión y proyección social - giteps durante el 2026 como instructor de inglés proficiency c1 y high intermediate b2a (200 horas)</t>
  </si>
  <si>
    <t>PN26-050</t>
  </si>
  <si>
    <t xml:space="preserve">Extencion </t>
  </si>
  <si>
    <t xml:space="preserve">Prestación de servicios profesionales para apoyar las actividades del grupo interno de trabajo de extensión y proyección social - giteps durante el 2026 como instructor de francés (200 horas). </t>
  </si>
  <si>
    <t>PN26-051</t>
  </si>
  <si>
    <t xml:space="preserve">Profesor ingles a1-b1a centro de lenguas </t>
  </si>
  <si>
    <t>Prestación de servicios profesionales para apoyar las actividades del grupo interno de trabajo de extensión y proyección social - giteps durante el 2026 como instructor de inglés beginner a1 y lower intermediate b1a (200 horas).</t>
  </si>
  <si>
    <t>Profesional Especializado 2028-13</t>
  </si>
  <si>
    <t>extension@itc.edu.co</t>
  </si>
  <si>
    <t>PN26-052</t>
  </si>
  <si>
    <t xml:space="preserve">Profesor ingles b2a-a1 centro de lenguas </t>
  </si>
  <si>
    <t>Prestación de servicios profesionales para apoyar las actividades del grupo interno de trabajo de extensión y proyección social - giteps durante el 2026 como instructor de inglés high intermediate b2a y beginner a1 (200 horas).</t>
  </si>
  <si>
    <t>PN26-053</t>
  </si>
  <si>
    <t xml:space="preserve">Profesor aleman e ingles centro de lenguas </t>
  </si>
  <si>
    <t>Prestación de servicios profesionales para apoyar las actividades del grupo interno de trabajo de extensión y proyección social - giteps durante el 2026 como instructor de alemán e inglés (300 horas).</t>
  </si>
  <si>
    <t>PN26-054</t>
  </si>
  <si>
    <t xml:space="preserve">Profesor ingles b2b-b1b centro de lenguas </t>
  </si>
  <si>
    <t>Prestación de servicios profesionales para apoyar las actividades del grupo interno de trabajo de extensión y proyección social - giteps durante el 2026 como instructor de inglés upper intermediate b2b e intermediate b1b (200 horas).</t>
  </si>
  <si>
    <t>PN26-055</t>
  </si>
  <si>
    <t xml:space="preserve">Profesor ingles b1b-b2b centro de lenguas </t>
  </si>
  <si>
    <t>Prestación de servicios profesionales para apoyar las actividades del grupo interno de trabajo de extensión y proyección social - giteps durante el 2026 como instructor de inglés intermediate b1b y upper intermediate b2b (200 horas).</t>
  </si>
  <si>
    <t>PN26-056</t>
  </si>
  <si>
    <t xml:space="preserve">Profesor ingles a2 centro de lenguas </t>
  </si>
  <si>
    <t xml:space="preserve">Prestación de servicios profesionales para apoyar las actividades del grupo interno de trabajo de extensión y proyección social - giteps durante el 2026 como instructor de inglés elementary a2 (240 horas). </t>
  </si>
  <si>
    <t>PN26-057</t>
  </si>
  <si>
    <t xml:space="preserve">Profesor ingles b1a - c1 centro de lenguas </t>
  </si>
  <si>
    <t>Prestación de servicios profesionales para apoyar las actividades del grupo interno de trabajo de extensión y proyección social - giteps durante el 2026 como instructor de inglés lower intermediate b1a y proficiency c1 (200 horas).</t>
  </si>
  <si>
    <t xml:space="preserve">Prestación de servicios profesionales para la vicerrectoría administrativa y financiera frente al seguimiento, la planeación y ejecución del desarrollo de los proyectos de la infraestructura fisica, electrica y servicios prioritarios tercerizados de la escuela tecnológica instituto técnico central. </t>
  </si>
  <si>
    <t>Vicerrector grado 0065-09 vicerrector
administrativo y financiero</t>
  </si>
  <si>
    <t>viceadministrativa@itc.edu.co</t>
  </si>
  <si>
    <t>130 · Vicerrectoría Administrativa y Financiera</t>
  </si>
  <si>
    <t xml:space="preserve">Prestación de servicios de apoyo a la gestión para realizar la gestión administrativa y logística de las actividades relacionadas con el seguimiento y la ejecución de los contratos a cargo de la vicerrectoría administrativa y financiera de la escuela tecnológica instituto técnico central. </t>
  </si>
  <si>
    <t>PN26-060</t>
  </si>
  <si>
    <t xml:space="preserve">Adquisiciones </t>
  </si>
  <si>
    <t xml:space="preserve">Prestación de servicios profesionales en el area de adquisiciones para dar tramite a las diferentes etapas de los procesos de contratación que se adelantan en la vicerrectoria administrativa y financiera de la escuela tecnológica instituto tecnico central. </t>
  </si>
  <si>
    <t>Profesional Especializado 2028 grado 15 del área de
adquisiciones de la Vicerrectoría Administrativa y Financiera de la ETITC</t>
  </si>
  <si>
    <t>PN26-061</t>
  </si>
  <si>
    <t>Apoyo almacen</t>
  </si>
  <si>
    <t xml:space="preserve">Prestación de servicios como apoyo a la gestión en el area de almacén para el desarrollo de las actividades que permitan realizar todos los registros en la plataforma tecnológica mantum de la escuela tecnologica instituto tecnico central y sus sedes. </t>
  </si>
  <si>
    <t>Profesional del area de almacen general</t>
  </si>
  <si>
    <t>almacen@itc.edu.co</t>
  </si>
  <si>
    <t>PN26-062</t>
  </si>
  <si>
    <t xml:space="preserve">Prestación de servicios profesionales para la vicerrectoria administrativoa y financiera como apoyo para el proeso de gestion de recursos fisicios - almacén general en las actividadades administrativas de la escuela tecnologica instituto tecnico central – etitc. </t>
  </si>
  <si>
    <t>Vicerrector administrativo y financiero
y/o quien haga sus veces</t>
  </si>
  <si>
    <t>PN26-063</t>
  </si>
  <si>
    <t>Auxiliar tesoreria</t>
  </si>
  <si>
    <t xml:space="preserve">prestación de servicios profesionales como apoyo a la gestión por sus propios medios y con plena autonomía para apoyar el área de tesorería de la escuela tecnológica instituto técnico central en los servicios y actividades que allí se adelantan. </t>
  </si>
  <si>
    <t>Tesorera de la ETITC</t>
  </si>
  <si>
    <t>tesoreria@itc.edu.co</t>
  </si>
  <si>
    <t>PN26-064</t>
  </si>
  <si>
    <t>Apoyo tecnico</t>
  </si>
  <si>
    <t xml:space="preserve">Prestación de servicios en la vicerrectoría administrativa y financiera para apoyar las actividades y el desarrollo de labores de la cadena financiera en la escuela tecnologica instituto técnico central y sus sedes para la vigencia 2026, de acuerdo con las normas vigentes. </t>
  </si>
  <si>
    <t>Vicerrector administrativo y financiero</t>
  </si>
  <si>
    <t>PN26-065</t>
  </si>
  <si>
    <t>Apoyo profesional</t>
  </si>
  <si>
    <t xml:space="preserve">Prestación de servicios profesionales especializados para apoyar el proceso de gestion financiera de la escuela tecnologica instituto tecnico central </t>
  </si>
  <si>
    <t>Vicerrector Administrativo y Financiero de la ETITC</t>
  </si>
  <si>
    <t>PN26-066</t>
  </si>
  <si>
    <t xml:space="preserve">Apoyo oficina de personal </t>
  </si>
  <si>
    <t>Prestación de servicios profesionales, por sus propios medios y con plena autonomía técnica, administrativa para el desarrollo de las actividades del área de talento humano, en la expedicion de certificaciones con fines pensionales, revision de nomina, depuracion de deudas de fondos pensionales, eps y arl, diligenciamiento archivo y cargue de informacion docentes en la plataforma snies</t>
  </si>
  <si>
    <t>Profesional de Talento Humano de la ETITC</t>
  </si>
  <si>
    <t>PN26-067</t>
  </si>
  <si>
    <t xml:space="preserve">Infraestructura  electrica </t>
  </si>
  <si>
    <t xml:space="preserve">Prestación de servicios como apoyo a la gestión del área de infraestructura eléctrica para desarrollar las actividades de adecuación de sistemas eléctricos normalizados y especiales de la escuela tecnológica instituto técnico central y sus sedes y/o extensiones y/o convenios interinstitucionales a nivel nacional. </t>
  </si>
  <si>
    <t>Técnico operativo 3232 grado 09</t>
  </si>
  <si>
    <t>PN26-068</t>
  </si>
  <si>
    <t>PN26-069</t>
  </si>
  <si>
    <t>PN26-070</t>
  </si>
  <si>
    <t>PN26-071</t>
  </si>
  <si>
    <t>PN26-072</t>
  </si>
  <si>
    <t xml:space="preserve">Prestación de servicios profesionales en el área de infraestructura eléctrica de la etitc para realizar adecuación, soporte de sistemas eléctricos, redes de datos normalizados, especiales, implementación, mantenimiento a todo nivel de sistemas de iluminación, protección y soporte en la preparación de documentos de redes de datos y comunicaciones </t>
  </si>
  <si>
    <t>PN26-073</t>
  </si>
  <si>
    <t>PN26-074</t>
  </si>
  <si>
    <t>PN26-075</t>
  </si>
  <si>
    <t>Técnico operativo grado 3132-09</t>
  </si>
  <si>
    <t>PN26-076</t>
  </si>
  <si>
    <t>Admin campus virtual</t>
  </si>
  <si>
    <t xml:space="preserve">Prestación de servicios profesionales especializados en el área de informática y telecomunicaciones para administrar y garantizar la disponibilidad de la plataforma moodle lms (campus virtual) y todos sus componentes como apoyo a las actividades académicas y administrativas de la etitc. </t>
  </si>
  <si>
    <t xml:space="preserve">Profesional de informática y telecomunicaciones </t>
  </si>
  <si>
    <t>gestionit@itc.edu.co</t>
  </si>
  <si>
    <t>PN26-077</t>
  </si>
  <si>
    <t>Técnico aulas alternancia bto</t>
  </si>
  <si>
    <t xml:space="preserve">Prestación de servicios como técnico en el área de informática y telecomunicaciones para brindar soporte de primer nivel, ejecutar planes de mantenimiento y asesoria a usuarios de los equipos relacionados al sistema de las aulas para la alternancia del bachillerato de la etitc. </t>
  </si>
  <si>
    <t>PN26-078</t>
  </si>
  <si>
    <t>Apoyo gestion IT</t>
  </si>
  <si>
    <t xml:space="preserve">Prestación de servicios profesionales en el área de informática y telecomunicaciones para ejecutar actividades de seguimiento y documentación para garantizar el cumplimiento de la normativa vigente en la infraestructura tecnológica de la escuela tecnológica instituto técnico central y sus sedes. </t>
  </si>
  <si>
    <t>PN26-079</t>
  </si>
  <si>
    <t>Admin mesa de ayuda</t>
  </si>
  <si>
    <t xml:space="preserve">Prestación de servicios profesionales en el área de informática y telecomunicaciones para administrar la mesa de ayuda y las plataformas microsoft 365, azure ad, azure microsoft cloud services y la integración con otras plataformas de la escuela tecnológica instituto técnico central. </t>
  </si>
  <si>
    <t>PN26-080</t>
  </si>
  <si>
    <t>Técnico aulas alternancia pes</t>
  </si>
  <si>
    <t xml:space="preserve">Prestación de servicios como tecnologo en el área de informática y telecomunicaciones para brindar soporte de primer nivel, ejecutar planes de mantenimiento y asesoria a usuarios de los equipos relacionados al sistema de las aulas para la alternancia de los programas de educación superior de la etitc. </t>
  </si>
  <si>
    <t>PN26-081</t>
  </si>
  <si>
    <t>Apoyo gestión</t>
  </si>
  <si>
    <t xml:space="preserve">Prestación de servicios profesionales especializados para asesorar y apoyar los procesos técnicos y administrativos del área de informática y telecomunicaciones de la etitc. </t>
  </si>
  <si>
    <t>PN26-082</t>
  </si>
  <si>
    <t>Técnico mesa de ayuda (sedes por definir)</t>
  </si>
  <si>
    <t xml:space="preserve">Prestación de servicios como técnico en el área de informática y telecomunicaciones para brindar el soporte de primer nivel para dar respuesta y solución a los incidentes, requerimientos y solicitudes registradas en la mesa de servicios de ti de las sedes anexas de la etitc. </t>
  </si>
  <si>
    <t>PN26-083</t>
  </si>
  <si>
    <t>Admin sistemas info</t>
  </si>
  <si>
    <t xml:space="preserve">Prestación de servicios profesionales en el área de informática y telecomunicaciones para la administración de los sistemas de información y las bases de datos de la etitc. </t>
  </si>
  <si>
    <t>PN26-084</t>
  </si>
  <si>
    <t>Coord mesa de ayuda</t>
  </si>
  <si>
    <t xml:space="preserve">Prestación de servicios profesionales en el área de informática y telecomunicaciones para coordinar el soporte de primer nivel con el propósito de brindar respuesta y solución a los incidentes, requerimientos y solicitudes registradas en la mesa de servicios de ti de la etitc y sus sedes. </t>
  </si>
  <si>
    <t>PN26-085</t>
  </si>
  <si>
    <t>Tecnologo mesa de ayuda mañana</t>
  </si>
  <si>
    <t xml:space="preserve">Prestación de servicios como tecnologo en el área de informática y telecomunicaciones para brindar el soporte de primer nivel con el propósito de brindar respuesta y solución a los incidentes, requerimientos y solicitudes registradas en la mesa de servicios de ti de la etitc. </t>
  </si>
  <si>
    <t>PN26-086</t>
  </si>
  <si>
    <t>Admin TI</t>
  </si>
  <si>
    <t xml:space="preserve">Prestación de servicios profesionales con disponibilidad 7 x 24 en el área de informática y telecomunicaciones para garantizar la disponibilidad de la infraestructura tecnológica y de los servicios académicos y administrativos de la etitc. </t>
  </si>
  <si>
    <t>PN26-087</t>
  </si>
  <si>
    <t>Técnico audiovisuales</t>
  </si>
  <si>
    <t xml:space="preserve">Prestación de servicios como técnico en el área de informática y telecomunicaciones para realizar apoyo en la atención, funcionamiento, configuración, soporte y ejecución de planes mantenimiento de los espacios a cargo de audiovisuales de la sede centro de la etitc. </t>
  </si>
  <si>
    <t>PN26-088</t>
  </si>
  <si>
    <t>Ingeniera</t>
  </si>
  <si>
    <t>Prestación de servicios profesionales de apoyo a la gestión como ingeniero para el área de infraestructura de planta fisica de la escuela tecnológica instituto técnico central y sus sedes.</t>
  </si>
  <si>
    <t>PN26-089</t>
  </si>
  <si>
    <t>Gestion bic v1</t>
  </si>
  <si>
    <t>Prestación de servicios profesionales como arquitecto en conservacion del patrimonio para el área de infraestructura de la escuela tecnológica instituto técnico central y sus sedes.</t>
  </si>
  <si>
    <t>PN26-090</t>
  </si>
  <si>
    <t>Auxiliar arquitectura v1</t>
  </si>
  <si>
    <t>Prestación de servicios de apoyo a la gestión como auxiliar del área de infraestructura física de la escuela tecnológica instituto técnico central y sus sedes.</t>
  </si>
  <si>
    <t>PN26-091</t>
  </si>
  <si>
    <t>Mantenimiento v1</t>
  </si>
  <si>
    <t>Prestación de servicios de apoyo a la gestión para cumplimiento y ejecucion del plan de mantenimiento para el área de infraestructura física de la escuela tecnológica instituto técnico central y sus sedes</t>
  </si>
  <si>
    <t>PN26-092</t>
  </si>
  <si>
    <t>Auxiliar de mantenimiento</t>
  </si>
  <si>
    <t>Prestación de servicios de apoyo a la gestión como auxiliar de mantenimiento para el área de infraestructura fisica de la escuela tecnológica instituto técnico central y sus sedes.</t>
  </si>
  <si>
    <t>PN26-093</t>
  </si>
  <si>
    <t>Plomero v1</t>
  </si>
  <si>
    <t>Prestación de servicios de apoyo a la gestión como plomero para el área de infraestructra física de la escuela tecnológica instituto técnico central y sus sedes</t>
  </si>
  <si>
    <t>PN26-094</t>
  </si>
  <si>
    <t>Pintor</t>
  </si>
  <si>
    <t>Prestación de servicios de apoyo a la gestión como pintor para el área de infraestructura física de la escuela tecnológica instituto técnico central y sus sedes</t>
  </si>
  <si>
    <t>PN26-095</t>
  </si>
  <si>
    <t>Fontanero</t>
  </si>
  <si>
    <t>Prestación de servicios de apoyo a la gestión como fontanero para el área de infraestructura física de la escuela tecnológica instituto técnico central y sus sedes</t>
  </si>
  <si>
    <t>PN26-096</t>
  </si>
  <si>
    <t>Albañil v1</t>
  </si>
  <si>
    <t>Prestación de servicios de apoyo a la gestión como albañil para el área de infraestructura física de la escuela tecnológica instituto técnico central y sus sedes</t>
  </si>
  <si>
    <t>PN26-097</t>
  </si>
  <si>
    <t>Carpintero v1</t>
  </si>
  <si>
    <t>Prestación de servicios de apoyo a la gestión como carpintero para el área de infraestructura física de la escuela tecnológica instituto técnico central y sus sedes</t>
  </si>
  <si>
    <t>PN26-098</t>
  </si>
  <si>
    <t>Carpintero metalico</t>
  </si>
  <si>
    <t>Prestación de servicios de apoyo a la gestión como carpintero metalico para el área de infraestructura física de la escuela tecnológica instituto técnico central y sus sedes</t>
  </si>
  <si>
    <t>PN26-099</t>
  </si>
  <si>
    <t>Jardinero v1</t>
  </si>
  <si>
    <t>Prestación de servicios de apoyo a la gestión como jardinero para el área de infraestructura física de la escuela tecnológica instituto técnico central y sus sedes</t>
  </si>
  <si>
    <t>PN26-100</t>
  </si>
  <si>
    <t>Todero guaymaral</t>
  </si>
  <si>
    <t>Prestación de servicios de apoyo a la gestión como todero guaymaral para el área de infraestructura física de la escuela tecnológica instituto técnico central y sus sedes</t>
  </si>
  <si>
    <t>PN26-101</t>
  </si>
  <si>
    <t>Apoyo como tecnólogo en gestión documental</t>
  </si>
  <si>
    <t>Prestación de servicios de apoyo a la gestión como tecnólogo en gestión documental, para desarrollar actividades técnicas relacionadas con la elaboración, actualización, seguimiento y control de los instrumentos archivísticos de la etitc, tablas de valoración documental (tvd) plan institucional de archivos (pinar), programa de gestión documental (pgd), y aplicación de tablas de retención documental (trd) en cumplimiento del acuerdo 001 de 2024, ley 594 del 2000 -ley general de archivos, y decreto 1080 del 2015.</t>
  </si>
  <si>
    <t>Profesional universitario grado 2044-04,
del área de gestión documental y atención al ciudadano</t>
  </si>
  <si>
    <t>131 · GIT Gestión Documental y Atención al Ciudadano</t>
  </si>
  <si>
    <t>PN26-102</t>
  </si>
  <si>
    <t>Apoyo como profesional en gestión documental - actividades técnicas archivísticas</t>
  </si>
  <si>
    <t>Prestación de servicios profesionales especializados para liderar y ejecutar las actividades técnicas necesarias para la formulación, actualización, implementación y evaluación de los instrumentos archivísticos de la etitc, incluyendo el pinar, trd, tvd, sic, pgd, tca y sgdea, garantizando el cumplimiento de la ley 594 de 2000, el decreto 1080 de 2015, el acuerdo 001 de 2024 del agn y la normativa vigente en materia de gestión documental y archivos</t>
  </si>
  <si>
    <t>PN26-103</t>
  </si>
  <si>
    <t>Apoyo como técnico en gestión documental</t>
  </si>
  <si>
    <t xml:space="preserve">Prestación de servicios de apoyo como técnico en gestión documental para el desarrollo de actividades operativas organización, digitalización y consulta y levantamiento de inventario de la etitc, en cumplimiento de la ley 594 de 2000-ley general de archivos, el decreto 1080 de 2015 y el acuerdo 001 de 2024 del archivo general de la nación. </t>
  </si>
  <si>
    <t>MENOR CUANTIA</t>
  </si>
  <si>
    <t>Selección abreviada de menor cuantía</t>
  </si>
  <si>
    <t>Renovación de licenciamiento LevelBlue AlienVault USM Anywhere (Unified Security Management) &amp; Threat Intelligent durante doce meses para el servicio de monitoreo de estado de compromisos e inteligencia de amenazas como apoyo a la Gestión y Eficiencia de la Ciberseguridad</t>
  </si>
  <si>
    <t>PN26-106</t>
  </si>
  <si>
    <t>Adquirir una licencia por 1 año de una herramienta de software para análisis de vulnerabilidades de infraestructura de TI, que permita la gestión de vulnerabilidades técnicas como parte de la estrategia de ciberseguridad</t>
  </si>
  <si>
    <t>PN26-107</t>
  </si>
  <si>
    <t xml:space="preserve"> Prestar servicio de pruebas de Pentesting (Ethical Hacking) del tipo Black Box &amp; Grey Box, para identificar vulnerabilidades reales antes que actores maliciosos las exploten</t>
  </si>
  <si>
    <t>72151800
72103300</t>
  </si>
  <si>
    <t>PRESTACIÓN DE SERVICIOS PARA REALIZAR EL MANTENIMIENTO PREVENTIVO Y CORRECTIVO A TODO COSTO DE LOS EQUIPOS DE MISIÓN CRITICA (GRUPO MOTOR, TRANSFERENCIAS AUTOMÁTICAS, UPS, REGULADORES) A NIVEL DE INFRAESTRUCTURA ELÉCTRICA DE LA ESCUELA TECNOLÓGICA INSTITUTO TÉCNICO CENTRAL Y SUS EXTENSIONES (MANTENIMIENTO ESPECIALIZADO)</t>
  </si>
  <si>
    <t>Técnico operativo 3132 grado 09</t>
  </si>
  <si>
    <t>gestioninfraestructura@itc.edu.co</t>
  </si>
  <si>
    <t xml:space="preserve">MANTENIMIENTO PREVENTIVO Y CORRECTIVO (INCLUIDA MANO DE OBRA Y REPUESTOS) DE LOS AIRES ACONDICIONADOS DE LA ESCUELA TECNOLÓGICA INSTITUTO TÉCNICO CENTRAL SEDE CENTRO E INSTALACIONES UPK - TINTAL (MANTENIMIENTO ESPECIALIZADO) </t>
  </si>
  <si>
    <t>PRESTACIÓN DE SERVICIO PARA REALIZAR EL MANTENIMIENTO PREVENTIVO Y CORRECTIVO (REPOTENCIACION) A TODO COSTO DEL SISTEMA DE CIRCUITO CERRADO DE TELEVISIÓN – CCTV, DE LA SEDE PRINCIPAL CENTRO Y EXTENSIONES DE LA ESCUELA TECNOLÓGICA INSTITUTO TÉCNICO CENTRAL (MANTENIMIENTO ESPECIALIZADO)</t>
  </si>
  <si>
    <t>PRESTACIÓN DE SERVICIO PARA REALIZAR EL MANTENIMIENTO PREVENTIVO Y CORRECTIVO A TODO COSTO DEL SISTEMA FOTOVOLTAICO UBICADO EN EL AREA DEL TALLER DE FUNDICION, DE LA SEDE PRINCIPAL CENTRO Y EXTENSIONES DE LA ESCUELA TECNOLÓGICA INSTITUTO TÉCNICO CENTRAL (MANTENIMIENTO ESPECIALIZADO)</t>
  </si>
  <si>
    <t>PN26-112</t>
  </si>
  <si>
    <t xml:space="preserve">SERVICIO DE MANTENIMIENTO PREVENTIVO Y CORRECTIVO DE DOS (2) SISTEMAS DE TRANSPORTE VERTICAL - ASCENSORES, UBICADOS EN LAS INSTALACIONES  DE LA UPK – SEDE TINTAL
(MANTENIMIENTO ESPECIALIZADO) </t>
  </si>
  <si>
    <t xml:space="preserve">39120000
39121700 
</t>
  </si>
  <si>
    <t>PN26-114</t>
  </si>
  <si>
    <t>SUMINISTRO E INSTALACIÓN DE TABLERO GENERAL DE DISTRIBUCIÓN - TGA, TRANSFERENCIA AUTOMÁTICA TRIFÁSICA Y BANCO DE COMPENSACIÓN/FILTRADO PARA LA SEDE CENTRO DE LA ESCUELA TECNOLÓGICA INSTITUTO TÉCNICO CENTRAL. (PROYECTO - MODERNIZACIÓN)</t>
  </si>
  <si>
    <t>PN26-115</t>
  </si>
  <si>
    <t>SUMINISTRO, INSTALACIÓN Y PUESTA EN MARCHA (LLAVE EN MANO), DEL CONTROL DE  ACCESO VEHICULAR Y PEATONAL DE LA SEDE CENTRO DE LA ESCUELA TECNOLÓGICA INSTITUTO TÉCNICO CENTRAL (PROYECTO - MODERNIZACIÓN)</t>
  </si>
  <si>
    <t>PN26-116</t>
  </si>
  <si>
    <t>SUMINISTRO, INSTALACIÓN Y PUESTA EN MARCHA (LLAVE EN MANO), DE LA SEGUNDA FASE DEL SISTEMA CERRADO DE TELEVISIÓN CCTV, PERTENECIENTE A AS INSTALACIONES DE LA EXTENSIÓN DE LA UPK-TINTAL (PROYECTO - MODERNIZACIÓN)</t>
  </si>
  <si>
    <t>Adecuación del gimnasio  en sustitución e instalación de nuevos espejos, renovación del sistema de iluminación, instalación y/o reemplazo de lockers,  colocación de percheros, cambiar  o mejor  puertas,  incorporación o renovación de muebles, actualización del sistema de sonido.</t>
  </si>
  <si>
    <t xml:space="preserve">VICERRECTOR ACADEMICO </t>
  </si>
  <si>
    <t>122 · GIT Bienestar Universitario</t>
  </si>
  <si>
    <t>Contratación  de servicio de arbitrajes para torneos internos deportivos  del área de deportes de Bienestar Universitario</t>
  </si>
  <si>
    <t xml:space="preserve">Inscripciones a carreras atleticas que se seleccionan los estudiantes desde el área de deportes </t>
  </si>
  <si>
    <t>$50.000.000</t>
  </si>
  <si>
    <t>viceacademica@itc.edu.co</t>
  </si>
  <si>
    <t>120 · Vicerrectoría Académica</t>
  </si>
  <si>
    <t>PN26-120</t>
  </si>
  <si>
    <t>Adquisición de máqinas complementarias para el gimnasio de la ETITC en pro de la excelente prestación del servicio a la comunidad institucional</t>
  </si>
  <si>
    <t>$15.000.000</t>
  </si>
  <si>
    <t>PN26-121</t>
  </si>
  <si>
    <t>Adquisición de mantenimiento equipos y máquinas que se encuentran en el gimnasio de la ETITC</t>
  </si>
  <si>
    <t>15.000.000</t>
  </si>
  <si>
    <t xml:space="preserve">Contratación del mantenimiento y adecuaciones de los escenarios deportivos (canchas)  en los patios realizando mantenimiento general, reparación y adecuación de superficies de juego, ajustes necesarios para asegurar condiciones óptimas de uso por parte de la comunidad educativa.
</t>
  </si>
  <si>
    <t>$ 30.000.000</t>
  </si>
  <si>
    <t>$30.000.000</t>
  </si>
  <si>
    <t>$200.000.000</t>
  </si>
  <si>
    <t>$ 40.000.000</t>
  </si>
  <si>
    <t xml:space="preserve">Bienestar Universitario </t>
  </si>
  <si>
    <t>Adquisicion de IPP-R ( IPP-R. Inventario de Intereses y Preferencias Profesionales – Revisado (b) IPP-R. Inventario de Intereses y Preferencias Profesionales – Revisado – Juego completo (Manual, 10 Cuadernillos, Kit corrección 200 usos) Código 2H0200, y  IHE. Inventario de Hábitos de Estudio (a) Evaluación de los hábitos de trabajo y estudio mediante cuatro escalas (Condiciones ambientales del estudio, Planificación del estudio, Utilización de materiales y Asimilación de contenidos) y una adicional de sinceridad. Juego completo (Manual, 10 Cuadernillos, 200 Hojas de respuestas autocorregibles) Código : 2H0100, 4 Juegos para estimulación de la memoria SIMON, 4 juegos para estimulación del lenguaje FORMAPALABRAS 
 3 Atril para baja vision en Madera Graduable, elementos necesarios para la atención de situaciones de crisis emocionales:  Dispensador de agua, Pañuelos desechables.  Kit para primeros auxilios psicológicos, que consta de tarjetas para fortalecer la auto regulación ante situaciones de alto impacto emocional</t>
  </si>
  <si>
    <t>PN26-128</t>
  </si>
  <si>
    <t>Adqusición de 4 toner impresora  Toner Black (High Yield) 842370 Toner Cian (High Yield) 842371 Toner Magenta (High Yield) 842372 Toner Yellow (High Yield) 842373</t>
  </si>
  <si>
    <t xml:space="preserve"> $                   4.000.000,00</t>
  </si>
  <si>
    <t>[PENDIENTE DE VERIFICAR]</t>
  </si>
  <si>
    <t xml:space="preserve">Adquisición de 15 Tableros de Ajedrez 42X42. Enrrollable en lona y  15 temporizador reloj de ajedrez. </t>
  </si>
  <si>
    <t xml:space="preserve"> $                   2.250.000,00</t>
  </si>
  <si>
    <t>PN26-130</t>
  </si>
  <si>
    <t>3 Teléfonos celulares smartphone gama media,  incluido plan ilimitado de minutos y plan de datos con acceso a redes</t>
  </si>
  <si>
    <t>Adquisición de 40 Kit de lienzo para pintar por números 30x30 , 40 Kit de lienzo para pintar por números 50x40, 10 Juego bloques magnéticos para concentración, 40 juegos de Arte 5D Diamante 50x40,  150 AGENDAS 1/2 CARTA TAPA DURA FULL COLOR 100 INTERNAS BOND ARGOLLADOS 10 INSERTOS COTE 150 GRS, batería de Evaluación Cognitiva General (CAB) de CogniFit ( 100 evaluaciones),  materiales e insumos para talleres de arte, con el fin de suministrar los recursos necesarios para la realización de actividades formativas y creativas en los diferentes programas de arte, elaboración de poster de  de 2x3 tipo araña socialización servicios  de bienestar , poster de  de 2x3 tipo araña socializacion de proyectos externos ( renta joven-icetex, ruta de bienestar)</t>
  </si>
  <si>
    <t>Adquisición de elementos e insumos musicales, destinados a la dotación, reposición y adecuado funcionamiento de los instrumentos y equipos, con el fin de apoyar las actividades formativas, prácticas y artísticas desarrolladas en el área de Arte y Cultura.</t>
  </si>
  <si>
    <t xml:space="preserve"> $                 40.000.000,00</t>
  </si>
  <si>
    <t xml:space="preserve"> $                 20.000.000,00</t>
  </si>
  <si>
    <t>Suministro de elementos, dotación y mobiliario para el área de enfermería en la prestación de servicios de atención primaria en salud a los estudiantes, docentes, personal administrativo y visitantes de la Escuela Tecnológica Instituto Técnico Central  y sus otras instalaciones para la vigencia 2026</t>
  </si>
  <si>
    <t>Mantenimiento de tres desfibriladores externos automáticos y adquisición de electrodos para garantizar su funcionamiento óptimo en la prestación de primeros auxilios en caso de paro cardiorrespiratorio en la Escuela Tecnológica Instituto Técnico Central para la vigencia 2026.</t>
  </si>
  <si>
    <t>$ 10.000.000</t>
  </si>
  <si>
    <t>PN26-137</t>
  </si>
  <si>
    <t>Adquisición de Desfibrilador Externo Automático (DEA) para las sedes de Viotá y Zipaquirá, el cual es un dispositivo que se utiliza en situaciones de emergencia, especialmente aquellas que involucran riesgos cardíacos. Así como los electrodos parche desechables para adultos que se usan con este equipo.</t>
  </si>
  <si>
    <t>$18.000.000</t>
  </si>
  <si>
    <t xml:space="preserve"> Contratación con una entidad prestadora de servicios de salud mental orientada a brindar atención integral para atender los factores de riesgo asociados a  trastornos del estado del animo </t>
  </si>
  <si>
    <t>$100.000.000</t>
  </si>
  <si>
    <t>PN26-139</t>
  </si>
  <si>
    <t>Adquisición de elementos necesarios para la toma de espacios 6 Habladores en acrilico tamaño grande para la visualización de información en actividades de asistencia masiva, 3 Máquinas de boxeo por 4 musical que incluya guantes (este elemento se utilizaría para actividades de regulación emocional). 2 tapetes de baile (este elemento también se usara en actividades de regulación emocional)</t>
  </si>
  <si>
    <t xml:space="preserve">Adquisición de licencia en plataformas para descargar y/o crear recursos para las atenciones individuales y grupales, como Genially, Mensactiva entre otras; con el fin de poder brindar recursos para el aprendizaje autónomo de los procesos de psicoeducación.  </t>
  </si>
  <si>
    <t>$41.800.000</t>
  </si>
  <si>
    <t>Compra de 6 computadores  equipos portátiles HP 512 G10, Intel Core I5 1334U, SSD 512GB, DDR4 8GB, NO DVD, Pantalla 15.6" HD.</t>
  </si>
  <si>
    <t>Compra de utensilios y menaje  necesarios para el buen funcionamiento del programa del subsidio de alimentación de la ETITC.</t>
  </si>
  <si>
    <t>$20.000.000</t>
  </si>
  <si>
    <t>Contratar  transporte terrestre para asistir a las sedes de ZIPAQUIRÁ  y VIOTÁ desde el área de Bienestar Universitario segun indicaciones.</t>
  </si>
  <si>
    <t>Contratar la asesoria para dar inicio a la meta estrategica No. 3  del eje No. 6 de Cuidado por el Bienestar y la Vida:  estar entre las cinco universidades colombianas reconocidas por   rankings internacionales como Time Higher Education y QS World University,</t>
  </si>
  <si>
    <t>Adquisición de mobiliario para dotación de oficinas en VIOTA Y ZIPAQUIRA  de psicología</t>
  </si>
  <si>
    <t>Adquisición y suministro de artículos  necesarios para el desarrollo de talleres, actividades formativas, culturales, recreativas y de integración, en el marco de los programas y estrategias de Bienestar Universitario, con el fin de apoyar las acciones orientadas al fortalecimiento del desarrollo integral, la permanencia y la calidad de vida de la comunidad universitaria</t>
  </si>
  <si>
    <t xml:space="preserve">Menor cuantía </t>
  </si>
  <si>
    <t>Contratar  una empresa especializada en prestar servicios de saneamiento ambiental, que cuente con Concepto sanitario favorable para Lavado y desinfección de tanques de almacenamiento de agua potable, control de plagas y desinfección ambiental.</t>
  </si>
  <si>
    <t>140.000.000</t>
  </si>
  <si>
    <t>Jefe de la oficina asesora de planeación</t>
  </si>
  <si>
    <t>25.000.000</t>
  </si>
  <si>
    <t xml:space="preserve">Contratar los servicios especializados para recolectar y gestionar los residuos peligrosos que se generen en todas las sedes de la ETITC. </t>
  </si>
  <si>
    <t>11.000.000</t>
  </si>
  <si>
    <t>38.000.000</t>
  </si>
  <si>
    <t>Prestación de servicio de  consultoría técnica para la realización de una auditoria energética integral en las instalaciones del ETITC,  en cumplimiento de la Resolución 40412 de 2024 del Ministerio de 
Minas y Energía, así como de lo establecido en la Ley 1715 de 2014, la Ley 274 de 2023 (Plan  Nacional de Desarrollo 2022–2026) y la metodología definida por la UPME</t>
  </si>
  <si>
    <t>70.00.000</t>
  </si>
  <si>
    <t>Adquisición estibas y d Kits de emergencias y elementos para la atención de derrames químicos  e hidrocarburos,destinados a fortalecer la capacidad de respuesta y mitigación de impactos ambientales y de seguridad en el trabajo en el  ETITC</t>
  </si>
  <si>
    <t>30.000.000</t>
  </si>
  <si>
    <t>PN26-154</t>
  </si>
  <si>
    <t>Prestar los servicios profesionales a la Oficina Asesora de Planeación de la Escuela Tecnológica Instituto Técnico Central – ETIC, para realizar el seguimiento, verificación y mejora continua del plan de continuidad del servicio y del tratamiento de protección de datos personales, asegurando su conformidad con la normativa vigente relacionada con la continuidad del servicio, la seguridad de la información y la protección de datos personales.</t>
  </si>
  <si>
    <t>Profesional Especializado 2028-15 Aseguramiento de la Calidad</t>
  </si>
  <si>
    <t>aseguramientocalidad@itc.edu.co</t>
  </si>
  <si>
    <t>Prestación de servicio para la realización de Auditoría Interna Integral de los Sistemas de Gestión de Calidad NTC ISO 9001:2015, NTC ISO 14001:2015, ISO/IEC 27001:2022, Decreto 1072 de 2015 y Resolución 0312 de 2019, en la Escuela Tecnológica Instituto Técnico Central.</t>
  </si>
  <si>
    <t>MÍNIMA CUANTÍA</t>
  </si>
  <si>
    <t>PN26-158</t>
  </si>
  <si>
    <t>Contratar con el Icontec el servicio de auditoría de renovación bajo las normas ISO 9001:2015, ISO/IEC 27001:2022 E ISO 14001:2015</t>
  </si>
  <si>
    <t>Ejecutar la obra civil de las soluciones arquitectónicas de la etapa 1 del plan de movilidad inclusiva y la intervención integral de las jardineras de acceso en la sede central de la escuela tecnológica instituto técnico central</t>
  </si>
  <si>
    <t>LICITACION</t>
  </si>
  <si>
    <t>PBX 3443000 Ext 113</t>
  </si>
  <si>
    <t>Licitación pública</t>
  </si>
  <si>
    <t>Realizar la interventoría técnica, administrativa y financiera al contrato cuyo objeto es ejecutar la obra civil correspondiente a las soluciones arquitectónicas de la Etapa 1 del Plan de Movilidad Inclusiva y la intervención integral de las jardineras de acceso en la sede central de la Escuela Tecnológica Instituto Técnico Central – ETITC, con el fin de verificar el cumplimiento de las condiciones contractuales, técnicas, de calidad, seguridad, plazo y presupuesto establecidos.</t>
  </si>
  <si>
    <t>CONCURSO DE MERITOS</t>
  </si>
  <si>
    <t>PBX 3443000 Ext 114</t>
  </si>
  <si>
    <t>Concurso de méritos</t>
  </si>
  <si>
    <t>Consultoría integral para la elaboración de estudios y diseños técnicos requeridos para la obtención de licencias de demolición y construcción en cualquiera de sus modalidades y/o licencia de urbanismo con los permisos y aprobaciones necesarios para la construcción de la nueva sede en el predio de la calle 18 de la escuela tecnológica instituto técnico central.</t>
  </si>
  <si>
    <t>PBX 3443000 Ext 115</t>
  </si>
  <si>
    <t>PN26-162</t>
  </si>
  <si>
    <t>Realizar la interventoría técnica, administrativa y financiera  al contrato de consultoría cuyo objeto es la elaboración de los estudios y diseños técnicos requeridos para la obtención de licencias de demolición y construcción en cualquiera de sus modalidades y/o licencia de urbanismo, así como los permisos y aprobaciones necesarios para la construcción de la nueva sede en el predio de la Calle 18 de la Escuela Tecnológica Instituto Técnico Central – ETITC, verificando el cumplimiento de las condiciones contractuales, los requisitos técnicos y normativos aplicables, y la calidad de los productos entregados.</t>
  </si>
  <si>
    <t>PBX 3443000 Ext 116</t>
  </si>
  <si>
    <t>PBX 3443000 Ext 117</t>
  </si>
  <si>
    <t>PN26-164</t>
  </si>
  <si>
    <t>Consultoría integral para la elaboración de estudios y diseños técnicos requeridos para la obtención de licencia de construcción en cualquiera de sus modalidades, con los permisos y aprobaciones necesarios para el reforzamiento estructural, remodelación y dotación del bloque estructural 5 de la sede central de la escuela tecnológica instituto técnico central.</t>
  </si>
  <si>
    <t>PBX 3443000 Ext 118</t>
  </si>
  <si>
    <t>PN26-165</t>
  </si>
  <si>
    <t>Ejecutar las obras de reforzamiento estructural y las intervenciones constructivas requeridas en el Bloque C de la Escuela Tecnológica Instituto Técnico Central – ETITC, de conformidad con los estudios de diagnóstico patológico, levantamiento arquitectónico y estructural, y la propuesta de intervención previamente elaborada para la mitigación de las afectaciones identificadas en la estructura.</t>
  </si>
  <si>
    <t>PBX 3443000 Ext 119</t>
  </si>
  <si>
    <t>PN26-166</t>
  </si>
  <si>
    <t>Realizar la interventoría técnica, administrativa y financiera al contrato cuyo objeto es ejecutar las obras de reforzamiento estructural y las intervenciones constructivas requeridas en el Bloque C de la Escuela Tecnológica Instituto Técnico Central – ETITC, de conformidad con los estudios de diagnóstico patológico, el levantamiento arquitectónico y estructural, y la propuesta de intervención previamente elaborada para la mitigación de las afectaciones identificadas en la estructura, verificando el cumplimiento de las condiciones contractuales, los requisitos técnicos aplicables y la correcta ejecución de las obras.</t>
  </si>
  <si>
    <t>PBX 3443000 Ext 120</t>
  </si>
  <si>
    <t>Suministro de equipos, herramientas y materiales  para el mantenimiento locativo de planta física  de la escuela tecnológica instituto técnico central  y sus sedes</t>
  </si>
  <si>
    <t xml:space="preserve">
Prestación de servicio técnico especializado a todo costo incluido insumos para la realización del mantenimiento correctivo del sistema de bombeo en la sede central  y sede Tintal de la escuela tecnológica técnico central para la vigencia 2026</t>
  </si>
  <si>
    <t>1 mes</t>
  </si>
  <si>
    <t>Vicerrectoria académica</t>
  </si>
  <si>
    <t>Servicio de Gestión para garantizar la participación  como expositor en  en la feria EDUTECHNIA 2026</t>
  </si>
  <si>
    <t>PBX 3443000 Ext 157</t>
  </si>
  <si>
    <t>PN26-172</t>
  </si>
  <si>
    <t>Extensión y Proyección Social</t>
  </si>
  <si>
    <t>PRESTACIÓN DE SERVICIOS PROFESIONALES ESPECIALIZADOS PARA APOYAR LAS ACTIVIDADES DEL GRUPO INTERNO DE TRABAJO EXTENSIÓN Y PROYECCIÓN SOCIAL – GITEPS, EN EL MARCO DE LA CONSTITUCIÓN, ORGANIZACIÓN, Y REGISTRO DE LA OFERTA ACADÉMICA DE EDUCACIÓN PARA EL TRABAJO Y EL DESARROLLO HUMANO - ETDH, GESTIONANDO DE ESTA FORMA VISIBILIDAD INSTITUCIONAL Y OFERTA DE SERVICIOS PARA EL SECTOR PÚBLICO Y PRIVADO</t>
  </si>
  <si>
    <t>11 meses</t>
  </si>
  <si>
    <t>COORDINADOR DE EXTENSIÓN Y PROYECCIÓN SOCIAL</t>
  </si>
  <si>
    <t>PBX 3443000 Ext 129</t>
  </si>
  <si>
    <t>PN26-173</t>
  </si>
  <si>
    <t xml:space="preserve">PRESTACIÓN DE SERVICIOS PROFESIONALES PARA REALIZAR APOYO ADMINISTRATIVO DEL ÁREA, SEGUIMIENTO A LA EJECUCIÓN DE LOS PROGRAMAS Y COORDINACION DE LA OFERTA ACADÉMICA DEL GITEPS EN LA ESCUELA TECNOLOGICA INSTITUTO TECNICO CENTRAL DURANTE LA VIGENCIA 2026 </t>
  </si>
  <si>
    <t>PN26-174</t>
  </si>
  <si>
    <t xml:space="preserve">PRESTACIÓN DE SERVICIOS DE APOYO TÉCNICO A LA GESTIÓN PARA REALIZAR ACTIVIDADES ADMINISTRATIVAS Y DE SEGUIMIENTO A LA OFERTA ACADÉMICA DEL GITEPS Y DEL CENTRO DE LENGUAS EN LA ESCUELA TECNOLOGICA INSTITUTO TECNICO CENTRAL DURANTE LA VIGENCIA 2026. </t>
  </si>
  <si>
    <t>PN26-175</t>
  </si>
  <si>
    <t>PRESTACIÓN DE SERVICIOS PROFESIONALES PARA APOYAR LAS ACTIVIDADES DE VISIBILIDAD, ESTRATEGIAS DE COMUNICACIÓN, 
ORGANIZACIÓN DE EVENTOS, MARKETING Y APOYO EN LA ELABORACIÓN DE DOCUMENTOS E INFORMES PARA LA ACREDITACIÓN INSTITUCIONAL, COLABORACIÓN EN LAS PRESENTACIONES DE INFORMES DE GESTIÓN DE GITEPS Y DE LA ETITC DURANTE LA VIGENCIA 2026</t>
  </si>
  <si>
    <t>PN26-176</t>
  </si>
  <si>
    <t>PRESTACIÓN DE SERVICIOS PROFESIONALES PARA LA GESTIÓN DEL GITEPS DESARROLLANDO ACCIONES DIRIGIDAS A LA PROYECCIÓN SOCIAL A TRAVÉS DE ARTICULACIÓN DE LA COMUNIDAD CON LA INSTITUCIÓN DURANTE LA VIGENCIA 2026</t>
  </si>
  <si>
    <t>PN26-177</t>
  </si>
  <si>
    <t>EXAMEN DE CERTIFICACIÓN INTERNACIONAL DE INGLÉS</t>
  </si>
  <si>
    <t>PN26-178</t>
  </si>
  <si>
    <t>PRESTACIÓN DE SERVICIOS PROFESIONALES PARA APOYAR LAS ACTIVIDADES DEL CENTRO DE EXTENSIÓN Y PROYECCIÓN SOCIAL COMO INSTRUCTORES DE LAS CERTIFICACIONES DE: BAJA TENSIÓN, AUTOMATIZACIÓN INDUSTRIAL, NEUMÁTICA,MANUFACTURA ESBELTA PARA EL PRIMER, SEGUNDO SEMESTRE E INTERSEMESTRAL</t>
  </si>
  <si>
    <t>PN26-179</t>
  </si>
  <si>
    <t>PRESTACIÓN DE SERVICIOS PROFESIONALES PARA APOYAR LAS ACTIVIDADES DEL GITEPS COMO INSTRUCTOR DESARROLLANDO LAS CERTIFICACIÓN DE CERTIFICADORES</t>
  </si>
  <si>
    <t>PN26-180</t>
  </si>
  <si>
    <t>PRESTACIÓN DE SERVICIOS COMO APOYO A LA MISIONALIDAD INSTITUCIONAL PARA DESARROLLAR LAS CERTIFICACIONES LEAN MANAGEMENT Y LEAN SIX SIGMA, COMO OPCIÓN DE GRADO PARA LOS ESTUDIANTES DE LAS FACULTADES DE PROCESOS INDUSTRIALES, DE ELECTROMECÁNICA, DE MECATRÓNICA, DE SISTEMAS Y DE MECÁNICA, DE LA ESCUELA TECNOLOGICA INSTITUTO TÉCNICO CENTRAL - ETITC.</t>
  </si>
  <si>
    <t>PN26-181</t>
  </si>
  <si>
    <t>PRESTACIÓN DE SERVICIOS PROFESIONALES PARA APOYAR LAS ACTIVIDADES DEL GITEPS COMO INSTRUCTOR DESARROLLANDO LOS DIPLOMADOS OFERTADOS EN EL GITEPS</t>
  </si>
  <si>
    <t>PN26-182</t>
  </si>
  <si>
    <t>PRESTACIÓN DE SERVICIOS PROFESIONALES PARA APOYAR LAS ACTIVIDADES DEL GITEPS COMO INSTRUCTORES DESARROLLANDO CURSOS LIBRES Y A LA MEDIDA DE LA OFERTA ACADÉMICA DE GITEPS.</t>
  </si>
  <si>
    <t>PN26-183</t>
  </si>
  <si>
    <t>PRESTACIÓN DE SERVICIOS PROFESIONALES PARA EL MONTAJE Y LA ADMINISTRACIÓN DE LA PLATAFORMA VIRTUAL CON LA OFERTA ACADÉMICA DE GITEPS</t>
  </si>
  <si>
    <t>PN26-184</t>
  </si>
  <si>
    <t>PRESTACIÓN DE SERVICIOS PROFESIONALES COMO INSTRUCTORES DE LOS CURSOS DE INGLÉS, FRANCÉS, ALEMÁN Y PORTUGUÉS DURANTE EL PRIMER Y SEGUNDO SEMESTRE DEL 2025</t>
  </si>
  <si>
    <t>PROFESIONAL ESPECIALIZADO 2028-13 CENTRO DE LENGUAS</t>
  </si>
  <si>
    <t>PBX 3443000 Ext 185</t>
  </si>
  <si>
    <t>direccioncel@itc.edu.co</t>
  </si>
  <si>
    <t>PN26-185</t>
  </si>
  <si>
    <t>ENCUENTROS O MESAS DE TRABAJO CON EMPRESARIOS PARA CONOCER LAS TENDENCIAS EN INGENIERÍA Y EN EL USO DE NUEVAS TECNOLOGIAS  EN LA INDUSTRIA 4.0 IMPACTA C23 A63/A66</t>
  </si>
  <si>
    <t>PN26-186</t>
  </si>
  <si>
    <t>PRESTACIÓN DE SERVICIOS PROFESIONALES PARA APOYAR LAS ACTIVIDADES DE VISIBILIDAD, ESTRATEGIAS DE COMUNICACIÓN, ORGANIZACIÓN DE EVENTOS, MARKETING Y APOYO EN LA ELABORACIÓN DE DOCUMENTOS E INFORMES PARA LA ACREDITACIÓN INSTITUCIONAL, COLABORACIÓN EN LAS PRESENTACIONES DE INFORMES DE GESTIÓN DE GITEPS Y DE LA ETITC.</t>
  </si>
  <si>
    <t>PN26-187</t>
  </si>
  <si>
    <t>PRESTACIÓN DE SERVICIOS PROFESIONALES PARA EL LEVANTAMIENTO DE LAS CARACTERIZACIONES DEL ENTORNO SOCIAL Y LOS EMPRESARIOS INDUSTRIALES - RESPONDE A PLAN DE MEJORAMIENTO 412 Y PLAN DE ACCIÓN 558 Y A LA C23/A63</t>
  </si>
  <si>
    <t>PN26-188</t>
  </si>
  <si>
    <t>DISEÑO E IMPRESIÓN DE TODOS LOS PROSPECTOS DE LOS PROGRAMAS DE EDUCACIÓN SUPERIOR Y CERTIFICACIONES, CURSOS Y DIPLOMADOS  QUE OFRECE EL GITEPS</t>
  </si>
  <si>
    <t>PN26-189</t>
  </si>
  <si>
    <t>MATERIAL POP  DEL  GRUPO INTERNO DE TRABAJO EXTENSION Y PROYECCION SOCIAL, (LIBRETAS, CUADERNOS, MEMORIAS, ESFEROS, PENDONES, EXHIBIDORES, PUNTOS DE ATENCION, BOLSAS, SOMBRILLAS, AUDIFONOS, CALENDARIOS, CHAQUETAS, CACHUCHAS, SOBRES, CARPETAS PLASTIFICADAS, ETC.) IMPACTA C23/A61A62</t>
  </si>
  <si>
    <t>PN26-190</t>
  </si>
  <si>
    <t>TONER PARA IMPRESORA  LASER</t>
  </si>
  <si>
    <t>PN26-191</t>
  </si>
  <si>
    <t>LIBRETAS PARA APUNTES</t>
  </si>
  <si>
    <t>PN26-192</t>
  </si>
  <si>
    <t>PAPEL OPALINA 180GR, BLANCO X 50</t>
  </si>
  <si>
    <t>PN26-193</t>
  </si>
  <si>
    <t>IMPRESORA MULTIFUNCIONAL, LASER A COLOR CON SUMINISTRO DE TONER Y CON CAPACIDAD PARA IMPRIMIR DIPLOMAS Y CERTIFICACIONES</t>
  </si>
  <si>
    <t>PN26-194</t>
  </si>
  <si>
    <t>COMPUTADORES  DE MESA QUE CONTENGAN CAMARA Y AUDIO PARA PERSONAL ADMINISTRATIVO (All In One HP Intel Core i7 1334U RAM 16 GB 512 GB SSD)</t>
  </si>
  <si>
    <t>PN26-195</t>
  </si>
  <si>
    <t>INSCRIPCIONES A CAPACITACION Y EVENTOS NACIONALES E INTERNACIONALES</t>
  </si>
  <si>
    <t>PN26-196</t>
  </si>
  <si>
    <t xml:space="preserve">AFILIACIÓN A REDES ACADÉMICAS Y/O EMPRESARIALES </t>
  </si>
  <si>
    <t>Profesional universitario 2044-05 del Centro de Biblioteca</t>
  </si>
  <si>
    <t>PBX 3443000 Ext. 172</t>
  </si>
  <si>
    <t>biblioteca@itc.edu.co</t>
  </si>
  <si>
    <t>121 · GIT Biblioteca y Recursos Educativos</t>
  </si>
  <si>
    <t>PN26-198</t>
  </si>
  <si>
    <t xml:space="preserve">RENOVACION SUSCRIPCION DE LA PLATAFORMA E-LIBRO CATEDRA DE CONTENIDOS Y SERVICIOS PARA LA BIBLIOTECA DIGITAL, COMO APOYO A LAS ACTIVIDADES ACADÉMICAS E INVESTIGACIÓN DE LA ETITC.
</t>
  </si>
  <si>
    <t>PN26-199</t>
  </si>
  <si>
    <t>ADQUISICION DE LICENCIAS PARA ACCEDER A LA PLATAFORMA EBSCO COMO APOYO AL PROCESO DE FORMACION DE LOS ESTUDIANTES DE LOS PROGRAMAS DE EDUCACIÓN SUSPERIOR DE LA ESCUELA TECNOLOGICA INSTITUTO TECNICO CENTRAL</t>
  </si>
  <si>
    <t>PN26-200</t>
  </si>
  <si>
    <t>RENOVACIÓN DE SOPORTE TECNICO PARA EL SERVICIO ESPECIALIZADO DE METABIBLIOTECA (SERVIDOR EN INTERNET – MODALIDAD CLOUD SERVICES) DE LOS SISTEMAS KOHA, OJS, DSPACE Y LA IMPLEMENTACION DEL SISTEMA METAPROXY, SOPORTES DIGITALES DE INFORMACIÓN PARA LAS SEDES CENTRO Y UPK DE LA BIBLIOTECA DE LA ESCUELA TECNOLOGICA INSTITUTO TECNICO CENTRAL POR 12 MESES</t>
  </si>
  <si>
    <t>PN26-201</t>
  </si>
  <si>
    <t>ADQUISICION DE LICENCIAS PARA ACCEDER A LA PLATAFORMA VIRTUAL ACM COMO APOYO AL PROCESO DE FORMACION DE LOS ESTUDIANTES DE LOS PROGRAMAS DE EDUCACIÓN SUSPERIOR DE LA ESCUELA TECNOLOGICA INSTITUTO TECNICO CENTRAL</t>
  </si>
  <si>
    <t>PN26-202</t>
  </si>
  <si>
    <t>SUSCRIPCIÓN ACCESO WEB DEWEY ON-LINE, INCLUIDA CAPACITACION PARA LOS FUNCIONARIOS DE LA BIBLIOTECA DE LA ESCUELA TECNOLOGICA INSTITUTO TECNICO CENTRAL.</t>
  </si>
  <si>
    <t>PN26-203</t>
  </si>
  <si>
    <t>COMPRA DE LA SUSCRIPCIÓN Y CAPACITACION AL SISTEMA ARMARC EN LÍNEA, PARA LOS FUNCIONARIOS DE LA BIBLIOTECA DE LA ESCUELA TECNOLOGICA INSTITUTO TECNICO CENTRAL.</t>
  </si>
  <si>
    <t>ADQUISICION E INSTALACION DE UN SISTEMA INTEGRAL DE SEGURIDAD CON TECNOLOGIA RFID, CONFORMADO POR: SISTEMA DE SEGURIDAD DE MATERIAL BIBLIOGRAFICO Y CONTROL DE INVENTARIOS PARA EL CENTRO DE BIBLIOTECA Y RECURSOS EDUCATIVOS DE LA ETITC</t>
  </si>
  <si>
    <t>MENOR CUANTÍA/SUBASTA</t>
  </si>
  <si>
    <t>PN26-207</t>
  </si>
  <si>
    <t>ADQUISICIÓN DE 1 COMPUTADOR  FIJO O DE MESA QUE CONTENGA CAMARA Y AUDIO PARA PERSONAL ADMINISTRATIVO (Computador All In One HP 23.8" Pulgadas Cr0352la - Intel Core i5 - RAM 16GB - Disco SSD 512GB)</t>
  </si>
  <si>
    <t xml:space="preserve">ADQUISICIÓN DE LICENCIA DEL SOFTWARE BARTENDER PARA IMPRIMIR ETIQUETAS Y CÓDIGOS DE BARRAS QUE PERMITIRÁ LA ADECUADA UBICACIÓN DE LOS MATERIALES EN LA ESTANTERÍA
</t>
  </si>
  <si>
    <t>PN26-209</t>
  </si>
  <si>
    <t>PRESTACIÓN DE SERVICIOS DE APOYO A LA GESTIÓN COMO TECNÓLOGO PARA ACOMPAÑAR TODAS LAS ACTIVIDADES Y PROCESOS OPERATIVOS, ASISTENCIALES Y TÉCNICOS MEDIANTE LOS SERVICIOS OFRECIDOS POR EL CENTRO DE BIBLIOTECA Y RECURSOS EDUCATIVOS DE LA ETITC.</t>
  </si>
  <si>
    <t>PN26-210</t>
  </si>
  <si>
    <t>PN26-211</t>
  </si>
  <si>
    <t>PN26-212</t>
  </si>
  <si>
    <t>PN26-213</t>
  </si>
  <si>
    <t>PN26-214</t>
  </si>
  <si>
    <t>PN26-215</t>
  </si>
  <si>
    <t>PRESTACIÓN DE SERVICIOS PROFESIONALES PARA APOYAR LA GESTIÓN DEL CENTRO DE BIBLIOTECA Y RECURSOS EDUCATIVOS DE LA ETITC, MEDIANTE EL DISEÑO, PLANEACIÓN, EJECUCIÓN Y EVALUACIÓN DE ESTRATEGIAS DE FORMACIÓN Y CAPACITACIÓN DIRIGIDAS A LA COMUNIDAD ACADÉMICA, ORIENTADAS AL USO, APROPIACIÓN Y APROVECHAMIENTO DE LOS RECURSOS BIBLIOGRÁFICOS.</t>
  </si>
  <si>
    <t>ADQUISICIÓN DE TEXTOS IMPRESOS PARA LA COLECCION GENERAL, COMO APOYO A LAS ACTIVIDADES ACADÉMICAS Y DE INVESTIGACIÓN DE LA COMUNIDAD EN GENERAL DEL CENTRO DE BIBLIOTECA Y RECURSOS EDUCATIVOS DE LA ESCUELA TECNOLOGICA INSTITUTO TECNICO CENTRAL.</t>
  </si>
  <si>
    <t>PN26-217</t>
  </si>
  <si>
    <t>ADQUISICIÓN DE LIBROS IMPRESOS DE LITERATURA PARA LA COLECCION GENERAL, COMO APOYO A LAS ACTIVIDADES ACADÉMICAS Y DE INVESTIGACIÓN DE LA COMUNIDAD EN GENERAL DEL CENTRO DE BIBLIOTECA Y RECURSOS EDUCATIVOS DE LA ESCUELA TECNOLOGICA INSTITUTO TECNICO CENTRAL.</t>
  </si>
  <si>
    <t>PN26-218</t>
  </si>
  <si>
    <t>ADQUISICIÓN DE LIBROS ELECTRÓNICOS ESPECIALIZADOS PARA LA COLECCION GENERAL, COMO APOYO A LAS ACTIVIDADES ACADÉMICAS Y DE INVESTIGACIÓN DE LA COMUNIDAD EN GENERAL DEL CENTRO DE BIBLIOTECA Y RECURSOS EDUCATIVOS DE LA ESCUELA TECNOLOGICA INSTITUTO TECNICO CENTRAL.</t>
  </si>
  <si>
    <t>DESARROLLAR ACTIVIDADES CULTURALES EN EL CENTRO DE BIBLIOTECA Y RECURSOS EDUCATIVOS PARA OFRECER A LA COMUNIDAD EDUCATIVA ESPACIOS PARA LA APRECIACIÓN DEL ARTE, EL INTERCAMBIO CULTURAL, EL ENCUENTRO CON GRUPOS ÉTNICOS Y EL BUEN OCIO.</t>
  </si>
  <si>
    <t>Directa</t>
  </si>
  <si>
    <t>$45.000.000</t>
  </si>
  <si>
    <t>Dirección IBTI</t>
  </si>
  <si>
    <t xml:space="preserve">directoribti@itc.edu.co </t>
  </si>
  <si>
    <t>124 · Instituto de Bachillerato Técnico Industrial (IBTI)</t>
  </si>
  <si>
    <t>43211509
43211620</t>
  </si>
  <si>
    <t xml:space="preserve">Cambio de tablets para la especialidad de sistemas de bachillerato específicamente la asignatura de Aplicaciones móviles. </t>
  </si>
  <si>
    <t>Tienda Virtual</t>
  </si>
  <si>
    <t>49000000
53102717</t>
  </si>
  <si>
    <t xml:space="preserve">Proyección de aulas de inmersión en lengua extranjera </t>
  </si>
  <si>
    <t>$35.000.000</t>
  </si>
  <si>
    <t xml:space="preserve">78111500
90000000 </t>
  </si>
  <si>
    <t>ORII</t>
  </si>
  <si>
    <t>60100000
60103700</t>
  </si>
  <si>
    <t>$3.000.000</t>
  </si>
  <si>
    <t>Adquisición de materiales electrónicos (Baterias LiPo Turnigy 7.4V (2S) 2200mAh 30 - 40C ) ; (cables Usb A - Tipo B Arduino Uno 30 - 50 cm); (bluetooth hc-06); (Cables jumper macho hembra),  Motorreductores Pololu,  Tarjetas de Programación ESP32,  Tarjetas de Control de motores L298N,  Carrete de material de impresión PLA, Láminas de acrílico 1.25 M x 2.45 M - Calibre 3mm</t>
  </si>
  <si>
    <t>$10.000.000</t>
  </si>
  <si>
    <t>PN26-228</t>
  </si>
  <si>
    <t>Inscripción en la participación a las olimpiadas Matemáticas regionales Universidad Antonio Nariño y otros eventos de orden académico y técnico</t>
  </si>
  <si>
    <t>$25.000.000</t>
  </si>
  <si>
    <t>PN26-230</t>
  </si>
  <si>
    <t>Elementos artísticos de teatro propios de la especialidad de artes</t>
  </si>
  <si>
    <t>$13.000.000</t>
  </si>
  <si>
    <t>PN26-231</t>
  </si>
  <si>
    <t>Uniformes Banda de Honor</t>
  </si>
  <si>
    <t>PN26-232</t>
  </si>
  <si>
    <t>Insumos de papelería para oficinas de Dirección, Coordinaciones y psicología IBTI</t>
  </si>
  <si>
    <t>PN26-233</t>
  </si>
  <si>
    <t>Instrumentos musicales propios de la especialidad de artes</t>
  </si>
  <si>
    <t>PN26-234</t>
  </si>
  <si>
    <t>Atención a invitados (Refrigerio, transporte, material de apoyo que se necesite) para las dos actividades del proyecto de catedra por la paz</t>
  </si>
  <si>
    <t>Vicerrectoría Administrativa</t>
  </si>
  <si>
    <t>$2.000.000</t>
  </si>
  <si>
    <t xml:space="preserve">Prestación de servicios de entrenamiento en pruebas SABER PRO y TyT que incluye desarrollo de simulacros, contenidos y análisis de valor agregado y aporte relativo en competencias genéricas y específicas de todos los programas académicos de la ETITC. </t>
  </si>
  <si>
    <t>6 meses</t>
  </si>
  <si>
    <t>Selección abreviada - Subasta inversa</t>
  </si>
  <si>
    <t>90.000.000</t>
  </si>
  <si>
    <t>Vicerrector Académico</t>
  </si>
  <si>
    <t>Justificación técnica y misional: La implementación de programas de capacitación dirigidos, acompañados de simulacros con metodologías alineadas con los modelos de evaluación aplicados por el Instituto Colombiano para la Evaluación de la Educación (ICFES), permite preparar a los estudiantes en competencias genéricas y específicas evaluadas en estas pruebas, así como generar información diagnóstica relevante sobre su desempeño. Adicionalmente, la elaboración de informes especializados de valor agregado y aporte relativo facilita el análisis del progreso de los estudiantes respecto a sus condiciones de ingreso y del impacto formativo de la institución, proporcionando insumos técnicos para la toma de decisiones académicas, el fortalecimiento curricular y el seguimiento a indicadores de calidad exigidos en los procesos de aseguramiento de la calidad.</t>
  </si>
  <si>
    <t>PN26-237</t>
  </si>
  <si>
    <t>ADQUISICIÓN DE 1 Computador Portatil,  necesidad que surge para atender reuniones institucionales y realizar visitas a las diferentes unidades de la entidad, actividades en las cuales se requiere acceso oportuno a la información, documentos institucionales y sistemas de gestión.</t>
  </si>
  <si>
    <t>$4.000.000</t>
  </si>
  <si>
    <t>PROFESIONAL UNIVERSITARIO 2044-06</t>
  </si>
  <si>
    <t>PBX 3443000 Ext. 237</t>
  </si>
  <si>
    <t>registro@itc.edu.co</t>
  </si>
  <si>
    <t>126 · GIT Registro y Control</t>
  </si>
  <si>
    <t>Equipo de escritorio  reemplazo de equipo actual</t>
  </si>
  <si>
    <t>$2.500.000</t>
  </si>
  <si>
    <t>7 meses</t>
  </si>
  <si>
    <t xml:space="preserve">Jefe de Planeación </t>
  </si>
  <si>
    <t>planeación@itc.edu.co</t>
  </si>
  <si>
    <t>PN26-242</t>
  </si>
  <si>
    <t>CONTRATAR LA PRESTACIÓN DE SERVICIOS ESPECIALIZADOS PARA EL DISEÑO, DESARROLLO E IMPLEMENTACIÓN DE ESTRATEGIAS INTEGRALES DE COMUNICACIÓN, MARKETING INSTITUCIONAL Y POSICIONAMIENTO DE MARCA DE LA ESCUELA TECNOLÓGICA INSTITUTO TÉCNICO CENTRAL – ETITC, QUE INCLUYAN LA PLANEACIÓN ESTRATÉGICA, CONCEPTUALIZACIÓN Y EJECUCIÓN DE CAMPAÑAS INSTITUCIONALES Y ACADÉMICAS, PRODUCCIÓN DE CONTENIDOS GRÁFICOS Y AUDIOVISUALES, GESTIÓN CREATIVA Y ACOMPAÑAMIENTO ESTRATÉGICO AL ÁREA DE COMUNICACIONES, CON EL FIN DE FORTALECER LA VISIBILIDAD, REPUTACIÓN INSTITUCIONAL Y PROMOCIÓN DE LA OFERTA ACADÉMICA A TRAVÉS DE DIFERENTES CANALES Y PUNTOS DE CONTACTO CON LOS PÚBLICOS DE INTERÉS.</t>
  </si>
  <si>
    <t>$80.000.000</t>
  </si>
  <si>
    <t xml:space="preserve">ADQUISICIÓN DE TRES (3) LICENCIA DEL SOFTWARE POR SUSCRIPCIÓN A LA PLATAFORMA DIGITAL ENVATO, CANVA, FREEPIK, ELEMENTS DURANTE DOCE (12) MESES PARA FORTALECER LA PRODUCCIÓN DE CONTENIDOS MULTIMEDIA DE LA ESCUELA TECNOLÓGICA INSTITUTO TÉCNICO CENTRAL.  </t>
  </si>
  <si>
    <t>12 meses</t>
  </si>
  <si>
    <t>ADQUISICIÓN DE TRES (3) STANDS MODULARES PARA DIVULGACIÓN DE LA OFERTA ACADÉMICA  Y EL FORTALECIMIENTO DE LA IMAGEN INSTITUCIONAL DE LA ESCUELA TECNOLOGICA INSTITUTO TECNICO CENTRAL.</t>
  </si>
  <si>
    <t>PN26-245</t>
  </si>
  <si>
    <t>ADECUACIÓN DE (1) UN STAND DE 18M2 DE LA ESCUELA TECNOLÓGICA INSTITUTO TÉCNICO CENTRAL PARA LA PARTICIPACIÓN EN LA FERIA EXPOESTUDIANTE 2026 COMO UNA HERRAMIENTA PARA EL POSICIONAMIENTO ESTRATÉGICO E IMAGEN INSTITUCIONAL.</t>
  </si>
  <si>
    <t>2 meses</t>
  </si>
  <si>
    <t>PN26-246</t>
  </si>
  <si>
    <t xml:space="preserve">ADECUACIÓN DE (1) UN STAND 18M2  DE LA ESCUELA TECNOLÓGICA INSTITUTO TÉCNICO CENTRAL  PARA PARTICIPAR EN EL EVENTO EDUTECHNIA FERIA DE INNOVACION PARA LA EDUCACION </t>
  </si>
  <si>
    <t xml:space="preserve">Equipo Interno de Trabajo Gestión Documental y Atención al Ciudadano </t>
  </si>
  <si>
    <t>Diseño, suministro e instalación de un Sistema Integral de Información Presencial al Ciudadano, compuesto por:
Paneles fijos con información institucional (Sedes, horarios, contactos y Carta de Trato Digno).
Directorios de trámites, servicios y responsables de PQRSDF.
Vitrinas informativas de actualización mensual para noticias, rendición de cuentas y calendario de actividades.</t>
  </si>
  <si>
    <t xml:space="preserve">3 meses </t>
  </si>
  <si>
    <t xml:space="preserve">Profesional Universitario Grado 2044-04, del Area de Gestión Documental y Atención al Ciudadano </t>
  </si>
  <si>
    <t xml:space="preserve">gestiondocumental@itc.edu.co </t>
  </si>
  <si>
    <t xml:space="preserve">
Servicio para adecuación de accesibilidad digital en la página web institucional, incluyendo herramientas de lectura de pantalla, contraste visual adaptable, ampliación de texto y subtitulación de contenidos audiovisuales en cumplimiento de los principios de transparencia establecidos en la Ley 1712 de 2014.
</t>
  </si>
  <si>
    <t>Contratación del servicio de diseño, producción e instalación de señalización inclusiva y accesible para las sedes de la ETITC, que incluya placas en Braille, señalética en alto relieve, pictogramas universales en cumplimiento de la Ley 1618 de 2013 y los criterios establecidos en la NTC 6047.</t>
  </si>
  <si>
    <t xml:space="preserve">6 meses </t>
  </si>
  <si>
    <t>Se requiere la adquisición de guantes desechables de nitrilo de calibre 6, diseñados para brindar protección efectiva de las manos contra agentes químicos, contaminación y desgaste durante la manipulación de documentos, materiales archivísticos y tareas de limpieza y conservación en los depósitos de archivo de la ETITC. Los guantes deberán ser resistentes, sin polvo, con acabado texturizado para un agarre seguro, de talla variada y cumpliendo con estándares de calidad e inocuidad apropiados para uso institucional, garantizando la seguridad del personal en el desarrollo de sus actividades. La dotación se entregará por caja de 100 unidades, permitiendo control de inventario, disponibilidad continua y rotación adecuada del material. La utilización de estos guantes permitirá prevenir accidentes, mantener condiciones higiénicas adecuadas y proteger la integridad de los documentos durante su manipulación y conservación.</t>
  </si>
  <si>
    <t>PN26-251</t>
  </si>
  <si>
    <t>Se requiere la adquisición de elementos de limpieza y conservación para los depósitos de archivo de la ETITC, destinados a garantizar la higiene del personal y la preservación adecuada de los documentos. El suministro deberá incluir paños suaves o de microfibra para limpiar superficies y documentos sin riesgo de daño, brochas pequeñas o pinceles para eliminar polvo de documentos antiguos, alcohol antiséptico y gel antibacterial para la higiene del personal, y deshumidificadores o bolsas de sílica gel para el control de humedad en cajas archivadoras. Todos los elementos deberán cumplir con estándares de calidad adecuados para uso institucional, ser seguros, duraderos y facilitar el mantenimiento preventivo de los archivos, asegurando la conservación y protección de los documentos conforme a los lineamientos del Archivo General de la Nación y la normativa vigente en materia de gestión documental.</t>
  </si>
  <si>
    <t xml:space="preserve">6 mesas </t>
  </si>
  <si>
    <t xml:space="preserve">
Para la dotación de seguridad y atención de emergencias menores, se requiere la adquisición de cuatro (4) botiquines de primeros auxilios, tipo B, en morral portátil con dotación completa, incluidos insumos básicos como gasas, vendas, antisépticos, guantes desechables, tijeras, pinzas, tapabocas y manual de primeros auxilios, cumpliendo con la normativa de Seguridad y Salud en el Trabajo vigente en Colombia (Resolución 1910 de 2002 y Resolución 0527 de 2012). Los botiquines deberán ser portátiles, resistentes, fáciles de identificar y con control de fecha de vencimiento de los insumos, garantizando su uso seguro y oportuno ante emergencias.
La adquisición de estos botiquines permitirá garantizar la disponibilidad inmediata de elementos para la atención de accidentes menores en la ETITC, fortaleciendo las condiciones de seguridad y prevención dentro de la entidad y asegurando el cumplimiento de los lineamientos del Sistema de Gestión de Seguridad y Salud en el Trabajo (SG-SST).
</t>
  </si>
  <si>
    <t xml:space="preserve">MENOR CUANTIA </t>
  </si>
  <si>
    <t>3.000.000</t>
  </si>
  <si>
    <t>PN26-253</t>
  </si>
  <si>
    <t xml:space="preserve">De acuerdo con el análisis del mercado laboral del sector tecnológico en Colombia, los honorarios de un profesional en Ingeniería de Software o Programación de Software se estiman aproximadamente entre $5.000.000 y $8.000.000 de pesos colombianos mensuales, para perfiles con experiencia en análisis, diseño y desarrollo de sistemas de información.
En consecuencia, para efectos de la planeación del proceso contractual, se proyecta un valor estimado dentro de dicho rango, acorde con el nivel de complejidad técnica requerido para el análisis, diseño y desarrollo inicial del Sistema de Gestión de Documentos Electrónicos de Archivo (SGDEA).
El desarrollo del sistema deberá realizarse de manera articulada con el proceso de Gestión Documental de la entidad, conforme a los lineamientos técnicos establecidos por el Archivo General de la Nación y la normatividad vigente en materia de gestión documental electrónica y administración de archivos.
Así mismo, el software que se diseñe y desarrolle será propiedad y patrimonio de la Escuela Tecnológica Instituto Técnico Central – ETITC, garantizando que el código fuente, los desarrollos, configuraciones, documentación técnica y demás componentes asociados al sistema queden a disposición de la entidad para su uso, administración, mantenimiento y futuras mejoras.
El profesional contratado deberá desarrollar sus actividades siguiendo los lineamientos técnicos, funcionales y metodológicos definidos por el líder o supervisor del proyecto, rol que será ejercido por el Profesional de Gestión Documental de la entidad, quien orientará el desarrollo del sistema conforme a los requerimientos archivísticos institucionales, con el fin de asegurar que el Sistema de Gestión de Documentos Electrónicos de Archivo (SGDEA) responda a los requerimientos archivísticos, normativos y funcionales propios de la gestión documental institucional, en concordancia con los lineamientos del Archivo General de la Nación y la normatividad vigente en la materia.
</t>
  </si>
  <si>
    <t>1 año (12 meses)</t>
  </si>
  <si>
    <t xml:space="preserve">
Adquisición de diez (10) sillas ergonómicas para oficina tipo Sihoo M18 o equivalentes, destinadas a los puestos de trabajo administrativos de la entidad, con el fin de mejorar las condiciones ergonómicas y de comodidad durante la jornada laboral, contribuyendo a la prevención de riesgos osteomusculares y al adecuado desempeño de las funciones institucionales. Las sillas deberán contar con diseño ergonómico, respaldo en malla transpirable con soporte lumbar ajustable, sistema de regulación de altura mediante pistón neumático, mecanismo de reclinación del respaldo con bloqueo, asiento acolchado de alta densidad, reposabrazos ajustables, base de cinco apoyos en material resistente con ruedas para desplazamiento suave y estructura que garantice estabilidad, durabilidad y confort para el uso continuo en entornos de oficina.
</t>
  </si>
  <si>
    <t>$ 15.000.000</t>
  </si>
  <si>
    <t>Adquisición de dos (2) aspiradoras eléctricas con sistema de filtración HEPA (High Efficiency Particulate Air) para la limpieza y control de polvo en los depósitos de archivo de la entidad, con el fin de contribuir a la conservación preventiva del acervo documental y al mantenimiento de condiciones adecuadas de higiene en las áreas destinadas al almacenamiento y consulta de documentos. Los equipos deberán estar diseñados para la limpieza de superficies, estanterías y espacios de almacenamiento documental, contar con potencia mínima aproximada entre 1200 W y 1600 W, sistema de filtración multicapa con filtro HEPA de alta eficiencia capaz de retener partículas finas de polvo y contaminantes, depósito o contenedor para almacenamiento de residuos con capacidad mínima entre 10 y 20 litros, manguera flexible y accesorios para la limpieza de superficies delicadas, rincones y estanterías, cable de alimentación de longitud adecuada que facilite la movilidad dentro de los depósitos de archivo, bajo nivel de ruido para su uso en entornos institucionales y diseño ergonómico que permita su fácil manipulación y mantenimiento.</t>
  </si>
  <si>
    <t>$6.000.000</t>
  </si>
  <si>
    <t>Adquisición de dos (2) carros de transporte tipo plataforma para la movilización interna de cajas de archivo tipo X-200, X-300 y otras unidades de almacenamiento documental dentro de los depósitos de archivo de la entidad, con el fin de facilitar el traslado seguro y eficiente de documentos y contribuir al adecuado manejo y conservación del acervo documental. Los carros deberán contar con base metálica serie COMBI CI o equivalente, estructura fabricada en perfil de acero de alta resistencia con marco de estantes elaborado en perfil de acero en L, estantes de madera con base metálica, estructura de acero galvanizado y diseño desmontable que facilite su transporte y almacenamiento. Así mismo, deberán disponer de múltiples configuraciones de estantes, ruedas con recubrimiento de goma dura y sistema de giro con rodamientos que permitan un desplazamiento estable, incluyendo dos (2) ruedas fijas y dos (2) ruedas giratorias con freno de pie que bloqueen el giro, conforme a la norma EN 1757-3, y suministro del equipo en condición desmontada para su posterior ensamblaje en la entidad.</t>
  </si>
  <si>
    <t xml:space="preserve">Minima Cuantia </t>
  </si>
  <si>
    <t>$ 1.200.000</t>
  </si>
  <si>
    <t>La adquisición de cuatro (4) termohigrómetros digitales con registrador de datos (data logger), diseñados para la medición, monitoreo y almacenamiento de temperatura y humedad relativa del ambiente, que permitan realizar el seguimiento continuo de las condiciones ambientales en los depósitos de archivo, laboratorios u otras áreas de almacenamiento de la entidad. Los equipos deberán contar con un rango de medición de temperatura de −20 °C a 70 °C y de humedad relativa de 0 % a 100 % HR, con una precisión aproximada de ±0.5 °C en temperatura y ±3 % HR en humedad. Así mismo, deberán disponer de capacidad de almacenamiento de hasta 16.000 registros, descarga de datos mediante interfaz USB y software especializado para el análisis y generación de reportes, pantalla para la visualización de datos en tiempo real, posibilidad de certificado de calibración y alta confiabilidad para el monitoreo ambiental requerido para la conservación preventiva de documentos, conforme a las buenas prácticas establecidas por el Archivo General de la Nación.</t>
  </si>
  <si>
    <t>$ 6.000.000</t>
  </si>
  <si>
    <t>El objeto de este contrato es la adquisición de cuatro (4) deshumidificadores de alta eficiencia, destinados a mantener un nivel óptimo de humedad en las áreas de archivo y gestión documental de la ETITC, con el fin de preservar la integridad de los documentos y materiales sensibles. Los deshumidificadores deben contar con una capacidad mínima de 30 litros por día, ajuste automático de humedad relativa, filtro de aire lavable, y función de apagado automático cuando el tanque de agua esté lleno. Además, deben ser silenciosos, con un diseño compacto y portátil para facilitar su instalación en diferentes áreas de almacenamiento. La adquisición de estos equipos es esencial para garantizar la conservación adecuada de los documentos y evitar daños por humedad que puedan comprometer la calidad y seguridad de la información almacenada. Estos deshumidificadores contribuirán a mejorar la eficiencia de los procesos de gestión documental y asegurar un entorno seguro para el archivo de documentos valiosos dentro de la entidad.</t>
  </si>
  <si>
    <t>$12.000.000</t>
  </si>
  <si>
    <t>El objeto de este contrato es la adquisición de dos estanterías rodantes para archivos de alta capacidad, diseñadas para optimizar el almacenamiento, organización y conservación de documentos dentro de la ETITC. Las estanterías deben ser modulares, resistentes y móviles, con estructura de acero laminado anticorrosivo, capacidad mínima de 100 kg por estante, altura aproximada de 2 metros, profundidad de 50 cm, mínimo 5 estantes ajustables por módulo, sistema rodante seguro con rieles y mecanismo de bloqueo, y acabado duradero con pintura electrostática. Estos equipos son necesarios para mejorar la gestión documental, maximizar el uso del espacio, facilitar la consulta de expedientes y garantizar la seguridad de la información, contribuyendo directamente a la eficiencia de los procesos administrativos y a la atención al ciudadano dentro de la ETITC.</t>
  </si>
  <si>
    <t xml:space="preserve">2 años (24 meses) </t>
  </si>
  <si>
    <t>$16.000.000</t>
  </si>
  <si>
    <t>La adquisición de dos impresoras láser multifuncionales corporativas es esencial para mejorar la eficiencia en los procesos administrativos, operativos y de gestión documental dentro de la ETITC. Este equipo permitirá la impresión, escaneo, copiado y envío de documentos, optimizando el flujo de trabajo y garantizando la disponibilidad de materiales de manera rápida y con alta calidad.
Además, al contar con funciones de impresión dúplex automática, conectividad en red y Wi-Fi, y capacidad de escaneo a color, se asegura una mayor integración y flexibilidad tanto en el área de Gestión Documental como en el área de Atención al Ciudadano, permitiendo una respuesta más ágil y eficiente a los usuarios y facilitando la entrega de documentos de manera oportuna.</t>
  </si>
  <si>
    <t>PN26-261</t>
  </si>
  <si>
    <t xml:space="preserve">Adquisición de Computadores de Escritorio para Optimización de Procesos Administrativos y Operativos.
La adquisición de tres computadores de escritorio de alto rendimiento es necesaria para optimizar los procesos administrativos, operativos y de gestión documental de la entidad, garantizando rapidez en el procesamiento de información, eficiencia en multitarea y seguridad de los datos. Este equipo permitirá ejecutar de manera fluida aplicaciones ofimáticas, software especializado y sistemas internos, mejorando la productividad del personal y reduciendo tiempos de operación. Desde el punto de vista misional, contar con tecnología actualizada contribuye a la eficiencia institucional, la correcta gestión de la información y el soporte a la toma de decisiones, asegurando que el personal cuente con herramientas confiables y adecuadas a los requerimientos actuales de trabajo, aumentando la capacidad de respuesta y la calidad de los procesos internos. La adquisición de tres computadores de escritorio de alto rendimiento, equipados con procesador Intel Core i5 de 12ª generación o AMD Ryzen 5 5000 series, 16 GB de RAM DDR4, SSD de 512 GB, conectividad USB 3.2 y USB-C, HDMI, DisplayPort, Ethernet y Wi-Fi 6, sistema operativo Windows 11 Pro, entre otros componentes actuales, es necesaria para optimizar los procesos administrativos, operativos y de gestión documental de la entidad, garantizando rapidez en el procesamiento de información, eficiencia en multitarea y seguridad de los datos. Este equipo permitirá ejecutar de manera fluida aplicaciones ofimáticas, software especializado y sistemas internos, mejorando la productividad del personal y reduciendo tiempos de operación. Desde el punto de vista misional, contar con tecnología actualizada contribuye a la eficiencia institucional, la correcta gestión de la información y el soporte a la toma de decisiones, asegurando que el personal cuente con herramientas confiables y adecuadas a los requerimientos actuales de trabajo, aumentando la capacidad de respuesta y la calidad de los procesos internos.
</t>
  </si>
  <si>
    <t xml:space="preserve"> $ 15.000.000 
</t>
  </si>
  <si>
    <t>PN26-262</t>
  </si>
  <si>
    <t>Adquisición de Computadores Portátiles para Optimización de Procesos Administrativos y Operativos.El objeto de este contrato es la adquisición de dos computadoras portátiles de alto rendimiento para las tareas administrativas, operativas y de gestión documental dentro de la entidad, con el fin de garantizar rapidez en el procesamiento de información, movilidad y seguridad de los datos. Cada equipo debe contar con procesador Intel Core i5 de 12ª generación o AMD Ryzen 5 5000 series, 16 GB de RAM DDR4, SSD de 512 GB, pantalla Full HD de 14” a 15.6”, sistema operativo Windows 11 Pro o Windows 10 Pro, y debe ser compatible con conectividad USB 3.2, USB-C, HDMI, Wi-Fi 6 y Bluetooth 5.0. Además, debe ofrecer seguridad mediante TPM 2.0, autonomía de batería mínima de 6-8 horas y una garantía mínima de 1 año.
Se requiere mencionar que estos equipos portátiles serán utilizados por el equipo de gestión documental y atención al ciudadano para realizar las visitas técnicas, visitas de acompañamiento e inducciones a las diferentes áreas y/o dependencias de la ETITC, con el fin de asegurar la adecuada gestión de la información en la entidad.</t>
  </si>
  <si>
    <t>$8.000.000</t>
  </si>
  <si>
    <t>Adquisición de Cámara Digital Profesional para la Digitalización de Documentos Antiguos y de Gran Formato
El objeto de este contrato es la adquisición de una cámara digital profesional de alta resolución, destinada a la digitalización de documentos antiguos, planos, mapas, y otros documentos de gran formato, con el fin de mejorar los procesos de conservación, archivo y acceso a los mismos. La cámara debe contar con características técnicas que garanticen la calidad de la captura de detalles finos, como el texto, imágenes y marcas históricas de los documentos, sin dañarlos ni alterarlos. Además, debe ser compatible con los sistemas de gestión documental de la entidad.
La adquisición de una cámara digital profesional contribuye a la misión institucional de la ETITC al mejorar la digitalización y conservación de documentos antiguos y de gran formato, permitiendo un acceso rápido y eficiente a la información histórica y técnica sin riesgo de deterioro físico. Esta cámara resuelve problemas como el deterioro de documentos por manipulación, la ineficiencia en el proceso de digitalización de grandes formatos, y el acceso limitado a documentos archivados, al ofrecer alta resolución y flexibilidad en la captura de imágenes. Además, la tecnología de la cámara es más adecuada que los escáneres tradicionales, ya que permite trabajar con documentos frágiles y de gran tamaño, asegurando una conservación adecuada y un mejor manejo de la información digitalizada.</t>
  </si>
  <si>
    <t>Escáner de producción de alta capacidad para digitalización masiva de documentos
El objeto de este contrato es la adquisición de dos escáneres de producción de alta capacidad para la digitalización masiva de expedientes y documentos de la entidad, con el fin de optimizar los procesos de gestión documental, archivo y conservación, garantizando alta calidad de imagen y eficiencia en el flujo de trabajo. El equipo debe contar con velocidad mínima de 70 páginas por minuto en modo dúplex, alimentador automático de al menos 100 hojas, resolución óptica mínima de 600 dpi, compatibilidad con documentos desde tamaños pequeños hasta A4/A3, y funciones de detección de doble alimentación y bloqueo de hojas, además de conectividad USB 3.0 y software de captura con OCR. 
Esta adquisición es crítica para la entidad, ya que permite reducir el deterioro de los documentos físicos, agilizar la digitalización de grandes volúmenes y mejorar el acceso y consulta de expedientes, cumpliendo con la misión institucional de preservar, organizar y facilitar la información de manera eficiente y confiable, aprovechando la excelente capacidad del equipo para procesar documentos de manera continua y segura</t>
  </si>
  <si>
    <t xml:space="preserve"> $ 18.000.000 
</t>
  </si>
  <si>
    <t>41113600
23271712</t>
  </si>
  <si>
    <t>Talleres y Laboratorios
(Taller de eléctrónica)</t>
  </si>
  <si>
    <t>Adquisición de insumos y consumibles para el desarrollo de prácticas académicas en el Taller de Electrónica, incluyendo soldadura de estaño (15 lb), cautines para procesos de ensamblaje y reparación electrónica (30 unidades), sondas para osciloscopio y sondas de generador con conector BNC de 100 MHz (30 unidades) y fusibles especializados para equipos de medición marca Fluke. Estos elementos son necesarios para garantizar el correcto funcionamiento de los equipos de laboratorio, el desarrollo de prácticas experimentales en asignaturas del área electrónica y el mantenimiento básico de los instrumentos utilizados por estudiantes y docentes.</t>
  </si>
  <si>
    <t>4 meses</t>
  </si>
  <si>
    <t>MINIMA CUANTÍA</t>
  </si>
  <si>
    <t>$75.000.000</t>
  </si>
  <si>
    <t>Profesional Especializado 2028-15 del Área de talleres y laboratorios</t>
  </si>
  <si>
    <t>(57-601) 344 3000 Ext 126</t>
  </si>
  <si>
    <t>talleresylaboratorios@itc.edu.co</t>
  </si>
  <si>
    <t>125 · GIT Talleres y Laboratorios</t>
  </si>
  <si>
    <t>73151704
73151700</t>
  </si>
  <si>
    <t>Servicio especializado de mantenimiento segun condicion, calibración certificada y trasabilidad para los equipos de medición del Taller de Electrónica, incluyendo diagnóstico técnico, ajuste, limpieza interna, verificación de funcionamiento y emisión de certificados de calibración cuando aplique. El servicio deberá cubrir los siguientes equipos del laboratorio: 35 osciloscopios (marcas Rigol, Siglent, Tektronix y Fluke), 33 multímetros digitales (Fluke modelos 115, 117, 179 y 87-V, y Peaktech), 8 generadores de señal (Rigol, Wavetek Meterman y GW Instek), 15 fuentes de alimentación DC reguladas (Siglent y Peaktech) y 1 medidor RLC marca Fluke. El mantenimiento deberá garantizar la confiabilidad operativa de los equipos y la precisión de las mediciones utilizadas en las prácticas académicas del laboratorio.</t>
  </si>
  <si>
    <t>3 meses</t>
  </si>
  <si>
    <t xml:space="preserve"> $300.000.000 </t>
  </si>
  <si>
    <t>PN26-267</t>
  </si>
  <si>
    <t>Adquisición de equipos de instrumentación electrónica para el fortalecimiento de las prácticas de laboratorio del Taller de Electrónica, destinados al desarrollo de actividades académicas de los programas de educación superior. Estos equipos permitirán apoyar los procesos de enseñanza y aprendizaje en asignaturas relacionadas con mediciones eléctricas, electrónica análoga, electrónica digital y sistemas electrónicos, garantizando condiciones adecuadas para el desarrollo de prácticas experimentales por parte de estudiantes y docentes.</t>
  </si>
  <si>
    <t>3 mes</t>
  </si>
  <si>
    <t xml:space="preserve"> $1.200.000.000 </t>
  </si>
  <si>
    <t>PN26-268</t>
  </si>
  <si>
    <t>Talleres y Laboratorios
(Taller de electrónica)</t>
  </si>
  <si>
    <t>Servicio de revisión de circuitería eléctrica de los salones J-402 y J-406, correspondiente al tendido eléctrico con puesta a tierra según la no RETIE</t>
  </si>
  <si>
    <t>10 MESES</t>
  </si>
  <si>
    <t xml:space="preserve"> $800.000.000 </t>
  </si>
  <si>
    <t>6010625
41113630</t>
  </si>
  <si>
    <t>Talleres y Laboratorios
(Taller de electricidad)</t>
  </si>
  <si>
    <t>ADQUISICIÓN DE SEIS (6) BANCOS DIDÁCTICOS PARA EL ÁREA DE ELECTRICIDAD, DISEÑADOS PARA EL DESARROLLO DE PRÁCTICAS CON MOTORES ELÉCTRICOS, DESTINADOS AL FORTALECIMIENTO DE LAS ACTIVIDADES ACADÉMICAS Y DE FORMACIÓN PRÁCTICA EN EL LABORATORIO DE ELECTRICIDAD.</t>
  </si>
  <si>
    <t>SEIS (6) MESES</t>
  </si>
  <si>
    <t xml:space="preserve">MINIMA CUANTÍA </t>
  </si>
  <si>
    <t>$850.000.000</t>
  </si>
  <si>
    <t>72121205
721010507</t>
  </si>
  <si>
    <t>SERVICIO DE ADECUACIÓN Y MEJORAMIENTO DE LA INFRAESTRUCTURA DEL LABORATORIO MEDIANTE EL ACONDICIONAMIENTO DEL PISO, REORGANIZACIÓN DE ÁREAS DE TRABAJO, SUMINISTRO E INSTALACIÓN DE MESAS DE LABORATORIO, SILLAS ERGONÓMICAS Y ADECUACIONES EN LA RED ELÉCTRICA, GARANTIZANDO CONDICIONES DE SEGURIDAD, FUNCIONALIDAD Y CUMPLIMIENTO DE LAS NORMAS TÉCNICAS COLOMBIANAS APLICABLES.</t>
  </si>
  <si>
    <t>DIEZ (10) MESES</t>
  </si>
  <si>
    <t>$800.000.000</t>
  </si>
  <si>
    <t>MANTENIMIENTO CORRECTIVO DE LOS EQUIPOS Y MAQUINARIA QUE PRESTAN EL SERVICIO EN EL TALLER DE ELECTRICIDAD: 6 BANCOS DE PRUEBA DE LORENZO REF DL1013M3, 3 BANCOS DE LORENZO TIPO INDUCTIVO REF DL1017L, 3 BANCOS DE LORENZO TIPO CAPACITIVO REF DL1017C, 3 BANCOS DE LORENZO TIPO RESISTIVO REF DL1017R, 4 BANCOS DE LORENZO TIPO REÓSTATO VARIABLE REF DL1017RHES, 2 BANCOS DE LORENZO TIPO REÓSTATO POR PASOS REF DL1017RHD, 2 BANCOS DE LORENZO TIPO CAPACITIVO CON SELECTOR REF DL1028AC.</t>
  </si>
  <si>
    <t xml:space="preserve">CUATRO (4) MESES </t>
  </si>
  <si>
    <t>$210.000.000</t>
  </si>
  <si>
    <t>Talleres y Laboratorios
(laboratorio de automatización)</t>
  </si>
  <si>
    <t>ADQUISICIÓN,MONTAJE  Y PUESTA EN FUNCIONAMIENTO  DE COMPRESOR PARA EL LABORATORIO DE NEUMÁTICA.</t>
  </si>
  <si>
    <t>TRES (03) MESES</t>
  </si>
  <si>
    <t xml:space="preserve">DIRECTA </t>
  </si>
  <si>
    <t xml:space="preserve">
27110000</t>
  </si>
  <si>
    <t>Talleres y Laboratorios
(Laboratorio de automatización)</t>
  </si>
  <si>
    <t>SUMINISTRO DE HERRAMIENTAS MANUALES PARA EL DESARROLLO DE PRÁCTICAS EN EL  LABORATORIO
DE AUTOMATIZACIÓN.</t>
  </si>
  <si>
    <t xml:space="preserve">MENOR CUANTÍA </t>
  </si>
  <si>
    <t>PN26-274</t>
  </si>
  <si>
    <t>COMPRA DE EQUIPOS PORTÁTILES PARA EL DESARROLLO DE PRÁCTICAS EN EL
LABORATORIO DE AUTOMATIZACIÓN.</t>
  </si>
  <si>
    <t>$500.000.000</t>
  </si>
  <si>
    <t xml:space="preserve">
43231513</t>
  </si>
  <si>
    <t>DOS (02) MESES</t>
  </si>
  <si>
    <t xml:space="preserve">
60101700</t>
  </si>
  <si>
    <t>COMPRA DE ECOSISTEMA HÍBRIDO DE COMPONENTES DIGITALES (ROBÓTICA, APPS Y SENSORES) PARACREAR EXPERIENCIAS DE JUEGO INTERACTIVAS, INMERSIVAS Y
EDUCATIVAS (STEAM).</t>
  </si>
  <si>
    <t>$300.000.000</t>
  </si>
  <si>
    <t xml:space="preserve">
41121800</t>
  </si>
  <si>
    <t>Talleres y Laboratorios
(Laboratorio física, química
 y biología)</t>
  </si>
  <si>
    <t>ADQUISICIÓN DE UN LOTE DE 350 PIEZAS DE MATERIAL DE VIDRIERÍA DE LABORATORIO EN BOROSILICATO Y VOLUMETRÍA CLASE A, QUE INCLUYA ELEMENTOS GENERALES Y KITS ESPECÍFICOS PARA PROCESOS DE DESTILACIÓN, EXTRACCIÓN, TITULACIÓN Y ELECTRÓLISIS (QUÍMICA), ASÍ COMO COMPONENTES PARA PRÁCTICAS DE TERMODINÁMICA Y MECÁNICA DE FLUIDOS ; DESTINADOS A LAS PRÁCTICAS ACADÉMICAS Y PROYECTOS DE INVESTIGACIÓN DE LA ETITC.</t>
  </si>
  <si>
    <t>ADQUISICIÓN DE UN LOTE DE 150 UNIDADES (ENTRE FRASCOS Y ENVASES) DE REACTIVOS QUÍMICOS DE GRADO ANALÍTICO, SOLVENTES Y FLUIDOS. EL LOTE CONTEMPLA LAS FAMILIAS DE ÁCIDOS, BASES, SALES, METALES E INDICADORES, NECESARIOS PARA LA PREPARACIÓN DE SOLUCIONES, PROCESOS DE SÍNTESIS, TITULACIÓN, ELECTRÓLISIS Y PRÁCTICAS DE TERMODINÁMICA Y MECÁNICA DE FLUIDOS EN LOS LABORATORIOS DE QUÍMICA Y FÍSICA DE LA ETITC.</t>
  </si>
  <si>
    <t>UN (1) MES</t>
  </si>
  <si>
    <t>ADQUISICIÓN DE UN LOTE DE 15 KITS MULTIPARAMÉTRICOS Y DE REACCIÓN RÁPIDA PARA ANÁLISIS FISICOQUÍMICO Y AMBIENTAL, QUE INCLUYE KITS PARA ANÁLISIS DE CALIDAD DE AGUAS (DUREZA, CLORO, ALCALINIDAD, OXÍGENO DISUELTO), KITS DE EVALUACIÓN DE SUELOS Y MEDIDORES PORTÁTILES DE PH Y CONDUCTIVIDAD, DESTINADOS A LAS PRÁCTICAS ACADÉMICAS Y PROYECTOS DE INVESTIGACIÓN DE LA ETITC.</t>
  </si>
  <si>
    <t>PN26-280</t>
  </si>
  <si>
    <t>ADQUISICIÓN DE UN LOTE DE 40 EQUIPOS DE MEDICIÓN, GENERACIÓN ELECTRÓNICA Y METROLOGÍA PARA EL LABORATORIO DE FÍSICA, QUE INCLUYE: 10 OSCILOSCOPIOS DIGITALES DE MÍNIMO 50 MHZ Y 2 CANALES, 10 GENERADORES DE SEÑALES DE FUNCIÓN DE MÍNIMO 20 MHZ, 10 MICRÓMETROS DIGITALES TIPO TORNILLO MICROMÉTRICO Y 10 CALIBRADORES PIE DE REY DIGITALES. DESTINADOS AL DESARROLLO DE PRÁCTICAS ACADÉMICAS DE MECÁNICA, METROLOGÍA DIMENSIONAL Y ANÁLISIS DE CIRCUITOS EN LA ETITC.</t>
  </si>
  <si>
    <t>PN26-281</t>
  </si>
  <si>
    <t>ADQUISICIÓN DE UN LOTE DE 16 KITS DIDÁCTICOS PARA EL LABORATORIO DE FÍSICA, QUE INCLUYE 4 KITS DE ENTRENAMIENTO EN ELECTRÓNICA BÁSICA, 4 KITS DE ÓPTICA GEOMÉTRICA CON LÁSERES Y LENTES, 4 KITS DE ELECTROMAGNETISMO CON BOBINAS E IMANES Y 4 KITS DE ACÚSTICA Y ONDAS CON DIAPASONES Y CUBAS DE ONDAS. DESTINADOS AL DESARROLLO DE PRÁCTICAS ACADÉMICAS EN LA ETITC.</t>
  </si>
  <si>
    <t>ADQUISICIÓN DE UN LOTE DE 15 EQUIPOS  QUE INCLUYE CALORÍMETROS DE PRECISIÓN PARA CALOR ESPECÍFICO Y ENTALPÍA DE REACCIÓN, SENSORES DIGITALES DE TEMPERATURA CON REGISTRO DE DATOS, APARATOS DE EXPANSIÓN LINEAL DE SÓLIDOS, MOTORES TÉRMICOS TIPO STIRLING PARA DEMOSTRACIÓN DE CICLOS Y EQUIPOS DE COMPROBACIÓN DE LEYES DE LOS GASES. DESTINADOS AL DESARROLLO DE PRÁCTICAS ACADÉMICAS EN LA ETITC.</t>
  </si>
  <si>
    <t>PN26-283</t>
  </si>
  <si>
    <t>ADQUISICIÓN DE UN LOTE DE 8 EQUIPOS DE INSTRUMENTACIÓN ÓPTICA Y ANÁLISIS DE SUSTANCIAS QUE INCLUYE 2 ESPECTROFOTÓMETROS VISIBLES DIGITALES CON RANGO DE 325 A 1000 NANÓMETROS, 2 COLORÍMETROS FOTOELÉCTRICOS PORTÁTILES PARA ANÁLISIS DE CAMPO, 2 REFRACTÓMETROS DE ABBE PARA DETERMINACIÓN DE ÍNDICE DE REFRACCIÓN Y 2 POLARÍMETROS CIRCULARES PARA ESTUDIO DE ACTIVIDAD ÓPTICA. DESTINADOS AL FORTALECIMIENTO DE LAS PRÁCTICAS DE ÓPTICA Y QUÍMICA ANALÍTICA EN LA ETITC.</t>
  </si>
  <si>
    <t>PN26-284</t>
  </si>
  <si>
    <t>ADQUISICIÓN DE UN LOTE DE 24 INSTRUMENTOS PARA MEDICIÓN DE VISCOSIDAD Y DENSIDAD DE FLUIDOS QUE INCLUYE 8 VISCOSÍMETROS CAPILARES TIPO CANNON FENSKE PARA DIFERENTES RANGOS DE FLUIDEZ, 8 DENSÍMETROS DE VIDRIO PARA LÍQUIDOS CON ESCALA DE GRAVEDAD ESPECÍFICA Y 8 ALCOHOLÍMETROS DE GAY LUSSAC PARA DETERMINACIÓN DE GRADO ETÍLICO. DESTINADOS AL DESARROLLO DE PRÁCTICAS ACADÉMICAS EN LA ETITC.</t>
  </si>
  <si>
    <t>PN26-285</t>
  </si>
  <si>
    <t>ADQUISICIÓN DE UN LOTE DE 16 INSTRUMENTOS DE FÍSICA ATÓMICA Y SISTEMAS DE ALIMENTACIÓN QUE INCLUYE 4 TUBOS DE CROOKES CON CRUZ DE MALTA PARA SOMBRAS ELECTRÓNICAS, 4 TUBOS DE DESVIACIÓN CON PANTALLA FLUORESCENTE PARA DEFLEXIÓN MAGNÉTICA, 4 TUBOS DE EFECTO MECÁNICO CON MOLINETE GIRATORIO Y 1 FUENTE DE ALIMENTACIÓN DE ALTO VOLTAJE REGULABLE HASTA DIEZ KILOVOLTIOS CON SALIDAS PROTEGIDAS PARA EL FUNCIONAMIENTO DE TUBOS DE DESCARGA. DESTINADOS AL DESARROLLO DE PRÁCTICAS DE FÍSICA MODERNA Y ESTRUCTURA ATÓMICA EN LA ETITC.</t>
  </si>
  <si>
    <t>ADQUISICIÓN DE UNA MUFLA DE LABORATORIO DE ALTA TEMPERATURA CON CONTROLADOR DIGITAL PROGRAMABLE TIPO PID Y CAPACIDAD DE DIEZ LITROS. EL EQUIPO DEBE CONTAR CON CÁMARA INTERNA EN FIBRA CERÁMICA O MATERIAL REFRACTARIO DE ALTA RESISTENCIA, CAPACIDAD DE ALCANZAR HASTA MIL DOSCIENTOS GRADOS CELSIUS Y SISTEMA DE ALIMENTACIÓN ELÉCTRICA COMPATIBLE CON LA RED DEL LABORATORIO. DESTINADA AL FORTALECIMIENTO DE PRÁCTICAS DE CALCINACIÓN Y TRATAMIENTOS TÉRMICOS EN LA ETITC.</t>
  </si>
  <si>
    <t>ADQUISICIÓN DE UNA CABINA DE EXTRACCIÓN DE GASES DE LABORATORIO ESTÁNDAR EQUIPADA CON SISTEMA DE VENTILACIÓN ESPECIALIZADA PARA LA CAPTURA Y EVACUACIÓN DE VAPORES Y PARTÍCULAS QUÍMICAS. EL EQUIPO DEBE CONTAR CON ESTRUCTURA RESISTENTE A LA CORROSIÓN, DUCTOS DE CONDUCCIÓN HACIA EL EXTERIOR, ILUMINACIÓN INTERNA Y PANTALLA FRONTAL DE SEGURIDAD PARA EL DESARROLLO DE PRÁCTICAS EXPERIMENTALES EN LA ETITC.</t>
  </si>
  <si>
    <t>PN26-288</t>
  </si>
  <si>
    <t>ADQUISICIÓN E INSTALACIÓN DE UN SISTEMA DE PURIFICACIÓN DE AGUA PARA LABORATORIO CON CAPACIDAD DE PRODUCCIÓN DE DIEZ LITROS POR HORA DE AGUA TIPO DOS. EL SISTEMA DEBE INCLUIR ETAPAS DE PREFILTRACIÓN DE SEDIMENTOS, CARBÓN ACTIVADO, MEMBRANA DE ÓSMOSIS INVERSA Y CARTUCHOS DE RESINA DESIONIZADORA DE LECHO MIXTO. INCLUYE TANQUE DE ALMACENAMIENTO HERMÉTICO, GRIFO DISPENSADOR Y JUEGO DE FILTROS DE REPUESTO PARA EL PRIMER AÑO DE OPERACIÓN. DESTINADO AL ABASTECIMIENTO DE AGUA DE ALTA PUREZA PARA EL LABORATORIO DE QUÍMICA Y FÍSICA EN LA ETITC.</t>
  </si>
  <si>
    <t>ADQUISICIÓN DE UN HORNO DE SECADO POR CONVECCIÓN PARA LABORATORIO CON CONTROL DIGITAL DE TEMPERATURA Y SISTEMA DE CIRCULACIÓN DE AIRE UNIFORME. EL EQUIPO DEBE CONTAR CON INTERIOR EN ACERO INOXIDABLE DE ALTA RESISTENCIA, ENTREPAÑOS AJUSTABLES Y RANGO TÉRMICO ADECUADO PARA LA ELIMINACIÓN DE HUMEDAD EN MUESTRAS Y EL ACONDICIONAMIENTO DE MATERIAL DE VIDRIO. DESTINADO AL DESARROLLO DE PRÁCTICAS EXPERIMENTALES Y ANÁLISIS FISICOQUÍMICOS EN LA ETITC.</t>
  </si>
  <si>
    <t>23261507
23261508
82141701</t>
  </si>
  <si>
    <t>Talleres y Laboratorios
(Taller de diseño)</t>
  </si>
  <si>
    <t>Adquisicion de 4 impresoras 3d con tecnologia FDM, 2 scanners 3D, 3 secadoras de filamento, 2 maquinas de lavado y curado para resina, 1 cortadora laser de escritorio y accesorios para impresoras 3D (Pegante para impresiones, boquillas, correas, disipadores, extrusores, cama de impresion, FEP impresora de resina, Pantalla impresora de resina)</t>
  </si>
  <si>
    <t>DOS (2) MESES</t>
  </si>
  <si>
    <t>$67.890.000</t>
  </si>
  <si>
    <t>23261601
23261603</t>
  </si>
  <si>
    <t>$16.028.600</t>
  </si>
  <si>
    <t xml:space="preserve">Mantenimiento peventivo y correctivo para impresoras 3D (2 ender 5 pro, 1 artillery genius, 1 ender 3 v2, 1 k1 max, 1 k1, una halot mage s, 1 halot r6) cambio de partes de desgaste por uso. </t>
  </si>
  <si>
    <t>$12.890.000</t>
  </si>
  <si>
    <t>PN26-293</t>
  </si>
  <si>
    <t>Adquision de materiales de papeleria</t>
  </si>
  <si>
    <t>Talleres y Laboratorios
(Laboratorio Domótica)</t>
  </si>
  <si>
    <t>5 Meses</t>
  </si>
  <si>
    <t>SELECCIÓN ABREVIADA DE MENOR CUANTÍA</t>
  </si>
  <si>
    <t>$170.000.000</t>
  </si>
  <si>
    <t>PN26-295</t>
  </si>
  <si>
    <t>Talleres y Laboratorios
(Laboratorio Calidad de energía)</t>
  </si>
  <si>
    <t>Servicio especializado de mantenimiento segun condicion, calibración certificada y trasabilidad para los equipos de medición del laboratorio de calidad de energia, incluyendo diagnóstico técnico, ajuste, limpieza interna, verificación de funcionamiento y emisión de certificados de calibración cuando aplique. El servicio deberá cubrir los siguientes equipos del laboratorio:4 osciloscopios (marcas eresmus), 2 multímetros digitales (Eresmus), 4 pinzasa volti amperimetricas (marca erasmus), 4 transductores de correinte (marca erasmus) y 1 motor generador asincrono de 2 HP. El mantenimiento deberá garantizar la confiabilidad operativa de los equipos y la precisión de las mediciones utilizadas en las prácticas académicas del laboratorio.
ademas del mantenimeito general del laboratorio con los bancos de prueba, los cuales no se les ha realizado mantenimiento durante los ultimos 5 años, siendo este de gran importanciom debido a que el uso constante del laboratorio donde se generan pruebas de tipo diagnosticas generadas en fallas, desgastan la vida util de los bancos de pruebas asimismo alteran las mediciones realizadas en las dfiferentes practicas.</t>
  </si>
  <si>
    <t>5 MESES</t>
  </si>
  <si>
    <t>PN26-296</t>
  </si>
  <si>
    <t>Talleres y Laboratorios
(Laboratorio industria 4.0 FESTO)</t>
  </si>
  <si>
    <t>Adquisición de 30 equipos de computo portatiles procesador: Intel(R) Xeon(R) W-10855M CPU @ 2.80GHz   2.81 GHz, RAM instalada: 32.0 GB (31.6 GB usable), Almacenamiento: 238 GB SSD PC SN530 NVMe WDC 256GB, 1.82 TB HDD ST2000LM007-1R8174, Tarjeta gráfica: NVIDIA Quadro P620 (4 GB), Intel(R) UHD Graphics P630 (128 MB), Tipo de sistema Sistema operativo de 64 bits</t>
  </si>
  <si>
    <t xml:space="preserve">1 mes </t>
  </si>
  <si>
    <t>$ 270.000.000</t>
  </si>
  <si>
    <t>PN26-297</t>
  </si>
  <si>
    <t>Actualización e instalación de sodtware TIA Portal , CODESYS y Factory I/O; para 30 equipos de computo.</t>
  </si>
  <si>
    <t xml:space="preserve"> </t>
  </si>
  <si>
    <t>$39.000.000</t>
  </si>
  <si>
    <t>$11.000.000</t>
  </si>
  <si>
    <t xml:space="preserve">30264800                                     30263600       30264900   </t>
  </si>
  <si>
    <t>Talleres y Laboratorios
(Laboratorio de tratamientos
 térmicos)</t>
  </si>
  <si>
    <t xml:space="preserve">Adquisición de materia prima metálica, consumibles, abrasivos, resinas, reactivos químicos y herramientas de mano para el laboratorio de tratamientos térmicos, destinada a la fabricación y preparación de probetas para ensayos de metalografía, dureza y tratamientos térmicos, con el fin de garantizar el flujo de trabajo continuo en actividades académicas y de investigación, propias del laboratrio de Tratamientos Térmicos.
Los materiales incluyen:                                                                                                                                                                                                                                                                                                                                                                                           1. Metales ferrosos y no ferrosos: aceros de bajo, medio y                                                                                                        </t>
  </si>
  <si>
    <t>$20´000,000</t>
  </si>
  <si>
    <t>Talleres y Laboratorios
(Laboratorio de tratamientos 
térmicos)</t>
  </si>
  <si>
    <t>Adquisición, suministro e instalación de una cortadora metalográfica con sus respectivos insumos para el Laboratorio de Tratamientos Térmicos de la Escuela Tecnológica Instituto Técnico Central, con el fin de garantizar la preparación de probetas para ensayos de metalografía, dureza, tratamientos térmicos y análisis por espectrometría de emisión óptica, en apoyo a las actividades de docencia, prácticas académicas e investigación propias del laboratorio.
El suministro deberá incluir:
*Cortadora metalográfica de precisión con capacidad de corte de metales ferrosos y no ferrosos, equipada con sistemas de seguridad y control de velocidad.
*Discos de corte de diamante para corte de diferentes aleaciones y espesores de probetas.
*Sistema de refrigeración y fluidos refrigerantes para garantizar cortes sin sobrecalentamiento ni deformación de la muestra.
*Accesorios y consumibles necesarios para el funcionamiento inicial, incluyendo abrazaderas, prensas o mordazas, llaves y repuestos básicos.
*Capacitación técnica al personal del laboratorio para la correcta operación, mantenimiento preventivo y seguridad del equipo.
*Garantía y servicio postventa, incluyendo soporte técnico y suministro de repuestos durante el periodo indicado por el fabricante.</t>
  </si>
  <si>
    <t>$70´000,000</t>
  </si>
  <si>
    <t>Adquisición, suministro e instalación de dos pulidoras metalográficas con sus accesorios para el Laboratorio de Tratamientos Térmicos de la Escuela Tecnológica Instituto Técnico Central, con el fin de garantizar la preparación y pulido de probetas para ensayos de metalografía, dureza, tratamientos térmicos y análisis por espectrometría de emisión óptica, en apoyo a las actividades de docencia, prácticas académicas e investigación.
El suministro deberá incluir:
*Dos pulidoras metalográficas con control de velocidad variable, protección de seguridad y capacidad para pulidos blandos y duros.
*Paños de pulido y gamuza, discos y soportes necesarios para la operación inicial.
*Consumibles abrasivos: papel de lija, alúmina en polvo, pastas abrasivas como diamantada y otros nsumos para pulidos de precisión.
*Sistema de extracción de residuos y refrigeración para garantizar cortes y pulidos seguros y sin contaminación de la muestra.
*Capacitación técnica al personal del laboratorio para la correcta operación y mantenimiento preventivo.
*Garantía y servicio postventa, incluyendo soporte técnico y suministro de repuestos durante el periodo indicado por el fabricante.</t>
  </si>
  <si>
    <t>$58´000,000</t>
  </si>
  <si>
    <t>Adquisición, suministro e instalación de una empastilladora metalográfica para el Laboratorio de Tratamientos Térmicos de la Escuela Tecnológica Instituto Técnico Central, con el fin de garantizar la preparación de probetas mediante empastillado para ensayos de metalografía, dureza, tratamientos térmicos y análisis por espectrometría de emisión óptica, en apoyo a las actividades de docencia, prácticas académicas e investigación de los programas de Ingeniería que ofrece la Escuela.
El suministro deberá incluir:
*Una empastilladora metalográfica con control de temperatura y presión, adecuada para la preparación de probetas de metales ferrosos y no ferrosos.
*Accesorios necesarios para operación inicial, incluyendo moldes de diferentes tamaños, espátulas y prensillas.
*Consumibles: resinas epóxicas, baquelita, aditivos para empastillado y cualquier otro insumo requerido para la preparación de probetas.
*Capacitación técnica al personal del laboratorio para la correcta operación, mantenimiento preventivo y seguridad del equipo.
*Garantía y soporte postventa, incluyendo repuestos durante el periodo indicado por el fabricante.</t>
  </si>
  <si>
    <t>$62´000,000</t>
  </si>
  <si>
    <t>Adquisición, suministro e instalación de un Durómetro Universal con escalas Rockwell, Rockwell superficial, Brinell, Vickers y Knoop para el Laboratorio de Tratamientos Térmicos de la Escuela Tecnológica Instituto Técnico Central, destinado a garantizar la medición precisa de dureza en probetas metálicas y no metálicas, en apoyo a las actividades de docencia, prácticas académicas e investigación de los programas de Ingeniería Mecánica, Mecatrónica, Electromecánica y Procesos Industriales.
El suministro deberá incluir:
*Un Durómetro Universal, capaz de realizar ensayos de dureza en escalas Rockwell, Rockwell superficial, Brinell, Vickers y Knoop.
*Accesorios y puntas de ensayo necesarias para cada escala, incluyendo indentadores y bloques de calibración.
*Software y manuales técnicos para registro y análisis de resultados.
*Capacitación técnica al personal del laboratorio para la correcta operación, calibración y mantenimiento preventivo.                                                                                                                                                      *Garantía y soporte postventa, incluyendo suministro de repuestos y mantenimiento durante el periodo indicado por el fabricante.</t>
  </si>
  <si>
    <t>$64'000,000</t>
  </si>
  <si>
    <t>Adquisición, suministro e instalación de un Durómetro Digital en escala micro Vickers para el Laboratorio de Tratamientos Térmicos de la Escuela Tecnológica Instituto Técnico Central, destinado a garantizar la medición precisa de dureza superficial en probetas metálicas y aleaciones de pequeño tamaño, en apoyo a las actividades de docencia, prácticas académicas e investigación de los programas de Ingeniería Mecánica, Mecatrónica, Electromecánica y Procesos Industriales.
El suministro deberá incluir:
*Durómetro digital micro Vickers, con precisión para medición de dureza en escalas de microindentación, pantalla digital y registro de resultados.
*Accesorios y puntas de ensayo adecuadas para medición de microdureza, incluyendo indentadores de diamante y bloques de calibración.                                                                                      *Software y manuales técnicos para registro, análisis y almacenamiento de resultados.
*Capacitación técnica al personal del laboratorio para operación, calibración y mantenimiento preventivo del equipo.
*Garantía y soporte postventa, incluyendo suministro de repuestos y mantenimiento durante el periodo indicado por el fabricante.</t>
  </si>
  <si>
    <t>$48´000,000</t>
  </si>
  <si>
    <t>Adquisición, suministro e instalación de un equipo portátil para la medición de espesor de recubrimientos metálicos sobre sustratos ferrosos y no ferrosos (Fe/NFe) en el Laboratorio de Tratamientos Térmicos de la Escuela Tecnológica Instituto Técnico Central, destinado a garantizar la medición precisa de recubrimientos y capas superficiales en probetas metálicas y componentes industriales, en apoyo a las actividades de docencia, prácticas académicas e investigación.
El suministro deberá incluir:
*Medidor portátil de espesor de recubrimiento Fe/NFe, capaz de medir recubrimientos ferrosos sobre metales ferrosos y no ferrosos sobre metales no ferrosos.
*Accesorios y calibradores de placas estándar para verificación y ajuste del equipo.
*Manual técnico, software de registro de datos y batería recargable para operación portátil.
*Capacitación técnica al personal del laboratorio para la correcta operación, calibración y mantenimiento preventivo del equipo.                                                                                                               *Garantía y soporte postventa, incluyendo repuestos y mantenimiento durante el periodo indicado por el fabricante.</t>
  </si>
  <si>
    <t>$28´000,000</t>
  </si>
  <si>
    <t>Adquisición, suministro e instalación de un equipo de corrientes Eddy (Eddy Current Tester) para el Laboratorio de Tratamientos Térmicos de la Escuela Tecnológica Instituto Técnico Central, destinado a garantizar la inspección no destructiva de materiales metálicos mediante detección de defectos superficiales y medición de propiedades eléctricas y magnéticas, en apoyo a las actividades de docencia, prácticas académicas e investigación de los programas de Ingeniería Mecánica, Mecatrónica, Electromecánica y Procesos Industriales.
El suministro deberá incluir:
*Equipo de corrientes Eddy portátil o de banco, con capacidad de detectar grietas superficiales, discontinuidades y variaciones de espesor en materiales ferrosos y no ferrosos.
*Sondas e inductores adecuados para distintos tipos de piezas y geometrías.
*Accesorios y calibradores de referencia para ajuste y verificación del equipo.
*Software y manual técnico para registro de mediciones y análisis de resultados.
*Capacitación técnica al personal del laboratorio para la correcta operación, calibración y mantenimiento preventivo del equipo.
*Garantía y soporte postventa, incluyendo repuestos y mantenimiento durante el periodo indicado por el fabricante.</t>
  </si>
  <si>
    <t>$35´000,000</t>
  </si>
  <si>
    <t>Adquisición, suministro e instalación de un equipo de inspección ultrasónica para el Laboratorio de Tratamientos Térmicos de la Escuela Tecnológica Instituto Técnico Central, destinado a garantizar la inspección no destructiva de materiales metálicos y componentes industriales mediante ultrasonido, en apoyo a las actividades de docencia, prácticas académicas e investigación de los programas de Ingeniería Mecánica, Mecatrónica, Electromecánica y Procesos Industriales.
El suministro deberá incluir:
*Equipo de inspección ultrasónica portátil o de banco, con capacidad de detección de grietas, discontinuidades internas y medición de espesores en materiales ferrosos y no ferrosos.
*Transductores y sondas de diferentes frecuencias para distintos tipos de piezas y geometrías.
*Accesorios de calibración y bloques patrón para verificación de precisión.
*Software y manual técnico para registro, análisis y almacenamiento de resultados.
*Capacitación técnica al personal del laboratorio para la correcta operación, calibración y mantenimiento preventivo del equipo.
*Garantía y soporte postventa, incluyendo suministro de repuestos y mantenimiento durante el periodo indicado por el fabricante.</t>
  </si>
  <si>
    <t>$29´000,000</t>
  </si>
  <si>
    <t>Adquisición, suministro de un equipo de medición de rugosidad superficial para el Laboratorio de Tratamientos Térmicos de la Escuela Tecnológica Instituto Técnico Central, destinado a garantizar la medición precisa de rugosidad y acabado superficial de probetas metálicas y componentes industriales, en apoyo a las actividades de docencia, prácticas académicas e investigación de los programas de Ingeniería Mecánica, Mecatrónica, Electromecánica y Procesos Industriales.
El suministro deberá incluir:
*Equipo de medición de rugosidad superficial, portátil o de banco, con capacidad de registrar parámetros como Ra, Rz, Rt, y otros indicadores de textura superficial.
*Accesorios y calibradores de referencia para ajuste y verificación del equipo.
*Software y manual técnico para análisis, registro y almacenamiento de resultados.
*Capacitación técnica al personal del laboratorio para la correcta operación, calibración y mantenimiento preventivo del equipo.
*Garantía y soporte postventa, incluyendo repuestos y mantenimiento durante el periodo indicado por el fabricante.</t>
  </si>
  <si>
    <t>$8´000,000</t>
  </si>
  <si>
    <t>Adquisición, suministro e instalación de un equipo de inspección por partículas magnéticas para el Laboratorio de Tratamientos Térmicos de la Escuela Tecnológica Instituto Técnico Central, destinado a realizar ensayos no destructivos para la detección de discontinuidades superficiales y subsuperficiales en materiales ferromagnéticos, en apoyo a las actividades de docencia, prácticas académicas e investigación de los programas de Ingeniería:
El suministro deberá incluir:
*Equipo de inspección por partículas magnéticas, portátil o de banco, con capacidad de magnetización para ensayos en piezas ferromagnéticas.
*Accesorios necesarios para su funcionamiento, incluyendo yugo magnético, cables, electrodos o bobinas según configuración del equipo.
*Consumibles iniciales, tales como partículas magnéticas secas o en suspensión, líquidos reveladores y materiales auxiliares para la inspección.
*Manual técnico y capacitación básica para la correcta operación y seguridad del equipo.
*Garantía y soporte técnico durante el periodo establecido por el fabricante.</t>
  </si>
  <si>
    <t>dos (2) MESES</t>
  </si>
  <si>
    <t>Prestacion de servicios para el mantenimiento preventivo y/o correctivo (a todo costo) del equipos especializad espectómetro de emisión óptica miniLab GNR 300 que presta el servicio en el Laboratorio de Tratamientos Térmicos de la Escuela Tecnologica Instituto Técnico Central para la vigencia 2026</t>
  </si>
  <si>
    <t>$30´000,000</t>
  </si>
  <si>
    <t>Prestacion de servicios para el mantenimiento preventivo y/o correctivo (a todo costo) de equipos especializados durómetros que presta el servicio en el Laboratorio de Tratamientos Térmicos de la Escuela Tecnologica Instituto Técnico Central para la vigencia 2026</t>
  </si>
  <si>
    <t xml:space="preserve">DURACIÓN DEL CONTRATO (NUMERO MESES) </t>
  </si>
  <si>
    <t>$4'000,000</t>
  </si>
  <si>
    <t>PN26-313</t>
  </si>
  <si>
    <t>Adecuacion fisica de las instalaciones, suministro de sistema de gas argón y sistema de ventilación/extracción  para la puesta en funcionamiento del kit para la impresora 3d para metales, ubicado en el lanboratorio de Tratamientos Térmicos de la Escuela Tecnológica Instituto Técnico Central.</t>
  </si>
  <si>
    <t>$25'000,000</t>
  </si>
  <si>
    <t>PN26-314</t>
  </si>
  <si>
    <t>Adecuacion fisica y eléctrica de las instalaciones del laboratorio de Tratamientos Térmicos, suministro e instalación de sistema de ventilación/extracción de humos</t>
  </si>
  <si>
    <t>$15´000,000</t>
  </si>
  <si>
    <t xml:space="preserve">Adquisicón del servicio de calibración a durómetros </t>
  </si>
  <si>
    <t>$1´200,000</t>
  </si>
  <si>
    <t>Talleres y Laboratorios
(Metalistería)</t>
  </si>
  <si>
    <t>$ 53.000.000</t>
  </si>
  <si>
    <t>PN26-317</t>
  </si>
  <si>
    <t>Suministro de gases industriales para el taller de Metalistería de la Escuela Tecnológica Instituto Técnico Central para la vigencia 2026.</t>
  </si>
  <si>
    <t>12 Meses</t>
  </si>
  <si>
    <t>$ 27.000.000</t>
  </si>
  <si>
    <t>PN26-318</t>
  </si>
  <si>
    <t>Prestacion de servicios para el mantenimiento preventivo y/o correctivo (a todo costo) de los equipos y maquinaria especializada que prestan el servicio en el taller de Metalistería de la Escuela Tecnologica Instituto Técnico Central para la vigencia 2026</t>
  </si>
  <si>
    <t>3 Meses</t>
  </si>
  <si>
    <t>$ 180.000.000</t>
  </si>
  <si>
    <t>PN26-319</t>
  </si>
  <si>
    <t>Adquisicion de equipos y maquinaria para la modernizacion de los activos que perstan el servicio en el taller de Metalistería de la Escuela Tecnológica Instituto Técnico Central.</t>
  </si>
  <si>
    <t>$ 2.463.300.000</t>
  </si>
  <si>
    <t>PN26-320</t>
  </si>
  <si>
    <t>Adecuacion fisica de las instalaciones del para aumentar la cacidad de antencion del taller de Metalistería de la Escuela Tecnológica Instituto Técnico Central.</t>
  </si>
  <si>
    <t>6 Meses</t>
  </si>
  <si>
    <t>$ 378.000.000</t>
  </si>
  <si>
    <t>PN26-321</t>
  </si>
  <si>
    <t>Adquisicion de un sistema de extraccion de humos y gases de soldadura para el taller de Metalistería de la Escuela Tecnológica Instituto Técnico Central.</t>
  </si>
  <si>
    <t>$ 438.000.000</t>
  </si>
  <si>
    <t xml:space="preserve">41114600 </t>
  </si>
  <si>
    <t>Talleres y Laboratorios
(Motores y electromovilidad)</t>
  </si>
  <si>
    <t xml:space="preserve">PRESTACION DE SERVICIOS PARA EL MANTENIMIENTO PREVENTIVO Y CORRECTIVO A TODO COSTO PARA LA MÁQUINA DE ENSAYOS UNIVERSAL MARCA SHIMADZU DEL TALLER DE MOTORES </t>
  </si>
  <si>
    <t xml:space="preserve">PRESTACION DE SERVICIOS PARA EL MANTENIMIENTO PREVENTIVO Y CORRECTIVO A TODO COSTO PARA LA PLANTA DE INTRUMENTACIÓN Y CONTROL DE PROCESOS DEL TALLER DE MOTORES </t>
  </si>
  <si>
    <t>PN26-324</t>
  </si>
  <si>
    <t xml:space="preserve">PRESTACION DE SERVICIOS PARA EL MANTENIMIENTO PREVENTIVO Y CORRECTIVO A TODO COSTO PARA EQUIPOS Y BANCOS DE REFRIGERACIÓN DEL TALLER DE MOTORES </t>
  </si>
  <si>
    <t>PN26-326</t>
  </si>
  <si>
    <t>ADQUISICIÓN DE 100 LICENCIAS DE ELECTUDE</t>
  </si>
  <si>
    <t>TRES(3)MESES</t>
  </si>
  <si>
    <t>Talleres y Laboratorios
(Taller de mecánica)</t>
  </si>
  <si>
    <t xml:space="preserve">Se requiere la adquisición de dos (2) tornos convencionales para mecanizado de metales, destinados al fortalecimiento de las capacidades técnicas y operativas del Taller de Mecánica, permitiendo la ejecución de procesos de mecanizado como cilindrado, refrentado, roscado, perforado y ranurado de piezas metálicas en actividades de formación práctica y desarrollo de proyectos.
estos equipos deberán contar minimo con lo siguiente: distancia entre puntos aproximada de 1000 mm, volteo sobre bancada cercano a 500 mm, husillo con diámetro pasante aproximado de 82 mm, sistema de 24 velocidades en rango aproximado de 9 a 1600 rpm y caja de avances tipo Norton para mecanizado de roscas métricas y en pulgadas. Así mismo, deberán incorporar motor principal cercano a 7.5 kW, sistema de refrigeración y alimentación eléctrica trifásica 220 V – 60 Hz, garantizando precisión y estabilidad en las operaciones de mecanizado. </t>
  </si>
  <si>
    <t>4 MESES</t>
  </si>
  <si>
    <t>$180.000.000</t>
  </si>
  <si>
    <t>Se requiere la adquisición de un (1) taladro fresador para mecanizado de metales, destinado a apoyar las actividades de perforado, roscado y fresado en procesos de formación práctica y fabricación de piezas en el Taller de Mecánica.
El equipo deberá contar con rango de velocidades del husillo entre aproximadamente 95 y 1500 rpm, cono de husillo tipo CM4, recorrido de husillo cercano a 130 mm, mesa de trabajo aproximada de 800 × 240 mm, capacidad de perforación en acero cercana a 32 mm, y motor de aproximadamente 1.5 HP con alimentación eléctrica trifásica 220 V – 60 Hz, incluyendo sistema de refrigeración para operaciones de mecanizado.</t>
  </si>
  <si>
    <t>3 MESES</t>
  </si>
  <si>
    <t>$38.000.000</t>
  </si>
  <si>
    <t>PN26-330</t>
  </si>
  <si>
    <t>Se requiere la contratación del servicio de mantenimiento preventivo, correctivo, puesta a punto y puesta en marcha de las máquinas herramienta del Taller de Mecánica, con el fin de garantizar su adecuado funcionamiento, seguridad operativa y disponibilidad para el desarrollo de las actividades académicas.
El servicio deberá contemplar la revisión, diagnóstico técnico, limpieza, lubricación, ajuste, calibración y verificación de los diferentes sistemas mecánicos, eléctricos y electrónicos, así como la corrección de fallas que puedan presentarse durante la operación</t>
  </si>
  <si>
    <t xml:space="preserve"> $ 1.000.000.000</t>
  </si>
  <si>
    <t>11101700
30102400
31231100</t>
  </si>
  <si>
    <t>Se requiere la adquisición de materias primas metálicas para el Taller de Mecánica, consistentes en acero al carbono SAE/AISI 1020 en presentación de barras redondas (cilindros) y platinas en diferentes dimensiones, aluminio en barras redondas en diferentes diámetros, así como varilla cuadrada y varilla roscada en diferentes diámetros y longitudes.
Estos materiales deberán suministrarse en medidas o referencias comerciales comúnmente utilizadas en procesos de mecanizado y fabricación mecánica, con el fin de facilitar su disponibilidad y reposición en el mercado. Asimismo, se requiere que el material sea entregado en tramos de aproximadamente 1 metro y 3 metros de longitud, lo que permitirá una manipulación más segura, almacenamiento adecuado y mayor facilidad de uso en las diferentes máquinas herramienta del taller.</t>
  </si>
  <si>
    <t xml:space="preserve"> $ 150.000.000</t>
  </si>
  <si>
    <t>Se requiere la adquisición de materiales poliméricos para el Taller de Mecánica, consistentes en nylon (poliamida) en barras cilíndricas en diferentes diámetros y acrílico (PMMA).
Las barras de nylon deberán suministrarse en referencias comerciales en diferentes diámetros y en longitudes aproximadas de 1 metro, lo que facilita su almacenamiento, manipulación y preparación para su uso en las diferentes máquinas herramienta del taller. Por su parte, el acrílico deberá suministrarse en piezas de aproximadamente 8 × 8 × 2 cm, dimensiones adecuadas para el desarrollo de prácticas de mecanizado y fabricación de piezas.</t>
  </si>
  <si>
    <t>Se requiere la adquisición de herramientas y elementos de ferretería mecánica para el Taller de Mecánica, destinados al desarrollo de prácticas académicas, operaciones de mecanizado, medición y preparación de piezas en los diferentes equipos y estaciones de trabajo del taller.</t>
  </si>
  <si>
    <t>PN26-334</t>
  </si>
  <si>
    <t>Talleres y Laboratorios
(Taller de fundición)</t>
  </si>
  <si>
    <t>Se requiere la adquisición de un (1) taladro de columna para mecanizado de metales, destinado a apoyar las actividades prácticas del Taller de Fundición, especialmente en procesos de perforado, roscado y ajuste de piezas metálicas obtenidas en procesos de fundición.
El equipo deberá contar con capacidad de perforación en acero de aproximadamente 32 mm, rango de velocidades del husillo entre 95 y 3200 rpm, cono de husillo tipo MT4, recorrido del husillo cercano a 120 mm, mesa de trabajo aproximada de 730 × 210 mm, y motor de aproximadamente 2 HP con alimentación eléctrica trifásica 220 V – 60 Hz, incluyendo sistema de refrigeración para operaciones de mecanizado.</t>
  </si>
  <si>
    <t xml:space="preserve"> $18.000.000</t>
  </si>
  <si>
    <t>Suministro de una (1) tonelada de aluminio aleación 7178, una aleación de alta resistencia perteneciente a la serie Al-Zn-Mg-Cu. Esta aleación se caracteriza por presentar una composición química aproximada de: Zinc (Zn) entre 6,30 % y 7,30 %, Magnesio (Mg) entre 2,40 % y 3,10 %, Cobre (Cu) entre 1,60 % y 2,40 %, Hierro (Fe) hasta 1,00 %, y el balance correspondiente a aluminio (Al) con pequeñas impurezas metalúrgicas permitidas.
La aleación 7178 es reconocida por su alta resistencia mecánica, lograda principalmente por la presencia de zinc, magnesio y cobre como elementos de aleación principales. Además, es tratables térmicamente, lo que permite mejorar significativamente sus propiedades mecánicas mediante procesos de endurecimiento por precipitación.</t>
  </si>
  <si>
    <t xml:space="preserve">MINIMA CUANTIA </t>
  </si>
  <si>
    <t xml:space="preserve">Suministros de media (0,5) tonelada de arena de fundición, destinada a la elaboración de moldes en procesos de fundición de metales. </t>
  </si>
  <si>
    <t>$1.000.000</t>
  </si>
  <si>
    <t>Adquisicion caucho de silicona líquida con catalizador, material utilizado para la elaboración de moldes flexibles y resistentes en procesos de modelado, fundición y reproducción de piezas. Este compuesto está formado por una silicona base y un catalizador, los cuales al mezclarse inician un proceso de curado que permite obtener moldes con alta elasticidad, resistencia térmica y excelente capacidad de reproducción de detalles.</t>
  </si>
  <si>
    <t xml:space="preserve">1 MES </t>
  </si>
  <si>
    <t>Compra de una sierra de cinta horizontal, máquina herramienta utilizada para el corte de materiales metálicos como barras, tubos, perfiles y placas de acero o aluminio. Este equipo opera mediante una hoja dentada en forma de cinta continua que se desplaza sobre poleas, permitiendo realizar cortes precisos y uniformes en diferentes tipos de metales</t>
  </si>
  <si>
    <t>Adquisicion de una mufla para fundición, equipo utilizado para el calentamiento y fusión de metales a altas temperaturas mediante una cámara de calentamiento cerrada y controlada. Este horno permite alcanzar temperaturas elevadas de forma uniforme, facilitando procesos como fundición, tratamiento térmico y análisis de materiales.</t>
  </si>
  <si>
    <t xml:space="preserve">2 MESES </t>
  </si>
  <si>
    <t>Adquisicion de un horno de secado de machos para fundición, equipo utilizado para el secado y endurecimiento de los machos de arena empleados en la fabricación de moldes para procesos de colada de meta garantizando mayor resistencia, estabilidad dimensional y calidad en los machos utilizados durante el proceso de fundición. Su uso contribuye a mejorar la precisión de las piezas fundidas y la eficiencia del proceso productivo.</t>
  </si>
  <si>
    <t>PN26-341</t>
  </si>
  <si>
    <t>Adquision de una máquina moldeadora para fundición, destinada a la fabricación de moldes utilizados en los procesos de colada de metales. Este equipo permite la compactación y conformado de arena de moldeo alrededor de los modelos, garantizando moldes con la forma, resistencia y precisión necesarias para la producción de piezas metálicas. Su utilización es fundamental para optimizar el proceso de fundición, mejorar la calidad de los moldes y asegurar mayor eficiencia y repetibilidad en la fabricación de componentes metálicos.</t>
  </si>
  <si>
    <t>$40.000.000</t>
  </si>
  <si>
    <t>PN26-342</t>
  </si>
  <si>
    <t>Prestación del servicio de mantenimiento preventivo y correctivo de horno de inducción para cuba de aluminio, incluyendo la revisión, diagnóstico, limpieza, ajuste y reparación de los componentes mecánicos, eléctricos y electrónicos del equipo. El servicio contempla la verificación del sistema de inducción, conexiones eléctricas, sistema de enfriamiento, refractario de la cuba, controladores y demás elementos asociados, con el fin de garantizar su correcto funcionamiento, seguridad operativa y eficiencia en el proceso de fundición de aluminio.</t>
  </si>
  <si>
    <t xml:space="preserve">27112000
 31201600
13111300
 60105700 </t>
  </si>
  <si>
    <t>Talleres y Laboratorios
(Taller de modeleria y FabLab)</t>
  </si>
  <si>
    <t>Adquisición de insumos, consumibles y herramientas menores para el funcionamiento del Taller de Modelería y el Laboratorio de Fabricación Digital de la ETITC, incluyendo materiales como pegantes industriales, láminas de madera, láminas de acrílico, filamentos para impresión 3D, brocas, escareadores, destornilladores, afiladores de brocas, fresas para ruteadora, bisturíes, discos de corte para madera, hojas para sierra sin fin y demás elementos de ferretería requeridos para procesos de prototipado, modelado y fabricación de piezas.</t>
  </si>
  <si>
    <t>$150.000.000</t>
  </si>
  <si>
    <t>Servicio de mantenimiento preventivo, predictivo y correctivo a todo costo para tres (3) equipos de control numérico computarizado (CNC) del Taller de Modelería y Laboratorio de Fabricación Digital de la ETITC, incluyendo diagnóstico, calibración, limpieza técnica, ajuste mecánico, verificación de sistemas eléctricos y electrónicos, cambio de piezas y consumibles necesarios, y puesta en operación de los equipos: cortadora láser CO₂ de 100W, cortadora láser de plasma MP Laser y ruteadora CNC AXIOM.</t>
  </si>
  <si>
    <t>PN26-345</t>
  </si>
  <si>
    <t>Prestación del servicio de mantenimiento preventivo, predictivo y correctivo a todo costo para maquinaria electromecánica y herramientas eléctricas del Taller de Modelería y Laboratorio de Fabricación Digital de la ETITC, incluyendo diagnóstico, limpieza técnica, ajuste mecánico, calibración, verificación de sistemas eléctricos, lubricación, reemplazo de piezas defectuosas y puesta en funcionamiento de equipos tales como taladro fresador, taladros de árbol, sierras circulares, sierras sin fin, esmeriles, lijadoras de banda, taladros manuales, pulidoras, herramientas eléctricas manuales para trabajo en madera y demás equipos electromecánicos que hagan parte del taller.</t>
  </si>
  <si>
    <t>Adquisición de maquinaria y equipos para fortalecimiento del Taller de Modelería y del Laboratorio de Fabricación Digital de la ETITC, incluyendo una escuadradora para corte de madera de precisión, una cabina de fotocurado para el postprocesamiento de piezas fabricadas mediante impresión 3D en resina y un secador de filamento para impresión 3D. Los equipos deberán cumplir especificaciones técnicas adecuadas para uso académico y procesos de prototipado, permitiendo el procesamiento seguro y eficiente de materiales utilizados en actividades de fabricación digital y modelería.</t>
  </si>
  <si>
    <t>$250.000.000</t>
  </si>
  <si>
    <t>PN26-347</t>
  </si>
  <si>
    <t>Prestación del servicio de mantenimiento preventivo, predictivo y correctivo a todo costo para equipos de fabricación digital del Taller de Modelería y Laboratorio de Fabricación Digital de la ETITC, incluyendo impresoras 3D de filamento marca Creality, impresoras 3D de resina, escáneres 3D marca Creality y escáneres 3D marca Artec. El servicio deberá incluir diagnóstico técnico, limpieza, calibración, ajuste mecánico y electrónico, actualización de firmware, suministro e instalación de repuestos requeridos, suministro de insumos técnicos como grasas de mantenimiento y fijadores para bandejas de impresión, así como la renovación o suministro de licencias de software necesarias para la operación y procesamiento de datos de los escáneres 3D y equipos asociados, garantizando su correcto funcionamiento y compatibilidad con los sistemas del laboratorio.</t>
  </si>
  <si>
    <t>Talleres y Laboratorios
(Salas de sistemas)</t>
  </si>
  <si>
    <t>Adquisición de equipos, herramientas y materiales para la dotación  de las salas de sistemas de la Escuela Tecnológica Instituto Técnico Central.</t>
  </si>
  <si>
    <t>1 MES</t>
  </si>
  <si>
    <t>2 MES</t>
  </si>
  <si>
    <t>$5.000.000</t>
  </si>
  <si>
    <t xml:space="preserve"> 27110000 47131825 47131805</t>
  </si>
  <si>
    <t xml:space="preserve">
Talleres y laboratorios s. el Tintal
Laobratorios de Energias Renovables</t>
  </si>
  <si>
    <t>Adquisición de insumos, consumibles, herramientas menores para el funcionamiento del Laboratorio de Energías Renovables de la ETITC – Sede Tintal, incluyendo elementos necesarios para el  mantenimiento y operación de los sistemas experimentales del laboratorio. Dentro de estos se contemplan herramientas manuales, elementos de limpieza y mantenimiento de equipos, accesorios para sistemas fotovoltaicos, materiales eléctricos, consumibles para limpieza y demás elementos requeridos para actividades de  mantenimiento de sistemas de generación de energía a partir de fuentes renovables.</t>
  </si>
  <si>
    <t>Talleres y laboratorios s. el Tintal
Laboratorio de Quimica y Fisica</t>
  </si>
  <si>
    <t>Compra de  reactivos grado ACS/analítico, colorantes para tinciones celulares, soluciones patrón para practicas de espectroscopias,kits de análisis de aguas y suelos para muestreo en campo, medios de cultivo para practicas de microbiologia  y consumibles de laboratorio para prácticas académicas.</t>
  </si>
  <si>
    <t>$15.858.000</t>
  </si>
  <si>
    <t>$3.399.800</t>
  </si>
  <si>
    <t>PN26-353</t>
  </si>
  <si>
    <t>Adquisición de material de vidrio y cristalería especializada para experimentación química y biológica, para separacion de mezclas, practicas de electroquimica y cultivo biologicos</t>
  </si>
  <si>
    <t>PN26-354</t>
  </si>
  <si>
    <t>Adquisición de bidones, frascos ámbar y recipientes para almacenamiento de reactivos y gestión de residuos e envases.</t>
  </si>
  <si>
    <t>Servicio de mantenimiento preventivo y correctivo para autoclaves (esterilizadores) de laboratorio, incluyendo: calibración de parámetros (temperatura, presión y tiempo), revisión de resistencias, válvulas de seguridad, sellos de puerta, sistemas de control electrónico y certificación de ciclos de esterilización.</t>
  </si>
  <si>
    <t>$5.498.400</t>
  </si>
  <si>
    <t>Servicio de mantenimiento preventivo y correctivo para neveras, refrigeradores y congeladores de laboratorio, incluyendo: revisión de compresores, sistemas de refrigeración, termostatos, puertas, empaques, y calibración de sondas de temperatura.</t>
  </si>
  <si>
    <t>$7.497.200</t>
  </si>
  <si>
    <t>43211511 43211724</t>
  </si>
  <si>
    <t>Talleres y laboratorios s. el Tintal
Sala de sistemas</t>
  </si>
  <si>
    <t>Adquisición de 10 equipos de cómputo portátiles de última generación con sus respectivos kits de periféricos de entrada (teclado, mouse y audífonos), destinados a fortalecer la infraestructura tecnológica para las actividades académicas y administrativas de la Sede Tintal de la ETITC.</t>
  </si>
  <si>
    <t>$60.000.000</t>
  </si>
  <si>
    <t>43211521 43211903</t>
  </si>
  <si>
    <t>Adquisición de 100 equipos de cómputo de última generación tipo "All-in-One" para la actualización tecnológica de 4 salas de sistemas, y 10 pantallas inteligentes con sistema OPS (Open Pluggable Specification) y soporte rodante para la modernización de las aulas interactivas en la Sede Tintal.</t>
  </si>
  <si>
    <t>$600.000.000</t>
  </si>
  <si>
    <t>27111728 32131000 47131825 47131805</t>
  </si>
  <si>
    <t>Adquisición de 4 kits de herramientas para mantenimiento de equipos de cómputo, compuestos por: pasta térmica, juego de destornilladores de precisión, palas plásticas para apertura de equipos, cautín con soldadura, limpiador eléctrico en aerosol y espuma limpiadora para exteriores.</t>
  </si>
  <si>
    <t>PN26-361</t>
  </si>
  <si>
    <t>Talleres y laboratorios s. el Tintal
Laboratorio de Ciencia de Datos</t>
  </si>
  <si>
    <t>Adquisición de 6 equipos de cómputo portatiles para la toma de clase, especializados para el procesamiento de datos (Laptops MSI Raider GE76)</t>
  </si>
  <si>
    <t>$42.000.000</t>
  </si>
  <si>
    <t xml:space="preserve">41113600 27110000 23271417 </t>
  </si>
  <si>
    <t>Talleres y laboratorios s. el Tintal
Taller de Electricidad y electronica</t>
  </si>
  <si>
    <t>Adquisición de insumos, consumibles, herramientas menores e instrumentos de medición para el funcionamiento del Laboratorio de Electricidad y Electrónica de la ETITC – Sede Tintal, destinados al desarrollo de prácticas académicas, actividades experimentales y mantenimiento de equipos. Incluye herramientas manuales, equipos de soldadura, instrumentos de medición, cables, conectores y componentes eléctricos y electrónicos necesarios para el montaje, diagnóstico y análisis de circuitos en las prácticas de laboratorio.</t>
  </si>
  <si>
    <t>12.000.000</t>
  </si>
  <si>
    <t>PN26-363</t>
  </si>
  <si>
    <t>Pago de afiliaciones institucionales a redes académicas y de cooperación como Asociación Colombiana de Facultades de Ingeniería (ACOFI), Programa Interinstitucional para el Fortalecimiento de la Investigación y el Posgrado del Pacífico – Delfín, Fondo de Desarrollo de la Educación Superior (FODESEP), Red Colombiana para la Internacionalización (RCI) de ASCUN y Red de Instituciones Técnicas Profesionales, Tecnológicas e Instituciones Universitarias Públicas de Colombia (REDTTU), con el fin de fortalecer la cooperación académica, investigativa e internacionalización institucional.</t>
  </si>
  <si>
    <t>Mínima Cuantía</t>
  </si>
  <si>
    <t>PN26-364</t>
  </si>
  <si>
    <t>Interinstitucionales e Internacionalización
Adquisición de una plataforma tecnológica para la gestión de procesos de internacionalización institucional, que permita la administración de movilidad académica entrante y saliente, gestión de convenios internacionales, seguimiento a estudiantes y docentes en intercambio y fortalecimiento de la cooperación académica internacional.</t>
  </si>
  <si>
    <t>Profesional especializado 28-13 Sistemas de información academicos</t>
  </si>
  <si>
    <t>3443000 Ext 217</t>
  </si>
  <si>
    <t>academusoft@it.edu.co</t>
  </si>
  <si>
    <t>PN26-366</t>
  </si>
  <si>
    <t>Adquisición del soporte y las actualizaciones del sistema de información de gestión académico de los programas de educación superior ACADEMUSOFT de la escuela tecnológica instituto técnico central</t>
  </si>
  <si>
    <t>PN26-367</t>
  </si>
  <si>
    <t>Adquisición de equipo de cómputo de escritorio con sus respectivos accesorios y software necesario para apoyar el desarrollo de las actividades administrativas y académicas de la ORII.</t>
  </si>
  <si>
    <t>PN26-368</t>
  </si>
  <si>
    <t>Adquisición de impresora multifuncional para apoyar los procesos administrativos y operativos de la ORII, incluyendo impresión, escaneo y copiado de documentos institucionales.</t>
  </si>
  <si>
    <t>PN26-370</t>
  </si>
  <si>
    <t>Suministro de tiquetes aéreos nacionales e internacionales para el desarrollo de movilidades académicas, científicas e institucionales 2026, incluyendo reservas, cambios y cancelaciones.</t>
  </si>
  <si>
    <t>PRESTACIÓN DE SERVICIOS PROFESIONALES CON DISPONIBILIDAD 7 X 24 EN EL ÁREA DE INFORMÁTICA Y TELECOMUNICACIONES PARA GARANTIZAR LA DISPONIBILIDAD DE LA INFRAESTRUCTURA TECNOLÓGICA Y DE LOS SERVICIOS ACADÉMICOS Y ADMINISTRATIVOS DE LA ETITC.</t>
  </si>
  <si>
    <t>Profesional Especializado de la oficina de Gestión de TI</t>
  </si>
  <si>
    <t xml:space="preserve">3443000 Ext </t>
  </si>
  <si>
    <t>PRESTACIÓN DE SERVICIOS PROFESIONALES ESPECIALIZADOS EN EL ÁREA DE INFORMÁTICA Y TELECOMUNICACIONES PARA ADMINISTRAR Y GARANTIZAR LA DISPONIBILIDAD DE LA PLATAFORMA MOODLE LMS (CAMPUS VIRTUAL) Y TODOS SUS COMPONENTES COMO APOYO A LAS ACTIVIDADES ACADÉMICAS Y ADMINISTRATIVAS DE LA ETITC.</t>
  </si>
  <si>
    <t xml:space="preserve">PRESTACIÓN DE SERVICIOS PROFESIONALES EN EL ÁREA DE INFORMÁTICA Y TELECOMUNICACIONES PARA LA ADMINISTRACIÓN DE LOS SISTEMAS DE INFORMACIÓN Y LAS BASES DE DATOS DE LA ETITC
</t>
  </si>
  <si>
    <t xml:space="preserve">
51029316</t>
  </si>
  <si>
    <t xml:space="preserve">PRESTACIÓN DE SERVICIOS PROFESIONALES EN EL ÁREA DE INFORMÁTICA Y TELECOMUNICACIONES PARA ADMINISTRAR LA MESA DE AYUDA Y LAS PLATAFORMAS MICROSOFT 365, AZURE AD, AZURE MICROSOFT CLOUD SERVICES Y LA INTEGRACIÓN CON OTRAS PLATAFORMAS DE LA ESCUELA TECNOLÓGICA INSTITUTO TÉCNICO CENTRAL.
</t>
  </si>
  <si>
    <t xml:space="preserve">PRESTACIÓN DE SERVICIOS PROFESIONALES EN EL ÁREA DE INFORMÁTICA Y TELECOMUNICACIONES PARA EJECUTAR ACTIVIDADES DE SEGUIMIENTO Y DOCUMENTACIÓN PARA GARANTIZAR EL CUMPLIMIENTO DE LA NORMATIVA VIGENTE EN LA INFRAESTRUCTURA TECNOLÓGICA DE LA ESCUELA TECNOLÓGICA INSTITUTO
</t>
  </si>
  <si>
    <t>Profesional Oficina de Gestión de TI</t>
  </si>
  <si>
    <t>PN26-376</t>
  </si>
  <si>
    <t>PRESTACIÓN DE SERVICIOS PROFESIONALES EN EL ÁREA DE INFORMÁTICA Y TELECOMUNICACIONES PARA COORDINAR EL SOPORTE DE PRIMER NIVEL CON EL PROPÓSITO DE BRINDAR RESPUESTA Y SOLUCIÓN A LOS INCIDENTES, REQUERIMIENTOS Y SOLICITUDES REGISTRADAS EN LA MESA DE SERVICIOS DE TI DE LA ETITC Y SUS SEDES.</t>
  </si>
  <si>
    <t xml:space="preserve">$ 47.469.132,00 </t>
  </si>
  <si>
    <t>PRESTACIÓN DE SERVICIOS COMO TECNOLOGO EN EL ÁREA DE INFORMÁTICA Y TELECOMUNICACIONES PARA BRINDAR EL SOPORTE DE PRIMER NIVEL CON EL PROPÓSITO DE BRINDAR RESPUESTA Y SOLUCIÓN A LOS INCIDENTES, REQUERIMIENTOS Y SOLICITUDES REGISTRADAS EN LA MESA DE SERVICIOS DE TI DE LA ETITC</t>
  </si>
  <si>
    <t>PN26-378</t>
  </si>
  <si>
    <t>PRESTACIÓN DE SERVICIOS PROFESIONALES ESPECIALIZADOS PARA ASESORAR Y APOYAR LOS PROCESOS TÉCNICOS Y ADMINISTRATIVOS DEL ÁREA DE INFORMÁTICA Y TELECOMUNICACIONES DE LA ETITC.</t>
  </si>
  <si>
    <t xml:space="preserve"> $ 63.437.040,00 </t>
  </si>
  <si>
    <t>PN26-379</t>
  </si>
  <si>
    <t xml:space="preserve">PRESTACIÓN DE SERVICIOS COMO TÉCNICO EN EL ÁREA DE INFORMÁTICA Y TELECOMUNICACIONES PARA BRINDAR EL SOPORTE DE PRIMER NIVEL PARA DAR RESPUESTA Y SOLUCIÓN A LOS INCIDENTES, REQUERIMIENTOS Y SOLICITUDES REGISTRADAS EN LA MESA DE SERVICIOS DE TI DE LA SEDE CENTRO Y TINTAL DE LA ETITC
</t>
  </si>
  <si>
    <t xml:space="preserve">$ 32.400.000,00 </t>
  </si>
  <si>
    <t>PN26-380</t>
  </si>
  <si>
    <t xml:space="preserve">PRESTACIÓN DE SERVICIOS COMO TÉCNICO EN EL ÁREA DE INFORMÁTICA Y TELECOMUNICACIONES PARA BRINDAR SOPORTE DE PRIMER NIVEL, EJECUTAR PLANES DE MANTENIMIENTO Y ASESORIA A USUARIOS DE LOS EQUIPOS RELACIONADOS AL SISTEMA DE LAS AULAS PARA LA ALTERNANCIA DEL BACHILLERATO DE LA ETITC
</t>
  </si>
  <si>
    <t xml:space="preserve">$ 28.704.000,00 </t>
  </si>
  <si>
    <t>Técnico Oficina de Gestión de TI</t>
  </si>
  <si>
    <t>PN26-381</t>
  </si>
  <si>
    <t>PRESTACIÓN DE SERVICIOS COMO TÉCNICO EN EL ÁREA DE INFORMÁTICA Y TELECOMUNICACIONES PARA BRINDAR SOPORTE DE PRIMER NIVEL, EJECUTAR PLANES DE MANTENIMIENTO Y ASESORIA A USUARIOS DE LOS EQUIPOS RELACIONADOS AL SISTEMA DE LAS AULAS PARA LA ALTERNANCIA DE LOS PROGRAMAS DE EDUCACIÓN SUPERIOR DE LA ETITC.</t>
  </si>
  <si>
    <t>PN26-382</t>
  </si>
  <si>
    <t>PRESTACIÓN DE SERVICIOS COMO TÉCNICO EN EL ÁREA DE INFORMÁTICA Y TELECOMUNICACIONES PARA REALIZAR APOYO EN LA ATENCIÓN, FUNCIONAMIENTO, CONFIGURACIÓN, SOPORTE Y EJECUCIÓN DE PLANES MANTENIMIENTO DE LOS ESPACIOS A CARGO DE AUDIOVISUALES DE LA SEDE CENTRO DE LA ETITC</t>
  </si>
  <si>
    <t>PN26-383</t>
  </si>
  <si>
    <t xml:space="preserve">ADQUISICIÓN DEL SOFTWARE DE SEGURIDAD Y SALUD EN EL TRABAJO (SST) HSEQ NUEVA VISION PARA LA ESCUELA TECNOLÓGICA INSTITUTO TÉCNICO CENTRAL.
</t>
  </si>
  <si>
    <t>Minima Cuantía</t>
  </si>
  <si>
    <t xml:space="preserve">$ 6.600.000,00 </t>
  </si>
  <si>
    <t>Licenciamiento</t>
  </si>
  <si>
    <t>PN26-384</t>
  </si>
  <si>
    <t xml:space="preserve">ADQUISICIÓN  DE QUINCE (15) LICENCIAS DEL SOFTWARE AUTOMATION STUDIO COMO APOYO A LAS ACTIVIDADES ACADÉMICAS DE LA ETITC
</t>
  </si>
  <si>
    <t xml:space="preserve">$ 19.260.626,00 </t>
  </si>
  <si>
    <t>PN26-385</t>
  </si>
  <si>
    <t>ADQUISICIÓN DE TREINTA (30) LICENCIAS FLOTANTES ACADÉMICAS DEL SOFTWARE ENTERPRISE ARCHITECT PARA LA ESCUELA TECNOLOGICA INSTITUTO TÉCNICO CENTRAL.</t>
  </si>
  <si>
    <t xml:space="preserve"> $ 14.373.330,51 </t>
  </si>
  <si>
    <t>PN26-386</t>
  </si>
  <si>
    <t xml:space="preserve">ADQUISICIÓN DE 25 LICENCIAS DEL SOFTWARE PROTEUS PARA LOS TALLERES DE ELECTRICIDAD, ELECTRONICA Y AUTOMATIZACION DE LA ESCUELA TECNOLOGICA INSTITUTO TECNICO CENTRAL.
</t>
  </si>
  <si>
    <t xml:space="preserve">$ 18.378.360,00 </t>
  </si>
  <si>
    <t>PN26-387</t>
  </si>
  <si>
    <t>ADQUISICIÓN DE 23 LICENCIAS DEL ESET ENPOINT ENCRYPTION (PRO)- DESLOCK – PRO, 40 LICENCIAS DE SAFETICA PROTECTION + UEBA -DLP, 2 LICENCIAS DE ISL ONLINE SAS (1) AÑO DE SUSCRIPCION Y 1 LICENCIA ISL ONLINE ON-PREMISES (1) AÑO DE MANTENIMIENTO.</t>
  </si>
  <si>
    <t xml:space="preserve">$ 39.995.787,34 </t>
  </si>
  <si>
    <t>PN26-388</t>
  </si>
  <si>
    <t>ADQUISICIÓN DE 400 LICENCIAS DEL ANTIVIRUS ESET® ENPOINT PROTEC ENTRY ON PREMISE Y 54 LICENCIAS DE XOPERO ON PREMISE SUSCRIPCIÓN- (1) AÑO DE MANTENIMIENTO Y SOPORTE</t>
  </si>
  <si>
    <t xml:space="preserve">$ 40.025.413,60 </t>
  </si>
  <si>
    <t>PN26-389</t>
  </si>
  <si>
    <t xml:space="preserve">ADQUISICIÓN DE 900 LICENCIAS DE SOFTWARE REXTORE DURANTE UN AÑO PARA LA ESCUELA TECNOLÓGICA INSTITUTO TÉCNICO CENTRAL
</t>
  </si>
  <si>
    <t xml:space="preserve">$ 38.618.118,00 </t>
  </si>
  <si>
    <t>PN26-390</t>
  </si>
  <si>
    <t xml:space="preserve">ADQUISICIÓN DEL LICENCIAMIENTO DEL SOFTWARE SOLIDWORKS EDUCATION EDITION CAMPUS PLUS DURANTE UN (1) AÑO PARA EL APOYO ACADÉMICO DE LA ESCUELA TECNOLÓGICA INSTITUTO TÉCNICO CENTRAL.
</t>
  </si>
  <si>
    <t xml:space="preserve">$ 19.800.000,00 </t>
  </si>
  <si>
    <t>PN26-391</t>
  </si>
  <si>
    <t>ADQUISICIÓN DE SIMAPRO CLASSROOM - MANTENIMIENTO POR UN AÑO PARA EL APOYO ACADÉMICO DE LA ESCUELA TECNOLÓGICA INSTITUTO TÉCNICO CENTRAL</t>
  </si>
  <si>
    <t xml:space="preserve">$ 17.533.400,50 </t>
  </si>
  <si>
    <t>PN26-392</t>
  </si>
  <si>
    <t>ADQUISICIÓN DE CUATRO (4) LICENCIAS DEL SOFTWARE ADOBE CLOUD Y DE UNA (1) LICENCIA EDUCATION ACROBAT PRO DURANTE DOCE (12) MESES COMO APOYO DEL ÁREA DE COMUNICACIONES Y MEDIOS DE LA ESCUELA TECNOLÓGICA INSTITUTO TÉCNICO CENTRAL.</t>
  </si>
  <si>
    <t xml:space="preserve">$ 6.272.135,10 </t>
  </si>
  <si>
    <t>PN26-393</t>
  </si>
  <si>
    <t xml:space="preserve">ADQUISICIÓN DE	CUARENTA	(40)	PUESTOS DE LICENCIAMIENTO EN RED DEL SOFTWARE FLEXSIM PARA LA FACULTAD DE PROCESOS DE LA ESCUELA TECNOLÓGICA INSTITUTO TÉCNICO CENTRAL POR UN PERIODO DE 12 MESES.
</t>
  </si>
  <si>
    <t xml:space="preserve">$ 17.199.061,00 </t>
  </si>
  <si>
    <t>PN26-394</t>
  </si>
  <si>
    <t xml:space="preserve">ADQUISICIÓN DE LICENCIAS OPEN VALUE SUBSCRIPTION FOR EDUCATION SOLUTIONS (CAMPUS AGREEMENT) DURANTE DOCE (12) MESES PARA LA ESCUELA TECNOLÓGICA INSTITUTO TÉCNICO CENTRAL 
</t>
  </si>
  <si>
    <t>Subasta Inversa</t>
  </si>
  <si>
    <t xml:space="preserve">$ 198.000.000,00 </t>
  </si>
  <si>
    <t>PN26-395</t>
  </si>
  <si>
    <t xml:space="preserve">
Adquisición licencia ORACLE para bases de datos de ACADEMUSOFT</t>
  </si>
  <si>
    <t xml:space="preserve">$ 300.000.000,00 </t>
  </si>
  <si>
    <t>PN26-396</t>
  </si>
  <si>
    <t>ADQUISICIÓN DE LICENCIAMIENTO DE SOFTWARE PTC CREO UNIVERSITY PLUS ACADEMIC CAMPUS PACK EN SU ULTIMA VERSIÓN COMO APOYO A LAS ACTIVIDADES ACADÉMICAS DE LA ESCUELA TECNOLÓGICA INSTITUTO TÉCNICO CENTRAL.</t>
  </si>
  <si>
    <t xml:space="preserve">$ 20.268.468,00 </t>
  </si>
  <si>
    <t>PN26-397</t>
  </si>
  <si>
    <t xml:space="preserve">RENOVACIÓN LICENCIA CAMPUS MATLAB Y SIMULINK COMO APOYO A LAS ACTIVIDADES ACADEMICAS DE LA ESCUELA TECNOLOGICA INSTITUTO TÉCNICO CENTRAL
</t>
  </si>
  <si>
    <t xml:space="preserve">$ 85.800.000,00 </t>
  </si>
  <si>
    <t>PN26-398</t>
  </si>
  <si>
    <t>LABVIEW ACADEMIC Y MULTISIM FOR TEACHING AVL</t>
  </si>
  <si>
    <t xml:space="preserve">$ 112.200.000,00 </t>
  </si>
  <si>
    <t xml:space="preserve">$ 303.087.446,51 </t>
  </si>
  <si>
    <t>Conectividad</t>
  </si>
  <si>
    <t>PN26-400</t>
  </si>
  <si>
    <t>ADQUISICIÓN DEL PLAN DE ACTUALIZACIÓN Y SOPORTE PARA EL SOFTWARE MANTUM CMMS+ED DURANTE UN (1) AÑO PARA EL APOYO A LAS ÁREAS DE GESTIÓN DE LA ESCUELA TECNOLÓGICA INSTITUTO TÉCNICO CENTRAL (ETITC).</t>
  </si>
  <si>
    <t>Soporte Software</t>
  </si>
  <si>
    <t>PN26-401</t>
  </si>
  <si>
    <t>RENOVACIÓN POR UN AÑO DEL PROGRAMA DE ASESORÍA, DESARROLLO Y SOPORTE EN LA HERRAMIENTA SIAC - METACOURIER Y MÓDULO DE GESTIÓN DOCUMENTAL ALFRESCO DE LA ETITC.</t>
  </si>
  <si>
    <t xml:space="preserve">$ 61.510.433,60 </t>
  </si>
  <si>
    <t>PN26-402</t>
  </si>
  <si>
    <t>ADQUISICIÓN DEL SOPORTE Y LAS ACTUALIZACIONES DEL SISTEMA DE INFORMACIÓN ACADÉMICO DEL BACHILLERATO GNOSOFT DE LA ESCUELA TECNOLÓGICA INSTITUTO TÉCNICO CENTRAL</t>
  </si>
  <si>
    <t xml:space="preserve">$ 35.750.000,00 </t>
  </si>
  <si>
    <t>PN26-403</t>
  </si>
  <si>
    <t>ADQUISICIÓN DEL SOPORTE Y LAS ACTUALIZACIONES DEL SISTEMA DE INFORMACIÓN ACADÉMICO DE LOS PROGRAMAS DE EDUCACIÓN SUPERIOR ACADEMUSOFT DE LA ESCUELA TECNOLÓGICA INSTITUTO TÉCNICO CENTRAL</t>
  </si>
  <si>
    <t xml:space="preserve">$ 45.000.000,00 </t>
  </si>
  <si>
    <t>PN26-404</t>
  </si>
  <si>
    <t>ADQUISICIÓN DEL SOPORTE Y LAS ACTUALIZACIONES DEL SISTEMA DE INFORMACIÓN DE LA GESTIÓN DE TALENTO HUMANO "HUMANO" DE LA ESCUELA TECNOLÓGICA INSTITUTO TÉCNICO CENTRAL</t>
  </si>
  <si>
    <t xml:space="preserve">$ 38.000.000,00 </t>
  </si>
  <si>
    <t xml:space="preserve">$ 35.000.000,00 </t>
  </si>
  <si>
    <t>Mantenimiento equipos de incendios</t>
  </si>
  <si>
    <t>PN26-406</t>
  </si>
  <si>
    <t>Adquisición de insumos y repuestos para el mantenimiento de equipos de cómputo de la ETITC</t>
  </si>
  <si>
    <t xml:space="preserve">$ 60.000.000,00 </t>
  </si>
  <si>
    <t>Adquisición</t>
  </si>
  <si>
    <t>PN26-407</t>
  </si>
  <si>
    <t>Mantenimiento preventivo y correctivo de impresoras y scanners, incluye insumos de impresión</t>
  </si>
  <si>
    <t>Mantenimiento equipo de computo</t>
  </si>
  <si>
    <t>PN26-408</t>
  </si>
  <si>
    <t>ADQUISICIÓN DE IMPRESORAS</t>
  </si>
  <si>
    <t>PN26-409</t>
  </si>
  <si>
    <t>ADQUISICIÓN DE EQUIPOS DE CÓMPUTO PARA RENOVAR SALAS</t>
  </si>
  <si>
    <t xml:space="preserve"> $ 750.000.000,00 </t>
  </si>
  <si>
    <t>PN26-410</t>
  </si>
  <si>
    <t>ADQUISICIÓN DE 21 SWITCHES PARA CONECTIVIDAD EN SEDES NUEVAS</t>
  </si>
  <si>
    <t xml:space="preserve"> $ 160.000.000,00 </t>
  </si>
  <si>
    <t>PN26-411</t>
  </si>
  <si>
    <t>ADQUISICIÓN DE 10 SWITCHES PARA ACTUALIZACIÓN DE EQUIPOS DE LA SEDE CENTRO</t>
  </si>
  <si>
    <t>Minima Cuantia</t>
  </si>
  <si>
    <t xml:space="preserve"> $ 70.000.000,00 </t>
  </si>
  <si>
    <t>PN26-412</t>
  </si>
  <si>
    <t>ACTUALIZACIÓN WIFI</t>
  </si>
  <si>
    <t xml:space="preserve"> $ 350.000.000,00 </t>
  </si>
  <si>
    <t>Actualización</t>
  </si>
  <si>
    <t>PN26-413</t>
  </si>
  <si>
    <t xml:space="preserve">REESTRUCTURACIÓN PORTAL WEB  CON SOPORTE A DOS AÑOS
</t>
  </si>
  <si>
    <t xml:space="preserve"> $ 60.000.000,00 </t>
  </si>
  <si>
    <t>PN26-414</t>
  </si>
  <si>
    <t>ACTUALIZACIÓN INFRAESTRUCTURA DATACENTER (EQUIPOS ACTIVOS)</t>
  </si>
  <si>
    <t xml:space="preserve">$ 1.670.000.000,00 </t>
  </si>
  <si>
    <t>PN26-415</t>
  </si>
  <si>
    <t>ADQUISICIÓN FIREWALL PPAL Y BU</t>
  </si>
  <si>
    <t xml:space="preserve">$ 150.000.000,00 </t>
  </si>
  <si>
    <t>PN26-416</t>
  </si>
  <si>
    <t>ADQUISICIÓN DE SWITH  DE CORE DATACENTER</t>
  </si>
  <si>
    <t xml:space="preserve"> $ 650.000.000,00 </t>
  </si>
  <si>
    <t>PN26-417</t>
  </si>
  <si>
    <t>ADQUISICIÓN DE SWITH  DE CORE FACILIDADES</t>
  </si>
  <si>
    <t>PN26-418</t>
  </si>
  <si>
    <t>ACTUALIZACIÓN SOPORTE SAN 2 (1AÑO)</t>
  </si>
  <si>
    <t xml:space="preserve"> $ 35.000.000,00 </t>
  </si>
  <si>
    <t>PN26-419</t>
  </si>
  <si>
    <t xml:space="preserve">MANTENIMIENTO CON REPUESTOS SAN 2 </t>
  </si>
  <si>
    <t xml:space="preserve"> $ 150.000.000,00 </t>
  </si>
  <si>
    <t>PN26-420</t>
  </si>
  <si>
    <t>ACTUALIZACIÓN SOPORTE FIREWALL</t>
  </si>
  <si>
    <t>PN26-421</t>
  </si>
  <si>
    <t>ADQUISICIÓN DE SWITCHE DE FIBRA DE 24 PUERTOS 25 Gb</t>
  </si>
  <si>
    <t>PN26-422</t>
  </si>
  <si>
    <t xml:space="preserve">Egresados </t>
  </si>
  <si>
    <t>Mantenimiento y soporte de Software para el desarrollo de las actividades de la Plataforma informática Bolsa de Empleo de la Escuela Tecnológica Instituto Técnico Central.</t>
  </si>
  <si>
    <t xml:space="preserve">Profesional de Egresados </t>
  </si>
  <si>
    <t>3443000 Ext 238</t>
  </si>
  <si>
    <t>egresados@itc.edu.co</t>
  </si>
  <si>
    <t>"ADQUISICIÓN DE ELEMENTOS TIPOS CONSUMIBLES TALES COMO PAPELERÍA, ÚTILES ESCOLARES O DE OFICINA E INSUMOS PARA IMPRESORA PARA EL CUMPLIMIENTO DE LAS ACTIVIDADES ACADÉMICAS Y ADMINISTRATIVAS EN LA ESCUELA TECNOLÓGICA INSTITUTO TÉCNICO CENTRAL."</t>
  </si>
  <si>
    <t>Tablero de consistencia del Plan de Necesidades 2027</t>
  </si>
  <si>
    <t>Se calcula solo a partir de la hoja Formulación PDN 2027 y de la hoja 2026. Las celdas de parámetros las diligencia la OAPDI con el GIT de Contratación y Adquisiciones.</t>
  </si>
  <si>
    <t>1. Parámetros de la vigencia 2027 (los diligencia la OAPDI; el tablero y las alertas los usan cuando son numéricos)</t>
  </si>
  <si>
    <t>Parámetro</t>
  </si>
  <si>
    <t>Valor</t>
  </si>
  <si>
    <t>Fuente / responsable</t>
  </si>
  <si>
    <t>Tope de menor cuantía 2027 de la ETITC ($)</t>
  </si>
  <si>
    <t>GIT Contratación y Adquisiciones, según presupuesto 2027 aprobado y SMMLV 2027 (art. 2 de la Ley 1150 de 2007).</t>
  </si>
  <si>
    <t>Tope de mínima cuantía 2027 de la ETITC ($) — 10% de la menor cuantía</t>
  </si>
  <si>
    <t>GIT Contratación y Adquisiciones (art. 94 de la Ley 1474 de 2011).</t>
  </si>
  <si>
    <t>Salario mínimo mensual legal vigente 2027 ($)</t>
  </si>
  <si>
    <t>Decreto del Gobierno Nacional para 2027.</t>
  </si>
  <si>
    <t>Fecha límite de remisión de este libro a la OAPDI</t>
  </si>
  <si>
    <t>OAPDI.</t>
  </si>
  <si>
    <t>2. Resumen general 2027</t>
  </si>
  <si>
    <t>Indicador</t>
  </si>
  <si>
    <t>Necesidades registradas</t>
  </si>
  <si>
    <t>Necesidades sin alertas (OK) — pasan al Insumo del Plan Anual de Adquisiciones</t>
  </si>
  <si>
    <t>Necesidades con alertas por corregir</t>
  </si>
  <si>
    <t>Valor total estimado ($)</t>
  </si>
  <si>
    <t>Valor estimado vigencia 2027 ($)</t>
  </si>
  <si>
    <t>Valor vigencia 2027 de necesidades OK ($)</t>
  </si>
  <si>
    <t>Necesidades que continúan un registro 2026</t>
  </si>
  <si>
    <t>Necesidades vinculadas a una acción propuesta por la OAPDI (A27-…)</t>
  </si>
  <si>
    <t>Necesidades vinculadas a una acción propia del área</t>
  </si>
  <si>
    <t>3. Alertas por tipo</t>
  </si>
  <si>
    <t>Tipo de alerta</t>
  </si>
  <si>
    <t>N.° de filas</t>
  </si>
  <si>
    <t>Incompleta: faltan campos obligatorios</t>
  </si>
  <si>
    <t>Falta el nombre de la acción propia del área</t>
  </si>
  <si>
    <t>La acción no corresponde a la meta seleccionada</t>
  </si>
  <si>
    <t>Código UNSPSC inválido: registre 8 dígitos</t>
  </si>
  <si>
    <t>UNSPSC a nivel de segmento o familia: use clase o producto</t>
  </si>
  <si>
    <t>El mes de ofertas es anterior al de inicio del proceso</t>
  </si>
  <si>
    <t>Duración inválida</t>
  </si>
  <si>
    <t>Valor inválido: registre solo números</t>
  </si>
  <si>
    <t>Valor inválido: debe ser mayor que cero</t>
  </si>
  <si>
    <t>El valor de la vigencia 2027 supera el valor total</t>
  </si>
  <si>
    <t>El valor total supera el de 2027: requiere vigencias futuras</t>
  </si>
  <si>
    <t>Indique el estado de la solicitud de vigencias futuras</t>
  </si>
  <si>
    <t>El valor supera el tope de mínima cuantía 2027</t>
  </si>
  <si>
    <t>El valor supera el tope de menor cuantía 2027</t>
  </si>
  <si>
    <t>El correo del responsable no es institucional válido</t>
  </si>
  <si>
    <t>Indique el N.° de registro 2026 que continúa</t>
  </si>
  <si>
    <t>4. Comparativo por dependencia (Decreto 902 de 2013): 2026 frente a 2027</t>
  </si>
  <si>
    <t>Dependencia</t>
  </si>
  <si>
    <t>N.° necesidades 2026</t>
  </si>
  <si>
    <t>Valor 2026 normalizado ($)</t>
  </si>
  <si>
    <t>N.° necesidades 2027</t>
  </si>
  <si>
    <t>Valor total 2027 ($)</t>
  </si>
  <si>
    <t>Valor vigencia 2027 ($)</t>
  </si>
  <si>
    <t>Filas 2027 con alerta</t>
  </si>
  <si>
    <t>123 · Facultades</t>
  </si>
  <si>
    <t>Sin dependencia identificada en 2026 [PENDIENTE DE VERIFICAR]</t>
  </si>
  <si>
    <t>Total</t>
  </si>
  <si>
    <t>5. Distribución 2027 por eje del PDI</t>
  </si>
  <si>
    <t>N.° necesidades</t>
  </si>
  <si>
    <t>1 · Formación y pedagogía de calidad</t>
  </si>
  <si>
    <t>2 · Investigación y producción técnico-científica</t>
  </si>
  <si>
    <t>3 · Extensión y proyección institucional</t>
  </si>
  <si>
    <t>4 · Transformación institucional</t>
  </si>
  <si>
    <t>5 · Ampliación y modernización de la infraestructura</t>
  </si>
  <si>
    <t>6 · Cuidado por el bienestar y la vida</t>
  </si>
  <si>
    <t>6. Distribución 2027 por modalidad de selección</t>
  </si>
  <si>
    <t>Modalidad</t>
  </si>
  <si>
    <t>Valor total ($)</t>
  </si>
  <si>
    <t>Selección abreviada – acuerdo marco de precios (Tienda Virtual del Estado Colombiano)</t>
  </si>
  <si>
    <t>7. Distribución 2027 por fuente de los recursos</t>
  </si>
  <si>
    <t>Fuente</t>
  </si>
  <si>
    <t>Presupuesto General de la Nación – funcionamiento</t>
  </si>
  <si>
    <t>Presupuesto General de la Nación – inversión</t>
  </si>
  <si>
    <t>Recursos propios (matrículas, extensión y otros ingresos)</t>
  </si>
  <si>
    <t>MEN – Plan de Fomento a la Calidad (PFC)</t>
  </si>
  <si>
    <t>MEN – Excedentes de cooperativas</t>
  </si>
  <si>
    <t>MEN – Otras asignaciones (ampliación de cobertura, votaciones, PIC)</t>
  </si>
  <si>
    <t>Convenio o cooperación (indicar en observaciones)</t>
  </si>
  <si>
    <t>Otra (indicar en observaciones)</t>
  </si>
  <si>
    <t>8. Acciones del Plan de Acción 2027 con presupuesto indicado por la OAPDI: necesidades registradas</t>
  </si>
  <si>
    <t>Acción (Plan de acción 2027)</t>
  </si>
  <si>
    <t>Área propuesta</t>
  </si>
  <si>
    <t>Presupuesto 2027 según el Plan de acción (millones $)</t>
  </si>
  <si>
    <t>N.° necesidades registradas</t>
  </si>
  <si>
    <t>Valor vigencia 2027 registrado ($)</t>
  </si>
  <si>
    <t>Estado</t>
  </si>
  <si>
    <t>A27-004 · Ejecutar la cohorte 2027-1 en La Primavera (Vichada) con 80 cupos adicionales</t>
  </si>
  <si>
    <t>Despacho de la Vicerrectoría Académica</t>
  </si>
  <si>
    <t>295,8 (Res. MEN 019862)</t>
  </si>
  <si>
    <t>A27-029 · Otorgar los apoyos para formación doctoral disciplinar</t>
  </si>
  <si>
    <t>640 (MPI)</t>
  </si>
  <si>
    <t>A27-031 · Financiar la formación de docentes de planta en maestrías disciplinares</t>
  </si>
  <si>
    <t>240 (MPI)</t>
  </si>
  <si>
    <t>A27-032 · Ofrecer cursos de formación continuada a docentes</t>
  </si>
  <si>
    <t>GIT Talento Humano</t>
  </si>
  <si>
    <t>100 (MPI)</t>
  </si>
  <si>
    <t>A27-092 · Vincular 15 docentes de tiempo completo y 10 administrativos (formalización laboral)</t>
  </si>
  <si>
    <t>3.024 (MPI, docentes)</t>
  </si>
  <si>
    <t>A27-114 · Calle 18: gestionar licencias de construcción y demolición, estudios y diseños y vigencias futuras</t>
  </si>
  <si>
    <t>Recursos Físicos e Infraestructura</t>
  </si>
  <si>
    <t>33.000 (MPI)</t>
  </si>
  <si>
    <t>A27-116 · Funza (Ecoparque): contratar estudios y diseños, licencias e infraestructura modular</t>
  </si>
  <si>
    <t>1.000 ETITC + 7.300 MEN vigencias futuras (MPI)</t>
  </si>
  <si>
    <t>A27-117 · Guaymaral: poner en marcha la sede de Bienestar (espacios deportivos)</t>
  </si>
  <si>
    <t>400 (MPI)</t>
  </si>
  <si>
    <t>A27-118 · Adecuar los nuevos inmuebles adquiridos (estudios y diseños)</t>
  </si>
  <si>
    <t>1.000 (MPI)</t>
  </si>
  <si>
    <t>A27-121 · Obtener la viabilidad presupuestal del reforzamiento estructural</t>
  </si>
  <si>
    <t>Despacho de la Vicerrectoría Administrativa y Financiera</t>
  </si>
  <si>
    <t>17.000 MEN (MPI)</t>
  </si>
  <si>
    <t>A27-123 · Contratar la consultoría del Plan Maestro Institucional</t>
  </si>
  <si>
    <t>500 (MPI)</t>
  </si>
  <si>
    <t>A27-125 · Modernizar talleres y laboratorios según el plan de inversiones</t>
  </si>
  <si>
    <t>GIT Talleres y Laboratorios</t>
  </si>
  <si>
    <t>6.500 ETITC [validar] (MPI)</t>
  </si>
  <si>
    <t>A27-127 · Reponer los equipos de cómputo de salas de sistemas</t>
  </si>
  <si>
    <t>GIT Informática y Telecomunicaciones</t>
  </si>
  <si>
    <t>13.000 ATENEA [validar] (MPI)</t>
  </si>
  <si>
    <t>A27-136 · Implementar las condiciones clave para el bienestar integral (política, programas, cobertura, evaluación)</t>
  </si>
  <si>
    <t>GIT Bienestar Universitario</t>
  </si>
  <si>
    <t>6.000 ATENEA (MPI)</t>
  </si>
  <si>
    <t>A27-139 · Cultura ambiental (2/3): diseñar y ejecutar con Comunicaciones la campaña institucional de uso racional de la energía y del agua, que explique a la comunidad e…</t>
  </si>
  <si>
    <t>Comunicaciones y Mercadeo</t>
  </si>
  <si>
    <t>Sugerido: (25)</t>
  </si>
  <si>
    <t>A27-146 · Energía (4/8): contratar la auditoría energética integral de la sede Centro como consultoría con interventoría (solo sedes propias: el Tintal, en comodato, que…</t>
  </si>
  <si>
    <t>Gestión Ambiental</t>
  </si>
  <si>
    <t>Sugerido: (220 consultoría + 30 interventoría)</t>
  </si>
  <si>
    <t>A27-148 · Energía (6/8): rehabilitar la planta solar fotovoltaica de la sede Centro (talleres de fundición) y su medición, para que la Escuela controle y registre la ene…</t>
  </si>
  <si>
    <t>Sugerido: (60)</t>
  </si>
  <si>
    <t>A27-149 · Energía (7/8): implementar medidas de bajo costo (sensores de ocupación, apagado programado, iluminación LED, submedición eléctrica por bloque) y completar la…</t>
  </si>
  <si>
    <t>Sugerido: (80)</t>
  </si>
  <si>
    <t>Insumo para el Plan Anual de Adquisiciones 2027 (estructura SECOP II)</t>
  </si>
  <si>
    <t>Se llena solo con las necesidades cuya alerta es OK, en el orden de los campos de la plantilla de cargue de SECOP II. El GIT de Contratación y Adquisiciones convierte los textos a los códigos de la hoja "Archivo de datos" de SECOP II y asigna la unidad de contratación.</t>
  </si>
  <si>
    <t>Hoja calculada y protegida. Para entregar al GIT de Contratación: copie y pegue como valores en un libro nuevo.</t>
  </si>
  <si>
    <t>CAMPOS DE LA PLANTILLA DE CARGUE DEL PLAN ANUAL DE ADQUISICIONES EN SECOP II</t>
  </si>
  <si>
    <t>TRAZABILIDAD INTERNA ETITC (no se cargan en SECOP II)</t>
  </si>
  <si>
    <t>Códigos UNSPSC (principal)</t>
  </si>
  <si>
    <t>Descripción (objeto)</t>
  </si>
  <si>
    <t>Fecha estimada de inicio del proceso de selección (mes)</t>
  </si>
  <si>
    <t>Fecha estimada de presentación de ofertas (mes)</t>
  </si>
  <si>
    <t>Duración del contrato (intervalo: días, meses, años)</t>
  </si>
  <si>
    <t>Valor estimado en la vigencia actual</t>
  </si>
  <si>
    <t>¿Se requieren vigencias futuras?</t>
  </si>
  <si>
    <t>Estado de solicitud de vigencias futuras</t>
  </si>
  <si>
    <t>Unidad de contratación (la asigna Contratación)</t>
  </si>
  <si>
    <t>Ubicación (sede o lugar de ejecución)</t>
  </si>
  <si>
    <t>Nombre del responsable</t>
  </si>
  <si>
    <t>Teléfono del responsable</t>
  </si>
  <si>
    <t>Correo electrónico del responsable</t>
  </si>
  <si>
    <t>Trazabilidad: dependencia</t>
  </si>
  <si>
    <t>Trazabilidad: área funcional</t>
  </si>
  <si>
    <t>Trazabilidad: meta PDI</t>
  </si>
  <si>
    <t>Trazabilidad: acción del Plan de Acción 2027</t>
  </si>
  <si>
    <t>Catálogos de referencia — Plan de Necesidades 2027</t>
  </si>
  <si>
    <t>Tomados de la Plantilla de Formulación 2027 (hojas Catalogos y Dependencias, versión 7) y del Plan de acción 2027 (hoja Acciones_2027). No modificar.</t>
  </si>
  <si>
    <t>Código meta</t>
  </si>
  <si>
    <t>Eje</t>
  </si>
  <si>
    <t>Eje (etiqueta)</t>
  </si>
  <si>
    <t>Línea</t>
  </si>
  <si>
    <t>Línea (etiqueta)</t>
  </si>
  <si>
    <t>Meta estratégica (PDI)</t>
  </si>
  <si>
    <t>Meta 2032</t>
  </si>
  <si>
    <t>Meta institucional 2027</t>
  </si>
  <si>
    <t>Etiqueta meta (lista)</t>
  </si>
  <si>
    <t>Id área</t>
  </si>
  <si>
    <t>Código dependencia</t>
  </si>
  <si>
    <t>Área funcional</t>
  </si>
  <si>
    <t>Proceso (GDC-DI-01 V9)</t>
  </si>
  <si>
    <t>Tipo de proceso</t>
  </si>
  <si>
    <t>Etiqueta área (lista)</t>
  </si>
  <si>
    <t>Dependencia (etiqueta)</t>
  </si>
  <si>
    <t>Meta de la acción</t>
  </si>
  <si>
    <t>Acción del Plan de Acción 2027 (lista)</t>
  </si>
  <si>
    <t>Área funcional propuesta</t>
  </si>
  <si>
    <t>Dependencia propuesta</t>
  </si>
  <si>
    <t>Presupuesto 2027 (millones $, Plan de acción)</t>
  </si>
  <si>
    <t>Meses</t>
  </si>
  <si>
    <t>Sí/No</t>
  </si>
  <si>
    <t>Estado vigencias futuras</t>
  </si>
  <si>
    <t>1.1.1.1</t>
  </si>
  <si>
    <t>1.1</t>
  </si>
  <si>
    <t>1.1 · Ampliación de cobertura</t>
  </si>
  <si>
    <t>Contar con 11.000 estudiantes vinculados a programas de educación superior al 2032.</t>
  </si>
  <si>
    <t>11.000 estudiantes</t>
  </si>
  <si>
    <t>5.400 estudiantes</t>
  </si>
  <si>
    <t>1.1.1.1 · Contar con 11.000 estudiantes vinculados a programas de educación superior al 2032.</t>
  </si>
  <si>
    <t>A01</t>
  </si>
  <si>
    <t>100</t>
  </si>
  <si>
    <t>Rectoría</t>
  </si>
  <si>
    <t>Despacho de Rectoría</t>
  </si>
  <si>
    <t>Direccionamiento Institucional</t>
  </si>
  <si>
    <t>Estratégico</t>
  </si>
  <si>
    <t>A01 · Despacho de Rectoría (100)</t>
  </si>
  <si>
    <t>A27-001 · Adoptar el crecimiento neto de primer curso como indicador de meta, junto con nuevos atendidos</t>
  </si>
  <si>
    <t>Planeación y Plan de Acción</t>
  </si>
  <si>
    <t>Enero</t>
  </si>
  <si>
    <t>Días</t>
  </si>
  <si>
    <t>Funcionamiento</t>
  </si>
  <si>
    <t>No solicitadas</t>
  </si>
  <si>
    <t>Prestación de servicios profesionales</t>
  </si>
  <si>
    <t>Alta</t>
  </si>
  <si>
    <t>1.1.1.2</t>
  </si>
  <si>
    <t>Lograr que el 30% de los estudiantes del IBTI pasen a la educación superior de la ETITC.</t>
  </si>
  <si>
    <t>30% (MPI: 250 estudiantes en 2032)</t>
  </si>
  <si>
    <t>40 estudiantes</t>
  </si>
  <si>
    <t>1.1.1.2 · Lograr que el 30% de los estudiantes del IBTI pasen a la educación superior de la ETITC.</t>
  </si>
  <si>
    <t>A02</t>
  </si>
  <si>
    <t>Gestión de Comunicaciones</t>
  </si>
  <si>
    <t>A02 · Comunicaciones y Mercadeo (100)</t>
  </si>
  <si>
    <t>A27-002 · Armonizar el calendario de admisiones con la asignación de recursos del MEN</t>
  </si>
  <si>
    <t>GIT Registro, Control y Admisiones</t>
  </si>
  <si>
    <t>Febrero</t>
  </si>
  <si>
    <t>Inversión</t>
  </si>
  <si>
    <t>Solicitadas</t>
  </si>
  <si>
    <t>Prestación de servicios de apoyo a la gestión</t>
  </si>
  <si>
    <t>Media</t>
  </si>
  <si>
    <t>101</t>
  </si>
  <si>
    <t>1.2.1.1</t>
  </si>
  <si>
    <t>1.2</t>
  </si>
  <si>
    <t>1.2 · Oferta educativa</t>
  </si>
  <si>
    <t>Ofrecer programas de educación superior: 5 pregrados nuevos, 3 especializaciones y 3 maestrías.</t>
  </si>
  <si>
    <t>5 pregrados, 3 especializaciones, 3 maestrías</t>
  </si>
  <si>
    <t>Pregrado: 3 documentos maestros, 2 programas con registro calificado y 2 ofertados desde el II semestre. Posgrado: 2 especializaciones y 2 maestrías ofertadas en el II semestre.</t>
  </si>
  <si>
    <t>1.2.1.1 · Ofrecer programas de educación superior: 5 pregrados nuevos, 3 especializaciones y 3 maestrías.</t>
  </si>
  <si>
    <t>A03</t>
  </si>
  <si>
    <t>Internacionalización (ORII)</t>
  </si>
  <si>
    <t>Gestión de Internacionalización</t>
  </si>
  <si>
    <t>A03 · Internacionalización (ORII) (100)</t>
  </si>
  <si>
    <t>A27-003 · Concentrar cupos en programas con demanda creciente y revisar la oferta de programas en descenso</t>
  </si>
  <si>
    <t>Marzo</t>
  </si>
  <si>
    <t>Años</t>
  </si>
  <si>
    <t>Aprobadas</t>
  </si>
  <si>
    <t>Adquisición de bienes (compraventa)</t>
  </si>
  <si>
    <t>Baja</t>
  </si>
  <si>
    <t>102</t>
  </si>
  <si>
    <t>1.3.1.1</t>
  </si>
  <si>
    <t>1.3</t>
  </si>
  <si>
    <t>1.3 · Calidad de los programas académicos</t>
  </si>
  <si>
    <t>Contar con la acreditación del 100% de los programas de la ETITC que sean acreditables.</t>
  </si>
  <si>
    <t>100% de los acreditables (MPI: 24 programas)</t>
  </si>
  <si>
    <t>Sugerido: (mantener el 100% de los programas acreditables acreditados —18 programas con acreditación vigente, según la MPI— y radicar a tiempo las renovaciones que vencen en 2027)</t>
  </si>
  <si>
    <t>1.3.1.1 · Contar con la acreditación del 100% de los programas de la ETITC que sean acreditables.</t>
  </si>
  <si>
    <t>A04</t>
  </si>
  <si>
    <t>Control Interno</t>
  </si>
  <si>
    <t>Gestión de Control Interno</t>
  </si>
  <si>
    <t>Evaluación</t>
  </si>
  <si>
    <t>A04 · Control Interno (102)</t>
  </si>
  <si>
    <t>Abril</t>
  </si>
  <si>
    <t>No aplica</t>
  </si>
  <si>
    <t>Suministro</t>
  </si>
  <si>
    <t>110</t>
  </si>
  <si>
    <t>1.3.1.2</t>
  </si>
  <si>
    <t>Resultados de las Pruebas SABER por encima de la valoración de la media.</t>
  </si>
  <si>
    <t>Por encima de la media nacional</t>
  </si>
  <si>
    <t>Sugerido: (promedio institucional de 254 puntos —mejora de 1 punto por año desde 252 en 2024— y por encima de la media nacional del grupo de referencia)</t>
  </si>
  <si>
    <t>1.3.1.2 · Resultados de las Pruebas SABER por encima de la valoración de la media.</t>
  </si>
  <si>
    <t>A05</t>
  </si>
  <si>
    <t>Oficina Asesora de Planeación y Desarrollo Institucional</t>
  </si>
  <si>
    <t>A27-005 · Ofertar y matricular en Zipaquirá bajo lugares de desarrollo transitorios</t>
  </si>
  <si>
    <t>Sedes Tintal / Soacha-UPK / Viotá</t>
  </si>
  <si>
    <t>Mayo</t>
  </si>
  <si>
    <t>Mantenimiento</t>
  </si>
  <si>
    <t>120</t>
  </si>
  <si>
    <t>1.4.1.1</t>
  </si>
  <si>
    <t>1.4</t>
  </si>
  <si>
    <t>1.4 · Acreditación internacional</t>
  </si>
  <si>
    <t>Contar con 2 programas de acreditación internacional.</t>
  </si>
  <si>
    <t>2 programas</t>
  </si>
  <si>
    <t>Sugerido: (2 programas —priorizando los híbridos/virtuales de IA— con resultados de aprendizaje referenciados a los 8 niveles del MEC y plan de cualificación internacional aprobado; 1 alianza con una IES o agencia extranjera para su reconocimiento)</t>
  </si>
  <si>
    <t>1.4.1.1 · Contar con 2 programas de acreditación internacional.</t>
  </si>
  <si>
    <t>A06</t>
  </si>
  <si>
    <t>Gestión de Proyectos</t>
  </si>
  <si>
    <t>A06 · Gestión de Proyectos (101)</t>
  </si>
  <si>
    <t>A27-006 · Iniciar el estudio de impacto de Egresados</t>
  </si>
  <si>
    <t>Egresados y Bolsa de Empleo</t>
  </si>
  <si>
    <t>Junio</t>
  </si>
  <si>
    <t>Obra pública</t>
  </si>
  <si>
    <t>121</t>
  </si>
  <si>
    <t>1.5.1.1</t>
  </si>
  <si>
    <t>1.5</t>
  </si>
  <si>
    <t>1.5 · Fortalecimiento del cuerpo docente</t>
  </si>
  <si>
    <t>Se mantienen 12 doctores en formación.</t>
  </si>
  <si>
    <t>12 doctores en formación (MPI: 10)</t>
  </si>
  <si>
    <t>2 docentes nuevos en formación doctoral (acumulado sugerido: 5)</t>
  </si>
  <si>
    <t>1.5.1.1 · Se mantienen 12 doctores en formación.</t>
  </si>
  <si>
    <t>A07</t>
  </si>
  <si>
    <t>Autoevaluación y Acreditación</t>
  </si>
  <si>
    <t>Gestión del Sistema Integrado de Aseguramiento</t>
  </si>
  <si>
    <t>A07 · Autoevaluación y Acreditación (101)</t>
  </si>
  <si>
    <t>PROPIA · Acción formulada por el área en la Plantilla de Formulación 2027</t>
  </si>
  <si>
    <t>Julio</t>
  </si>
  <si>
    <t>Consultoría</t>
  </si>
  <si>
    <t>122</t>
  </si>
  <si>
    <t>1.5.1.2</t>
  </si>
  <si>
    <t>80% en formación docentes de planta.</t>
  </si>
  <si>
    <t>80%</t>
  </si>
  <si>
    <t>6 docentes de planta en maestría y 40 docentes en formación continuada</t>
  </si>
  <si>
    <t>1.5.1.2 · 80% en formación docentes de planta.</t>
  </si>
  <si>
    <t>A08</t>
  </si>
  <si>
    <t>Aseguramiento de la Calidad, MIPG y Registros Calificados</t>
  </si>
  <si>
    <t>A08 · Aseguramiento de la Calidad, MIPG y Registros Calificados (101)</t>
  </si>
  <si>
    <t>A27-007 · Alinear los currículos del IBTI con los programas técnicos profesionales por ciclos propedéuticos</t>
  </si>
  <si>
    <t>Agosto</t>
  </si>
  <si>
    <t>Interventoría</t>
  </si>
  <si>
    <t>123</t>
  </si>
  <si>
    <t>2.1.1.1</t>
  </si>
  <si>
    <t>2.1</t>
  </si>
  <si>
    <t>2.1 · Capacidades de investigación e innovación</t>
  </si>
  <si>
    <t>Contar como mínimo por vigencia con un (1) grupo de investigación en clasificación A (en MinCiencias).</t>
  </si>
  <si>
    <t>1 grupo A (MPI: 8 grupos A)</t>
  </si>
  <si>
    <t>Sugerido: (1 grupo con ruta de ascenso a categoría A aprobada y con la producción de nuevo conocimiento requerida para la siguiente medición)</t>
  </si>
  <si>
    <t>2.1.1.1 · Contar como mínimo por vigencia con un (1) grupo de investigación en clasificación A (en MinCiencias).</t>
  </si>
  <si>
    <t>A09</t>
  </si>
  <si>
    <t>132</t>
  </si>
  <si>
    <t>GIT Gestión de Informática y Telecomunicaciones</t>
  </si>
  <si>
    <t>Seguridad Digital y Continuidad</t>
  </si>
  <si>
    <t>Gestión de Informática y Telecomunicaciones</t>
  </si>
  <si>
    <t>A09 · Seguridad Digital y Continuidad (132)</t>
  </si>
  <si>
    <t>A27-008 · Implementar la ruta de admisión y tránsito IBTI → educación superior</t>
  </si>
  <si>
    <t>IBTI</t>
  </si>
  <si>
    <t>Septiembre</t>
  </si>
  <si>
    <t>Licencias, software y servicios tecnológicos</t>
  </si>
  <si>
    <t>124</t>
  </si>
  <si>
    <t>2.1.1.2</t>
  </si>
  <si>
    <t>Tres (3) grupos en B.</t>
  </si>
  <si>
    <t>3 grupos B (MPI: 16)</t>
  </si>
  <si>
    <t>Sugerido: (1 grupo clasificado en B —ascenso de uno de los 2 grupos en C—)</t>
  </si>
  <si>
    <t>2.1.1.2 · Tres (3) grupos en B.</t>
  </si>
  <si>
    <t>A10</t>
  </si>
  <si>
    <t>A10 · Gestión Ambiental (101)</t>
  </si>
  <si>
    <t>A27-009 · Hacer seguimiento a la cohorte que transita y a su permanencia en el primer año</t>
  </si>
  <si>
    <t>Octubre</t>
  </si>
  <si>
    <t>Arrendamiento</t>
  </si>
  <si>
    <t>125</t>
  </si>
  <si>
    <t>2.1.1.3</t>
  </si>
  <si>
    <t>Cuatro (4) grupos en C.</t>
  </si>
  <si>
    <t>4 grupos C (MPI: 14)</t>
  </si>
  <si>
    <t>Sugerido: (4 grupos en C: mantener Virtus y GEA y clasificar 2 de los 7 grupos registrados sin categoría)</t>
  </si>
  <si>
    <t>2.1.1.3 · Cuatro (4) grupos en C.</t>
  </si>
  <si>
    <t>A11</t>
  </si>
  <si>
    <t>Secretaría General</t>
  </si>
  <si>
    <t>Despacho de Secretaría General</t>
  </si>
  <si>
    <t>A11 · Despacho de Secretaría General (110)</t>
  </si>
  <si>
    <t>Noviembre</t>
  </si>
  <si>
    <t>Otro (indicar en observaciones)</t>
  </si>
  <si>
    <t>126</t>
  </si>
  <si>
    <t>2.2.1.1</t>
  </si>
  <si>
    <t>2.2</t>
  </si>
  <si>
    <t>2.2 · Producción técnico-científica</t>
  </si>
  <si>
    <t>Lograr como mínimo por vigencia la publicación de dos (2) artículos en revistas internacionales indexadas.</t>
  </si>
  <si>
    <t>2 por vigencia (16 en el periodo, según MPI)</t>
  </si>
  <si>
    <t>2 artículos</t>
  </si>
  <si>
    <t>2.2.1.1 · Lograr como mínimo por vigencia la publicación de dos (2) artículos en revistas internacionales indexadas.</t>
  </si>
  <si>
    <t>A12</t>
  </si>
  <si>
    <t>Gestión Jurídica</t>
  </si>
  <si>
    <t>Apoyo</t>
  </si>
  <si>
    <t>A12 · Gestión Jurídica (110)</t>
  </si>
  <si>
    <t>A27-010 · Reprogramar los productos 2026 vencidos de la meta (38 al 02-09-2026)</t>
  </si>
  <si>
    <t>Diciembre</t>
  </si>
  <si>
    <t>130</t>
  </si>
  <si>
    <t>2.2.1.2</t>
  </si>
  <si>
    <t>Lograr la publicación de ocho (8) artículos en revistas nacionales indexadas.</t>
  </si>
  <si>
    <t>8 (MPI: 8 por año, 48 en total)</t>
  </si>
  <si>
    <t>8 artículos [validar si es anual]</t>
  </si>
  <si>
    <t>2.2.1.2 · Lograr la publicación de ocho (8) artículos en revistas nacionales indexadas.</t>
  </si>
  <si>
    <t>A13</t>
  </si>
  <si>
    <t>Control Disciplinario</t>
  </si>
  <si>
    <t>Gestión de Control Disciplinario</t>
  </si>
  <si>
    <t>A13 · Control Disciplinario (110)</t>
  </si>
  <si>
    <t>A27-011 · Elaborar los documentos maestros de 3 programas de pregrado</t>
  </si>
  <si>
    <t>131</t>
  </si>
  <si>
    <t>2.3.1.1</t>
  </si>
  <si>
    <t>2.3</t>
  </si>
  <si>
    <t>2.3 · Alianzas estratégicas para la investigación</t>
  </si>
  <si>
    <t>Contar con cuatro (4) patentes registradas sobre la base de los desarrollos logrados con las alianzas con el sector productivo o institucional.</t>
  </si>
  <si>
    <t>4 patentes</t>
  </si>
  <si>
    <t>Sugerido: (2 solicitudes de patente o modelo de utilidad radicadas ante la SIC —avance hacia 4 en 2032— y mantenimiento de la patente vigente)</t>
  </si>
  <si>
    <t>2.3.1.1 · Contar con cuatro (4) patentes registradas sobre la base de los desarrollos logrados con las alianzas con el sector productivo o institucional.</t>
  </si>
  <si>
    <t>A14</t>
  </si>
  <si>
    <t>Vicerrectoría Administrativa y Financiera</t>
  </si>
  <si>
    <t>Contratación y Adquisiciones</t>
  </si>
  <si>
    <t>Gestión de Adquisiciones</t>
  </si>
  <si>
    <t>A14 · Contratación y Adquisiciones (130)</t>
  </si>
  <si>
    <t>A27-012 · Diseñar 4 programas nuevos de IA: Tecnología en Análisis y Modelado de Datos con IA, TP en Ciencia de Datos Aplicada a la IA, Especialización en Gestión de Pro…</t>
  </si>
  <si>
    <t>Facultad de Inteligencia Artificial (Acuerdo 010 de 2025)</t>
  </si>
  <si>
    <t>2.4.1.1</t>
  </si>
  <si>
    <t>2.4</t>
  </si>
  <si>
    <t>2.4 · Vinculación de lo investigativo con lo académico</t>
  </si>
  <si>
    <t>Contar con un (1) centro de pensamiento y desarrollo tecnológico registrado en Colciencias (MinCiencias) y articulado con el Parque Tecnológico de Funza.</t>
  </si>
  <si>
    <t>1 centro reconocido</t>
  </si>
  <si>
    <t>Puesta en marcha del Centro de Pensamiento</t>
  </si>
  <si>
    <t>2.4.1.1 · Contar con un (1) centro de pensamiento y desarrollo tecnológico registrado en Colciencias (MinCiencias) y articulado con el Parque Tecnológico de Funza.</t>
  </si>
  <si>
    <t>A15</t>
  </si>
  <si>
    <t>Docencia PES</t>
  </si>
  <si>
    <t>Misional</t>
  </si>
  <si>
    <t>A15 · Despacho de la Vicerrectoría Académica (120)</t>
  </si>
  <si>
    <t>A27-013 · Obtener registro calificado de Ingeniería en IA, Ingeniería Robótica con IA y Especialización en Soluciones de IA</t>
  </si>
  <si>
    <t>133</t>
  </si>
  <si>
    <t>3.1.1.1</t>
  </si>
  <si>
    <t>3.1</t>
  </si>
  <si>
    <t>3.1 · Autonomía y posicionamiento de la Extensión y Proyección Institucional</t>
  </si>
  <si>
    <t>Disponer a mediano plazo de una vicerrectoría de extensión y proyección social.</t>
  </si>
  <si>
    <t>Sugerido: (extensión con autonomía administrativa y financiera operando desde el GIT de Extensión y Proyección Social, sin crear una nueva vicerrectoría)</t>
  </si>
  <si>
    <t>Sugerido: (modelo de gestión autónoma de la extensión adoptado por acto administrativo: estatuto de extensión actualizado, centro de costos propio del GIT y procedimientos de la extensión en el SGC)</t>
  </si>
  <si>
    <t>3.1.1.1 · Disponer a mediano plazo de una vicerrectoría de extensión y proyección social.</t>
  </si>
  <si>
    <t>A16</t>
  </si>
  <si>
    <t>Facultades</t>
  </si>
  <si>
    <t>Coordinación de Especializaciones</t>
  </si>
  <si>
    <t>A16 · Coordinación de Especializaciones (123)</t>
  </si>
  <si>
    <t>A27-014 · Tramitar la modificación del lugar de desarrollo de los programas de IA si se ofrecerán en Zipaquirá</t>
  </si>
  <si>
    <t>140</t>
  </si>
  <si>
    <t>3.2.1.1</t>
  </si>
  <si>
    <t>3.2</t>
  </si>
  <si>
    <t>3.2 · Fortalecimiento de la innovación para la Proyección Institucional</t>
  </si>
  <si>
    <t>Diseñar y diversificar la oferta de programas de educación continuada y Educación para el Trabajo y el Desarrollo Humano.</t>
  </si>
  <si>
    <t>Sugerido: (60 ofertas anuales, 30% en modalidad virtual o b-learning)</t>
  </si>
  <si>
    <t>Sugerido: (34 ofertas —+20% sobre 2025—, de las cuales al menos 8 en modalidad virtual o b-learning, y 2 programas ETDH reactivados)</t>
  </si>
  <si>
    <t>3.2.1.1 · Diseñar y diversificar la oferta de programas de educación continuada y Educación para el Trabajo y el Desarrollo Humano.</t>
  </si>
  <si>
    <t>A17</t>
  </si>
  <si>
    <t>Unidad B-Learning</t>
  </si>
  <si>
    <t>A17 · Unidad B-Learning (120)</t>
  </si>
  <si>
    <t>A27-015 · Ofertar 2 especializaciones y 2 maestrías en el II semestre</t>
  </si>
  <si>
    <t>141</t>
  </si>
  <si>
    <t>3.2.1.2</t>
  </si>
  <si>
    <t>Generar ingresos para la ETITC mediante la comercialización de su portafolio de servicios, fortaleciendo su sostenibilidad financiera por vigencia.</t>
  </si>
  <si>
    <t>Sugerido: (crecimiento sostenido del 7% anual)</t>
  </si>
  <si>
    <t>Sugerido: ($590 millones —7% anual sobre el recaudo 2025—)</t>
  </si>
  <si>
    <t>3.2.1.2 · Generar ingresos para la ETITC mediante la comercialización de su portafolio de servicios, fortaleciendo su sostenibilidad financiera por vigencia.</t>
  </si>
  <si>
    <t>A18</t>
  </si>
  <si>
    <t>Articulación de programas (IA)</t>
  </si>
  <si>
    <t>A18 · Articulación de programas (IA) (101)</t>
  </si>
  <si>
    <t>3.2.1.3</t>
  </si>
  <si>
    <t>Implementar mecanismos de retroalimentación continua de la oferta de programas de extensión y proyección social.</t>
  </si>
  <si>
    <t>Sugerido: (100% de las ofertas evaluadas cada periodo)</t>
  </si>
  <si>
    <t>Sugerido: (1 mecanismo institucional de retroalimentación aplicado al 100% de las ofertas de extensión 2027, con informe semestral)</t>
  </si>
  <si>
    <t>3.2.1.3 · Implementar mecanismos de retroalimentación continua de la oferta de programas de extensión y proyección social.</t>
  </si>
  <si>
    <t>A19</t>
  </si>
  <si>
    <t>Regionalización</t>
  </si>
  <si>
    <t>A19 · Regionalización (101)</t>
  </si>
  <si>
    <t>A27-016 · Construir el calendario de vencimientos de las acreditaciones de programa 2027-2029</t>
  </si>
  <si>
    <t>3.2.1.4</t>
  </si>
  <si>
    <t>Alinear la formación en una segunda lengua en la ETITC con los estándares del Marco Común Europeo de Referencia para las Lenguas.</t>
  </si>
  <si>
    <t>Sugerido: (100% de los cursos alineados y certificados por nivel MCER)</t>
  </si>
  <si>
    <t>Sugerido: (100% de los cursos con syllabus y evaluación alineados a niveles MCER A1-B2, prueba de clasificación institucional y 2 cursos virtuales)</t>
  </si>
  <si>
    <t>3.2.1.4 · Alinear la formación en una segunda lengua en la ETITC con los estándares del Marco Común Europeo de Referencia para las Lenguas.</t>
  </si>
  <si>
    <t>A20</t>
  </si>
  <si>
    <t>GIT Biblioteca y Recursos Educativos</t>
  </si>
  <si>
    <t>GIT Biblioteca y Recursos Académicos</t>
  </si>
  <si>
    <t>A20 · GIT Biblioteca y Recursos Académicos (121)</t>
  </si>
  <si>
    <t>A27-017 · Radicar las renovaciones de acreditación que vencen en 2027 y atender las visitas de pares</t>
  </si>
  <si>
    <t>3.3.1.1</t>
  </si>
  <si>
    <t>3.3</t>
  </si>
  <si>
    <t>3.3 · Interacción con el sector productivo y social</t>
  </si>
  <si>
    <t>Garantizar la participación y representación del 100% de la programación de la ETITC en eventos académicos, empresariales y de proyección social, de acuerdo con disponibilidad de recursos.</t>
  </si>
  <si>
    <t>100%</t>
  </si>
  <si>
    <t>100% de la programación 2027</t>
  </si>
  <si>
    <t>3.3.1.1 · Garantizar la participación y representación del 100% de la programación de la ETITC en eventos académicos, empresariales y de proyección social, de acuerdo con disponibilidad de recursos.</t>
  </si>
  <si>
    <t>A21</t>
  </si>
  <si>
    <t>Gestión de Bienestar Universitario</t>
  </si>
  <si>
    <t>A21 · GIT Bienestar Universitario (122)</t>
  </si>
  <si>
    <t>A27-018 · Hacer seguimiento a los planes de mejoramiento de los programas acreditados</t>
  </si>
  <si>
    <t>3.3.1.2</t>
  </si>
  <si>
    <t>Ejecutar el 100% del Plan Estratégico de Comunicación de la Vicerrectoría de Extensión y Proyección Social, asegurando su efectividad y alcance.</t>
  </si>
  <si>
    <t>Sugerido: (componente de comunicación de la extensión incluido en el plan institucional 2025-2032 y 100% de lo programado para 2027 ejecutado)</t>
  </si>
  <si>
    <t>3.3.1.2 · Ejecutar el 100% del Plan Estratégico de Comunicación de la Vicerrectoría de Extensión y Proyección Social, asegurando su efectividad y alcance.</t>
  </si>
  <si>
    <t>A22</t>
  </si>
  <si>
    <t>Facultad de Electromecánica</t>
  </si>
  <si>
    <t>A22 · Facultad de Electromecánica (123)</t>
  </si>
  <si>
    <t>A27-019 · Cerrar los 11 productos vencidos de acreditación de programas de 2026</t>
  </si>
  <si>
    <t>3.3.1.3</t>
  </si>
  <si>
    <t>Establecer convenios y fortalecer redes de colaboración con sectores productivos, sociales y educativos, tanto públicos como privados.</t>
  </si>
  <si>
    <t>Sugerido: (90 convenios activos)</t>
  </si>
  <si>
    <t>Sugerido: (75 convenios activos —renovación de los que vencen y 4 nuevos— y 2 redes nuevas)</t>
  </si>
  <si>
    <t>3.3.1.3 · Establecer convenios y fortalecer redes de colaboración con sectores productivos, sociales y educativos, tanto públicos como privados.</t>
  </si>
  <si>
    <t>A23</t>
  </si>
  <si>
    <t>Facultad de Mecánica</t>
  </si>
  <si>
    <t>A23 · Facultad de Mecánica (123)</t>
  </si>
  <si>
    <t>4.1.1.1</t>
  </si>
  <si>
    <t>4.1</t>
  </si>
  <si>
    <t>4.1 · Dimensión estratégica</t>
  </si>
  <si>
    <t>Cumplir al 2032 con el 90% en el Plan de Desarrollo Institucional 2025-2032 de la ETITC.</t>
  </si>
  <si>
    <t>90%</t>
  </si>
  <si>
    <t>33% de avance acumulado del PDI</t>
  </si>
  <si>
    <t>4.1.1.1 · Cumplir al 2032 con el 90% en el Plan de Desarrollo Institucional 2025-2032 de la ETITC.</t>
  </si>
  <si>
    <t>A24</t>
  </si>
  <si>
    <t>Facultad de Mecatrónica</t>
  </si>
  <si>
    <t>A24 · Facultad de Mecatrónica (123)</t>
  </si>
  <si>
    <t>A27-020 · Analizar los resultados 2025-2026 por programa y competencia</t>
  </si>
  <si>
    <t>4.1.1.2</t>
  </si>
  <si>
    <t>Alcanzar el 92% en el Índice de Desempeño Institucional del FURAG.</t>
  </si>
  <si>
    <t>92%</t>
  </si>
  <si>
    <t>Sugerido: (90% —la trayectoria lineal de 87,7% en 2024 a 92% en 2032 da 89,3% en 2027—)</t>
  </si>
  <si>
    <t>4.1.1.2 · Alcanzar el 92% en el Índice de Desempeño Institucional del FURAG.</t>
  </si>
  <si>
    <t>A25</t>
  </si>
  <si>
    <t>Facultad de Procesos Industriales</t>
  </si>
  <si>
    <t>A25 · Facultad de Procesos Industriales (123)</t>
  </si>
  <si>
    <t>A27-021 · Implementar estrategias de preparación para Saber PRO y TyT (talleres de ítems, simulacros)</t>
  </si>
  <si>
    <t>4.1.1.3</t>
  </si>
  <si>
    <t>Lograr la renovación de la acreditación institucional a 8 años.</t>
  </si>
  <si>
    <t>Renovación a 8 años</t>
  </si>
  <si>
    <t>Sugerido: (100% de las acciones del plan de mejoramiento institucional programadas para 2027 ejecutadas y sistema de seguimiento a las condiciones de calidad operando)</t>
  </si>
  <si>
    <t>4.1.1.3 · Lograr la renovación de la acreditación institucional a 8 años.</t>
  </si>
  <si>
    <t>A26</t>
  </si>
  <si>
    <t>Facultad de Sistemas</t>
  </si>
  <si>
    <t>A26 · Facultad de Sistemas (123)</t>
  </si>
  <si>
    <t>A27-022 · Evaluar el efecto de las estrategias en los resultados 2027</t>
  </si>
  <si>
    <t>4.2.1.1</t>
  </si>
  <si>
    <t>4.2</t>
  </si>
  <si>
    <t>4.2 · Arquitectura institucional</t>
  </si>
  <si>
    <t>Contar con el 100% de la estructura organizacional académica y administrativa operando.</t>
  </si>
  <si>
    <t>15 docentes de tiempo completo y 10 administrativos vinculados por formalización</t>
  </si>
  <si>
    <t>4.2.1.1 · Contar con el 100% de la estructura organizacional académica y administrativa operando.</t>
  </si>
  <si>
    <t>A27</t>
  </si>
  <si>
    <t>Instituto de Bachillerato Técnico Industrial (IBTI)</t>
  </si>
  <si>
    <t>Docencia IBTI</t>
  </si>
  <si>
    <t>A27 · IBTI (124)</t>
  </si>
  <si>
    <t>4.2.1.2</t>
  </si>
  <si>
    <t>Contar con un (1) sistema de información estratégico.</t>
  </si>
  <si>
    <t>1 sistema</t>
  </si>
  <si>
    <t>Sugerido: (SIUE en operación plena: 100% de las dependencias reportando en él y 3 módulos integrados —Hoja de Ruta y Power BI, SNIES-HECAA y repositorio de evidencias—)</t>
  </si>
  <si>
    <t>A28</t>
  </si>
  <si>
    <t>Gestión de Recursos Físicos</t>
  </si>
  <si>
    <t>A28 · GIT Talleres y Laboratorios (125)</t>
  </si>
  <si>
    <t>A27-023 · Elaborar el documento técnico de referenciación al MEC y al Marco Nacional de Cualificaciones (8 niveles) y seleccionar los 2 programas</t>
  </si>
  <si>
    <t>4.2.1.3</t>
  </si>
  <si>
    <t>Consolidar el IBTI como unidad autónoma y adscrita a la Institución con un programa de tránsito inmediato a la educación superior.</t>
  </si>
  <si>
    <t>IBTI consolidado</t>
  </si>
  <si>
    <t>Currículos del IBTI y de los programas técnicos profesionales alineados; solicitud de adscripción ante el MEN</t>
  </si>
  <si>
    <t>4.2.1.3 · Consolidar el IBTI como unidad autónoma y adscrita a la Institución con un programa de tránsito inmediato a la educación superior.</t>
  </si>
  <si>
    <t>A29</t>
  </si>
  <si>
    <t>GIT Registro y Control</t>
  </si>
  <si>
    <t>A29 · GIT Registro, Control y Admisiones (126)</t>
  </si>
  <si>
    <t>A27-024 · Reescribir los resultados de aprendizaje de los 2 programas por nivel del MEC (conocimientos, destrezas, autonomía)</t>
  </si>
  <si>
    <t>4.3.1.1</t>
  </si>
  <si>
    <t>4.3</t>
  </si>
  <si>
    <t>4.3 · Gestión de la comunidad educativa</t>
  </si>
  <si>
    <t>Contar con un (1) sistema estratégico de desarrollo de la comunidad educativa.</t>
  </si>
  <si>
    <t>Modelo de operación flexible en funcionamiento</t>
  </si>
  <si>
    <t>4.3.1.1 · Contar con un (1) sistema estratégico de desarrollo de la comunidad educativa.</t>
  </si>
  <si>
    <t>A30</t>
  </si>
  <si>
    <t>Gestión Financiera</t>
  </si>
  <si>
    <t>A30 · Despacho de la Vicerrectoría Administrativa y Financiera (130)</t>
  </si>
  <si>
    <t>A27-025 · Diseñar la oferta virtual de los programas referenciados para captar estudiantes de otras regiones</t>
  </si>
  <si>
    <t>4.4.1.1</t>
  </si>
  <si>
    <t>4.4</t>
  </si>
  <si>
    <t>4.4 · Relacionamiento dialógico</t>
  </si>
  <si>
    <t>Posicionamiento en un indicador Top of Mind de universidades tecnológicas de carácter público en el país.</t>
  </si>
  <si>
    <t>1 indicador</t>
  </si>
  <si>
    <t>Sugerido: (medición de línea base Top of Mind aplicada y plan de posicionamiento ejecutado al 100% de lo programado para 2027)</t>
  </si>
  <si>
    <t>4.4.1.1 · Posicionamiento en un indicador Top of Mind de universidades tecnológicas de carácter público en el país.</t>
  </si>
  <si>
    <t>A31</t>
  </si>
  <si>
    <t>A31 · Recursos Físicos e Infraestructura (130)</t>
  </si>
  <si>
    <t>A27-026 · Firmar una alianza con una IES o agencia extranjera para reconocimiento mutuo y movilidad virtual (COIL)</t>
  </si>
  <si>
    <t>4.4.1.2</t>
  </si>
  <si>
    <t>Cinco (5) alianzas estratégicas.</t>
  </si>
  <si>
    <t>5 alianzas</t>
  </si>
  <si>
    <t>5 proyectos o alianzas estratégicas suscritos</t>
  </si>
  <si>
    <t>4.4.1.2 · Cinco (5) alianzas estratégicas.</t>
  </si>
  <si>
    <t>A32</t>
  </si>
  <si>
    <t>GIT Gestión Documental y Atención al Ciudadano</t>
  </si>
  <si>
    <t>Gestión Documental</t>
  </si>
  <si>
    <t>A32 · Gestión Documental (131)</t>
  </si>
  <si>
    <t>4.4.1.3</t>
  </si>
  <si>
    <t>30 proyectos por cada una de las hélices: (1) sistema educativo; (2) sistema económico; (3) entorno natural; (4) el público (medios, cultura y sociedad civil) y (5) el sistema político.</t>
  </si>
  <si>
    <t>30 proyectos por hélice</t>
  </si>
  <si>
    <t>Sugerido: (inventario de proyectos por hélice y 5 proyectos por hélice —25 en total— en 2027, trayectoria hacia 30 por hélice en 2032)</t>
  </si>
  <si>
    <t>4.4.1.3 · 30 proyectos por cada una de las hélices: (1) sistema educativo; (2) sistema económico; (3) entorno natural; (4) el público (medios, cultura y sociedad civil) y (5) el sistema político.</t>
  </si>
  <si>
    <t>A33</t>
  </si>
  <si>
    <t>Atención al Ciudadano</t>
  </si>
  <si>
    <t>Gestión de Servicio al Ciudadano</t>
  </si>
  <si>
    <t>A33 · Atención al Ciudadano (131)</t>
  </si>
  <si>
    <t>A27-027 · Actualizar el plan integral de desarrollo profesoral</t>
  </si>
  <si>
    <t>4.5.1.1</t>
  </si>
  <si>
    <t>4.5</t>
  </si>
  <si>
    <t>4.5 · Cultura organizacional</t>
  </si>
  <si>
    <t>Lograr un 90% de participación de los grupos de valor en las acciones de cultura organizacional.</t>
  </si>
  <si>
    <t>Sugerido: (75% de participación de los grupos de valor —primera medición en 2027 y trayectoria hacia 90% en 2032—)</t>
  </si>
  <si>
    <t>4.5.1.1 · Lograr un 90% de participación de los grupos de valor en las acciones de cultura organizacional.</t>
  </si>
  <si>
    <t>A34</t>
  </si>
  <si>
    <t>A34 · GIT Informática y Telecomunicaciones (132)</t>
  </si>
  <si>
    <t>A27-028 · Abrir la convocatoria de formación posgradual 2027 (doctorado)</t>
  </si>
  <si>
    <t>4.5.1.2</t>
  </si>
  <si>
    <t>Consolidar un (1) modelo de gestión de la cultura que contemple un (1) instrumento de evaluación permanente.</t>
  </si>
  <si>
    <t>1 modelo + 1 instrumento</t>
  </si>
  <si>
    <t>Instrumento de evaluación diseñado y aplicado</t>
  </si>
  <si>
    <t>4.5.1.2 · Consolidar un (1) modelo de gestión de la cultura que contemple un (1) instrumento de evaluación permanente.</t>
  </si>
  <si>
    <t>A35</t>
  </si>
  <si>
    <t>GIT Gestión de Talento Humano</t>
  </si>
  <si>
    <t>Gestión de Talento Humano</t>
  </si>
  <si>
    <t>A35 · GIT Talento Humano (133)</t>
  </si>
  <si>
    <t>5.1.1.1</t>
  </si>
  <si>
    <t>5.1</t>
  </si>
  <si>
    <t>5.1 · Sedes propias</t>
  </si>
  <si>
    <t>Contar con 4 sedes: 1. Calle 18, 2. Funza, 3. Guaymaral, 4. Central, con infraestructura y dotación para la prestación de servicios educativos.</t>
  </si>
  <si>
    <t>4 sedes</t>
  </si>
  <si>
    <t>Calle 18: fase III (licencias, estudios y diseños, vigencias futuras MEN). Funza: puesta en marcha fase I. Guaymaral: puesta en marcha de la sede de Bienestar.</t>
  </si>
  <si>
    <t>5.1.1.1 · Contar con 4 sedes: 1. Calle 18, 2. Funza, 3. Guaymaral, 4. Central, con infraestructura y dotación para la prestación de servicios educativos.</t>
  </si>
  <si>
    <t>A36</t>
  </si>
  <si>
    <t>Seguridad y Salud en el Trabajo</t>
  </si>
  <si>
    <t>A36 · Seguridad y Salud en el Trabajo (133)</t>
  </si>
  <si>
    <t>5.2.1.1</t>
  </si>
  <si>
    <t>5.2</t>
  </si>
  <si>
    <t>5.2 · Modernización de la infraestructura</t>
  </si>
  <si>
    <t>3 bloques reforzados estructuralmente en la sede centro.</t>
  </si>
  <si>
    <t>3 bloques</t>
  </si>
  <si>
    <t>Viabilidad presupuestal y permisos para los bloques pendientes</t>
  </si>
  <si>
    <t>5.2.1.1 · 3 bloques reforzados estructuralmente en la sede centro.</t>
  </si>
  <si>
    <t>A37</t>
  </si>
  <si>
    <t>Bienestar Laboral</t>
  </si>
  <si>
    <t>A37 · Bienestar Laboral (133)</t>
  </si>
  <si>
    <t>A27-030 · Identificar las necesidades de formación por facultad</t>
  </si>
  <si>
    <t>5.2.1.2</t>
  </si>
  <si>
    <t>100% de los talleres y laboratorios actualizados de acuerdo con el plan maestro, modernizados y viabilizados con buenas prácticas ambientales.</t>
  </si>
  <si>
    <t>Plan Maestro Institucional (PMI) formulado y en marcha</t>
  </si>
  <si>
    <t>5.2.1.2 · 100% de los talleres y laboratorios actualizados de acuerdo con el plan maestro, modernizados y viabilizados con buenas prácticas ambientales.</t>
  </si>
  <si>
    <t>A38</t>
  </si>
  <si>
    <t>Despacho de la VIET</t>
  </si>
  <si>
    <t>Investigación</t>
  </si>
  <si>
    <t>A38 · Despacho de la VIET (140)</t>
  </si>
  <si>
    <t>5.2.1.3</t>
  </si>
  <si>
    <t>Reposición del 100% de computadores de apoyo a la academia con antigüedad mayor a 3 años.</t>
  </si>
  <si>
    <t>Sugerido: (240 computadores de salas de sistemas repuestos —100% de las salas priorizadas— e inventario de antigüedad del parque tecnológico)</t>
  </si>
  <si>
    <t>5.2.1.3 · Reposición del 100% de computadores de apoyo a la academia con antigüedad mayor a 3 años.</t>
  </si>
  <si>
    <t>A39</t>
  </si>
  <si>
    <t>Investigación (grupos, semilleros, revista, centro de pensamiento)</t>
  </si>
  <si>
    <t>A39 · Investigación (grupos, semilleros, revista, centro de pensamiento) (140)</t>
  </si>
  <si>
    <t>5.3.1.1</t>
  </si>
  <si>
    <t>5.3</t>
  </si>
  <si>
    <t>5.3 · Infraestructura de terceros</t>
  </si>
  <si>
    <t>Hacer presencia con oferta académica en 4 sedes de terceros y multicampus: 1. Zipaquirá, 2. Multicampus de Suba, 3. Soacha, 4. Multicampus Tintal.</t>
  </si>
  <si>
    <t>4 sedes de terceros</t>
  </si>
  <si>
    <t>Convenio ETITC-MinTIC suscrito; oferta en Zipaquirá; oferta 2027-1 en La Primavera, Villeta y 3 municipios de Casanare</t>
  </si>
  <si>
    <t>5.3.1.1 · Hacer presencia con oferta académica en 4 sedes de terceros y multicampus: 1. Zipaquirá, 2. Multicampus de Suba, 3. Soacha, 4. Multicampus Tintal.</t>
  </si>
  <si>
    <t>A40</t>
  </si>
  <si>
    <t>Innovación y Laboratorio Inteligente</t>
  </si>
  <si>
    <t>A40 · Innovación y Laboratorio Inteligente (140)</t>
  </si>
  <si>
    <t>5.4.1.1</t>
  </si>
  <si>
    <t>5.4</t>
  </si>
  <si>
    <t>5.4 · Infraestructura para programas presenciales y semipresenciales</t>
  </si>
  <si>
    <t>Contar con el 100% de la infraestructura de talleres y laboratorios a través de convenios con instituciones y sector productivo (programas no presenciales).</t>
  </si>
  <si>
    <t>Sugerido: (100% de los programas a distancia o híbridos ofertados en 2027 con convenio de uso de talleres y laboratorios —mínimo 3 convenios—)</t>
  </si>
  <si>
    <t>5.4.1.1 · Contar con el 100% de la infraestructura de talleres y laboratorios a través de convenios con instituciones y sector productivo (programas no presenciales).</t>
  </si>
  <si>
    <t>A41</t>
  </si>
  <si>
    <t>GIT Extensión y Proyección Social</t>
  </si>
  <si>
    <t>GIT Extensión y Proyección Social (incluye ETDH)</t>
  </si>
  <si>
    <t>A41 · GIT Extensión y Proyección Social (incluye ETDH) (141)</t>
  </si>
  <si>
    <t>A27-033 · Diagnosticar la producción de cada grupo frente al modelo de medición de MinCiencias</t>
  </si>
  <si>
    <t>6.1.1.1</t>
  </si>
  <si>
    <t>6.1</t>
  </si>
  <si>
    <t>6.1 · Condiciones para el Bienestar</t>
  </si>
  <si>
    <t>El 100% de las áreas de la Institución comprometidas con el Bienestar Universitario integral.</t>
  </si>
  <si>
    <t>Sugerido: (85% de las áreas con condiciones de bienestar consolidadas y 100% de las áreas con enlace ambiental designado y campaña de uso racional de energía y agua aplicada)</t>
  </si>
  <si>
    <t>6.1.1.1 · El 100% de las áreas de la Institución comprometidas con el Bienestar Universitario integral.</t>
  </si>
  <si>
    <t>A42</t>
  </si>
  <si>
    <t>Centro de Lenguas (CEL)</t>
  </si>
  <si>
    <t>A42 · Centro de Lenguas (CEL) (141)</t>
  </si>
  <si>
    <t>A27-034 · Definir la ruta de ascenso del grupo con mayor producción (metas de nuevo conocimiento y formación)</t>
  </si>
  <si>
    <t>6.1.1.2</t>
  </si>
  <si>
    <t>Consolidar las condiciones en infraestructura, dotación, recurso humano y estrategias para el bienestar integral de toda la comunidad en la Institución.</t>
  </si>
  <si>
    <t>Sugerido: (100% de las sedes con espacios y equipo de bienestar; 15% de ahorro de energía frente a la línea base, exigido por el plan nacional de uso eficiente de la energía)</t>
  </si>
  <si>
    <t>Sugerido: (4 proyectos PFB ejecutados al 100% y sede de Bienestar en Guaymaral operando) ·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</si>
  <si>
    <t>6.1.1.2 · Consolidar las condiciones en infraestructura, dotación, recurso humano y estrategias para el bienestar integral de toda la comunidad en la Institución.</t>
  </si>
  <si>
    <t>A43</t>
  </si>
  <si>
    <t>A43 · Egresados y Bolsa de Empleo (141)</t>
  </si>
  <si>
    <t>A27-035 · Iniciar el estudio de impacto de Investigación</t>
  </si>
  <si>
    <t>6.2.1.1</t>
  </si>
  <si>
    <t>6.2</t>
  </si>
  <si>
    <t>6.2 · Modelo de aseguramiento del Bienestar</t>
  </si>
  <si>
    <t>Lograr el cumplimiento del 100% del Plan Institucional de Bienestar Integral 2026-2032.</t>
  </si>
  <si>
    <t>Sugerido: (80% de cumplimiento del modelo de aseguramiento y cancelaciones por debajo de 2,5% del pregrado)</t>
  </si>
  <si>
    <t>6.2.1.1 · Lograr el cumplimiento del 100% del Plan Institucional de Bienestar Integral 2026-2032.</t>
  </si>
  <si>
    <t>A44</t>
  </si>
  <si>
    <t>Sedes y Campus</t>
  </si>
  <si>
    <t>A44 · Sedes y Campus (100)</t>
  </si>
  <si>
    <t>6.3.1.1</t>
  </si>
  <si>
    <t>6.3</t>
  </si>
  <si>
    <t>6.3 · Consolidación de la cultura de Bienestar</t>
  </si>
  <si>
    <t>Estar en el ranking de las cinco universidades colombianas reconocidas por Times Higher Education y QS World University.</t>
  </si>
  <si>
    <t>Top 5 nacional</t>
  </si>
  <si>
    <t>Sugerido: (ETITC registrada en los sistemas de datos de THE y QS con el primer reporte institucional enviado)</t>
  </si>
  <si>
    <t>6.3.1.1 · Estar en el ranking de las cinco universidades colombianas reconocidas por Times Higher Education y QS World University.</t>
  </si>
  <si>
    <t>A45</t>
  </si>
  <si>
    <t>A45 · Sedes Tintal / Soacha-UPK / Viotá (120)</t>
  </si>
  <si>
    <t>A27-036 · Asesorar a los grupos en C (Virtus y GEA) en productos de nuevo conocimiento y apropiación</t>
  </si>
  <si>
    <t>A46</t>
  </si>
  <si>
    <t>A46 · Facultad de Inteligencia Artificial (Acuerdo 010 de 2025) (123)</t>
  </si>
  <si>
    <t>A27-037 · Postular los grupos en la convocatoria de medición vigente</t>
  </si>
  <si>
    <t>A47</t>
  </si>
  <si>
    <t>Gestión Financiera (Presupuesto, Contabilidad, Tesorería)</t>
  </si>
  <si>
    <t>A47 · Gestión Financiera (Presupuesto, Contabilidad, Tesorería) (130)</t>
  </si>
  <si>
    <t>A27-038 · Actualizar GrupLAC y CvLAC de los 7 grupos sin categoría</t>
  </si>
  <si>
    <t>A27-039 · Acompañar a los 2 grupos con más producción para su clasificación en C</t>
  </si>
  <si>
    <t>A27-040 · Abrir la convocatoria de estímulos a la publicación 2027</t>
  </si>
  <si>
    <t>A27-041 · Acompañar la traducción y el sometimiento a revistas internacionales indexadas</t>
  </si>
  <si>
    <t>A27-042 · Fortalecer la Revista Letras ETITC y Cuadernos ETITC (pares, convocatorias)</t>
  </si>
  <si>
    <t>A27-043 · Vincular trabajos de grado y semilleros a artículos con docentes</t>
  </si>
  <si>
    <t>A27-044 · Identificar desarrollos patentables aplicando el reglamento de propiedad intelectual</t>
  </si>
  <si>
    <t>A27-045 · Formalizar alianzas de codesarrollo con IES, empresas, centros y entidades públicas</t>
  </si>
  <si>
    <t>A27-046 · Radicar las solicitudes de patente o modelo de utilidad ante la SIC</t>
  </si>
  <si>
    <t>A27-047 · Pagar la anualidad de la patente vigente y atender los requerimientos de la SIC</t>
  </si>
  <si>
    <t>A27-048 · Completar las etapas del proceso de reconocimiento ante MinCiencias</t>
  </si>
  <si>
    <t>A27-049 · Poner en marcha el Centro de Pensamiento articulado con el Ecoparque de Funza</t>
  </si>
  <si>
    <t>A27-050 · Reprogramar los productos de Semilleros</t>
  </si>
  <si>
    <t>A27-051 · Actualizar el estatuto o reglamento de extensión con las reglas de autonomía del GIT (contratación de servicios, precios, excedentes)</t>
  </si>
  <si>
    <t>A27-052 · Crear el centro de costos propio de la extensión con Gestión Financiera</t>
  </si>
  <si>
    <t>A27-053 · Documentar y codificar en el SGC los procedimientos de la extensión</t>
  </si>
  <si>
    <t>A27-054 · Presentar al Consejo Directivo la propuesta de ajuste del enunciado de la meta 3.1.1.1 en la revisión del PDI</t>
  </si>
  <si>
    <t>A27-055 · Analizar necesidades y mercado (egresados, empresas, regiones) y actualizar el portafolio</t>
  </si>
  <si>
    <t>A27-056 · Virtualizar 8 ofertas con la Unidad B-Learning (certificaciones, diplomados, cursos de lenguas)</t>
  </si>
  <si>
    <t>A27-057 · Reactivar 2 programas ETDH con reglamento de formadores</t>
  </si>
  <si>
    <t>A27-058 · Ejecutar y evaluar la oferta 2027</t>
  </si>
  <si>
    <t>A27-059 · Definir precios y metas de venta por servicio</t>
  </si>
  <si>
    <t>A27-060 · Ofertar certificaciones, diplomados, consultorías y cursos a la medida para empresas</t>
  </si>
  <si>
    <t>A27-061 · Hacer seguimiento trimestral al recaudo con Gestión Financiera</t>
  </si>
  <si>
    <t>A27-062 · Diseñar el instrumento único de retroalimentación (satisfacción, pertinencia, aplicación en el trabajo)</t>
  </si>
  <si>
    <t>A27-063 · Aplicarlo al cierre de cada oferta y consolidar resultados</t>
  </si>
  <si>
    <t>A27-064 · Ajustar el portafolio con base en los resultados</t>
  </si>
  <si>
    <t>A27-065 · Diagnosticar los cursos frente a los descriptores del MCER</t>
  </si>
  <si>
    <t>A27-066 · Ajustar syllabus, evaluación y prueba de clasificación</t>
  </si>
  <si>
    <t>A27-067 · Ofrecer 2 cursos virtuales de segunda lengua</t>
  </si>
  <si>
    <t>A27-068 · Construir la agenda anual de eventos 2027 con criterios de pertinencia</t>
  </si>
  <si>
    <t>A27-069 · Participar en los eventos programados y promocionar la oferta institucional</t>
  </si>
  <si>
    <t>A27-070 · Incluir el componente de comunicación de la extensión en el Plan Estratégico de Comunicaciones 2025-2032</t>
  </si>
  <si>
    <t>A27-071 · Ejecutar las piezas y campañas de la oferta de extensión</t>
  </si>
  <si>
    <t>A27-072 · Medir alcance y conversión (inscritos por campaña)</t>
  </si>
  <si>
    <t>A27-073 · Revisar el vencimiento y el uso de los 71 convenios activos</t>
  </si>
  <si>
    <t>A27-074 · Renovar los convenios útiles que vencen y gestionar 4 nuevos</t>
  </si>
  <si>
    <t>A27-075 · Afiliarse a 2 redes nuevas (por ejemplo, RIUC y renovación RCI ASCUN)</t>
  </si>
  <si>
    <t>A27-076 · Adoptar el protocolo de mesas de trabajo en el SGC</t>
  </si>
  <si>
    <t>A27-077 · Extender la revisión de pertinencia a todos los productos ejecutados</t>
  </si>
  <si>
    <t>A27-078 · Hacer seguimiento trimestral del PAA 2027 en el Navegador Estratégico</t>
  </si>
  <si>
    <t>A27-079 · Adelantar los trámites de transformación a universidad (Ley 30 de 1992, Ley 749 de 2002)</t>
  </si>
  <si>
    <t>A27-080 · Formular el plan de mejora por política MIPG con base en el último FURAG</t>
  </si>
  <si>
    <t>A27-081 · Fijar calendario de cierre con corte único y constituir el rezago a tiempo</t>
  </si>
  <si>
    <t>A27-082 · Ejecutar el Plan de Mejoramiento con la CGR (7 hallazgos, 24 metas)</t>
  </si>
  <si>
    <t>A27-083 · Formular indicadores financieros y contables (razón corriente, margen, rotación de cartera)</t>
  </si>
  <si>
    <t>A27-084 · Documentar y codificar los procedimientos de gratuidad</t>
  </si>
  <si>
    <t>A27-085 · Incluir capacitación contable en el Plan Institucional de Capacitación</t>
  </si>
  <si>
    <t>A27-086 · Formular el plan de mejoramiento institucional derivado de las recomendaciones del CNA</t>
  </si>
  <si>
    <t>A27-087 · Ejecutar y hacer seguimiento semestral al plan de mejoramiento</t>
  </si>
  <si>
    <t>A27-088 · Divulgar la acreditación institucional (estrategia de divulgación)</t>
  </si>
  <si>
    <t>A27-089 · Cerrar los productos vencidos de Autoevaluación (32 al 02-09-2026)</t>
  </si>
  <si>
    <t>A27-090 · Elaborar el estudio técnico de rediseño institucional para el cambio de carácter</t>
  </si>
  <si>
    <t>A27-091 · Resolver la figura del Jefe de Control Interno</t>
  </si>
  <si>
    <t>A27-094 · Integrar la Hoja de Ruta Power Apps con el SIUE</t>
  </si>
  <si>
    <t>A27-095 · Completar el reporte SNIES en plantilla HECAA con certificación de veracidad</t>
  </si>
  <si>
    <t>A27-096 · Habilitar un repositorio de soportes de solo lectura para entes externos</t>
  </si>
  <si>
    <t>A27-097 · Verificar la consistencia de cifras entre MEN, SNIES, CGN y Congreso desde el SIUE</t>
  </si>
  <si>
    <t>A27-098 · Alinear los currículos del IBTI y de los programas técnicos profesionales</t>
  </si>
  <si>
    <t>A27-099 · Definir la propuesta de integración de estructuras</t>
  </si>
  <si>
    <t>A27-100 · Gestionar la aprobación de la adscripción ante el MEN</t>
  </si>
  <si>
    <t>A27-101 · Validar el modelo de operación flexible con la comunidad educativa</t>
  </si>
  <si>
    <t>A27-102 · Poner en operación el modelo y medir su adopción</t>
  </si>
  <si>
    <t>A27-103 · Aplicar la medición de línea base de Top of Mind</t>
  </si>
  <si>
    <t>A27-104 · Desarrollar campañas de branding con alcance nacional y regional</t>
  </si>
  <si>
    <t>A27-105 · Definir los criterios de 'alianza estratégica' y clasificar los convenios vigentes</t>
  </si>
  <si>
    <t>A27-106 · Suscribir como mínimo 5 proyectos con el sector empresarial, académico, ambiental y gubernamental</t>
  </si>
  <si>
    <t>A27-107 · Iniciar el estudio de impacto de Internacionalización y cooperación</t>
  </si>
  <si>
    <t>A27-108 · Inventariar los proyectos vigentes y clasificarlos por hélice</t>
  </si>
  <si>
    <t>A27-109 · Formular y ejecutar 5 proyectos por hélice</t>
  </si>
  <si>
    <t>A27-110 · Definir la población por grupo de valor y el método de medición de participación</t>
  </si>
  <si>
    <t>A27-111 · Ejecutar el plan de bienestar e incentivos con participación de todos los servidores</t>
  </si>
  <si>
    <t>A27-112 · Diseñar el instrumento de evaluación de la cultura organizacional</t>
  </si>
  <si>
    <t>A27-113 · Aplicarlo y presentar resultados al CIGD</t>
  </si>
  <si>
    <t>A27-115 · Funza: adelantar trámites de notariado, registro e impuestos de los predios</t>
  </si>
  <si>
    <t>A27-119 · Incluir criterios de eficiencia energética y construcción sostenible en los estudios y diseños de las nuevas sedes (incluida Fusagasugá), para no generar sobre…</t>
  </si>
  <si>
    <t>A27-120 · Gestionar permisos y licencias ante el Ministerio de Cultura y la curaduría</t>
  </si>
  <si>
    <t>A27-122 · Integrar al reforzamiento de los bloques F, G y H las medidas de la matriz de oportunidades de eficiencia energética (avance parcial PGEE 2026)</t>
  </si>
  <si>
    <t>A27-124 · Priorizar talleres y laboratorios según el PMI y la nueva oferta</t>
  </si>
  <si>
    <t>A27-126 · Levantar el inventario de antigüedad de los equipos académicos</t>
  </si>
  <si>
    <t>A27-128 · Decidir en el CIGD la formulación de las líneas 3.1, 5.3 y 6.1</t>
  </si>
  <si>
    <t>A27-129 · Suscribir el convenio interadministrativo ETITC-MinTIC para el Centro de IA Zipazgo</t>
  </si>
  <si>
    <t>A27-130 · Legalizar el convenio y designar la supervisión</t>
  </si>
  <si>
    <t>A27-131 · Cumplir los compromisos del Convenio Marco con Zipaquirá (coordinador, plan anual, comité)</t>
  </si>
  <si>
    <t>A27-132 · Poner en marcha la oferta 2027-1 en La Primavera, Villeta y municipios de Casanare</t>
  </si>
  <si>
    <t>A27-133 · Identificar la infraestructura práctica que requieren los programas no presenciales</t>
  </si>
  <si>
    <t>A27-134 · Suscribir convenios de uso de talleres y laboratorios</t>
  </si>
  <si>
    <t>A27-135 · Cerrar el ciclo PFB 2025 (pruebas psicológicas, transporte, soportes)</t>
  </si>
  <si>
    <t>A27-137 · Operar el tablero mensual de seguimiento del PFB</t>
  </si>
  <si>
    <t>A27-138 · Cultura ambiental (1/3): revisar la política ambiental y reactivar los comités previstos en ella</t>
  </si>
  <si>
    <t>A27-140 · Cultura ambiental (3/3): designar un enlace ambiental por área y hacer jornadas semestrales de cuidado de espacios (luces, agua, equipos y mobiliario) con doce…</t>
  </si>
  <si>
    <t>A27-141 · Formular el PFB 2027 con base en el cierre del PFB 2025</t>
  </si>
  <si>
    <t>A27-142 · Dotar los espacios de bienestar (incluida la sede de Guaymaral)</t>
  </si>
  <si>
    <t>A27-143 · Energía (1/8): recibir y cerrar el avance parcial 2026 del PGEE en los bloques F, G y H (base de información energética, línea base e indicadores, matriz de op…</t>
  </si>
  <si>
    <t>A27-144 · Energía (2/8): ratificar o redesignar al Gestor Energético Institucional para 2027 y definir su dedicación, para que no sea una sobrecarga</t>
  </si>
  <si>
    <t>A27-145 · Energía (3/8): validar la línea base de consumo con la carga previa a la obra, en kWh y no en costo (Res. UPME 000016 de 2024)</t>
  </si>
  <si>
    <t>A27-147 · Energía (5/8): formular y adoptar en el CIGD el PGEE y la Política de Gestión Energética, con objetivos de ahorro hacia el 15%</t>
  </si>
  <si>
    <t>A27-150 · Energía (8/8): reportar los resultados anuales a la UPME en el Sistema Único de Usuarios (Circular UPME 000089 de 2025)</t>
  </si>
  <si>
    <t>A27-151 · Operar el Sistema de Gestión Ambiental: residuos peligrosos, vertimientos y saneamiento</t>
  </si>
  <si>
    <t>A27-152 · Fijar las metas anuales 2027 del Plan Institucional de Bienestar Integral y su tablero de seguimiento</t>
  </si>
  <si>
    <t>A27-153 · Implementar el programa de permanencia basado en las causas de cancelación</t>
  </si>
  <si>
    <t>A27-154 · Ejecutar el SG-SST y el plan de emergencias en todas las sedes (ambientes seguros)</t>
  </si>
  <si>
    <t>A27-155 · Iniciar el estudio de impacto de servicios de bienestar y políticas académicas</t>
  </si>
  <si>
    <t>A27-156 · Revisar los requisitos de elegibilidad de THE y QS</t>
  </si>
  <si>
    <t>A27-157 · Construir la matriz de indicadores que piden THE y QS (docencia, investigación, internacionalización) y su brecha</t>
  </si>
  <si>
    <t>A27-158 · Preparar y reportar la información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</si>
</sst>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yyyy"/>
  </numFmts>
  <fonts count="11" x14ac:knownFonts="1">
    <font>
      <sz val="11"/>
      <color theme="1"/>
      <name val="Calibri"/>
      <family val="2"/>
      <charset val="1"/>
    </font>
    <font>
      <b/>
      <sz val="14"/>
      <color rgb="FF1E5631"/>
      <name val="Arial"/>
      <family val="2"/>
    </font>
    <font>
      <sz val="10"/>
      <color rgb="FF595959"/>
      <name val="Arial"/>
      <family val="2"/>
    </font>
    <font>
      <b/>
      <sz val="11"/>
      <color rgb="FF1E5631"/>
      <name val="Arial"/>
      <family val="2"/>
    </font>
    <font>
      <sz val="10"/>
      <color rgb="FF000000"/>
      <name val="Arial"/>
      <family val="2"/>
    </font>
    <font>
      <b/>
      <sz val="10"/>
      <color rgb="FFFFFFFF"/>
      <name val="Arial"/>
      <family val="2"/>
    </font>
    <font>
      <sz val="9"/>
      <color rgb="FF000000"/>
      <name val="Arial"/>
      <family val="2"/>
    </font>
    <font>
      <b/>
      <sz val="9"/>
      <color rgb="FF000000"/>
      <name val="Arial"/>
      <family val="2"/>
    </font>
    <font>
      <sz val="9"/>
      <color rgb="FF595959"/>
      <name val="Arial"/>
      <family val="2"/>
    </font>
    <font>
      <i/>
      <sz val="9"/>
      <color rgb="FF000000"/>
      <name val="Arial"/>
      <family val="2"/>
    </font>
    <font>
      <b/>
      <sz val="10"/>
      <color rgb="FF000000"/>
      <name val="Arial"/>
      <family val="2"/>
    </font>
  </fonts>
  <fills count="9">
    <fill>
      <patternFill patternType="none"/>
    </fill>
    <fill>
      <patternFill patternType="gray125"/>
    </fill>
    <fill>
      <patternFill patternType="solid">
        <fgColor rgb="FF1E5631"/>
        <bgColor rgb="FF006100"/>
      </patternFill>
    </fill>
    <fill>
      <patternFill patternType="solid">
        <fgColor rgb="FFEDEDED"/>
        <bgColor rgb="FFE2EFDA"/>
      </patternFill>
    </fill>
    <fill>
      <patternFill patternType="solid">
        <fgColor rgb="FFFFC7CE"/>
        <bgColor rgb="FFEDEDED"/>
      </patternFill>
    </fill>
    <fill>
      <patternFill patternType="solid">
        <fgColor rgb="FF595959"/>
        <bgColor rgb="FF1E5631"/>
      </patternFill>
    </fill>
    <fill>
      <patternFill patternType="solid">
        <fgColor rgb="FFFFD966"/>
        <bgColor rgb="FFFFCC00"/>
      </patternFill>
    </fill>
    <fill>
      <patternFill patternType="solid">
        <fgColor rgb="FFFFF2CC"/>
        <bgColor rgb="FFEDEDED"/>
      </patternFill>
    </fill>
    <fill>
      <patternFill patternType="solid">
        <fgColor rgb="FFE2EFDA"/>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5" fillId="2" borderId="0" xfId="0" applyFont="1" applyFill="1" applyAlignment="1">
      <alignment horizontal="center" vertical="center" wrapText="1"/>
    </xf>
    <xf numFmtId="0" fontId="10" fillId="6" borderId="0" xfId="0" applyFont="1" applyFill="1" applyAlignment="1">
      <alignment horizontal="center" vertical="center" wrapText="1"/>
    </xf>
    <xf numFmtId="0" fontId="5" fillId="5" borderId="0" xfId="0" applyFont="1" applyFill="1" applyAlignment="1">
      <alignment horizontal="center" vertical="center" wrapText="1"/>
    </xf>
    <xf numFmtId="0" fontId="6" fillId="0" borderId="1" xfId="0" applyFont="1" applyBorder="1"/>
    <xf numFmtId="0" fontId="5" fillId="2" borderId="1" xfId="0" applyFont="1" applyFill="1" applyBorder="1" applyAlignment="1">
      <alignment horizontal="center" vertical="center" wrapText="1"/>
    </xf>
    <xf numFmtId="0" fontId="8" fillId="0" borderId="0" xfId="0" applyFont="1" applyAlignment="1">
      <alignment vertical="top" wrapText="1"/>
    </xf>
    <xf numFmtId="0" fontId="6" fillId="0" borderId="1" xfId="0" applyFont="1" applyBorder="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1" fillId="0" borderId="0" xfId="0" applyFont="1"/>
    <xf numFmtId="0" fontId="2" fillId="0" borderId="0" xfId="0" applyFont="1" applyAlignment="1">
      <alignment vertical="top"/>
    </xf>
    <xf numFmtId="0" fontId="5" fillId="2" borderId="1" xfId="0" applyFont="1" applyFill="1" applyBorder="1" applyAlignment="1">
      <alignment horizontal="center" vertical="center" wrapText="1"/>
    </xf>
    <xf numFmtId="0" fontId="6" fillId="3" borderId="1" xfId="0" applyFont="1" applyFill="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7" fillId="3" borderId="1" xfId="0" applyFont="1" applyFill="1" applyBorder="1" applyAlignment="1">
      <alignment vertical="top" wrapText="1"/>
    </xf>
    <xf numFmtId="0" fontId="7" fillId="0" borderId="1" xfId="0" applyFont="1" applyBorder="1"/>
    <xf numFmtId="0" fontId="6" fillId="0" borderId="1" xfId="0" applyFont="1" applyBorder="1"/>
    <xf numFmtId="0" fontId="0" fillId="0" borderId="1" xfId="0" applyBorder="1"/>
    <xf numFmtId="1" fontId="6" fillId="0" borderId="1" xfId="0" applyNumberFormat="1" applyFont="1" applyBorder="1" applyAlignment="1">
      <alignment vertical="top" wrapText="1"/>
    </xf>
    <xf numFmtId="0" fontId="6" fillId="4" borderId="1" xfId="0" applyFont="1" applyFill="1" applyBorder="1" applyAlignment="1">
      <alignment vertical="top" wrapText="1"/>
    </xf>
    <xf numFmtId="0" fontId="9" fillId="0" borderId="0" xfId="0" applyFont="1"/>
    <xf numFmtId="0" fontId="5" fillId="2" borderId="0" xfId="0" applyFont="1" applyFill="1" applyAlignment="1">
      <alignment horizontal="center" vertical="center" wrapText="1"/>
    </xf>
    <xf numFmtId="0" fontId="5"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6" fillId="7" borderId="1" xfId="0" applyFont="1" applyFill="1" applyBorder="1" applyAlignment="1" applyProtection="1">
      <alignment vertical="top" wrapText="1"/>
      <protection locked="0"/>
    </xf>
    <xf numFmtId="1" fontId="6" fillId="7" borderId="1" xfId="0" applyNumberFormat="1" applyFont="1" applyFill="1" applyBorder="1" applyAlignment="1" applyProtection="1">
      <alignment vertical="top" wrapText="1"/>
      <protection locked="0"/>
    </xf>
    <xf numFmtId="164" fontId="6" fillId="7" borderId="1" xfId="0" applyNumberFormat="1" applyFont="1" applyFill="1" applyBorder="1" applyAlignment="1" applyProtection="1">
      <alignment vertical="top" wrapText="1"/>
      <protection locked="0"/>
    </xf>
    <xf numFmtId="3" fontId="6" fillId="0" borderId="1" xfId="0" applyNumberFormat="1" applyFont="1" applyBorder="1" applyAlignment="1">
      <alignment vertical="top" wrapText="1"/>
    </xf>
    <xf numFmtId="0" fontId="6" fillId="8" borderId="1" xfId="0" applyFont="1" applyFill="1" applyBorder="1" applyAlignment="1">
      <alignment vertical="top" wrapText="1"/>
    </xf>
    <xf numFmtId="164" fontId="6" fillId="8" borderId="1" xfId="0" applyNumberFormat="1" applyFont="1" applyFill="1" applyBorder="1" applyAlignment="1">
      <alignment vertical="top" wrapText="1"/>
    </xf>
    <xf numFmtId="0" fontId="3" fillId="0" borderId="0" xfId="0" applyFont="1"/>
    <xf numFmtId="0" fontId="4" fillId="0" borderId="1" xfId="0" applyFont="1" applyBorder="1" applyAlignment="1">
      <alignment vertical="top" wrapText="1"/>
    </xf>
    <xf numFmtId="164" fontId="10" fillId="7" borderId="1" xfId="0" applyNumberFormat="1" applyFont="1" applyFill="1" applyBorder="1" applyAlignment="1">
      <alignment vertical="top" wrapText="1"/>
    </xf>
    <xf numFmtId="0" fontId="8" fillId="0" borderId="1" xfId="0" applyFont="1" applyBorder="1" applyAlignment="1">
      <alignment vertical="top" wrapText="1"/>
    </xf>
    <xf numFmtId="165" fontId="10" fillId="7" borderId="1" xfId="0" applyNumberFormat="1" applyFont="1" applyFill="1" applyBorder="1" applyAlignment="1">
      <alignment vertical="top" wrapText="1"/>
    </xf>
    <xf numFmtId="1" fontId="10" fillId="0" borderId="1" xfId="0" applyNumberFormat="1" applyFont="1" applyBorder="1"/>
    <xf numFmtId="164" fontId="10" fillId="0" borderId="1" xfId="0" applyNumberFormat="1" applyFont="1" applyBorder="1"/>
    <xf numFmtId="0" fontId="4" fillId="0" borderId="1" xfId="0" applyFont="1" applyBorder="1"/>
    <xf numFmtId="0" fontId="10" fillId="0" borderId="1" xfId="0" applyFont="1" applyBorder="1"/>
    <xf numFmtId="164" fontId="4" fillId="0" borderId="1" xfId="0" applyNumberFormat="1" applyFont="1" applyBorder="1"/>
    <xf numFmtId="164" fontId="0" fillId="0" borderId="1" xfId="0" applyNumberFormat="1" applyBorder="1"/>
    <xf numFmtId="164" fontId="6" fillId="0" borderId="1" xfId="0" applyNumberFormat="1" applyFont="1" applyBorder="1" applyAlignment="1">
      <alignment vertical="top" wrapText="1"/>
    </xf>
    <xf numFmtId="0" fontId="6" fillId="0" borderId="0" xfId="0" applyFont="1" applyAlignment="1">
      <alignment vertical="top"/>
    </xf>
  </cellXfs>
  <cellStyles count="1">
    <cellStyle name="Normal" xfId="0" builtinId="0"/>
  </cellStyles>
  <dxfs count="2">
    <dxf>
      <font>
        <sz val="9"/>
        <color rgb="FF9C0006"/>
        <name val="Arial"/>
        <charset val="1"/>
      </font>
      <fill>
        <patternFill>
          <bgColor rgb="FFFFC7CE"/>
        </patternFill>
      </fill>
    </dxf>
    <dxf>
      <font>
        <b/>
        <sz val="9"/>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6EFCE"/>
      <rgbColor rgb="FFFFD966"/>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E56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98"/>
  <sheetViews>
    <sheetView showGridLines="0" tabSelected="1" topLeftCell="A7" zoomScaleNormal="100" workbookViewId="0"/>
  </sheetViews>
  <sheetFormatPr baseColWidth="10" defaultColWidth="8.6640625" defaultRowHeight="14.4" x14ac:dyDescent="0.3"/>
  <cols>
    <col min="1" max="1" width="24" customWidth="1"/>
    <col min="2" max="2" width="32" customWidth="1"/>
    <col min="3" max="3" width="66" customWidth="1"/>
    <col min="4" max="4" width="13" customWidth="1"/>
    <col min="5" max="5" width="40" customWidth="1"/>
  </cols>
  <sheetData>
    <row r="1" spans="1:5" ht="17.399999999999999" x14ac:dyDescent="0.3">
      <c r="A1" s="10" t="s">
        <v>0</v>
      </c>
    </row>
    <row r="2" spans="1:5" x14ac:dyDescent="0.3">
      <c r="A2" s="11" t="s">
        <v>1</v>
      </c>
    </row>
    <row r="4" spans="1:5" ht="15.75" customHeight="1" x14ac:dyDescent="0.3">
      <c r="A4" s="9" t="s">
        <v>2</v>
      </c>
      <c r="B4" s="9"/>
      <c r="C4" s="9"/>
      <c r="D4" s="9"/>
      <c r="E4" s="9"/>
    </row>
    <row r="5" spans="1:5" ht="67.5" customHeight="1" x14ac:dyDescent="0.3">
      <c r="A5" s="8" t="s">
        <v>3</v>
      </c>
      <c r="B5" s="8"/>
      <c r="C5" s="8"/>
      <c r="D5" s="8"/>
      <c r="E5" s="8"/>
    </row>
    <row r="7" spans="1:5" ht="15.75" customHeight="1" x14ac:dyDescent="0.3">
      <c r="A7" s="9" t="s">
        <v>4</v>
      </c>
      <c r="B7" s="9"/>
      <c r="C7" s="9"/>
      <c r="D7" s="9"/>
      <c r="E7" s="9"/>
    </row>
    <row r="8" spans="1:5" ht="80.25" customHeight="1" x14ac:dyDescent="0.3">
      <c r="A8" s="8" t="s">
        <v>5</v>
      </c>
      <c r="B8" s="8"/>
      <c r="C8" s="8"/>
      <c r="D8" s="8"/>
      <c r="E8" s="8"/>
    </row>
    <row r="10" spans="1:5" ht="15.75" customHeight="1" x14ac:dyDescent="0.3">
      <c r="A10" s="9" t="s">
        <v>6</v>
      </c>
      <c r="B10" s="9"/>
      <c r="C10" s="9"/>
      <c r="D10" s="9"/>
      <c r="E10" s="9"/>
    </row>
    <row r="11" spans="1:5" ht="16.5" customHeight="1" x14ac:dyDescent="0.3">
      <c r="A11" s="8" t="s">
        <v>7</v>
      </c>
      <c r="B11" s="8"/>
      <c r="C11" s="8"/>
      <c r="D11" s="8"/>
      <c r="E11" s="8"/>
    </row>
    <row r="12" spans="1:5" ht="16.5" customHeight="1" x14ac:dyDescent="0.3">
      <c r="A12" s="8" t="s">
        <v>8</v>
      </c>
      <c r="B12" s="8"/>
      <c r="C12" s="8"/>
      <c r="D12" s="8"/>
      <c r="E12" s="8"/>
    </row>
    <row r="13" spans="1:5" ht="16.5" customHeight="1" x14ac:dyDescent="0.3">
      <c r="A13" s="8" t="s">
        <v>9</v>
      </c>
      <c r="B13" s="8"/>
      <c r="C13" s="8"/>
      <c r="D13" s="8"/>
      <c r="E13" s="8"/>
    </row>
    <row r="14" spans="1:5" ht="16.5" customHeight="1" x14ac:dyDescent="0.3">
      <c r="A14" s="8" t="s">
        <v>10</v>
      </c>
      <c r="B14" s="8"/>
      <c r="C14" s="8"/>
      <c r="D14" s="8"/>
      <c r="E14" s="8"/>
    </row>
    <row r="15" spans="1:5" ht="29.25" customHeight="1" x14ac:dyDescent="0.3">
      <c r="A15" s="8" t="s">
        <v>11</v>
      </c>
      <c r="B15" s="8"/>
      <c r="C15" s="8"/>
      <c r="D15" s="8"/>
      <c r="E15" s="8"/>
    </row>
    <row r="16" spans="1:5" ht="29.25" customHeight="1" x14ac:dyDescent="0.3">
      <c r="A16" s="8" t="s">
        <v>12</v>
      </c>
      <c r="B16" s="8"/>
      <c r="C16" s="8"/>
      <c r="D16" s="8"/>
      <c r="E16" s="8"/>
    </row>
    <row r="17" spans="1:5" ht="16.5" customHeight="1" x14ac:dyDescent="0.3">
      <c r="A17" s="8" t="s">
        <v>13</v>
      </c>
      <c r="B17" s="8"/>
      <c r="C17" s="8"/>
      <c r="D17" s="8"/>
      <c r="E17" s="8"/>
    </row>
    <row r="19" spans="1:5" ht="15.75" customHeight="1" x14ac:dyDescent="0.3">
      <c r="A19" s="9" t="s">
        <v>14</v>
      </c>
      <c r="B19" s="9"/>
      <c r="C19" s="9"/>
      <c r="D19" s="9"/>
      <c r="E19" s="9"/>
    </row>
    <row r="20" spans="1:5" ht="16.5" customHeight="1" x14ac:dyDescent="0.3">
      <c r="A20" s="8" t="s">
        <v>15</v>
      </c>
      <c r="B20" s="8"/>
      <c r="C20" s="8"/>
      <c r="D20" s="8"/>
      <c r="E20" s="8"/>
    </row>
    <row r="21" spans="1:5" ht="16.5" customHeight="1" x14ac:dyDescent="0.3">
      <c r="A21" s="8" t="s">
        <v>16</v>
      </c>
      <c r="B21" s="8"/>
      <c r="C21" s="8"/>
      <c r="D21" s="8"/>
      <c r="E21" s="8"/>
    </row>
    <row r="22" spans="1:5" ht="16.5" customHeight="1" x14ac:dyDescent="0.3">
      <c r="A22" s="8" t="s">
        <v>17</v>
      </c>
      <c r="B22" s="8"/>
      <c r="C22" s="8"/>
      <c r="D22" s="8"/>
      <c r="E22" s="8"/>
    </row>
    <row r="23" spans="1:5" ht="29.25" customHeight="1" x14ac:dyDescent="0.3">
      <c r="A23" s="8" t="s">
        <v>18</v>
      </c>
      <c r="B23" s="8"/>
      <c r="C23" s="8"/>
      <c r="D23" s="8"/>
      <c r="E23" s="8"/>
    </row>
    <row r="24" spans="1:5" ht="29.25" customHeight="1" x14ac:dyDescent="0.3">
      <c r="A24" s="8" t="s">
        <v>19</v>
      </c>
      <c r="B24" s="8"/>
      <c r="C24" s="8"/>
      <c r="D24" s="8"/>
      <c r="E24" s="8"/>
    </row>
    <row r="25" spans="1:5" ht="16.5" customHeight="1" x14ac:dyDescent="0.3">
      <c r="A25" s="8" t="s">
        <v>20</v>
      </c>
      <c r="B25" s="8"/>
      <c r="C25" s="8"/>
      <c r="D25" s="8"/>
      <c r="E25" s="8"/>
    </row>
    <row r="26" spans="1:5" ht="16.5" customHeight="1" x14ac:dyDescent="0.3">
      <c r="A26" s="8" t="s">
        <v>21</v>
      </c>
      <c r="B26" s="8"/>
      <c r="C26" s="8"/>
      <c r="D26" s="8"/>
      <c r="E26" s="8"/>
    </row>
    <row r="28" spans="1:5" ht="15.75" customHeight="1" x14ac:dyDescent="0.3">
      <c r="A28" s="9" t="s">
        <v>22</v>
      </c>
      <c r="B28" s="9"/>
      <c r="C28" s="9"/>
      <c r="D28" s="9"/>
      <c r="E28" s="9"/>
    </row>
    <row r="29" spans="1:5" ht="16.5" customHeight="1" x14ac:dyDescent="0.3">
      <c r="A29" s="8" t="s">
        <v>23</v>
      </c>
      <c r="B29" s="8"/>
      <c r="C29" s="8"/>
      <c r="D29" s="8"/>
      <c r="E29" s="8"/>
    </row>
    <row r="30" spans="1:5" ht="16.5" customHeight="1" x14ac:dyDescent="0.3">
      <c r="A30" s="8" t="s">
        <v>24</v>
      </c>
      <c r="B30" s="8"/>
      <c r="C30" s="8"/>
      <c r="D30" s="8"/>
      <c r="E30" s="8"/>
    </row>
    <row r="31" spans="1:5" ht="16.5" customHeight="1" x14ac:dyDescent="0.3">
      <c r="A31" s="8" t="s">
        <v>25</v>
      </c>
      <c r="B31" s="8"/>
      <c r="C31" s="8"/>
      <c r="D31" s="8"/>
      <c r="E31" s="8"/>
    </row>
    <row r="32" spans="1:5" ht="29.25" customHeight="1" x14ac:dyDescent="0.3">
      <c r="A32" s="8" t="s">
        <v>26</v>
      </c>
      <c r="B32" s="8"/>
      <c r="C32" s="8"/>
      <c r="D32" s="8"/>
      <c r="E32" s="8"/>
    </row>
    <row r="33" spans="1:5" ht="16.5" customHeight="1" x14ac:dyDescent="0.3">
      <c r="A33" s="8" t="s">
        <v>27</v>
      </c>
      <c r="B33" s="8"/>
      <c r="C33" s="8"/>
      <c r="D33" s="8"/>
      <c r="E33" s="8"/>
    </row>
    <row r="34" spans="1:5" ht="16.5" customHeight="1" x14ac:dyDescent="0.3">
      <c r="A34" s="8" t="s">
        <v>28</v>
      </c>
      <c r="B34" s="8"/>
      <c r="C34" s="8"/>
      <c r="D34" s="8"/>
      <c r="E34" s="8"/>
    </row>
    <row r="35" spans="1:5" ht="16.5" customHeight="1" x14ac:dyDescent="0.3">
      <c r="A35" s="8" t="s">
        <v>29</v>
      </c>
      <c r="B35" s="8"/>
      <c r="C35" s="8"/>
      <c r="D35" s="8"/>
      <c r="E35" s="8"/>
    </row>
    <row r="36" spans="1:5" ht="16.5" customHeight="1" x14ac:dyDescent="0.3">
      <c r="A36" s="8" t="s">
        <v>30</v>
      </c>
      <c r="B36" s="8"/>
      <c r="C36" s="8"/>
      <c r="D36" s="8"/>
      <c r="E36" s="8"/>
    </row>
    <row r="37" spans="1:5" ht="16.5" customHeight="1" x14ac:dyDescent="0.3">
      <c r="A37" s="8" t="s">
        <v>31</v>
      </c>
      <c r="B37" s="8"/>
      <c r="C37" s="8"/>
      <c r="D37" s="8"/>
      <c r="E37" s="8"/>
    </row>
    <row r="39" spans="1:5" ht="15.75" customHeight="1" x14ac:dyDescent="0.3">
      <c r="A39" s="9" t="s">
        <v>32</v>
      </c>
      <c r="B39" s="9"/>
      <c r="C39" s="9"/>
      <c r="D39" s="9"/>
      <c r="E39" s="9"/>
    </row>
    <row r="40" spans="1:5" ht="30" customHeight="1" x14ac:dyDescent="0.3">
      <c r="A40" s="12" t="s">
        <v>33</v>
      </c>
      <c r="B40" s="12" t="s">
        <v>34</v>
      </c>
      <c r="C40" s="12" t="s">
        <v>35</v>
      </c>
      <c r="D40" s="12" t="s">
        <v>36</v>
      </c>
      <c r="E40" s="12" t="s">
        <v>37</v>
      </c>
    </row>
    <row r="41" spans="1:5" ht="27.75" customHeight="1" x14ac:dyDescent="0.3">
      <c r="A41" s="13" t="s">
        <v>38</v>
      </c>
      <c r="B41" s="14" t="s">
        <v>39</v>
      </c>
      <c r="C41" s="15" t="s">
        <v>40</v>
      </c>
      <c r="D41" s="15" t="s">
        <v>41</v>
      </c>
      <c r="E41" s="15" t="s">
        <v>42</v>
      </c>
    </row>
    <row r="42" spans="1:5" ht="27.75" customHeight="1" x14ac:dyDescent="0.3">
      <c r="A42" s="13" t="s">
        <v>43</v>
      </c>
      <c r="B42" s="14" t="s">
        <v>44</v>
      </c>
      <c r="C42" s="15" t="s">
        <v>45</v>
      </c>
      <c r="D42" s="15" t="s">
        <v>46</v>
      </c>
      <c r="E42" s="15" t="s">
        <v>47</v>
      </c>
    </row>
    <row r="43" spans="1:5" ht="27.75" customHeight="1" x14ac:dyDescent="0.3">
      <c r="A43" s="13" t="s">
        <v>48</v>
      </c>
      <c r="B43" s="14" t="s">
        <v>49</v>
      </c>
      <c r="C43" s="15" t="s">
        <v>50</v>
      </c>
      <c r="D43" s="15" t="s">
        <v>41</v>
      </c>
      <c r="E43" s="15" t="s">
        <v>42</v>
      </c>
    </row>
    <row r="44" spans="1:5" ht="27.75" customHeight="1" x14ac:dyDescent="0.3">
      <c r="A44" s="13" t="s">
        <v>51</v>
      </c>
      <c r="B44" s="14" t="s">
        <v>52</v>
      </c>
      <c r="C44" s="15" t="s">
        <v>53</v>
      </c>
      <c r="D44" s="15" t="s">
        <v>46</v>
      </c>
      <c r="E44" s="15" t="s">
        <v>54</v>
      </c>
    </row>
    <row r="45" spans="1:5" ht="15.75" customHeight="1" x14ac:dyDescent="0.3">
      <c r="A45" s="13" t="s">
        <v>55</v>
      </c>
      <c r="B45" s="14" t="s">
        <v>56</v>
      </c>
      <c r="C45" s="15" t="s">
        <v>57</v>
      </c>
      <c r="D45" s="15" t="s">
        <v>41</v>
      </c>
      <c r="E45" s="15" t="s">
        <v>42</v>
      </c>
    </row>
    <row r="46" spans="1:5" ht="27.75" customHeight="1" x14ac:dyDescent="0.3">
      <c r="A46" s="13" t="s">
        <v>58</v>
      </c>
      <c r="B46" s="14" t="s">
        <v>59</v>
      </c>
      <c r="C46" s="15" t="s">
        <v>60</v>
      </c>
      <c r="D46" s="15" t="s">
        <v>46</v>
      </c>
      <c r="E46" s="15" t="s">
        <v>61</v>
      </c>
    </row>
    <row r="47" spans="1:5" ht="27.75" customHeight="1" x14ac:dyDescent="0.3">
      <c r="A47" s="13" t="s">
        <v>62</v>
      </c>
      <c r="B47" s="14" t="s">
        <v>63</v>
      </c>
      <c r="C47" s="15" t="s">
        <v>64</v>
      </c>
      <c r="D47" s="15" t="s">
        <v>65</v>
      </c>
      <c r="E47" s="15" t="s">
        <v>42</v>
      </c>
    </row>
    <row r="48" spans="1:5" ht="27.75" customHeight="1" x14ac:dyDescent="0.3">
      <c r="A48" s="13" t="s">
        <v>66</v>
      </c>
      <c r="B48" s="14" t="s">
        <v>67</v>
      </c>
      <c r="C48" s="15" t="s">
        <v>68</v>
      </c>
      <c r="D48" s="15" t="s">
        <v>46</v>
      </c>
      <c r="E48" s="15" t="s">
        <v>69</v>
      </c>
    </row>
    <row r="49" spans="1:5" ht="27.75" customHeight="1" x14ac:dyDescent="0.3">
      <c r="A49" s="13" t="s">
        <v>70</v>
      </c>
      <c r="B49" s="14" t="s">
        <v>71</v>
      </c>
      <c r="C49" s="15" t="s">
        <v>72</v>
      </c>
      <c r="D49" s="15" t="s">
        <v>46</v>
      </c>
      <c r="E49" s="15" t="s">
        <v>73</v>
      </c>
    </row>
    <row r="50" spans="1:5" ht="27.75" customHeight="1" x14ac:dyDescent="0.3">
      <c r="A50" s="13" t="s">
        <v>74</v>
      </c>
      <c r="B50" s="14" t="s">
        <v>75</v>
      </c>
      <c r="C50" s="15" t="s">
        <v>76</v>
      </c>
      <c r="D50" s="15" t="s">
        <v>46</v>
      </c>
      <c r="E50" s="15" t="s">
        <v>77</v>
      </c>
    </row>
    <row r="51" spans="1:5" ht="27.75" customHeight="1" x14ac:dyDescent="0.3">
      <c r="A51" s="13" t="s">
        <v>78</v>
      </c>
      <c r="B51" s="14" t="s">
        <v>79</v>
      </c>
      <c r="C51" s="15" t="s">
        <v>80</v>
      </c>
      <c r="D51" s="15" t="s">
        <v>46</v>
      </c>
      <c r="E51" s="15" t="s">
        <v>81</v>
      </c>
    </row>
    <row r="52" spans="1:5" ht="15.75" customHeight="1" x14ac:dyDescent="0.3">
      <c r="A52" s="13" t="s">
        <v>82</v>
      </c>
      <c r="B52" s="14" t="s">
        <v>83</v>
      </c>
      <c r="C52" s="15" t="s">
        <v>84</v>
      </c>
      <c r="D52" s="15" t="s">
        <v>85</v>
      </c>
      <c r="E52" s="15" t="s">
        <v>86</v>
      </c>
    </row>
    <row r="53" spans="1:5" ht="27.75" customHeight="1" x14ac:dyDescent="0.3">
      <c r="A53" s="13" t="s">
        <v>87</v>
      </c>
      <c r="B53" s="14" t="s">
        <v>88</v>
      </c>
      <c r="C53" s="15" t="s">
        <v>89</v>
      </c>
      <c r="D53" s="15" t="s">
        <v>46</v>
      </c>
      <c r="E53" s="15" t="s">
        <v>90</v>
      </c>
    </row>
    <row r="54" spans="1:5" ht="27.75" customHeight="1" x14ac:dyDescent="0.3">
      <c r="A54" s="13" t="s">
        <v>91</v>
      </c>
      <c r="B54" s="14" t="s">
        <v>92</v>
      </c>
      <c r="C54" s="15" t="s">
        <v>93</v>
      </c>
      <c r="D54" s="15" t="s">
        <v>46</v>
      </c>
      <c r="E54" s="15" t="s">
        <v>94</v>
      </c>
    </row>
    <row r="55" spans="1:5" ht="15.75" customHeight="1" x14ac:dyDescent="0.3">
      <c r="A55" s="13" t="s">
        <v>95</v>
      </c>
      <c r="B55" s="14" t="s">
        <v>96</v>
      </c>
      <c r="C55" s="15" t="s">
        <v>97</v>
      </c>
      <c r="D55" s="15" t="s">
        <v>46</v>
      </c>
      <c r="E55" s="15" t="s">
        <v>98</v>
      </c>
    </row>
    <row r="56" spans="1:5" ht="27.75" customHeight="1" x14ac:dyDescent="0.3">
      <c r="A56" s="13" t="s">
        <v>99</v>
      </c>
      <c r="B56" s="14" t="s">
        <v>100</v>
      </c>
      <c r="C56" s="15" t="s">
        <v>101</v>
      </c>
      <c r="D56" s="15" t="s">
        <v>46</v>
      </c>
      <c r="E56" s="15" t="s">
        <v>102</v>
      </c>
    </row>
    <row r="57" spans="1:5" ht="27.75" customHeight="1" x14ac:dyDescent="0.3">
      <c r="A57" s="13" t="s">
        <v>103</v>
      </c>
      <c r="B57" s="14" t="s">
        <v>104</v>
      </c>
      <c r="C57" s="15" t="s">
        <v>105</v>
      </c>
      <c r="D57" s="15" t="s">
        <v>46</v>
      </c>
      <c r="E57" s="15" t="s">
        <v>106</v>
      </c>
    </row>
    <row r="58" spans="1:5" ht="27.75" customHeight="1" x14ac:dyDescent="0.3">
      <c r="A58" s="13" t="s">
        <v>107</v>
      </c>
      <c r="B58" s="14" t="s">
        <v>108</v>
      </c>
      <c r="C58" s="15" t="s">
        <v>109</v>
      </c>
      <c r="D58" s="15" t="s">
        <v>85</v>
      </c>
      <c r="E58" s="15" t="s">
        <v>110</v>
      </c>
    </row>
    <row r="59" spans="1:5" ht="27.75" customHeight="1" x14ac:dyDescent="0.3">
      <c r="A59" s="13" t="s">
        <v>111</v>
      </c>
      <c r="B59" s="14" t="s">
        <v>112</v>
      </c>
      <c r="C59" s="15" t="s">
        <v>113</v>
      </c>
      <c r="D59" s="15" t="s">
        <v>46</v>
      </c>
      <c r="E59" s="15" t="s">
        <v>114</v>
      </c>
    </row>
    <row r="60" spans="1:5" ht="27.75" customHeight="1" x14ac:dyDescent="0.3">
      <c r="A60" s="13" t="s">
        <v>115</v>
      </c>
      <c r="B60" s="14" t="s">
        <v>116</v>
      </c>
      <c r="C60" s="15" t="s">
        <v>117</v>
      </c>
      <c r="D60" s="15" t="s">
        <v>46</v>
      </c>
      <c r="E60" s="15" t="s">
        <v>118</v>
      </c>
    </row>
    <row r="61" spans="1:5" ht="27.75" customHeight="1" x14ac:dyDescent="0.3">
      <c r="A61" s="13" t="s">
        <v>119</v>
      </c>
      <c r="B61" s="14" t="s">
        <v>120</v>
      </c>
      <c r="C61" s="15" t="s">
        <v>121</v>
      </c>
      <c r="D61" s="15" t="s">
        <v>46</v>
      </c>
      <c r="E61" s="15" t="s">
        <v>122</v>
      </c>
    </row>
    <row r="62" spans="1:5" ht="15.75" customHeight="1" x14ac:dyDescent="0.3">
      <c r="A62" s="13" t="s">
        <v>123</v>
      </c>
      <c r="B62" s="14" t="s">
        <v>124</v>
      </c>
      <c r="C62" s="15" t="s">
        <v>125</v>
      </c>
      <c r="D62" s="15" t="s">
        <v>85</v>
      </c>
      <c r="E62" s="15" t="s">
        <v>126</v>
      </c>
    </row>
    <row r="63" spans="1:5" ht="27.75" customHeight="1" x14ac:dyDescent="0.3">
      <c r="A63" s="13" t="s">
        <v>127</v>
      </c>
      <c r="B63" s="14" t="s">
        <v>128</v>
      </c>
      <c r="C63" s="15" t="s">
        <v>129</v>
      </c>
      <c r="D63" s="15" t="s">
        <v>130</v>
      </c>
      <c r="E63" s="15" t="s">
        <v>131</v>
      </c>
    </row>
    <row r="64" spans="1:5" ht="27.75" customHeight="1" x14ac:dyDescent="0.3">
      <c r="A64" s="13" t="s">
        <v>132</v>
      </c>
      <c r="B64" s="14" t="s">
        <v>133</v>
      </c>
      <c r="C64" s="15" t="s">
        <v>134</v>
      </c>
      <c r="D64" s="15" t="s">
        <v>135</v>
      </c>
      <c r="E64" s="15" t="s">
        <v>42</v>
      </c>
    </row>
    <row r="65" spans="1:5" ht="27.75" customHeight="1" x14ac:dyDescent="0.3">
      <c r="A65" s="13" t="s">
        <v>136</v>
      </c>
      <c r="B65" s="14" t="s">
        <v>137</v>
      </c>
      <c r="C65" s="15" t="s">
        <v>138</v>
      </c>
      <c r="D65" s="15" t="s">
        <v>139</v>
      </c>
      <c r="E65" s="15" t="s">
        <v>140</v>
      </c>
    </row>
    <row r="66" spans="1:5" ht="27.75" customHeight="1" x14ac:dyDescent="0.3">
      <c r="A66" s="13" t="s">
        <v>141</v>
      </c>
      <c r="B66" s="14" t="s">
        <v>142</v>
      </c>
      <c r="C66" s="15" t="s">
        <v>143</v>
      </c>
      <c r="D66" s="15" t="s">
        <v>41</v>
      </c>
      <c r="E66" s="15" t="s">
        <v>144</v>
      </c>
    </row>
    <row r="68" spans="1:5" ht="15.75" customHeight="1" x14ac:dyDescent="0.3">
      <c r="A68" s="9" t="s">
        <v>145</v>
      </c>
      <c r="B68" s="9"/>
      <c r="C68" s="9"/>
      <c r="D68" s="9"/>
      <c r="E68" s="9"/>
    </row>
    <row r="69" spans="1:5" ht="54.75" customHeight="1" x14ac:dyDescent="0.3">
      <c r="A69" s="8" t="s">
        <v>146</v>
      </c>
      <c r="B69" s="8"/>
      <c r="C69" s="8"/>
      <c r="D69" s="8"/>
      <c r="E69" s="8"/>
    </row>
    <row r="71" spans="1:5" ht="15.75" customHeight="1" x14ac:dyDescent="0.3">
      <c r="A71" s="9" t="s">
        <v>147</v>
      </c>
      <c r="B71" s="9"/>
      <c r="C71" s="9"/>
      <c r="D71" s="9"/>
      <c r="E71" s="9"/>
    </row>
    <row r="72" spans="1:5" ht="42" customHeight="1" x14ac:dyDescent="0.3">
      <c r="A72" s="8" t="s">
        <v>148</v>
      </c>
      <c r="B72" s="8"/>
      <c r="C72" s="8"/>
      <c r="D72" s="8"/>
      <c r="E72" s="8"/>
    </row>
    <row r="74" spans="1:5" ht="15.75" customHeight="1" x14ac:dyDescent="0.3">
      <c r="A74" s="9" t="s">
        <v>149</v>
      </c>
      <c r="B74" s="9"/>
      <c r="C74" s="9"/>
      <c r="D74" s="9"/>
      <c r="E74" s="9"/>
    </row>
    <row r="75" spans="1:5" ht="15.75" customHeight="1" x14ac:dyDescent="0.3">
      <c r="A75" s="16" t="s">
        <v>150</v>
      </c>
      <c r="B75" s="7" t="s">
        <v>151</v>
      </c>
      <c r="C75" s="7"/>
      <c r="D75" s="7"/>
      <c r="E75" s="7"/>
    </row>
    <row r="76" spans="1:5" ht="15.75" customHeight="1" x14ac:dyDescent="0.3">
      <c r="A76" s="16" t="s">
        <v>152</v>
      </c>
      <c r="B76" s="7" t="s">
        <v>153</v>
      </c>
      <c r="C76" s="7"/>
      <c r="D76" s="7"/>
      <c r="E76" s="7"/>
    </row>
    <row r="77" spans="1:5" ht="15.75" customHeight="1" x14ac:dyDescent="0.3">
      <c r="A77" s="16" t="s">
        <v>154</v>
      </c>
      <c r="B77" s="7" t="s">
        <v>155</v>
      </c>
      <c r="C77" s="7"/>
      <c r="D77" s="7"/>
      <c r="E77" s="7"/>
    </row>
    <row r="78" spans="1:5" ht="27.75" customHeight="1" x14ac:dyDescent="0.3">
      <c r="A78" s="16" t="s">
        <v>156</v>
      </c>
      <c r="B78" s="7" t="s">
        <v>157</v>
      </c>
      <c r="C78" s="7"/>
      <c r="D78" s="7"/>
      <c r="E78" s="7"/>
    </row>
    <row r="79" spans="1:5" ht="15.75" customHeight="1" x14ac:dyDescent="0.3">
      <c r="A79" s="16" t="s">
        <v>158</v>
      </c>
      <c r="B79" s="7" t="s">
        <v>159</v>
      </c>
      <c r="C79" s="7"/>
      <c r="D79" s="7"/>
      <c r="E79" s="7"/>
    </row>
    <row r="80" spans="1:5" ht="27.75" customHeight="1" x14ac:dyDescent="0.3">
      <c r="A80" s="16" t="s">
        <v>160</v>
      </c>
      <c r="B80" s="7" t="s">
        <v>161</v>
      </c>
      <c r="C80" s="7"/>
      <c r="D80" s="7"/>
      <c r="E80" s="7"/>
    </row>
    <row r="81" spans="1:5" ht="27.75" customHeight="1" x14ac:dyDescent="0.3">
      <c r="A81" s="16" t="s">
        <v>162</v>
      </c>
      <c r="B81" s="7" t="s">
        <v>163</v>
      </c>
      <c r="C81" s="7"/>
      <c r="D81" s="7"/>
      <c r="E81" s="7"/>
    </row>
    <row r="82" spans="1:5" ht="15.75" customHeight="1" x14ac:dyDescent="0.3">
      <c r="A82" s="16" t="s">
        <v>164</v>
      </c>
      <c r="B82" s="7" t="s">
        <v>165</v>
      </c>
      <c r="C82" s="7"/>
      <c r="D82" s="7"/>
      <c r="E82" s="7"/>
    </row>
    <row r="83" spans="1:5" ht="15.75" customHeight="1" x14ac:dyDescent="0.3">
      <c r="A83" s="16" t="s">
        <v>166</v>
      </c>
      <c r="B83" s="7" t="s">
        <v>167</v>
      </c>
      <c r="C83" s="7"/>
      <c r="D83" s="7"/>
      <c r="E83" s="7"/>
    </row>
    <row r="84" spans="1:5" ht="15.75" customHeight="1" x14ac:dyDescent="0.3">
      <c r="A84" s="16" t="s">
        <v>168</v>
      </c>
      <c r="B84" s="7" t="s">
        <v>169</v>
      </c>
      <c r="C84" s="7"/>
      <c r="D84" s="7"/>
      <c r="E84" s="7"/>
    </row>
    <row r="85" spans="1:5" ht="15.75" customHeight="1" x14ac:dyDescent="0.3">
      <c r="A85" s="16" t="s">
        <v>170</v>
      </c>
      <c r="B85" s="7" t="s">
        <v>171</v>
      </c>
      <c r="C85" s="7"/>
      <c r="D85" s="7"/>
      <c r="E85" s="7"/>
    </row>
    <row r="86" spans="1:5" ht="15.75" customHeight="1" x14ac:dyDescent="0.3">
      <c r="A86" s="16" t="s">
        <v>172</v>
      </c>
      <c r="B86" s="7" t="s">
        <v>173</v>
      </c>
      <c r="C86" s="7"/>
      <c r="D86" s="7"/>
      <c r="E86" s="7"/>
    </row>
    <row r="88" spans="1:5" ht="15.75" customHeight="1" x14ac:dyDescent="0.3">
      <c r="A88" s="9" t="s">
        <v>174</v>
      </c>
      <c r="B88" s="9"/>
      <c r="C88" s="9"/>
      <c r="D88" s="9"/>
      <c r="E88" s="9"/>
    </row>
    <row r="89" spans="1:5" ht="29.25" customHeight="1" x14ac:dyDescent="0.3">
      <c r="A89" s="8" t="s">
        <v>175</v>
      </c>
      <c r="B89" s="8"/>
      <c r="C89" s="8"/>
      <c r="D89" s="8"/>
      <c r="E89" s="8"/>
    </row>
    <row r="90" spans="1:5" ht="16.5" customHeight="1" x14ac:dyDescent="0.3">
      <c r="A90" s="8" t="s">
        <v>176</v>
      </c>
      <c r="B90" s="8"/>
      <c r="C90" s="8"/>
      <c r="D90" s="8"/>
      <c r="E90" s="8"/>
    </row>
    <row r="91" spans="1:5" ht="42" customHeight="1" x14ac:dyDescent="0.3">
      <c r="A91" s="8" t="s">
        <v>177</v>
      </c>
      <c r="B91" s="8"/>
      <c r="C91" s="8"/>
      <c r="D91" s="8"/>
      <c r="E91" s="8"/>
    </row>
    <row r="92" spans="1:5" ht="29.25" customHeight="1" x14ac:dyDescent="0.3">
      <c r="A92" s="8" t="s">
        <v>178</v>
      </c>
      <c r="B92" s="8"/>
      <c r="C92" s="8"/>
      <c r="D92" s="8"/>
      <c r="E92" s="8"/>
    </row>
    <row r="93" spans="1:5" ht="29.25" customHeight="1" x14ac:dyDescent="0.3">
      <c r="A93" s="8" t="s">
        <v>179</v>
      </c>
      <c r="B93" s="8"/>
      <c r="C93" s="8"/>
      <c r="D93" s="8"/>
      <c r="E93" s="8"/>
    </row>
    <row r="94" spans="1:5" ht="42" customHeight="1" x14ac:dyDescent="0.3">
      <c r="A94" s="8" t="s">
        <v>180</v>
      </c>
      <c r="B94" s="8"/>
      <c r="C94" s="8"/>
      <c r="D94" s="8"/>
      <c r="E94" s="8"/>
    </row>
    <row r="95" spans="1:5" ht="42" customHeight="1" x14ac:dyDescent="0.3">
      <c r="A95" s="8" t="s">
        <v>181</v>
      </c>
      <c r="B95" s="8"/>
      <c r="C95" s="8"/>
      <c r="D95" s="8"/>
      <c r="E95" s="8"/>
    </row>
    <row r="96" spans="1:5" ht="29.25" customHeight="1" x14ac:dyDescent="0.3">
      <c r="A96" s="8" t="s">
        <v>182</v>
      </c>
      <c r="B96" s="8"/>
      <c r="C96" s="8"/>
      <c r="D96" s="8"/>
      <c r="E96" s="8"/>
    </row>
    <row r="97" spans="1:5" ht="29.25" customHeight="1" x14ac:dyDescent="0.3">
      <c r="A97" s="8" t="s">
        <v>183</v>
      </c>
      <c r="B97" s="8"/>
      <c r="C97" s="8"/>
      <c r="D97" s="8"/>
      <c r="E97" s="8"/>
    </row>
    <row r="98" spans="1:5" ht="29.25" customHeight="1" x14ac:dyDescent="0.3">
      <c r="A98" s="8" t="s">
        <v>184</v>
      </c>
      <c r="B98" s="8"/>
      <c r="C98" s="8"/>
      <c r="D98" s="8"/>
      <c r="E98" s="8"/>
    </row>
  </sheetData>
  <sheetProtection password="CC6D" sheet="1" formatColumns="0" formatRows="0" autoFilter="0"/>
  <mergeCells count="59">
    <mergeCell ref="A95:E95"/>
    <mergeCell ref="A96:E96"/>
    <mergeCell ref="A97:E97"/>
    <mergeCell ref="A98:E98"/>
    <mergeCell ref="A90:E90"/>
    <mergeCell ref="A91:E91"/>
    <mergeCell ref="A92:E92"/>
    <mergeCell ref="A93:E93"/>
    <mergeCell ref="A94:E94"/>
    <mergeCell ref="B84:E84"/>
    <mergeCell ref="B85:E85"/>
    <mergeCell ref="B86:E86"/>
    <mergeCell ref="A88:E88"/>
    <mergeCell ref="A89:E89"/>
    <mergeCell ref="B79:E79"/>
    <mergeCell ref="B80:E80"/>
    <mergeCell ref="B81:E81"/>
    <mergeCell ref="B82:E82"/>
    <mergeCell ref="B83:E83"/>
    <mergeCell ref="A74:E74"/>
    <mergeCell ref="B75:E75"/>
    <mergeCell ref="B76:E76"/>
    <mergeCell ref="B77:E77"/>
    <mergeCell ref="B78:E78"/>
    <mergeCell ref="A39:E39"/>
    <mergeCell ref="A68:E68"/>
    <mergeCell ref="A69:E69"/>
    <mergeCell ref="A71:E71"/>
    <mergeCell ref="A72:E72"/>
    <mergeCell ref="A33:E33"/>
    <mergeCell ref="A34:E34"/>
    <mergeCell ref="A35:E35"/>
    <mergeCell ref="A36:E36"/>
    <mergeCell ref="A37:E37"/>
    <mergeCell ref="A28:E28"/>
    <mergeCell ref="A29:E29"/>
    <mergeCell ref="A30:E30"/>
    <mergeCell ref="A31:E31"/>
    <mergeCell ref="A32:E32"/>
    <mergeCell ref="A22:E22"/>
    <mergeCell ref="A23:E23"/>
    <mergeCell ref="A24:E24"/>
    <mergeCell ref="A25:E25"/>
    <mergeCell ref="A26:E26"/>
    <mergeCell ref="A16:E16"/>
    <mergeCell ref="A17:E17"/>
    <mergeCell ref="A19:E19"/>
    <mergeCell ref="A20:E20"/>
    <mergeCell ref="A21:E21"/>
    <mergeCell ref="A11:E11"/>
    <mergeCell ref="A12:E12"/>
    <mergeCell ref="A13:E13"/>
    <mergeCell ref="A14:E14"/>
    <mergeCell ref="A15:E15"/>
    <mergeCell ref="A4:E4"/>
    <mergeCell ref="A5:E5"/>
    <mergeCell ref="A7:E7"/>
    <mergeCell ref="A8:E8"/>
    <mergeCell ref="A10:E10"/>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76"/>
  <sheetViews>
    <sheetView showGridLines="0" zoomScaleNormal="100" workbookViewId="0">
      <pane ySplit="3" topLeftCell="A274" activePane="bottomLeft" state="frozen"/>
      <selection pane="bottomLeft"/>
    </sheetView>
  </sheetViews>
  <sheetFormatPr baseColWidth="10" defaultColWidth="8.6640625" defaultRowHeight="14.4" x14ac:dyDescent="0.3"/>
  <cols>
    <col min="1" max="1" width="16" customWidth="1"/>
    <col min="2" max="2" width="14" customWidth="1"/>
    <col min="3" max="3" width="16" customWidth="1"/>
    <col min="4" max="4" width="60" customWidth="1"/>
    <col min="5" max="5" width="14" customWidth="1"/>
    <col min="6" max="6" width="40" customWidth="1"/>
  </cols>
  <sheetData>
    <row r="1" spans="1:6" ht="17.399999999999999" x14ac:dyDescent="0.3">
      <c r="A1" s="10" t="s">
        <v>185</v>
      </c>
    </row>
    <row r="2" spans="1:6" x14ac:dyDescent="0.3">
      <c r="A2" s="11" t="s">
        <v>186</v>
      </c>
    </row>
    <row r="4" spans="1:6" ht="15.75" customHeight="1" x14ac:dyDescent="0.3">
      <c r="A4" s="9" t="s">
        <v>187</v>
      </c>
      <c r="B4" s="9"/>
      <c r="C4" s="9"/>
      <c r="D4" s="9"/>
      <c r="E4" s="9"/>
      <c r="F4" s="9"/>
    </row>
    <row r="5" spans="1:6" ht="80.25" customHeight="1" x14ac:dyDescent="0.3">
      <c r="A5" s="8" t="s">
        <v>188</v>
      </c>
      <c r="B5" s="8"/>
      <c r="C5" s="8"/>
      <c r="D5" s="8"/>
      <c r="E5" s="8"/>
      <c r="F5" s="8"/>
    </row>
    <row r="7" spans="1:6" ht="15.75" customHeight="1" x14ac:dyDescent="0.3">
      <c r="A7" s="9" t="s">
        <v>189</v>
      </c>
      <c r="B7" s="9"/>
      <c r="C7" s="9"/>
      <c r="D7" s="9"/>
      <c r="E7" s="9"/>
      <c r="F7" s="9"/>
    </row>
    <row r="8" spans="1:6" ht="30" customHeight="1" x14ac:dyDescent="0.3">
      <c r="A8" s="12" t="s">
        <v>190</v>
      </c>
      <c r="B8" s="12" t="s">
        <v>191</v>
      </c>
      <c r="C8" s="12" t="s">
        <v>192</v>
      </c>
      <c r="D8" s="12" t="s">
        <v>193</v>
      </c>
      <c r="E8" s="12" t="s">
        <v>194</v>
      </c>
      <c r="F8" s="12" t="s">
        <v>195</v>
      </c>
    </row>
    <row r="9" spans="1:6" ht="39.75" customHeight="1" x14ac:dyDescent="0.3">
      <c r="A9" s="15" t="s">
        <v>196</v>
      </c>
      <c r="B9" s="15" t="s">
        <v>197</v>
      </c>
      <c r="C9" s="14" t="s">
        <v>198</v>
      </c>
      <c r="D9" s="15" t="s">
        <v>199</v>
      </c>
      <c r="E9" s="15" t="s">
        <v>85</v>
      </c>
      <c r="F9" s="15" t="s">
        <v>200</v>
      </c>
    </row>
    <row r="10" spans="1:6" ht="39.75" customHeight="1" x14ac:dyDescent="0.3">
      <c r="A10" s="15" t="s">
        <v>201</v>
      </c>
      <c r="B10" s="15" t="s">
        <v>202</v>
      </c>
      <c r="C10" s="14" t="s">
        <v>203</v>
      </c>
      <c r="D10" s="15" t="s">
        <v>204</v>
      </c>
      <c r="E10" s="15" t="s">
        <v>85</v>
      </c>
      <c r="F10" s="15" t="s">
        <v>205</v>
      </c>
    </row>
    <row r="11" spans="1:6" ht="39.75" customHeight="1" x14ac:dyDescent="0.3">
      <c r="A11" s="15" t="s">
        <v>206</v>
      </c>
      <c r="B11" s="15" t="s">
        <v>207</v>
      </c>
      <c r="C11" s="14" t="s">
        <v>208</v>
      </c>
      <c r="D11" s="15" t="s">
        <v>209</v>
      </c>
      <c r="E11" s="15" t="s">
        <v>46</v>
      </c>
      <c r="F11" s="15" t="s">
        <v>210</v>
      </c>
    </row>
    <row r="12" spans="1:6" ht="39.75" customHeight="1" x14ac:dyDescent="0.3">
      <c r="A12" s="15" t="s">
        <v>211</v>
      </c>
      <c r="B12" s="15" t="s">
        <v>212</v>
      </c>
      <c r="C12" s="14" t="s">
        <v>213</v>
      </c>
      <c r="D12" s="15" t="s">
        <v>214</v>
      </c>
      <c r="E12" s="15" t="s">
        <v>215</v>
      </c>
      <c r="F12" s="15" t="s">
        <v>216</v>
      </c>
    </row>
    <row r="13" spans="1:6" ht="29.25" customHeight="1" x14ac:dyDescent="0.3">
      <c r="A13" s="6" t="s">
        <v>217</v>
      </c>
      <c r="B13" s="6"/>
      <c r="C13" s="6"/>
      <c r="D13" s="6"/>
      <c r="E13" s="6"/>
      <c r="F13" s="6"/>
    </row>
    <row r="15" spans="1:6" ht="15.75" customHeight="1" x14ac:dyDescent="0.3">
      <c r="A15" s="9" t="s">
        <v>218</v>
      </c>
      <c r="B15" s="9"/>
      <c r="C15" s="9"/>
      <c r="D15" s="9"/>
      <c r="E15" s="9"/>
      <c r="F15" s="9"/>
    </row>
    <row r="16" spans="1:6" ht="16.5" customHeight="1" x14ac:dyDescent="0.3">
      <c r="A16" s="8" t="s">
        <v>219</v>
      </c>
      <c r="B16" s="8"/>
      <c r="C16" s="8"/>
      <c r="D16" s="8"/>
      <c r="E16" s="8"/>
      <c r="F16" s="8"/>
    </row>
    <row r="17" spans="1:6" ht="29.25" customHeight="1" x14ac:dyDescent="0.3">
      <c r="A17" s="8" t="s">
        <v>220</v>
      </c>
      <c r="B17" s="8"/>
      <c r="C17" s="8"/>
      <c r="D17" s="8"/>
      <c r="E17" s="8"/>
      <c r="F17" s="8"/>
    </row>
    <row r="18" spans="1:6" ht="29.25" customHeight="1" x14ac:dyDescent="0.3">
      <c r="A18" s="8" t="s">
        <v>221</v>
      </c>
      <c r="B18" s="8"/>
      <c r="C18" s="8"/>
      <c r="D18" s="8"/>
      <c r="E18" s="8"/>
      <c r="F18" s="8"/>
    </row>
    <row r="19" spans="1:6" ht="16.5" customHeight="1" x14ac:dyDescent="0.3">
      <c r="A19" s="8" t="s">
        <v>222</v>
      </c>
      <c r="B19" s="8"/>
      <c r="C19" s="8"/>
      <c r="D19" s="8"/>
      <c r="E19" s="8"/>
      <c r="F19" s="8"/>
    </row>
    <row r="20" spans="1:6" ht="29.25" customHeight="1" x14ac:dyDescent="0.3">
      <c r="A20" s="8" t="s">
        <v>223</v>
      </c>
      <c r="B20" s="8"/>
      <c r="C20" s="8"/>
      <c r="D20" s="8"/>
      <c r="E20" s="8"/>
      <c r="F20" s="8"/>
    </row>
    <row r="21" spans="1:6" ht="16.5" customHeight="1" x14ac:dyDescent="0.3">
      <c r="A21" s="8" t="s">
        <v>224</v>
      </c>
      <c r="B21" s="8"/>
      <c r="C21" s="8"/>
      <c r="D21" s="8"/>
      <c r="E21" s="8"/>
      <c r="F21" s="8"/>
    </row>
    <row r="22" spans="1:6" ht="16.5" customHeight="1" x14ac:dyDescent="0.3">
      <c r="A22" s="8" t="s">
        <v>225</v>
      </c>
      <c r="B22" s="8"/>
      <c r="C22" s="8"/>
      <c r="D22" s="8"/>
      <c r="E22" s="8"/>
      <c r="F22" s="8"/>
    </row>
    <row r="24" spans="1:6" ht="15.75" customHeight="1" x14ac:dyDescent="0.3">
      <c r="A24" s="9" t="s">
        <v>226</v>
      </c>
      <c r="B24" s="9"/>
      <c r="C24" s="9"/>
      <c r="D24" s="9"/>
      <c r="E24" s="9"/>
      <c r="F24" s="9"/>
    </row>
    <row r="25" spans="1:6" ht="16.5" customHeight="1" x14ac:dyDescent="0.3">
      <c r="A25" s="8" t="s">
        <v>227</v>
      </c>
      <c r="B25" s="8"/>
      <c r="C25" s="8"/>
      <c r="D25" s="8"/>
      <c r="E25" s="8"/>
      <c r="F25" s="8"/>
    </row>
    <row r="26" spans="1:6" ht="16.5" customHeight="1" x14ac:dyDescent="0.3">
      <c r="A26" s="8" t="s">
        <v>228</v>
      </c>
      <c r="B26" s="8"/>
      <c r="C26" s="8"/>
      <c r="D26" s="8"/>
      <c r="E26" s="8"/>
      <c r="F26" s="8"/>
    </row>
    <row r="27" spans="1:6" ht="16.5" customHeight="1" x14ac:dyDescent="0.3">
      <c r="A27" s="8" t="s">
        <v>229</v>
      </c>
      <c r="B27" s="8"/>
      <c r="C27" s="8"/>
      <c r="D27" s="8"/>
      <c r="E27" s="8"/>
      <c r="F27" s="8"/>
    </row>
    <row r="28" spans="1:6" ht="29.25" customHeight="1" x14ac:dyDescent="0.3">
      <c r="A28" s="8" t="s">
        <v>230</v>
      </c>
      <c r="B28" s="8"/>
      <c r="C28" s="8"/>
      <c r="D28" s="8"/>
      <c r="E28" s="8"/>
      <c r="F28" s="8"/>
    </row>
    <row r="29" spans="1:6" ht="16.5" customHeight="1" x14ac:dyDescent="0.3">
      <c r="A29" s="8" t="s">
        <v>231</v>
      </c>
      <c r="B29" s="8"/>
      <c r="C29" s="8"/>
      <c r="D29" s="8"/>
      <c r="E29" s="8"/>
      <c r="F29" s="8"/>
    </row>
    <row r="31" spans="1:6" ht="15.75" customHeight="1" x14ac:dyDescent="0.3">
      <c r="A31" s="9" t="s">
        <v>232</v>
      </c>
      <c r="B31" s="9"/>
      <c r="C31" s="9"/>
      <c r="D31" s="9"/>
      <c r="E31" s="9"/>
      <c r="F31" s="9"/>
    </row>
    <row r="32" spans="1:6" ht="35.1" customHeight="1" x14ac:dyDescent="0.3">
      <c r="A32" s="12" t="s">
        <v>233</v>
      </c>
      <c r="B32" s="12" t="s">
        <v>234</v>
      </c>
      <c r="C32" s="12"/>
      <c r="D32" s="5" t="s">
        <v>235</v>
      </c>
      <c r="E32" s="5"/>
      <c r="F32" s="5"/>
    </row>
    <row r="33" spans="1:6" x14ac:dyDescent="0.3">
      <c r="A33" s="17" t="s">
        <v>236</v>
      </c>
      <c r="B33" s="18">
        <v>5</v>
      </c>
      <c r="C33" s="19"/>
      <c r="D33" s="4" t="s">
        <v>237</v>
      </c>
      <c r="E33" s="4"/>
      <c r="F33" s="4"/>
    </row>
    <row r="34" spans="1:6" x14ac:dyDescent="0.3">
      <c r="A34" s="17" t="s">
        <v>238</v>
      </c>
      <c r="B34" s="18">
        <v>3</v>
      </c>
      <c r="C34" s="19"/>
      <c r="D34" s="4" t="s">
        <v>239</v>
      </c>
      <c r="E34" s="4"/>
      <c r="F34" s="4"/>
    </row>
    <row r="35" spans="1:6" x14ac:dyDescent="0.3">
      <c r="A35" s="17" t="s">
        <v>240</v>
      </c>
      <c r="B35" s="18">
        <v>2</v>
      </c>
      <c r="C35" s="19"/>
      <c r="D35" s="4" t="s">
        <v>241</v>
      </c>
      <c r="E35" s="4"/>
      <c r="F35" s="4"/>
    </row>
    <row r="36" spans="1:6" x14ac:dyDescent="0.3">
      <c r="A36" s="17" t="s">
        <v>242</v>
      </c>
      <c r="B36" s="18">
        <v>2</v>
      </c>
      <c r="C36" s="19"/>
      <c r="D36" s="4" t="s">
        <v>243</v>
      </c>
      <c r="E36" s="4"/>
      <c r="F36" s="4"/>
    </row>
    <row r="37" spans="1:6" x14ac:dyDescent="0.3">
      <c r="A37" s="17" t="s">
        <v>244</v>
      </c>
      <c r="B37" s="18">
        <v>1</v>
      </c>
      <c r="C37" s="19"/>
      <c r="D37" s="4" t="s">
        <v>245</v>
      </c>
      <c r="E37" s="4"/>
      <c r="F37" s="4"/>
    </row>
    <row r="38" spans="1:6" x14ac:dyDescent="0.3">
      <c r="A38" s="17" t="s">
        <v>246</v>
      </c>
      <c r="B38" s="18">
        <v>1</v>
      </c>
      <c r="C38" s="19"/>
      <c r="D38" s="4" t="s">
        <v>247</v>
      </c>
      <c r="E38" s="4"/>
      <c r="F38" s="4"/>
    </row>
    <row r="39" spans="1:6" x14ac:dyDescent="0.3">
      <c r="A39" s="17" t="s">
        <v>248</v>
      </c>
      <c r="B39" s="18">
        <v>17</v>
      </c>
      <c r="C39" s="19"/>
      <c r="D39" s="4" t="s">
        <v>249</v>
      </c>
      <c r="E39" s="4"/>
      <c r="F39" s="4"/>
    </row>
    <row r="40" spans="1:6" x14ac:dyDescent="0.3">
      <c r="A40" s="17" t="s">
        <v>250</v>
      </c>
      <c r="B40" s="18">
        <v>4</v>
      </c>
      <c r="C40" s="19"/>
      <c r="D40" s="4" t="s">
        <v>251</v>
      </c>
      <c r="E40" s="4"/>
      <c r="F40" s="4"/>
    </row>
    <row r="41" spans="1:6" x14ac:dyDescent="0.3">
      <c r="A41" s="17" t="s">
        <v>252</v>
      </c>
      <c r="B41" s="18">
        <v>1</v>
      </c>
      <c r="C41" s="19"/>
      <c r="D41" s="4" t="s">
        <v>253</v>
      </c>
      <c r="E41" s="4"/>
      <c r="F41" s="4"/>
    </row>
    <row r="42" spans="1:6" x14ac:dyDescent="0.3">
      <c r="A42" s="17" t="s">
        <v>254</v>
      </c>
      <c r="B42" s="18">
        <v>6</v>
      </c>
      <c r="C42" s="19"/>
      <c r="D42" s="4" t="s">
        <v>255</v>
      </c>
      <c r="E42" s="4"/>
      <c r="F42" s="4"/>
    </row>
    <row r="43" spans="1:6" x14ac:dyDescent="0.3">
      <c r="A43" s="17" t="s">
        <v>256</v>
      </c>
      <c r="B43" s="18">
        <v>6</v>
      </c>
      <c r="C43" s="19"/>
      <c r="D43" s="4" t="s">
        <v>257</v>
      </c>
      <c r="E43" s="4"/>
      <c r="F43" s="4"/>
    </row>
    <row r="44" spans="1:6" x14ac:dyDescent="0.3">
      <c r="A44" s="17" t="s">
        <v>258</v>
      </c>
      <c r="B44" s="18">
        <v>3</v>
      </c>
      <c r="C44" s="19"/>
      <c r="D44" s="4" t="s">
        <v>259</v>
      </c>
      <c r="E44" s="4"/>
      <c r="F44" s="4"/>
    </row>
    <row r="45" spans="1:6" x14ac:dyDescent="0.3">
      <c r="A45" s="17" t="s">
        <v>260</v>
      </c>
      <c r="B45" s="18">
        <v>4</v>
      </c>
      <c r="C45" s="19"/>
      <c r="D45" s="4" t="s">
        <v>261</v>
      </c>
      <c r="E45" s="4"/>
      <c r="F45" s="4"/>
    </row>
    <row r="46" spans="1:6" x14ac:dyDescent="0.3">
      <c r="A46" s="17" t="s">
        <v>262</v>
      </c>
      <c r="B46" s="18">
        <v>9</v>
      </c>
      <c r="C46" s="19"/>
      <c r="D46" s="4" t="s">
        <v>263</v>
      </c>
      <c r="E46" s="4"/>
      <c r="F46" s="4"/>
    </row>
    <row r="47" spans="1:6" x14ac:dyDescent="0.3">
      <c r="A47" s="17" t="s">
        <v>264</v>
      </c>
      <c r="B47" s="18">
        <v>4</v>
      </c>
      <c r="C47" s="19"/>
      <c r="D47" s="4" t="s">
        <v>265</v>
      </c>
      <c r="E47" s="4"/>
      <c r="F47" s="4"/>
    </row>
    <row r="48" spans="1:6" x14ac:dyDescent="0.3">
      <c r="A48" s="17" t="s">
        <v>266</v>
      </c>
      <c r="B48" s="18">
        <v>29</v>
      </c>
      <c r="C48" s="19"/>
      <c r="D48" s="4" t="s">
        <v>267</v>
      </c>
      <c r="E48" s="4"/>
      <c r="F48" s="4"/>
    </row>
    <row r="49" spans="1:6" x14ac:dyDescent="0.3">
      <c r="A49" s="17" t="s">
        <v>268</v>
      </c>
      <c r="B49" s="18">
        <v>3</v>
      </c>
      <c r="C49" s="19"/>
      <c r="D49" s="4" t="s">
        <v>269</v>
      </c>
      <c r="E49" s="4"/>
      <c r="F49" s="4"/>
    </row>
    <row r="50" spans="1:6" x14ac:dyDescent="0.3">
      <c r="A50" s="17" t="s">
        <v>270</v>
      </c>
      <c r="B50" s="18">
        <v>31</v>
      </c>
      <c r="C50" s="19"/>
      <c r="D50" s="4" t="s">
        <v>271</v>
      </c>
      <c r="E50" s="4"/>
      <c r="F50" s="4"/>
    </row>
    <row r="51" spans="1:6" x14ac:dyDescent="0.3">
      <c r="A51" s="17" t="s">
        <v>272</v>
      </c>
      <c r="B51" s="18">
        <v>5</v>
      </c>
      <c r="C51" s="19"/>
      <c r="D51" s="4" t="s">
        <v>273</v>
      </c>
      <c r="E51" s="4"/>
      <c r="F51" s="4"/>
    </row>
    <row r="52" spans="1:6" x14ac:dyDescent="0.3">
      <c r="A52" s="17" t="s">
        <v>274</v>
      </c>
      <c r="B52" s="18">
        <v>2</v>
      </c>
      <c r="C52" s="19"/>
      <c r="D52" s="4" t="s">
        <v>275</v>
      </c>
      <c r="E52" s="4"/>
      <c r="F52" s="4"/>
    </row>
    <row r="53" spans="1:6" x14ac:dyDescent="0.3">
      <c r="A53" s="17" t="s">
        <v>276</v>
      </c>
      <c r="B53" s="18">
        <v>4</v>
      </c>
      <c r="C53" s="19"/>
      <c r="D53" s="4" t="s">
        <v>277</v>
      </c>
      <c r="E53" s="4"/>
      <c r="F53" s="4"/>
    </row>
    <row r="54" spans="1:6" x14ac:dyDescent="0.3">
      <c r="A54" s="17" t="s">
        <v>278</v>
      </c>
      <c r="B54" s="18">
        <v>8</v>
      </c>
      <c r="C54" s="19"/>
      <c r="D54" s="4" t="s">
        <v>279</v>
      </c>
      <c r="E54" s="4"/>
      <c r="F54" s="4"/>
    </row>
    <row r="55" spans="1:6" x14ac:dyDescent="0.3">
      <c r="A55" s="17" t="s">
        <v>280</v>
      </c>
      <c r="B55" s="18">
        <v>3</v>
      </c>
      <c r="C55" s="19"/>
      <c r="D55" s="4" t="s">
        <v>281</v>
      </c>
      <c r="E55" s="4"/>
      <c r="F55" s="4"/>
    </row>
    <row r="56" spans="1:6" x14ac:dyDescent="0.3">
      <c r="A56" s="17" t="s">
        <v>282</v>
      </c>
      <c r="B56" s="18">
        <v>1</v>
      </c>
      <c r="C56" s="19"/>
      <c r="D56" s="4" t="s">
        <v>283</v>
      </c>
      <c r="E56" s="4"/>
      <c r="F56" s="4"/>
    </row>
    <row r="57" spans="1:6" x14ac:dyDescent="0.3">
      <c r="A57" s="17" t="s">
        <v>284</v>
      </c>
      <c r="B57" s="18">
        <v>5</v>
      </c>
      <c r="C57" s="19"/>
      <c r="D57" s="4" t="s">
        <v>285</v>
      </c>
      <c r="E57" s="4"/>
      <c r="F57" s="4"/>
    </row>
    <row r="58" spans="1:6" x14ac:dyDescent="0.3">
      <c r="A58" s="17" t="s">
        <v>286</v>
      </c>
      <c r="B58" s="18">
        <v>2</v>
      </c>
      <c r="C58" s="19"/>
      <c r="D58" s="4" t="s">
        <v>287</v>
      </c>
      <c r="E58" s="4"/>
      <c r="F58" s="4"/>
    </row>
    <row r="59" spans="1:6" x14ac:dyDescent="0.3">
      <c r="A59" s="17" t="s">
        <v>288</v>
      </c>
      <c r="B59" s="18">
        <v>8</v>
      </c>
      <c r="C59" s="19"/>
      <c r="D59" s="4" t="s">
        <v>289</v>
      </c>
      <c r="E59" s="4"/>
      <c r="F59" s="4"/>
    </row>
    <row r="60" spans="1:6" x14ac:dyDescent="0.3">
      <c r="A60" s="17" t="s">
        <v>290</v>
      </c>
      <c r="B60" s="18">
        <v>14</v>
      </c>
      <c r="C60" s="19"/>
      <c r="D60" s="4" t="s">
        <v>291</v>
      </c>
      <c r="E60" s="4"/>
      <c r="F60" s="4"/>
    </row>
    <row r="61" spans="1:6" x14ac:dyDescent="0.3">
      <c r="A61" s="17" t="s">
        <v>292</v>
      </c>
      <c r="B61" s="18">
        <v>1</v>
      </c>
      <c r="C61" s="19"/>
      <c r="D61" s="4" t="s">
        <v>293</v>
      </c>
      <c r="E61" s="4"/>
      <c r="F61" s="4"/>
    </row>
    <row r="62" spans="1:6" x14ac:dyDescent="0.3">
      <c r="A62" s="17" t="s">
        <v>294</v>
      </c>
      <c r="B62" s="18">
        <v>12</v>
      </c>
      <c r="C62" s="19"/>
      <c r="D62" s="4" t="s">
        <v>295</v>
      </c>
      <c r="E62" s="4"/>
      <c r="F62" s="4"/>
    </row>
    <row r="63" spans="1:6" x14ac:dyDescent="0.3">
      <c r="A63" s="17" t="s">
        <v>296</v>
      </c>
      <c r="B63" s="18">
        <v>8</v>
      </c>
      <c r="C63" s="19"/>
      <c r="D63" s="4" t="s">
        <v>297</v>
      </c>
      <c r="E63" s="4"/>
      <c r="F63" s="4"/>
    </row>
    <row r="64" spans="1:6" x14ac:dyDescent="0.3">
      <c r="A64" s="17" t="s">
        <v>298</v>
      </c>
      <c r="B64" s="18">
        <v>1</v>
      </c>
      <c r="C64" s="19"/>
      <c r="D64" s="4" t="s">
        <v>299</v>
      </c>
      <c r="E64" s="4"/>
      <c r="F64" s="4"/>
    </row>
    <row r="65" spans="1:6" x14ac:dyDescent="0.3">
      <c r="A65" s="17" t="s">
        <v>300</v>
      </c>
      <c r="B65" s="18">
        <v>3</v>
      </c>
      <c r="C65" s="19"/>
      <c r="D65" s="4" t="s">
        <v>301</v>
      </c>
      <c r="E65" s="4"/>
      <c r="F65" s="4"/>
    </row>
    <row r="66" spans="1:6" x14ac:dyDescent="0.3">
      <c r="A66" s="17" t="s">
        <v>302</v>
      </c>
      <c r="B66" s="18">
        <v>1</v>
      </c>
      <c r="C66" s="19"/>
      <c r="D66" s="4" t="s">
        <v>303</v>
      </c>
      <c r="E66" s="4"/>
      <c r="F66" s="4"/>
    </row>
    <row r="67" spans="1:6" x14ac:dyDescent="0.3">
      <c r="A67" s="17" t="s">
        <v>304</v>
      </c>
      <c r="B67" s="18">
        <v>3</v>
      </c>
      <c r="C67" s="19"/>
      <c r="D67" s="4" t="s">
        <v>305</v>
      </c>
      <c r="E67" s="4"/>
      <c r="F67" s="4"/>
    </row>
    <row r="68" spans="1:6" x14ac:dyDescent="0.3">
      <c r="A68" s="17" t="s">
        <v>306</v>
      </c>
      <c r="B68" s="18">
        <v>105</v>
      </c>
      <c r="C68" s="19"/>
      <c r="D68" s="4" t="s">
        <v>199</v>
      </c>
      <c r="E68" s="4"/>
      <c r="F68" s="4"/>
    </row>
    <row r="69" spans="1:6" x14ac:dyDescent="0.3">
      <c r="A69" s="17" t="s">
        <v>307</v>
      </c>
      <c r="B69" s="18">
        <v>101</v>
      </c>
      <c r="C69" s="19"/>
      <c r="D69" s="4" t="s">
        <v>308</v>
      </c>
      <c r="E69" s="4"/>
      <c r="F69" s="4"/>
    </row>
    <row r="70" spans="1:6" x14ac:dyDescent="0.3">
      <c r="A70" s="17" t="s">
        <v>309</v>
      </c>
      <c r="B70" s="18">
        <v>2</v>
      </c>
      <c r="C70" s="19"/>
      <c r="D70" s="4" t="s">
        <v>310</v>
      </c>
      <c r="E70" s="4"/>
      <c r="F70" s="4"/>
    </row>
    <row r="71" spans="1:6" x14ac:dyDescent="0.3">
      <c r="A71" s="17" t="s">
        <v>311</v>
      </c>
      <c r="B71" s="18">
        <v>3</v>
      </c>
      <c r="C71" s="19"/>
      <c r="D71" s="4" t="s">
        <v>312</v>
      </c>
      <c r="E71" s="4"/>
      <c r="F71" s="4"/>
    </row>
    <row r="72" spans="1:6" x14ac:dyDescent="0.3">
      <c r="A72" s="17" t="s">
        <v>313</v>
      </c>
      <c r="B72" s="18">
        <v>5</v>
      </c>
      <c r="C72" s="19"/>
      <c r="D72" s="4" t="s">
        <v>314</v>
      </c>
      <c r="E72" s="4"/>
      <c r="F72" s="4"/>
    </row>
    <row r="73" spans="1:6" x14ac:dyDescent="0.3">
      <c r="A73" s="17" t="s">
        <v>315</v>
      </c>
      <c r="B73" s="18">
        <v>2</v>
      </c>
      <c r="C73" s="19"/>
      <c r="D73" s="4" t="s">
        <v>316</v>
      </c>
      <c r="E73" s="4"/>
      <c r="F73" s="4"/>
    </row>
    <row r="74" spans="1:6" x14ac:dyDescent="0.3">
      <c r="A74" s="17" t="s">
        <v>317</v>
      </c>
      <c r="B74" s="18">
        <v>4</v>
      </c>
      <c r="C74" s="19"/>
      <c r="D74" s="4" t="s">
        <v>318</v>
      </c>
      <c r="E74" s="4"/>
      <c r="F74" s="4"/>
    </row>
    <row r="75" spans="1:6" x14ac:dyDescent="0.3">
      <c r="A75" s="17" t="s">
        <v>319</v>
      </c>
      <c r="B75" s="18">
        <v>1</v>
      </c>
      <c r="C75" s="19"/>
      <c r="D75" s="4" t="s">
        <v>320</v>
      </c>
      <c r="E75" s="4"/>
      <c r="F75" s="4"/>
    </row>
    <row r="76" spans="1:6" x14ac:dyDescent="0.3">
      <c r="A76" s="17" t="s">
        <v>321</v>
      </c>
      <c r="B76" s="18">
        <v>1</v>
      </c>
      <c r="C76" s="19"/>
      <c r="D76" s="4" t="s">
        <v>322</v>
      </c>
      <c r="E76" s="4"/>
      <c r="F76" s="4"/>
    </row>
    <row r="77" spans="1:6" x14ac:dyDescent="0.3">
      <c r="A77" s="17" t="s">
        <v>323</v>
      </c>
      <c r="B77" s="18">
        <v>4</v>
      </c>
      <c r="C77" s="19"/>
      <c r="D77" s="4" t="s">
        <v>324</v>
      </c>
      <c r="E77" s="4"/>
      <c r="F77" s="4"/>
    </row>
    <row r="79" spans="1:6" ht="15.75" customHeight="1" x14ac:dyDescent="0.3">
      <c r="A79" s="9" t="s">
        <v>325</v>
      </c>
      <c r="B79" s="9"/>
      <c r="C79" s="9"/>
      <c r="D79" s="9"/>
      <c r="E79" s="9"/>
      <c r="F79" s="9"/>
    </row>
    <row r="80" spans="1:6" ht="30" customHeight="1" x14ac:dyDescent="0.3">
      <c r="A80" s="12" t="s">
        <v>326</v>
      </c>
      <c r="B80" s="12" t="s">
        <v>190</v>
      </c>
      <c r="C80" s="12" t="s">
        <v>327</v>
      </c>
      <c r="D80" s="12" t="s">
        <v>328</v>
      </c>
      <c r="E80" s="12" t="s">
        <v>329</v>
      </c>
      <c r="F80" s="12" t="s">
        <v>330</v>
      </c>
    </row>
    <row r="81" spans="1:6" ht="45.6" x14ac:dyDescent="0.3">
      <c r="A81" s="20">
        <v>80111600</v>
      </c>
      <c r="B81" s="15" t="s">
        <v>331</v>
      </c>
      <c r="C81" s="15">
        <v>56</v>
      </c>
      <c r="D81" s="15" t="s">
        <v>332</v>
      </c>
      <c r="E81" s="15" t="s">
        <v>333</v>
      </c>
      <c r="F81" s="15" t="s">
        <v>334</v>
      </c>
    </row>
    <row r="82" spans="1:6" ht="34.200000000000003" x14ac:dyDescent="0.3">
      <c r="A82" s="20">
        <v>80101600</v>
      </c>
      <c r="B82" s="15" t="s">
        <v>331</v>
      </c>
      <c r="C82" s="15">
        <v>29</v>
      </c>
      <c r="D82" s="15" t="s">
        <v>335</v>
      </c>
      <c r="E82" s="15" t="s">
        <v>336</v>
      </c>
      <c r="F82" s="15" t="s">
        <v>337</v>
      </c>
    </row>
    <row r="83" spans="1:6" ht="34.200000000000003" x14ac:dyDescent="0.3">
      <c r="A83" s="20">
        <v>81111600</v>
      </c>
      <c r="B83" s="15" t="s">
        <v>331</v>
      </c>
      <c r="C83" s="15">
        <v>26</v>
      </c>
      <c r="D83" s="15" t="s">
        <v>338</v>
      </c>
      <c r="E83" s="15" t="s">
        <v>339</v>
      </c>
      <c r="F83" s="15" t="s">
        <v>340</v>
      </c>
    </row>
    <row r="84" spans="1:6" ht="45.6" x14ac:dyDescent="0.3">
      <c r="A84" s="20">
        <v>81112307</v>
      </c>
      <c r="B84" s="15" t="s">
        <v>341</v>
      </c>
      <c r="C84" s="15">
        <v>20</v>
      </c>
      <c r="D84" s="15" t="s">
        <v>342</v>
      </c>
      <c r="E84" s="15" t="s">
        <v>343</v>
      </c>
      <c r="F84" s="15" t="s">
        <v>344</v>
      </c>
    </row>
    <row r="85" spans="1:6" ht="34.200000000000003" x14ac:dyDescent="0.3">
      <c r="A85" s="20">
        <v>81112501</v>
      </c>
      <c r="B85" s="15" t="s">
        <v>341</v>
      </c>
      <c r="C85" s="15">
        <v>18</v>
      </c>
      <c r="D85" s="15" t="s">
        <v>345</v>
      </c>
      <c r="E85" s="15" t="s">
        <v>346</v>
      </c>
      <c r="F85" s="15" t="s">
        <v>347</v>
      </c>
    </row>
    <row r="86" spans="1:6" ht="34.200000000000003" x14ac:dyDescent="0.3">
      <c r="A86" s="20">
        <v>81112210</v>
      </c>
      <c r="B86" s="15" t="s">
        <v>341</v>
      </c>
      <c r="C86" s="15">
        <v>8</v>
      </c>
      <c r="D86" s="15" t="s">
        <v>348</v>
      </c>
      <c r="E86" s="15" t="s">
        <v>349</v>
      </c>
      <c r="F86" s="15" t="s">
        <v>350</v>
      </c>
    </row>
    <row r="87" spans="1:6" ht="34.200000000000003" x14ac:dyDescent="0.3">
      <c r="A87" s="20">
        <v>80111601</v>
      </c>
      <c r="B87" s="15" t="s">
        <v>341</v>
      </c>
      <c r="C87" s="15">
        <v>7</v>
      </c>
      <c r="D87" s="15" t="s">
        <v>351</v>
      </c>
      <c r="E87" s="15" t="s">
        <v>352</v>
      </c>
      <c r="F87" s="15" t="s">
        <v>353</v>
      </c>
    </row>
    <row r="88" spans="1:6" ht="45.6" x14ac:dyDescent="0.3">
      <c r="A88" s="20">
        <v>81161507</v>
      </c>
      <c r="B88" s="15" t="s">
        <v>341</v>
      </c>
      <c r="C88" s="15">
        <v>7</v>
      </c>
      <c r="D88" s="15" t="s">
        <v>354</v>
      </c>
      <c r="E88" s="15" t="s">
        <v>355</v>
      </c>
      <c r="F88" s="15" t="s">
        <v>356</v>
      </c>
    </row>
    <row r="89" spans="1:6" ht="45.6" x14ac:dyDescent="0.3">
      <c r="A89" s="20">
        <v>41104503</v>
      </c>
      <c r="B89" s="15" t="s">
        <v>341</v>
      </c>
      <c r="C89" s="15">
        <v>6</v>
      </c>
      <c r="D89" s="15" t="s">
        <v>357</v>
      </c>
      <c r="E89" s="15" t="s">
        <v>358</v>
      </c>
      <c r="F89" s="15" t="s">
        <v>359</v>
      </c>
    </row>
    <row r="90" spans="1:6" ht="45.6" x14ac:dyDescent="0.3">
      <c r="A90" s="20">
        <v>41000000</v>
      </c>
      <c r="B90" s="21" t="s">
        <v>233</v>
      </c>
      <c r="C90" s="15">
        <v>5</v>
      </c>
      <c r="D90" s="15" t="s">
        <v>360</v>
      </c>
      <c r="E90" s="15" t="s">
        <v>361</v>
      </c>
      <c r="F90" s="15" t="s">
        <v>359</v>
      </c>
    </row>
    <row r="91" spans="1:6" ht="22.8" x14ac:dyDescent="0.3">
      <c r="A91" s="20">
        <v>43211503</v>
      </c>
      <c r="B91" s="15" t="s">
        <v>341</v>
      </c>
      <c r="C91" s="15">
        <v>5</v>
      </c>
      <c r="D91" s="15" t="s">
        <v>362</v>
      </c>
      <c r="E91" s="15" t="s">
        <v>363</v>
      </c>
      <c r="F91" s="15" t="s">
        <v>364</v>
      </c>
    </row>
    <row r="92" spans="1:6" ht="34.200000000000003" x14ac:dyDescent="0.3">
      <c r="A92" s="20">
        <v>39120000</v>
      </c>
      <c r="B92" s="21" t="s">
        <v>365</v>
      </c>
      <c r="C92" s="15">
        <v>4</v>
      </c>
      <c r="D92" s="15" t="s">
        <v>366</v>
      </c>
      <c r="E92" s="15" t="s">
        <v>367</v>
      </c>
      <c r="F92" s="15" t="s">
        <v>368</v>
      </c>
    </row>
    <row r="93" spans="1:6" ht="34.200000000000003" x14ac:dyDescent="0.3">
      <c r="A93" s="20">
        <v>39121700</v>
      </c>
      <c r="B93" s="15" t="s">
        <v>331</v>
      </c>
      <c r="C93" s="15">
        <v>4</v>
      </c>
      <c r="D93" s="15" t="s">
        <v>366</v>
      </c>
      <c r="E93" s="15" t="s">
        <v>367</v>
      </c>
      <c r="F93" s="15" t="s">
        <v>368</v>
      </c>
    </row>
    <row r="94" spans="1:6" ht="34.200000000000003" x14ac:dyDescent="0.3">
      <c r="A94" s="20">
        <v>43211508</v>
      </c>
      <c r="B94" s="15" t="s">
        <v>341</v>
      </c>
      <c r="C94" s="15">
        <v>4</v>
      </c>
      <c r="D94" s="15" t="s">
        <v>369</v>
      </c>
      <c r="E94" s="15" t="s">
        <v>370</v>
      </c>
      <c r="F94" s="15" t="s">
        <v>356</v>
      </c>
    </row>
    <row r="95" spans="1:6" ht="34.200000000000003" x14ac:dyDescent="0.3">
      <c r="A95" s="20">
        <v>11101700</v>
      </c>
      <c r="B95" s="15" t="s">
        <v>331</v>
      </c>
      <c r="C95" s="15">
        <v>3</v>
      </c>
      <c r="D95" s="15" t="s">
        <v>371</v>
      </c>
      <c r="E95" s="15" t="s">
        <v>372</v>
      </c>
      <c r="F95" s="15" t="s">
        <v>373</v>
      </c>
    </row>
    <row r="96" spans="1:6" ht="34.200000000000003" x14ac:dyDescent="0.3">
      <c r="A96" s="20">
        <v>23161500</v>
      </c>
      <c r="B96" s="15" t="s">
        <v>331</v>
      </c>
      <c r="C96" s="15">
        <v>3</v>
      </c>
      <c r="D96" s="15" t="s">
        <v>374</v>
      </c>
      <c r="E96" s="15" t="s">
        <v>375</v>
      </c>
      <c r="F96" s="15" t="s">
        <v>376</v>
      </c>
    </row>
    <row r="97" spans="1:6" ht="34.200000000000003" x14ac:dyDescent="0.3">
      <c r="A97" s="20">
        <v>24131503</v>
      </c>
      <c r="B97" s="15" t="s">
        <v>341</v>
      </c>
      <c r="C97" s="15">
        <v>3</v>
      </c>
      <c r="D97" s="15" t="s">
        <v>377</v>
      </c>
      <c r="E97" s="15" t="s">
        <v>378</v>
      </c>
      <c r="F97" s="15" t="s">
        <v>379</v>
      </c>
    </row>
    <row r="98" spans="1:6" ht="22.8" x14ac:dyDescent="0.3">
      <c r="A98" s="20">
        <v>27110000</v>
      </c>
      <c r="B98" s="21" t="s">
        <v>365</v>
      </c>
      <c r="C98" s="15">
        <v>3</v>
      </c>
      <c r="D98" s="15" t="s">
        <v>380</v>
      </c>
      <c r="E98" s="15" t="s">
        <v>381</v>
      </c>
      <c r="F98" s="15" t="s">
        <v>382</v>
      </c>
    </row>
    <row r="99" spans="1:6" ht="45.6" x14ac:dyDescent="0.3">
      <c r="A99" s="20">
        <v>41121800</v>
      </c>
      <c r="B99" s="15" t="s">
        <v>331</v>
      </c>
      <c r="C99" s="15">
        <v>3</v>
      </c>
      <c r="D99" s="15" t="s">
        <v>383</v>
      </c>
      <c r="E99" s="15" t="s">
        <v>384</v>
      </c>
      <c r="F99" s="15" t="s">
        <v>359</v>
      </c>
    </row>
    <row r="100" spans="1:6" ht="22.8" x14ac:dyDescent="0.3">
      <c r="A100" s="20">
        <v>43231513</v>
      </c>
      <c r="B100" s="15" t="s">
        <v>341</v>
      </c>
      <c r="C100" s="15">
        <v>3</v>
      </c>
      <c r="D100" s="15" t="s">
        <v>385</v>
      </c>
      <c r="E100" s="15" t="s">
        <v>386</v>
      </c>
      <c r="F100" s="15" t="s">
        <v>382</v>
      </c>
    </row>
    <row r="101" spans="1:6" ht="45.6" x14ac:dyDescent="0.3">
      <c r="A101" s="20">
        <v>56121902</v>
      </c>
      <c r="B101" s="15" t="s">
        <v>341</v>
      </c>
      <c r="C101" s="15">
        <v>3</v>
      </c>
      <c r="D101" s="15" t="s">
        <v>387</v>
      </c>
      <c r="E101" s="15" t="s">
        <v>388</v>
      </c>
      <c r="F101" s="15" t="s">
        <v>389</v>
      </c>
    </row>
    <row r="102" spans="1:6" x14ac:dyDescent="0.3">
      <c r="A102" s="20">
        <v>60000000</v>
      </c>
      <c r="B102" s="21" t="s">
        <v>233</v>
      </c>
      <c r="C102" s="15">
        <v>3</v>
      </c>
      <c r="D102" s="15" t="s">
        <v>390</v>
      </c>
      <c r="E102" s="15" t="s">
        <v>391</v>
      </c>
      <c r="F102" s="15" t="s">
        <v>392</v>
      </c>
    </row>
    <row r="103" spans="1:6" x14ac:dyDescent="0.3">
      <c r="A103" s="20">
        <v>60100000</v>
      </c>
      <c r="B103" s="21" t="s">
        <v>365</v>
      </c>
      <c r="C103" s="15">
        <v>3</v>
      </c>
      <c r="D103" s="15" t="s">
        <v>393</v>
      </c>
      <c r="E103" s="15" t="s">
        <v>394</v>
      </c>
      <c r="F103" s="15" t="s">
        <v>392</v>
      </c>
    </row>
    <row r="104" spans="1:6" ht="45.6" x14ac:dyDescent="0.3">
      <c r="A104" s="20">
        <v>60102300</v>
      </c>
      <c r="B104" s="15" t="s">
        <v>331</v>
      </c>
      <c r="C104" s="15">
        <v>3</v>
      </c>
      <c r="D104" s="15" t="s">
        <v>395</v>
      </c>
      <c r="E104" s="15" t="s">
        <v>396</v>
      </c>
      <c r="F104" s="15" t="s">
        <v>356</v>
      </c>
    </row>
    <row r="105" spans="1:6" ht="45.6" x14ac:dyDescent="0.3">
      <c r="A105" s="20">
        <v>72151500</v>
      </c>
      <c r="B105" s="15" t="s">
        <v>331</v>
      </c>
      <c r="C105" s="15">
        <v>3</v>
      </c>
      <c r="D105" s="15" t="s">
        <v>397</v>
      </c>
      <c r="E105" s="15" t="s">
        <v>398</v>
      </c>
      <c r="F105" s="15" t="s">
        <v>368</v>
      </c>
    </row>
    <row r="106" spans="1:6" ht="34.200000000000003" x14ac:dyDescent="0.3">
      <c r="A106" s="20">
        <v>73152100</v>
      </c>
      <c r="B106" s="15" t="s">
        <v>331</v>
      </c>
      <c r="C106" s="15">
        <v>3</v>
      </c>
      <c r="D106" s="15" t="s">
        <v>399</v>
      </c>
      <c r="E106" s="15" t="s">
        <v>400</v>
      </c>
      <c r="F106" s="15" t="s">
        <v>401</v>
      </c>
    </row>
    <row r="107" spans="1:6" ht="34.200000000000003" x14ac:dyDescent="0.3">
      <c r="A107" s="20">
        <v>80111614</v>
      </c>
      <c r="B107" s="15" t="s">
        <v>341</v>
      </c>
      <c r="C107" s="15">
        <v>3</v>
      </c>
      <c r="D107" s="15" t="s">
        <v>402</v>
      </c>
      <c r="E107" s="15" t="s">
        <v>403</v>
      </c>
      <c r="F107" s="15" t="s">
        <v>353</v>
      </c>
    </row>
    <row r="108" spans="1:6" ht="34.200000000000003" x14ac:dyDescent="0.3">
      <c r="A108" s="20">
        <v>81101500</v>
      </c>
      <c r="B108" s="15" t="s">
        <v>331</v>
      </c>
      <c r="C108" s="15">
        <v>3</v>
      </c>
      <c r="D108" s="15" t="s">
        <v>404</v>
      </c>
      <c r="E108" s="15" t="s">
        <v>405</v>
      </c>
      <c r="F108" s="15" t="s">
        <v>337</v>
      </c>
    </row>
    <row r="109" spans="1:6" ht="34.200000000000003" x14ac:dyDescent="0.3">
      <c r="A109" s="20">
        <v>95122306</v>
      </c>
      <c r="B109" s="15" t="s">
        <v>341</v>
      </c>
      <c r="C109" s="15">
        <v>3</v>
      </c>
      <c r="D109" s="15" t="s">
        <v>406</v>
      </c>
      <c r="E109" s="15" t="s">
        <v>407</v>
      </c>
      <c r="F109" s="15" t="s">
        <v>364</v>
      </c>
    </row>
    <row r="110" spans="1:6" ht="45.6" x14ac:dyDescent="0.3">
      <c r="A110" s="20">
        <v>14111509</v>
      </c>
      <c r="B110" s="15" t="s">
        <v>341</v>
      </c>
      <c r="C110" s="15">
        <v>2</v>
      </c>
      <c r="D110" s="15" t="s">
        <v>408</v>
      </c>
      <c r="E110" s="15" t="s">
        <v>409</v>
      </c>
      <c r="F110" s="15" t="s">
        <v>364</v>
      </c>
    </row>
    <row r="111" spans="1:6" ht="34.200000000000003" x14ac:dyDescent="0.3">
      <c r="A111" s="20">
        <v>23241800</v>
      </c>
      <c r="B111" s="15" t="s">
        <v>331</v>
      </c>
      <c r="C111" s="15">
        <v>2</v>
      </c>
      <c r="D111" s="15" t="s">
        <v>410</v>
      </c>
      <c r="E111" s="15" t="s">
        <v>411</v>
      </c>
      <c r="F111" s="15" t="s">
        <v>412</v>
      </c>
    </row>
    <row r="112" spans="1:6" ht="34.200000000000003" x14ac:dyDescent="0.3">
      <c r="A112" s="20">
        <v>32000000</v>
      </c>
      <c r="B112" s="21" t="s">
        <v>233</v>
      </c>
      <c r="C112" s="15">
        <v>2</v>
      </c>
      <c r="D112" s="15" t="s">
        <v>413</v>
      </c>
      <c r="E112" s="15" t="s">
        <v>414</v>
      </c>
      <c r="F112" s="15" t="s">
        <v>392</v>
      </c>
    </row>
    <row r="113" spans="1:6" ht="34.200000000000003" x14ac:dyDescent="0.3">
      <c r="A113" s="20">
        <v>41113600</v>
      </c>
      <c r="B113" s="15" t="s">
        <v>331</v>
      </c>
      <c r="C113" s="15">
        <v>2</v>
      </c>
      <c r="D113" s="15" t="s">
        <v>415</v>
      </c>
      <c r="E113" s="15" t="s">
        <v>416</v>
      </c>
      <c r="F113" s="15" t="s">
        <v>417</v>
      </c>
    </row>
    <row r="114" spans="1:6" ht="34.200000000000003" x14ac:dyDescent="0.3">
      <c r="A114" s="20">
        <v>42191611</v>
      </c>
      <c r="B114" s="15" t="s">
        <v>341</v>
      </c>
      <c r="C114" s="15">
        <v>2</v>
      </c>
      <c r="D114" s="15" t="s">
        <v>418</v>
      </c>
      <c r="E114" s="15" t="s">
        <v>419</v>
      </c>
      <c r="F114" s="15" t="s">
        <v>364</v>
      </c>
    </row>
    <row r="115" spans="1:6" ht="22.8" x14ac:dyDescent="0.3">
      <c r="A115" s="20">
        <v>43211903</v>
      </c>
      <c r="B115" s="15" t="s">
        <v>341</v>
      </c>
      <c r="C115" s="15">
        <v>2</v>
      </c>
      <c r="D115" s="15" t="s">
        <v>420</v>
      </c>
      <c r="E115" s="15" t="s">
        <v>421</v>
      </c>
      <c r="F115" s="15" t="s">
        <v>422</v>
      </c>
    </row>
    <row r="116" spans="1:6" ht="45.6" x14ac:dyDescent="0.3">
      <c r="A116" s="20">
        <v>43212105</v>
      </c>
      <c r="B116" s="15" t="s">
        <v>341</v>
      </c>
      <c r="C116" s="15">
        <v>2</v>
      </c>
      <c r="D116" s="15" t="s">
        <v>423</v>
      </c>
      <c r="E116" s="15" t="s">
        <v>424</v>
      </c>
      <c r="F116" s="15" t="s">
        <v>356</v>
      </c>
    </row>
    <row r="117" spans="1:6" ht="34.200000000000003" x14ac:dyDescent="0.3">
      <c r="A117" s="20">
        <v>43231512</v>
      </c>
      <c r="B117" s="15" t="s">
        <v>341</v>
      </c>
      <c r="C117" s="15">
        <v>2</v>
      </c>
      <c r="D117" s="15" t="s">
        <v>425</v>
      </c>
      <c r="E117" s="15" t="s">
        <v>426</v>
      </c>
      <c r="F117" s="15" t="s">
        <v>364</v>
      </c>
    </row>
    <row r="118" spans="1:6" ht="22.8" x14ac:dyDescent="0.3">
      <c r="A118" s="20">
        <v>44103103</v>
      </c>
      <c r="B118" s="15" t="s">
        <v>341</v>
      </c>
      <c r="C118" s="15">
        <v>2</v>
      </c>
      <c r="D118" s="15" t="s">
        <v>427</v>
      </c>
      <c r="E118" s="15" t="s">
        <v>428</v>
      </c>
      <c r="F118" s="15" t="s">
        <v>364</v>
      </c>
    </row>
    <row r="119" spans="1:6" ht="34.200000000000003" x14ac:dyDescent="0.3">
      <c r="A119" s="20">
        <v>44121600</v>
      </c>
      <c r="B119" s="15" t="s">
        <v>331</v>
      </c>
      <c r="C119" s="15">
        <v>2</v>
      </c>
      <c r="D119" s="15" t="s">
        <v>429</v>
      </c>
      <c r="E119" s="15" t="s">
        <v>430</v>
      </c>
      <c r="F119" s="15" t="s">
        <v>364</v>
      </c>
    </row>
    <row r="120" spans="1:6" ht="22.8" x14ac:dyDescent="0.3">
      <c r="A120" s="20">
        <v>47121700</v>
      </c>
      <c r="B120" s="15" t="s">
        <v>331</v>
      </c>
      <c r="C120" s="15">
        <v>2</v>
      </c>
      <c r="D120" s="15" t="s">
        <v>431</v>
      </c>
      <c r="E120" s="15" t="s">
        <v>432</v>
      </c>
      <c r="F120" s="15" t="s">
        <v>433</v>
      </c>
    </row>
    <row r="121" spans="1:6" ht="45.6" x14ac:dyDescent="0.3">
      <c r="A121" s="20">
        <v>47131805</v>
      </c>
      <c r="B121" s="15" t="s">
        <v>341</v>
      </c>
      <c r="C121" s="15">
        <v>2</v>
      </c>
      <c r="D121" s="15" t="s">
        <v>434</v>
      </c>
      <c r="E121" s="15" t="s">
        <v>435</v>
      </c>
      <c r="F121" s="15" t="s">
        <v>436</v>
      </c>
    </row>
    <row r="122" spans="1:6" ht="45.6" x14ac:dyDescent="0.3">
      <c r="A122" s="20">
        <v>47131825</v>
      </c>
      <c r="B122" s="15" t="s">
        <v>341</v>
      </c>
      <c r="C122" s="15">
        <v>2</v>
      </c>
      <c r="D122" s="15" t="s">
        <v>434</v>
      </c>
      <c r="E122" s="15" t="s">
        <v>435</v>
      </c>
      <c r="F122" s="15" t="s">
        <v>436</v>
      </c>
    </row>
    <row r="123" spans="1:6" ht="22.8" x14ac:dyDescent="0.3">
      <c r="A123" s="20">
        <v>53102700</v>
      </c>
      <c r="B123" s="15" t="s">
        <v>331</v>
      </c>
      <c r="C123" s="15">
        <v>2</v>
      </c>
      <c r="D123" s="15" t="s">
        <v>437</v>
      </c>
      <c r="E123" s="15" t="s">
        <v>438</v>
      </c>
      <c r="F123" s="15" t="s">
        <v>364</v>
      </c>
    </row>
    <row r="124" spans="1:6" ht="22.8" x14ac:dyDescent="0.3">
      <c r="A124" s="20">
        <v>53102717</v>
      </c>
      <c r="B124" s="15" t="s">
        <v>341</v>
      </c>
      <c r="C124" s="15">
        <v>2</v>
      </c>
      <c r="D124" s="15" t="s">
        <v>439</v>
      </c>
      <c r="E124" s="15" t="s">
        <v>440</v>
      </c>
      <c r="F124" s="15" t="s">
        <v>364</v>
      </c>
    </row>
    <row r="125" spans="1:6" ht="45.6" x14ac:dyDescent="0.3">
      <c r="A125" s="20">
        <v>72151800</v>
      </c>
      <c r="B125" s="15" t="s">
        <v>331</v>
      </c>
      <c r="C125" s="15">
        <v>2</v>
      </c>
      <c r="D125" s="15" t="s">
        <v>441</v>
      </c>
      <c r="E125" s="15" t="s">
        <v>442</v>
      </c>
      <c r="F125" s="15" t="s">
        <v>368</v>
      </c>
    </row>
    <row r="126" spans="1:6" ht="34.200000000000003" x14ac:dyDescent="0.3">
      <c r="A126" s="20">
        <v>73151700</v>
      </c>
      <c r="B126" s="15" t="s">
        <v>331</v>
      </c>
      <c r="C126" s="15">
        <v>2</v>
      </c>
      <c r="D126" s="15" t="s">
        <v>443</v>
      </c>
      <c r="E126" s="15" t="s">
        <v>444</v>
      </c>
      <c r="F126" s="15" t="s">
        <v>417</v>
      </c>
    </row>
    <row r="127" spans="1:6" ht="34.200000000000003" x14ac:dyDescent="0.3">
      <c r="A127" s="20">
        <v>73151704</v>
      </c>
      <c r="B127" s="15" t="s">
        <v>341</v>
      </c>
      <c r="C127" s="15">
        <v>2</v>
      </c>
      <c r="D127" s="15" t="s">
        <v>443</v>
      </c>
      <c r="E127" s="15" t="s">
        <v>444</v>
      </c>
      <c r="F127" s="15" t="s">
        <v>417</v>
      </c>
    </row>
    <row r="128" spans="1:6" x14ac:dyDescent="0.3">
      <c r="A128" s="20">
        <v>78111500</v>
      </c>
      <c r="B128" s="15" t="s">
        <v>331</v>
      </c>
      <c r="C128" s="15">
        <v>2</v>
      </c>
      <c r="D128" s="15" t="s">
        <v>445</v>
      </c>
      <c r="E128" s="15" t="s">
        <v>446</v>
      </c>
      <c r="F128" s="15" t="s">
        <v>392</v>
      </c>
    </row>
    <row r="129" spans="1:6" ht="34.200000000000003" x14ac:dyDescent="0.3">
      <c r="A129" s="20">
        <v>80101507</v>
      </c>
      <c r="B129" s="15" t="s">
        <v>341</v>
      </c>
      <c r="C129" s="15">
        <v>2</v>
      </c>
      <c r="D129" s="15" t="s">
        <v>447</v>
      </c>
      <c r="E129" s="15" t="s">
        <v>448</v>
      </c>
      <c r="F129" s="15" t="s">
        <v>364</v>
      </c>
    </row>
    <row r="130" spans="1:6" ht="34.200000000000003" x14ac:dyDescent="0.3">
      <c r="A130" s="20">
        <v>80111607</v>
      </c>
      <c r="B130" s="15" t="s">
        <v>341</v>
      </c>
      <c r="C130" s="15">
        <v>2</v>
      </c>
      <c r="D130" s="15" t="s">
        <v>449</v>
      </c>
      <c r="E130" s="15" t="s">
        <v>450</v>
      </c>
      <c r="F130" s="15" t="s">
        <v>451</v>
      </c>
    </row>
    <row r="131" spans="1:6" ht="34.200000000000003" x14ac:dyDescent="0.3">
      <c r="A131" s="20">
        <v>81111500</v>
      </c>
      <c r="B131" s="15" t="s">
        <v>331</v>
      </c>
      <c r="C131" s="15">
        <v>2</v>
      </c>
      <c r="D131" s="15" t="s">
        <v>452</v>
      </c>
      <c r="E131" s="15" t="s">
        <v>453</v>
      </c>
      <c r="F131" s="15" t="s">
        <v>454</v>
      </c>
    </row>
    <row r="132" spans="1:6" ht="45.6" x14ac:dyDescent="0.3">
      <c r="A132" s="20">
        <v>81111707</v>
      </c>
      <c r="B132" s="15" t="s">
        <v>341</v>
      </c>
      <c r="C132" s="15">
        <v>2</v>
      </c>
      <c r="D132" s="15" t="s">
        <v>455</v>
      </c>
      <c r="E132" s="15" t="s">
        <v>456</v>
      </c>
      <c r="F132" s="15" t="s">
        <v>344</v>
      </c>
    </row>
    <row r="133" spans="1:6" ht="34.200000000000003" x14ac:dyDescent="0.3">
      <c r="A133" s="20">
        <v>81111801</v>
      </c>
      <c r="B133" s="15" t="s">
        <v>341</v>
      </c>
      <c r="C133" s="15">
        <v>2</v>
      </c>
      <c r="D133" s="15" t="s">
        <v>457</v>
      </c>
      <c r="E133" s="15" t="s">
        <v>458</v>
      </c>
      <c r="F133" s="15" t="s">
        <v>347</v>
      </c>
    </row>
    <row r="134" spans="1:6" ht="45.6" x14ac:dyDescent="0.3">
      <c r="A134" s="20">
        <v>81111811</v>
      </c>
      <c r="B134" s="15" t="s">
        <v>341</v>
      </c>
      <c r="C134" s="15">
        <v>2</v>
      </c>
      <c r="D134" s="15" t="s">
        <v>459</v>
      </c>
      <c r="E134" s="15" t="s">
        <v>460</v>
      </c>
      <c r="F134" s="15" t="s">
        <v>344</v>
      </c>
    </row>
    <row r="135" spans="1:6" ht="34.200000000000003" x14ac:dyDescent="0.3">
      <c r="A135" s="20">
        <v>81112200</v>
      </c>
      <c r="B135" s="15" t="s">
        <v>331</v>
      </c>
      <c r="C135" s="15">
        <v>2</v>
      </c>
      <c r="D135" s="15" t="s">
        <v>461</v>
      </c>
      <c r="E135" s="15" t="s">
        <v>462</v>
      </c>
      <c r="F135" s="15" t="s">
        <v>454</v>
      </c>
    </row>
    <row r="136" spans="1:6" ht="34.200000000000003" x14ac:dyDescent="0.3">
      <c r="A136" s="20">
        <v>84111603</v>
      </c>
      <c r="B136" s="15" t="s">
        <v>341</v>
      </c>
      <c r="C136" s="15">
        <v>2</v>
      </c>
      <c r="D136" s="15" t="s">
        <v>463</v>
      </c>
      <c r="E136" s="15" t="s">
        <v>464</v>
      </c>
      <c r="F136" s="15" t="s">
        <v>465</v>
      </c>
    </row>
    <row r="137" spans="1:6" x14ac:dyDescent="0.3">
      <c r="A137" s="20">
        <v>85451200</v>
      </c>
      <c r="B137" s="15" t="s">
        <v>331</v>
      </c>
      <c r="C137" s="15">
        <v>2</v>
      </c>
      <c r="D137" s="15" t="s">
        <v>466</v>
      </c>
      <c r="E137" s="15" t="s">
        <v>467</v>
      </c>
      <c r="F137" s="15" t="s">
        <v>392</v>
      </c>
    </row>
    <row r="138" spans="1:6" x14ac:dyDescent="0.3">
      <c r="A138" s="20">
        <v>90000000</v>
      </c>
      <c r="B138" s="21" t="s">
        <v>233</v>
      </c>
      <c r="C138" s="15">
        <v>2</v>
      </c>
      <c r="D138" s="15" t="s">
        <v>445</v>
      </c>
      <c r="E138" s="15" t="s">
        <v>446</v>
      </c>
      <c r="F138" s="15" t="s">
        <v>392</v>
      </c>
    </row>
    <row r="139" spans="1:6" ht="22.8" x14ac:dyDescent="0.3">
      <c r="A139" s="20">
        <v>11101767</v>
      </c>
      <c r="B139" s="15" t="s">
        <v>341</v>
      </c>
      <c r="C139" s="15">
        <v>1</v>
      </c>
      <c r="D139" s="15" t="s">
        <v>468</v>
      </c>
      <c r="E139" s="15" t="s">
        <v>469</v>
      </c>
      <c r="F139" s="15" t="s">
        <v>470</v>
      </c>
    </row>
    <row r="140" spans="1:6" ht="34.200000000000003" x14ac:dyDescent="0.3">
      <c r="A140" s="20">
        <v>11172000</v>
      </c>
      <c r="B140" s="15" t="s">
        <v>331</v>
      </c>
      <c r="C140" s="15">
        <v>1</v>
      </c>
      <c r="D140" s="15" t="s">
        <v>471</v>
      </c>
      <c r="E140" s="15" t="s">
        <v>472</v>
      </c>
      <c r="F140" s="15" t="s">
        <v>376</v>
      </c>
    </row>
    <row r="141" spans="1:6" ht="45.6" x14ac:dyDescent="0.3">
      <c r="A141" s="20">
        <v>12161500</v>
      </c>
      <c r="B141" s="15" t="s">
        <v>331</v>
      </c>
      <c r="C141" s="15">
        <v>1</v>
      </c>
      <c r="D141" s="15" t="s">
        <v>473</v>
      </c>
      <c r="E141" s="15" t="s">
        <v>474</v>
      </c>
      <c r="F141" s="15" t="s">
        <v>359</v>
      </c>
    </row>
    <row r="142" spans="1:6" ht="34.200000000000003" x14ac:dyDescent="0.3">
      <c r="A142" s="20">
        <v>12350000</v>
      </c>
      <c r="B142" s="21" t="s">
        <v>365</v>
      </c>
      <c r="C142" s="15">
        <v>1</v>
      </c>
      <c r="D142" s="15" t="s">
        <v>475</v>
      </c>
      <c r="E142" s="15" t="s">
        <v>476</v>
      </c>
      <c r="F142" s="15" t="s">
        <v>477</v>
      </c>
    </row>
    <row r="143" spans="1:6" ht="34.200000000000003" x14ac:dyDescent="0.3">
      <c r="A143" s="20">
        <v>12352300</v>
      </c>
      <c r="B143" s="15" t="s">
        <v>331</v>
      </c>
      <c r="C143" s="15">
        <v>1</v>
      </c>
      <c r="D143" s="15" t="s">
        <v>478</v>
      </c>
      <c r="E143" s="15" t="s">
        <v>479</v>
      </c>
      <c r="F143" s="15" t="s">
        <v>376</v>
      </c>
    </row>
    <row r="144" spans="1:6" ht="34.200000000000003" x14ac:dyDescent="0.3">
      <c r="A144" s="20">
        <v>13102000</v>
      </c>
      <c r="B144" s="15" t="s">
        <v>331</v>
      </c>
      <c r="C144" s="15">
        <v>1</v>
      </c>
      <c r="D144" s="15" t="s">
        <v>480</v>
      </c>
      <c r="E144" s="15" t="s">
        <v>481</v>
      </c>
      <c r="F144" s="15" t="s">
        <v>412</v>
      </c>
    </row>
    <row r="145" spans="1:6" ht="34.200000000000003" x14ac:dyDescent="0.3">
      <c r="A145" s="20">
        <v>13111300</v>
      </c>
      <c r="B145" s="15" t="s">
        <v>331</v>
      </c>
      <c r="C145" s="15">
        <v>1</v>
      </c>
      <c r="D145" s="15" t="s">
        <v>482</v>
      </c>
      <c r="E145" s="15" t="s">
        <v>483</v>
      </c>
      <c r="F145" s="15" t="s">
        <v>401</v>
      </c>
    </row>
    <row r="146" spans="1:6" ht="22.8" x14ac:dyDescent="0.3">
      <c r="A146" s="20">
        <v>20102008</v>
      </c>
      <c r="B146" s="15" t="s">
        <v>341</v>
      </c>
      <c r="C146" s="15">
        <v>1</v>
      </c>
      <c r="D146" s="15" t="s">
        <v>484</v>
      </c>
      <c r="E146" s="15" t="s">
        <v>485</v>
      </c>
      <c r="F146" s="15" t="s">
        <v>486</v>
      </c>
    </row>
    <row r="147" spans="1:6" ht="34.200000000000003" x14ac:dyDescent="0.3">
      <c r="A147" s="20">
        <v>22101715</v>
      </c>
      <c r="B147" s="15" t="s">
        <v>341</v>
      </c>
      <c r="C147" s="15">
        <v>1</v>
      </c>
      <c r="D147" s="15" t="s">
        <v>487</v>
      </c>
      <c r="E147" s="15" t="s">
        <v>488</v>
      </c>
      <c r="F147" s="15" t="s">
        <v>486</v>
      </c>
    </row>
    <row r="148" spans="1:6" ht="34.200000000000003" x14ac:dyDescent="0.3">
      <c r="A148" s="20">
        <v>23101500</v>
      </c>
      <c r="B148" s="15" t="s">
        <v>331</v>
      </c>
      <c r="C148" s="15">
        <v>1</v>
      </c>
      <c r="D148" s="15" t="s">
        <v>489</v>
      </c>
      <c r="E148" s="15" t="s">
        <v>490</v>
      </c>
      <c r="F148" s="15" t="s">
        <v>401</v>
      </c>
    </row>
    <row r="149" spans="1:6" ht="34.200000000000003" x14ac:dyDescent="0.3">
      <c r="A149" s="20">
        <v>23101508</v>
      </c>
      <c r="B149" s="15" t="s">
        <v>341</v>
      </c>
      <c r="C149" s="15">
        <v>1</v>
      </c>
      <c r="D149" s="15" t="s">
        <v>491</v>
      </c>
      <c r="E149" s="15" t="s">
        <v>492</v>
      </c>
      <c r="F149" s="15" t="s">
        <v>379</v>
      </c>
    </row>
    <row r="150" spans="1:6" ht="34.200000000000003" x14ac:dyDescent="0.3">
      <c r="A150" s="20">
        <v>23152200</v>
      </c>
      <c r="B150" s="15" t="s">
        <v>331</v>
      </c>
      <c r="C150" s="15">
        <v>1</v>
      </c>
      <c r="D150" s="15" t="s">
        <v>493</v>
      </c>
      <c r="E150" s="15" t="s">
        <v>494</v>
      </c>
      <c r="F150" s="15" t="s">
        <v>376</v>
      </c>
    </row>
    <row r="151" spans="1:6" ht="22.8" x14ac:dyDescent="0.3">
      <c r="A151" s="20">
        <v>23161600</v>
      </c>
      <c r="B151" s="15" t="s">
        <v>331</v>
      </c>
      <c r="C151" s="15">
        <v>1</v>
      </c>
      <c r="D151" s="15" t="s">
        <v>495</v>
      </c>
      <c r="E151" s="15" t="s">
        <v>496</v>
      </c>
      <c r="F151" s="15" t="s">
        <v>376</v>
      </c>
    </row>
    <row r="152" spans="1:6" ht="34.200000000000003" x14ac:dyDescent="0.3">
      <c r="A152" s="20">
        <v>23242300</v>
      </c>
      <c r="B152" s="15" t="s">
        <v>331</v>
      </c>
      <c r="C152" s="15">
        <v>1</v>
      </c>
      <c r="D152" s="15" t="s">
        <v>497</v>
      </c>
      <c r="E152" s="15" t="s">
        <v>498</v>
      </c>
      <c r="F152" s="15" t="s">
        <v>412</v>
      </c>
    </row>
    <row r="153" spans="1:6" ht="34.200000000000003" x14ac:dyDescent="0.3">
      <c r="A153" s="20">
        <v>23242605</v>
      </c>
      <c r="B153" s="15" t="s">
        <v>341</v>
      </c>
      <c r="C153" s="15">
        <v>1</v>
      </c>
      <c r="D153" s="15" t="s">
        <v>499</v>
      </c>
      <c r="E153" s="15" t="s">
        <v>500</v>
      </c>
      <c r="F153" s="15" t="s">
        <v>379</v>
      </c>
    </row>
    <row r="154" spans="1:6" ht="34.200000000000003" x14ac:dyDescent="0.3">
      <c r="A154" s="20">
        <v>23261507</v>
      </c>
      <c r="B154" s="15" t="s">
        <v>341</v>
      </c>
      <c r="C154" s="15">
        <v>1</v>
      </c>
      <c r="D154" s="15" t="s">
        <v>501</v>
      </c>
      <c r="E154" s="15" t="s">
        <v>502</v>
      </c>
      <c r="F154" s="15" t="s">
        <v>503</v>
      </c>
    </row>
    <row r="155" spans="1:6" ht="34.200000000000003" x14ac:dyDescent="0.3">
      <c r="A155" s="20">
        <v>23261508</v>
      </c>
      <c r="B155" s="15" t="s">
        <v>341</v>
      </c>
      <c r="C155" s="15">
        <v>1</v>
      </c>
      <c r="D155" s="15" t="s">
        <v>501</v>
      </c>
      <c r="E155" s="15" t="s">
        <v>502</v>
      </c>
      <c r="F155" s="15" t="s">
        <v>503</v>
      </c>
    </row>
    <row r="156" spans="1:6" ht="22.8" x14ac:dyDescent="0.3">
      <c r="A156" s="20">
        <v>23261601</v>
      </c>
      <c r="B156" s="15" t="s">
        <v>341</v>
      </c>
      <c r="C156" s="15">
        <v>1</v>
      </c>
      <c r="D156" s="15" t="s">
        <v>504</v>
      </c>
      <c r="E156" s="15" t="s">
        <v>505</v>
      </c>
      <c r="F156" s="15" t="s">
        <v>503</v>
      </c>
    </row>
    <row r="157" spans="1:6" ht="22.8" x14ac:dyDescent="0.3">
      <c r="A157" s="20">
        <v>23261603</v>
      </c>
      <c r="B157" s="15" t="s">
        <v>341</v>
      </c>
      <c r="C157" s="15">
        <v>1</v>
      </c>
      <c r="D157" s="15" t="s">
        <v>504</v>
      </c>
      <c r="E157" s="15" t="s">
        <v>505</v>
      </c>
      <c r="F157" s="15" t="s">
        <v>503</v>
      </c>
    </row>
    <row r="158" spans="1:6" ht="34.200000000000003" x14ac:dyDescent="0.3">
      <c r="A158" s="20">
        <v>23271417</v>
      </c>
      <c r="B158" s="15" t="s">
        <v>341</v>
      </c>
      <c r="C158" s="15">
        <v>1</v>
      </c>
      <c r="D158" s="15" t="s">
        <v>506</v>
      </c>
      <c r="E158" s="15" t="s">
        <v>507</v>
      </c>
      <c r="F158" s="15" t="s">
        <v>508</v>
      </c>
    </row>
    <row r="159" spans="1:6" ht="34.200000000000003" x14ac:dyDescent="0.3">
      <c r="A159" s="20">
        <v>23271712</v>
      </c>
      <c r="B159" s="15" t="s">
        <v>341</v>
      </c>
      <c r="C159" s="15">
        <v>1</v>
      </c>
      <c r="D159" s="15" t="s">
        <v>415</v>
      </c>
      <c r="E159" s="15" t="s">
        <v>416</v>
      </c>
      <c r="F159" s="15" t="s">
        <v>417</v>
      </c>
    </row>
    <row r="160" spans="1:6" ht="34.200000000000003" x14ac:dyDescent="0.3">
      <c r="A160" s="20">
        <v>24101504</v>
      </c>
      <c r="B160" s="15" t="s">
        <v>341</v>
      </c>
      <c r="C160" s="15">
        <v>1</v>
      </c>
      <c r="D160" s="15" t="s">
        <v>509</v>
      </c>
      <c r="E160" s="15" t="s">
        <v>510</v>
      </c>
      <c r="F160" s="15" t="s">
        <v>454</v>
      </c>
    </row>
    <row r="161" spans="1:6" ht="34.200000000000003" x14ac:dyDescent="0.3">
      <c r="A161" s="20">
        <v>25174405</v>
      </c>
      <c r="B161" s="15" t="s">
        <v>341</v>
      </c>
      <c r="C161" s="15">
        <v>1</v>
      </c>
      <c r="D161" s="15" t="s">
        <v>511</v>
      </c>
      <c r="E161" s="15" t="s">
        <v>512</v>
      </c>
      <c r="F161" s="15" t="s">
        <v>364</v>
      </c>
    </row>
    <row r="162" spans="1:6" ht="34.200000000000003" x14ac:dyDescent="0.3">
      <c r="A162" s="20">
        <v>27111728</v>
      </c>
      <c r="B162" s="15" t="s">
        <v>341</v>
      </c>
      <c r="C162" s="15">
        <v>1</v>
      </c>
      <c r="D162" s="15" t="s">
        <v>513</v>
      </c>
      <c r="E162" s="15" t="s">
        <v>514</v>
      </c>
      <c r="F162" s="15" t="s">
        <v>515</v>
      </c>
    </row>
    <row r="163" spans="1:6" ht="34.200000000000003" x14ac:dyDescent="0.3">
      <c r="A163" s="20">
        <v>27112000</v>
      </c>
      <c r="B163" s="15" t="s">
        <v>331</v>
      </c>
      <c r="C163" s="15">
        <v>1</v>
      </c>
      <c r="D163" s="15" t="s">
        <v>482</v>
      </c>
      <c r="E163" s="15" t="s">
        <v>483</v>
      </c>
      <c r="F163" s="15" t="s">
        <v>401</v>
      </c>
    </row>
    <row r="164" spans="1:6" ht="34.200000000000003" x14ac:dyDescent="0.3">
      <c r="A164" s="20">
        <v>27113500</v>
      </c>
      <c r="B164" s="15" t="s">
        <v>331</v>
      </c>
      <c r="C164" s="15">
        <v>1</v>
      </c>
      <c r="D164" s="15" t="s">
        <v>516</v>
      </c>
      <c r="E164" s="15" t="s">
        <v>517</v>
      </c>
      <c r="F164" s="15" t="s">
        <v>412</v>
      </c>
    </row>
    <row r="165" spans="1:6" ht="34.200000000000003" x14ac:dyDescent="0.3">
      <c r="A165" s="20">
        <v>30102400</v>
      </c>
      <c r="B165" s="15" t="s">
        <v>331</v>
      </c>
      <c r="C165" s="15">
        <v>1</v>
      </c>
      <c r="D165" s="15" t="s">
        <v>518</v>
      </c>
      <c r="E165" s="15" t="s">
        <v>519</v>
      </c>
      <c r="F165" s="15" t="s">
        <v>412</v>
      </c>
    </row>
    <row r="166" spans="1:6" ht="34.200000000000003" x14ac:dyDescent="0.3">
      <c r="A166" s="20">
        <v>30190000</v>
      </c>
      <c r="B166" s="21" t="s">
        <v>365</v>
      </c>
      <c r="C166" s="15">
        <v>1</v>
      </c>
      <c r="D166" s="15" t="s">
        <v>520</v>
      </c>
      <c r="E166" s="15" t="s">
        <v>521</v>
      </c>
      <c r="F166" s="15" t="s">
        <v>337</v>
      </c>
    </row>
    <row r="167" spans="1:6" ht="34.200000000000003" x14ac:dyDescent="0.3">
      <c r="A167" s="20">
        <v>30192405</v>
      </c>
      <c r="B167" s="15" t="s">
        <v>341</v>
      </c>
      <c r="C167" s="15">
        <v>1</v>
      </c>
      <c r="D167" s="15" t="s">
        <v>522</v>
      </c>
      <c r="E167" s="15" t="s">
        <v>523</v>
      </c>
      <c r="F167" s="15" t="s">
        <v>379</v>
      </c>
    </row>
    <row r="168" spans="1:6" ht="34.200000000000003" x14ac:dyDescent="0.3">
      <c r="A168" s="20">
        <v>30263600</v>
      </c>
      <c r="B168" s="15" t="s">
        <v>331</v>
      </c>
      <c r="C168" s="15">
        <v>1</v>
      </c>
      <c r="D168" s="15" t="s">
        <v>524</v>
      </c>
      <c r="E168" s="15" t="s">
        <v>525</v>
      </c>
      <c r="F168" s="15" t="s">
        <v>379</v>
      </c>
    </row>
    <row r="169" spans="1:6" ht="34.200000000000003" x14ac:dyDescent="0.3">
      <c r="A169" s="20">
        <v>30264800</v>
      </c>
      <c r="B169" s="15" t="s">
        <v>331</v>
      </c>
      <c r="C169" s="15">
        <v>1</v>
      </c>
      <c r="D169" s="15" t="s">
        <v>524</v>
      </c>
      <c r="E169" s="15" t="s">
        <v>525</v>
      </c>
      <c r="F169" s="15" t="s">
        <v>379</v>
      </c>
    </row>
    <row r="170" spans="1:6" ht="34.200000000000003" x14ac:dyDescent="0.3">
      <c r="A170" s="20">
        <v>30264900</v>
      </c>
      <c r="B170" s="15" t="s">
        <v>331</v>
      </c>
      <c r="C170" s="15">
        <v>1</v>
      </c>
      <c r="D170" s="15" t="s">
        <v>524</v>
      </c>
      <c r="E170" s="15" t="s">
        <v>525</v>
      </c>
      <c r="F170" s="15" t="s">
        <v>379</v>
      </c>
    </row>
    <row r="171" spans="1:6" ht="22.8" x14ac:dyDescent="0.3">
      <c r="A171" s="20">
        <v>31161600</v>
      </c>
      <c r="B171" s="15" t="s">
        <v>331</v>
      </c>
      <c r="C171" s="15">
        <v>1</v>
      </c>
      <c r="D171" s="15" t="s">
        <v>526</v>
      </c>
      <c r="E171" s="15" t="s">
        <v>527</v>
      </c>
      <c r="F171" s="15" t="s">
        <v>337</v>
      </c>
    </row>
    <row r="172" spans="1:6" ht="34.200000000000003" x14ac:dyDescent="0.3">
      <c r="A172" s="20">
        <v>31201600</v>
      </c>
      <c r="B172" s="15" t="s">
        <v>331</v>
      </c>
      <c r="C172" s="15">
        <v>1</v>
      </c>
      <c r="D172" s="15" t="s">
        <v>482</v>
      </c>
      <c r="E172" s="15" t="s">
        <v>483</v>
      </c>
      <c r="F172" s="15" t="s">
        <v>401</v>
      </c>
    </row>
    <row r="173" spans="1:6" ht="34.200000000000003" x14ac:dyDescent="0.3">
      <c r="A173" s="20">
        <v>31231100</v>
      </c>
      <c r="B173" s="15" t="s">
        <v>331</v>
      </c>
      <c r="C173" s="15">
        <v>1</v>
      </c>
      <c r="D173" s="15" t="s">
        <v>518</v>
      </c>
      <c r="E173" s="15" t="s">
        <v>519</v>
      </c>
      <c r="F173" s="15" t="s">
        <v>412</v>
      </c>
    </row>
    <row r="174" spans="1:6" ht="34.200000000000003" x14ac:dyDescent="0.3">
      <c r="A174" s="20">
        <v>32121615</v>
      </c>
      <c r="B174" s="15" t="s">
        <v>341</v>
      </c>
      <c r="C174" s="15">
        <v>1</v>
      </c>
      <c r="D174" s="15" t="s">
        <v>528</v>
      </c>
      <c r="E174" s="15" t="s">
        <v>529</v>
      </c>
      <c r="F174" s="15" t="s">
        <v>477</v>
      </c>
    </row>
    <row r="175" spans="1:6" ht="34.200000000000003" x14ac:dyDescent="0.3">
      <c r="A175" s="20">
        <v>32131000</v>
      </c>
      <c r="B175" s="15" t="s">
        <v>331</v>
      </c>
      <c r="C175" s="15">
        <v>1</v>
      </c>
      <c r="D175" s="15" t="s">
        <v>513</v>
      </c>
      <c r="E175" s="15" t="s">
        <v>514</v>
      </c>
      <c r="F175" s="15" t="s">
        <v>515</v>
      </c>
    </row>
    <row r="176" spans="1:6" ht="45.6" x14ac:dyDescent="0.3">
      <c r="A176" s="20">
        <v>39121300</v>
      </c>
      <c r="B176" s="15" t="s">
        <v>331</v>
      </c>
      <c r="C176" s="15">
        <v>1</v>
      </c>
      <c r="D176" s="15" t="s">
        <v>530</v>
      </c>
      <c r="E176" s="15" t="s">
        <v>531</v>
      </c>
      <c r="F176" s="15" t="s">
        <v>368</v>
      </c>
    </row>
    <row r="177" spans="1:6" ht="22.8" x14ac:dyDescent="0.3">
      <c r="A177" s="20">
        <v>40101502</v>
      </c>
      <c r="B177" s="15" t="s">
        <v>341</v>
      </c>
      <c r="C177" s="15">
        <v>1</v>
      </c>
      <c r="D177" s="15" t="s">
        <v>532</v>
      </c>
      <c r="E177" s="15" t="s">
        <v>533</v>
      </c>
      <c r="F177" s="15" t="s">
        <v>337</v>
      </c>
    </row>
    <row r="178" spans="1:6" ht="34.200000000000003" x14ac:dyDescent="0.3">
      <c r="A178" s="20">
        <v>40101800</v>
      </c>
      <c r="B178" s="15" t="s">
        <v>331</v>
      </c>
      <c r="C178" s="15">
        <v>1</v>
      </c>
      <c r="D178" s="15" t="s">
        <v>534</v>
      </c>
      <c r="E178" s="15" t="s">
        <v>535</v>
      </c>
      <c r="F178" s="15" t="s">
        <v>376</v>
      </c>
    </row>
    <row r="179" spans="1:6" ht="34.200000000000003" x14ac:dyDescent="0.3">
      <c r="A179" s="20">
        <v>40101902</v>
      </c>
      <c r="B179" s="15" t="s">
        <v>341</v>
      </c>
      <c r="C179" s="15">
        <v>1</v>
      </c>
      <c r="D179" s="15" t="s">
        <v>536</v>
      </c>
      <c r="E179" s="15" t="s">
        <v>537</v>
      </c>
      <c r="F179" s="15" t="s">
        <v>454</v>
      </c>
    </row>
    <row r="180" spans="1:6" ht="22.8" x14ac:dyDescent="0.3">
      <c r="A180" s="20">
        <v>40151609</v>
      </c>
      <c r="B180" s="15" t="s">
        <v>341</v>
      </c>
      <c r="C180" s="15">
        <v>1</v>
      </c>
      <c r="D180" s="15" t="s">
        <v>538</v>
      </c>
      <c r="E180" s="15" t="s">
        <v>539</v>
      </c>
      <c r="F180" s="15" t="s">
        <v>540</v>
      </c>
    </row>
    <row r="181" spans="1:6" ht="45.6" x14ac:dyDescent="0.3">
      <c r="A181" s="20">
        <v>41103409</v>
      </c>
      <c r="B181" s="15" t="s">
        <v>341</v>
      </c>
      <c r="C181" s="15">
        <v>1</v>
      </c>
      <c r="D181" s="15" t="s">
        <v>541</v>
      </c>
      <c r="E181" s="15" t="s">
        <v>542</v>
      </c>
      <c r="F181" s="15" t="s">
        <v>359</v>
      </c>
    </row>
    <row r="182" spans="1:6" ht="45.6" x14ac:dyDescent="0.3">
      <c r="A182" s="20">
        <v>41104606</v>
      </c>
      <c r="B182" s="15" t="s">
        <v>341</v>
      </c>
      <c r="C182" s="15">
        <v>1</v>
      </c>
      <c r="D182" s="15" t="s">
        <v>543</v>
      </c>
      <c r="E182" s="15" t="s">
        <v>544</v>
      </c>
      <c r="F182" s="15" t="s">
        <v>359</v>
      </c>
    </row>
    <row r="183" spans="1:6" ht="45.6" x14ac:dyDescent="0.3">
      <c r="A183" s="20">
        <v>41112200</v>
      </c>
      <c r="B183" s="15" t="s">
        <v>331</v>
      </c>
      <c r="C183" s="15">
        <v>1</v>
      </c>
      <c r="D183" s="15" t="s">
        <v>545</v>
      </c>
      <c r="E183" s="15" t="s">
        <v>546</v>
      </c>
      <c r="F183" s="15" t="s">
        <v>359</v>
      </c>
    </row>
    <row r="184" spans="1:6" ht="34.200000000000003" x14ac:dyDescent="0.3">
      <c r="A184" s="20">
        <v>41112209</v>
      </c>
      <c r="B184" s="15" t="s">
        <v>341</v>
      </c>
      <c r="C184" s="15">
        <v>1</v>
      </c>
      <c r="D184" s="15" t="s">
        <v>547</v>
      </c>
      <c r="E184" s="15" t="s">
        <v>548</v>
      </c>
      <c r="F184" s="15" t="s">
        <v>454</v>
      </c>
    </row>
    <row r="185" spans="1:6" ht="45.6" x14ac:dyDescent="0.3">
      <c r="A185" s="20">
        <v>41113630</v>
      </c>
      <c r="B185" s="15" t="s">
        <v>341</v>
      </c>
      <c r="C185" s="15">
        <v>1</v>
      </c>
      <c r="D185" s="15" t="s">
        <v>549</v>
      </c>
      <c r="E185" s="15" t="s">
        <v>550</v>
      </c>
      <c r="F185" s="15" t="s">
        <v>551</v>
      </c>
    </row>
    <row r="186" spans="1:6" ht="34.200000000000003" x14ac:dyDescent="0.3">
      <c r="A186" s="20">
        <v>41114600</v>
      </c>
      <c r="B186" s="15" t="s">
        <v>331</v>
      </c>
      <c r="C186" s="15">
        <v>1</v>
      </c>
      <c r="D186" s="15" t="s">
        <v>552</v>
      </c>
      <c r="E186" s="15" t="s">
        <v>553</v>
      </c>
      <c r="F186" s="15" t="s">
        <v>486</v>
      </c>
    </row>
    <row r="187" spans="1:6" ht="34.200000000000003" x14ac:dyDescent="0.3">
      <c r="A187" s="20">
        <v>41114611</v>
      </c>
      <c r="B187" s="15" t="s">
        <v>341</v>
      </c>
      <c r="C187" s="15">
        <v>1</v>
      </c>
      <c r="D187" s="15" t="s">
        <v>554</v>
      </c>
      <c r="E187" s="15" t="s">
        <v>555</v>
      </c>
      <c r="F187" s="15" t="s">
        <v>379</v>
      </c>
    </row>
    <row r="188" spans="1:6" ht="34.200000000000003" x14ac:dyDescent="0.3">
      <c r="A188" s="20">
        <v>41116001</v>
      </c>
      <c r="B188" s="15" t="s">
        <v>341</v>
      </c>
      <c r="C188" s="15">
        <v>1</v>
      </c>
      <c r="D188" s="15" t="s">
        <v>556</v>
      </c>
      <c r="E188" s="15" t="s">
        <v>557</v>
      </c>
      <c r="F188" s="15" t="s">
        <v>379</v>
      </c>
    </row>
    <row r="189" spans="1:6" ht="34.200000000000003" x14ac:dyDescent="0.3">
      <c r="A189" s="20">
        <v>41116002</v>
      </c>
      <c r="B189" s="15" t="s">
        <v>341</v>
      </c>
      <c r="C189" s="15">
        <v>1</v>
      </c>
      <c r="D189" s="15" t="s">
        <v>558</v>
      </c>
      <c r="E189" s="15" t="s">
        <v>559</v>
      </c>
      <c r="F189" s="15" t="s">
        <v>379</v>
      </c>
    </row>
    <row r="190" spans="1:6" ht="34.200000000000003" x14ac:dyDescent="0.3">
      <c r="A190" s="20">
        <v>41116003</v>
      </c>
      <c r="B190" s="15" t="s">
        <v>341</v>
      </c>
      <c r="C190" s="15">
        <v>1</v>
      </c>
      <c r="D190" s="15" t="s">
        <v>560</v>
      </c>
      <c r="E190" s="15" t="s">
        <v>561</v>
      </c>
      <c r="F190" s="15" t="s">
        <v>379</v>
      </c>
    </row>
    <row r="191" spans="1:6" ht="34.200000000000003" x14ac:dyDescent="0.3">
      <c r="A191" s="20">
        <v>41116111</v>
      </c>
      <c r="B191" s="15" t="s">
        <v>341</v>
      </c>
      <c r="C191" s="15">
        <v>1</v>
      </c>
      <c r="D191" s="15" t="s">
        <v>562</v>
      </c>
      <c r="E191" s="15" t="s">
        <v>563</v>
      </c>
      <c r="F191" s="15" t="s">
        <v>379</v>
      </c>
    </row>
    <row r="192" spans="1:6" ht="34.200000000000003" x14ac:dyDescent="0.3">
      <c r="A192" s="20">
        <v>41116112</v>
      </c>
      <c r="B192" s="15" t="s">
        <v>341</v>
      </c>
      <c r="C192" s="15">
        <v>1</v>
      </c>
      <c r="D192" s="15" t="s">
        <v>564</v>
      </c>
      <c r="E192" s="15" t="s">
        <v>565</v>
      </c>
      <c r="F192" s="15" t="s">
        <v>379</v>
      </c>
    </row>
    <row r="193" spans="1:6" ht="34.200000000000003" x14ac:dyDescent="0.3">
      <c r="A193" s="20">
        <v>41116113</v>
      </c>
      <c r="B193" s="15" t="s">
        <v>341</v>
      </c>
      <c r="C193" s="15">
        <v>1</v>
      </c>
      <c r="D193" s="15" t="s">
        <v>566</v>
      </c>
      <c r="E193" s="15" t="s">
        <v>567</v>
      </c>
      <c r="F193" s="15" t="s">
        <v>379</v>
      </c>
    </row>
    <row r="194" spans="1:6" x14ac:dyDescent="0.3">
      <c r="A194" s="20">
        <v>42191914</v>
      </c>
      <c r="B194" s="15" t="s">
        <v>341</v>
      </c>
      <c r="C194" s="15">
        <v>1</v>
      </c>
      <c r="D194" s="15" t="s">
        <v>568</v>
      </c>
      <c r="E194" s="15" t="s">
        <v>569</v>
      </c>
      <c r="F194" s="15" t="s">
        <v>486</v>
      </c>
    </row>
    <row r="195" spans="1:6" ht="34.200000000000003" x14ac:dyDescent="0.3">
      <c r="A195" s="20">
        <v>43201830</v>
      </c>
      <c r="B195" s="15" t="s">
        <v>341</v>
      </c>
      <c r="C195" s="15">
        <v>1</v>
      </c>
      <c r="D195" s="15" t="s">
        <v>570</v>
      </c>
      <c r="E195" s="15" t="s">
        <v>571</v>
      </c>
      <c r="F195" s="15" t="s">
        <v>515</v>
      </c>
    </row>
    <row r="196" spans="1:6" x14ac:dyDescent="0.3">
      <c r="A196" s="20">
        <v>43211500</v>
      </c>
      <c r="B196" s="15" t="s">
        <v>331</v>
      </c>
      <c r="C196" s="15">
        <v>1</v>
      </c>
      <c r="D196" s="15" t="s">
        <v>572</v>
      </c>
      <c r="E196" s="15" t="s">
        <v>573</v>
      </c>
      <c r="F196" s="15" t="s">
        <v>392</v>
      </c>
    </row>
    <row r="197" spans="1:6" x14ac:dyDescent="0.3">
      <c r="A197" s="20">
        <v>43211507</v>
      </c>
      <c r="B197" s="15" t="s">
        <v>341</v>
      </c>
      <c r="C197" s="15">
        <v>1</v>
      </c>
      <c r="D197" s="15" t="s">
        <v>574</v>
      </c>
      <c r="E197" s="15" t="s">
        <v>575</v>
      </c>
      <c r="F197" s="15" t="s">
        <v>576</v>
      </c>
    </row>
    <row r="198" spans="1:6" ht="22.8" x14ac:dyDescent="0.3">
      <c r="A198" s="20">
        <v>43211509</v>
      </c>
      <c r="B198" s="15" t="s">
        <v>341</v>
      </c>
      <c r="C198" s="15">
        <v>1</v>
      </c>
      <c r="D198" s="15" t="s">
        <v>577</v>
      </c>
      <c r="E198" s="15" t="s">
        <v>578</v>
      </c>
      <c r="F198" s="15" t="s">
        <v>392</v>
      </c>
    </row>
    <row r="199" spans="1:6" ht="34.200000000000003" x14ac:dyDescent="0.3">
      <c r="A199" s="20">
        <v>43211511</v>
      </c>
      <c r="B199" s="15" t="s">
        <v>341</v>
      </c>
      <c r="C199" s="15">
        <v>1</v>
      </c>
      <c r="D199" s="15" t="s">
        <v>579</v>
      </c>
      <c r="E199" s="15" t="s">
        <v>580</v>
      </c>
      <c r="F199" s="15" t="s">
        <v>515</v>
      </c>
    </row>
    <row r="200" spans="1:6" ht="34.200000000000003" x14ac:dyDescent="0.3">
      <c r="A200" s="20">
        <v>43211521</v>
      </c>
      <c r="B200" s="15" t="s">
        <v>341</v>
      </c>
      <c r="C200" s="15">
        <v>1</v>
      </c>
      <c r="D200" s="15" t="s">
        <v>581</v>
      </c>
      <c r="E200" s="15" t="s">
        <v>582</v>
      </c>
      <c r="F200" s="15" t="s">
        <v>515</v>
      </c>
    </row>
    <row r="201" spans="1:6" ht="22.8" x14ac:dyDescent="0.3">
      <c r="A201" s="20">
        <v>43211620</v>
      </c>
      <c r="B201" s="15" t="s">
        <v>341</v>
      </c>
      <c r="C201" s="15">
        <v>1</v>
      </c>
      <c r="D201" s="15" t="s">
        <v>577</v>
      </c>
      <c r="E201" s="15" t="s">
        <v>578</v>
      </c>
      <c r="F201" s="15" t="s">
        <v>392</v>
      </c>
    </row>
    <row r="202" spans="1:6" ht="22.8" x14ac:dyDescent="0.3">
      <c r="A202" s="20">
        <v>43211706</v>
      </c>
      <c r="B202" s="15" t="s">
        <v>341</v>
      </c>
      <c r="C202" s="15">
        <v>1</v>
      </c>
      <c r="D202" s="15" t="s">
        <v>583</v>
      </c>
      <c r="E202" s="15" t="s">
        <v>584</v>
      </c>
      <c r="F202" s="15" t="s">
        <v>585</v>
      </c>
    </row>
    <row r="203" spans="1:6" ht="34.200000000000003" x14ac:dyDescent="0.3">
      <c r="A203" s="20">
        <v>43211711</v>
      </c>
      <c r="B203" s="15" t="s">
        <v>341</v>
      </c>
      <c r="C203" s="15">
        <v>1</v>
      </c>
      <c r="D203" s="15" t="s">
        <v>586</v>
      </c>
      <c r="E203" s="15" t="s">
        <v>587</v>
      </c>
      <c r="F203" s="15" t="s">
        <v>454</v>
      </c>
    </row>
    <row r="204" spans="1:6" ht="34.200000000000003" x14ac:dyDescent="0.3">
      <c r="A204" s="20">
        <v>43211724</v>
      </c>
      <c r="B204" s="15" t="s">
        <v>341</v>
      </c>
      <c r="C204" s="15">
        <v>1</v>
      </c>
      <c r="D204" s="15" t="s">
        <v>579</v>
      </c>
      <c r="E204" s="15" t="s">
        <v>580</v>
      </c>
      <c r="F204" s="15" t="s">
        <v>515</v>
      </c>
    </row>
    <row r="205" spans="1:6" ht="34.200000000000003" x14ac:dyDescent="0.3">
      <c r="A205" s="20">
        <v>43212108</v>
      </c>
      <c r="B205" s="15" t="s">
        <v>341</v>
      </c>
      <c r="C205" s="15">
        <v>1</v>
      </c>
      <c r="D205" s="15" t="s">
        <v>588</v>
      </c>
      <c r="E205" s="15" t="s">
        <v>589</v>
      </c>
      <c r="F205" s="15" t="s">
        <v>454</v>
      </c>
    </row>
    <row r="206" spans="1:6" ht="45.6" x14ac:dyDescent="0.3">
      <c r="A206" s="20">
        <v>43231500</v>
      </c>
      <c r="B206" s="15" t="s">
        <v>331</v>
      </c>
      <c r="C206" s="15">
        <v>1</v>
      </c>
      <c r="D206" s="15" t="s">
        <v>590</v>
      </c>
      <c r="E206" s="15" t="s">
        <v>591</v>
      </c>
      <c r="F206" s="15" t="s">
        <v>389</v>
      </c>
    </row>
    <row r="207" spans="1:6" ht="34.200000000000003" x14ac:dyDescent="0.3">
      <c r="A207" s="20">
        <v>43231510</v>
      </c>
      <c r="B207" s="15" t="s">
        <v>341</v>
      </c>
      <c r="C207" s="15">
        <v>1</v>
      </c>
      <c r="D207" s="15" t="s">
        <v>592</v>
      </c>
      <c r="E207" s="15" t="s">
        <v>593</v>
      </c>
      <c r="F207" s="15" t="s">
        <v>356</v>
      </c>
    </row>
    <row r="208" spans="1:6" ht="45.6" x14ac:dyDescent="0.3">
      <c r="A208" s="20">
        <v>44120000</v>
      </c>
      <c r="B208" s="21" t="s">
        <v>365</v>
      </c>
      <c r="C208" s="15">
        <v>1</v>
      </c>
      <c r="D208" s="15" t="s">
        <v>594</v>
      </c>
      <c r="E208" s="15" t="s">
        <v>595</v>
      </c>
      <c r="F208" s="15" t="s">
        <v>596</v>
      </c>
    </row>
    <row r="209" spans="1:6" x14ac:dyDescent="0.3">
      <c r="A209" s="20">
        <v>45000000</v>
      </c>
      <c r="B209" s="21" t="s">
        <v>233</v>
      </c>
      <c r="C209" s="15">
        <v>1</v>
      </c>
      <c r="D209" s="15" t="s">
        <v>597</v>
      </c>
      <c r="E209" s="15" t="s">
        <v>598</v>
      </c>
      <c r="F209" s="15" t="s">
        <v>392</v>
      </c>
    </row>
    <row r="210" spans="1:6" ht="34.200000000000003" x14ac:dyDescent="0.3">
      <c r="A210" s="20">
        <v>45121504</v>
      </c>
      <c r="B210" s="15" t="s">
        <v>341</v>
      </c>
      <c r="C210" s="15">
        <v>1</v>
      </c>
      <c r="D210" s="15" t="s">
        <v>599</v>
      </c>
      <c r="E210" s="15" t="s">
        <v>600</v>
      </c>
      <c r="F210" s="15" t="s">
        <v>454</v>
      </c>
    </row>
    <row r="211" spans="1:6" ht="34.200000000000003" x14ac:dyDescent="0.3">
      <c r="A211" s="20">
        <v>46181500</v>
      </c>
      <c r="B211" s="15" t="s">
        <v>331</v>
      </c>
      <c r="C211" s="15">
        <v>1</v>
      </c>
      <c r="D211" s="15" t="s">
        <v>601</v>
      </c>
      <c r="E211" s="15" t="s">
        <v>602</v>
      </c>
      <c r="F211" s="15" t="s">
        <v>454</v>
      </c>
    </row>
    <row r="212" spans="1:6" ht="34.200000000000003" x14ac:dyDescent="0.3">
      <c r="A212" s="20">
        <v>46182400</v>
      </c>
      <c r="B212" s="15" t="s">
        <v>331</v>
      </c>
      <c r="C212" s="15">
        <v>1</v>
      </c>
      <c r="D212" s="15" t="s">
        <v>603</v>
      </c>
      <c r="E212" s="15" t="s">
        <v>604</v>
      </c>
      <c r="F212" s="15" t="s">
        <v>433</v>
      </c>
    </row>
    <row r="213" spans="1:6" ht="34.200000000000003" x14ac:dyDescent="0.3">
      <c r="A213" s="20">
        <v>46191505</v>
      </c>
      <c r="B213" s="15" t="s">
        <v>341</v>
      </c>
      <c r="C213" s="15">
        <v>1</v>
      </c>
      <c r="D213" s="15" t="s">
        <v>605</v>
      </c>
      <c r="E213" s="15" t="s">
        <v>606</v>
      </c>
      <c r="F213" s="15" t="s">
        <v>344</v>
      </c>
    </row>
    <row r="214" spans="1:6" ht="34.200000000000003" x14ac:dyDescent="0.3">
      <c r="A214" s="20">
        <v>46191601</v>
      </c>
      <c r="B214" s="15" t="s">
        <v>341</v>
      </c>
      <c r="C214" s="15">
        <v>1</v>
      </c>
      <c r="D214" s="15" t="s">
        <v>607</v>
      </c>
      <c r="E214" s="15" t="s">
        <v>608</v>
      </c>
      <c r="F214" s="15" t="s">
        <v>334</v>
      </c>
    </row>
    <row r="215" spans="1:6" ht="34.200000000000003" x14ac:dyDescent="0.3">
      <c r="A215" s="20">
        <v>47121602</v>
      </c>
      <c r="B215" s="15" t="s">
        <v>341</v>
      </c>
      <c r="C215" s="15">
        <v>1</v>
      </c>
      <c r="D215" s="15" t="s">
        <v>609</v>
      </c>
      <c r="E215" s="15" t="s">
        <v>610</v>
      </c>
      <c r="F215" s="15" t="s">
        <v>454</v>
      </c>
    </row>
    <row r="216" spans="1:6" ht="22.8" x14ac:dyDescent="0.3">
      <c r="A216" s="20">
        <v>47640000</v>
      </c>
      <c r="B216" s="21" t="s">
        <v>365</v>
      </c>
      <c r="C216" s="15">
        <v>1</v>
      </c>
      <c r="D216" s="15" t="s">
        <v>611</v>
      </c>
      <c r="E216" s="15" t="s">
        <v>612</v>
      </c>
      <c r="F216" s="15" t="s">
        <v>585</v>
      </c>
    </row>
    <row r="217" spans="1:6" x14ac:dyDescent="0.3">
      <c r="A217" s="20">
        <v>49000000</v>
      </c>
      <c r="B217" s="21" t="s">
        <v>233</v>
      </c>
      <c r="C217" s="15">
        <v>1</v>
      </c>
      <c r="D217" s="15" t="s">
        <v>613</v>
      </c>
      <c r="E217" s="15" t="s">
        <v>614</v>
      </c>
      <c r="F217" s="15" t="s">
        <v>392</v>
      </c>
    </row>
    <row r="218" spans="1:6" ht="34.200000000000003" x14ac:dyDescent="0.3">
      <c r="A218" s="20">
        <v>49101602</v>
      </c>
      <c r="B218" s="15" t="s">
        <v>341</v>
      </c>
      <c r="C218" s="15">
        <v>1</v>
      </c>
      <c r="D218" s="15" t="s">
        <v>615</v>
      </c>
      <c r="E218" s="15" t="s">
        <v>616</v>
      </c>
      <c r="F218" s="15" t="s">
        <v>364</v>
      </c>
    </row>
    <row r="219" spans="1:6" ht="22.8" x14ac:dyDescent="0.3">
      <c r="A219" s="20">
        <v>49101701</v>
      </c>
      <c r="B219" s="15" t="s">
        <v>341</v>
      </c>
      <c r="C219" s="15">
        <v>1</v>
      </c>
      <c r="D219" s="15" t="s">
        <v>617</v>
      </c>
      <c r="E219" s="15" t="s">
        <v>618</v>
      </c>
      <c r="F219" s="15" t="s">
        <v>364</v>
      </c>
    </row>
    <row r="220" spans="1:6" ht="22.8" x14ac:dyDescent="0.3">
      <c r="A220" s="20">
        <v>52152000</v>
      </c>
      <c r="B220" s="15" t="s">
        <v>331</v>
      </c>
      <c r="C220" s="15">
        <v>1</v>
      </c>
      <c r="D220" s="15" t="s">
        <v>619</v>
      </c>
      <c r="E220" s="15" t="s">
        <v>620</v>
      </c>
      <c r="F220" s="15" t="s">
        <v>364</v>
      </c>
    </row>
    <row r="221" spans="1:6" ht="22.8" x14ac:dyDescent="0.3">
      <c r="A221" s="20">
        <v>53101602</v>
      </c>
      <c r="B221" s="15" t="s">
        <v>341</v>
      </c>
      <c r="C221" s="15">
        <v>1</v>
      </c>
      <c r="D221" s="15" t="s">
        <v>621</v>
      </c>
      <c r="E221" s="15" t="s">
        <v>622</v>
      </c>
      <c r="F221" s="15" t="s">
        <v>623</v>
      </c>
    </row>
    <row r="222" spans="1:6" ht="34.200000000000003" x14ac:dyDescent="0.3">
      <c r="A222" s="20">
        <v>55121715</v>
      </c>
      <c r="B222" s="15" t="s">
        <v>341</v>
      </c>
      <c r="C222" s="15">
        <v>1</v>
      </c>
      <c r="D222" s="15" t="s">
        <v>624</v>
      </c>
      <c r="E222" s="15" t="s">
        <v>625</v>
      </c>
      <c r="F222" s="15" t="s">
        <v>454</v>
      </c>
    </row>
    <row r="223" spans="1:6" ht="34.200000000000003" x14ac:dyDescent="0.3">
      <c r="A223" s="20">
        <v>55121718</v>
      </c>
      <c r="B223" s="15" t="s">
        <v>341</v>
      </c>
      <c r="C223" s="15">
        <v>1</v>
      </c>
      <c r="D223" s="15" t="s">
        <v>626</v>
      </c>
      <c r="E223" s="15" t="s">
        <v>627</v>
      </c>
      <c r="F223" s="15" t="s">
        <v>454</v>
      </c>
    </row>
    <row r="224" spans="1:6" ht="22.8" x14ac:dyDescent="0.3">
      <c r="A224" s="20">
        <v>56101500</v>
      </c>
      <c r="B224" s="15" t="s">
        <v>331</v>
      </c>
      <c r="C224" s="15">
        <v>1</v>
      </c>
      <c r="D224" s="15" t="s">
        <v>628</v>
      </c>
      <c r="E224" s="15" t="s">
        <v>629</v>
      </c>
      <c r="F224" s="15" t="s">
        <v>364</v>
      </c>
    </row>
    <row r="225" spans="1:6" ht="22.8" x14ac:dyDescent="0.3">
      <c r="A225" s="20">
        <v>56101504</v>
      </c>
      <c r="B225" s="15" t="s">
        <v>341</v>
      </c>
      <c r="C225" s="15">
        <v>1</v>
      </c>
      <c r="D225" s="15" t="s">
        <v>630</v>
      </c>
      <c r="E225" s="15" t="s">
        <v>631</v>
      </c>
      <c r="F225" s="15" t="s">
        <v>422</v>
      </c>
    </row>
    <row r="226" spans="1:6" x14ac:dyDescent="0.3">
      <c r="A226" s="20">
        <v>56101720</v>
      </c>
      <c r="B226" s="15" t="s">
        <v>341</v>
      </c>
      <c r="C226" s="15">
        <v>1</v>
      </c>
      <c r="D226" s="15" t="s">
        <v>632</v>
      </c>
      <c r="E226" s="15" t="s">
        <v>633</v>
      </c>
      <c r="F226" s="15" t="s">
        <v>576</v>
      </c>
    </row>
    <row r="227" spans="1:6" ht="34.200000000000003" x14ac:dyDescent="0.3">
      <c r="A227" s="20">
        <v>56102005</v>
      </c>
      <c r="B227" s="15" t="s">
        <v>341</v>
      </c>
      <c r="C227" s="15">
        <v>1</v>
      </c>
      <c r="D227" s="15" t="s">
        <v>634</v>
      </c>
      <c r="E227" s="15" t="s">
        <v>635</v>
      </c>
      <c r="F227" s="15" t="s">
        <v>454</v>
      </c>
    </row>
    <row r="228" spans="1:6" ht="34.200000000000003" x14ac:dyDescent="0.3">
      <c r="A228" s="20">
        <v>56112102</v>
      </c>
      <c r="B228" s="15" t="s">
        <v>341</v>
      </c>
      <c r="C228" s="15">
        <v>1</v>
      </c>
      <c r="D228" s="15" t="s">
        <v>636</v>
      </c>
      <c r="E228" s="15" t="s">
        <v>637</v>
      </c>
      <c r="F228" s="15" t="s">
        <v>454</v>
      </c>
    </row>
    <row r="229" spans="1:6" ht="34.200000000000003" x14ac:dyDescent="0.3">
      <c r="A229" s="20">
        <v>60101700</v>
      </c>
      <c r="B229" s="15" t="s">
        <v>331</v>
      </c>
      <c r="C229" s="15">
        <v>1</v>
      </c>
      <c r="D229" s="15" t="s">
        <v>638</v>
      </c>
      <c r="E229" s="15" t="s">
        <v>639</v>
      </c>
      <c r="F229" s="15" t="s">
        <v>382</v>
      </c>
    </row>
    <row r="230" spans="1:6" x14ac:dyDescent="0.3">
      <c r="A230" s="20">
        <v>60103700</v>
      </c>
      <c r="B230" s="15" t="s">
        <v>331</v>
      </c>
      <c r="C230" s="15">
        <v>1</v>
      </c>
      <c r="D230" s="15" t="s">
        <v>393</v>
      </c>
      <c r="E230" s="15" t="s">
        <v>394</v>
      </c>
      <c r="F230" s="15" t="s">
        <v>392</v>
      </c>
    </row>
    <row r="231" spans="1:6" ht="34.200000000000003" x14ac:dyDescent="0.3">
      <c r="A231" s="20">
        <v>60105700</v>
      </c>
      <c r="B231" s="15" t="s">
        <v>331</v>
      </c>
      <c r="C231" s="15">
        <v>1</v>
      </c>
      <c r="D231" s="15" t="s">
        <v>482</v>
      </c>
      <c r="E231" s="15" t="s">
        <v>483</v>
      </c>
      <c r="F231" s="15" t="s">
        <v>401</v>
      </c>
    </row>
    <row r="232" spans="1:6" ht="34.200000000000003" x14ac:dyDescent="0.3">
      <c r="A232" s="20">
        <v>60131000</v>
      </c>
      <c r="B232" s="15" t="s">
        <v>331</v>
      </c>
      <c r="C232" s="15">
        <v>1</v>
      </c>
      <c r="D232" s="15" t="s">
        <v>640</v>
      </c>
      <c r="E232" s="15" t="s">
        <v>641</v>
      </c>
      <c r="F232" s="15" t="s">
        <v>364</v>
      </c>
    </row>
    <row r="233" spans="1:6" ht="34.200000000000003" x14ac:dyDescent="0.3">
      <c r="A233" s="20">
        <v>60131303</v>
      </c>
      <c r="B233" s="15" t="s">
        <v>341</v>
      </c>
      <c r="C233" s="15">
        <v>1</v>
      </c>
      <c r="D233" s="15" t="s">
        <v>642</v>
      </c>
      <c r="E233" s="15" t="s">
        <v>643</v>
      </c>
      <c r="F233" s="15" t="s">
        <v>364</v>
      </c>
    </row>
    <row r="234" spans="1:6" x14ac:dyDescent="0.3">
      <c r="A234" s="20">
        <v>64111802</v>
      </c>
      <c r="B234" s="15" t="s">
        <v>341</v>
      </c>
      <c r="C234" s="15">
        <v>1</v>
      </c>
      <c r="D234" s="15" t="s">
        <v>644</v>
      </c>
      <c r="E234" s="15" t="s">
        <v>645</v>
      </c>
      <c r="F234" s="15" t="s">
        <v>465</v>
      </c>
    </row>
    <row r="235" spans="1:6" ht="45.6" x14ac:dyDescent="0.3">
      <c r="A235" s="20">
        <v>72101511</v>
      </c>
      <c r="B235" s="15" t="s">
        <v>341</v>
      </c>
      <c r="C235" s="15">
        <v>1</v>
      </c>
      <c r="D235" s="15" t="s">
        <v>646</v>
      </c>
      <c r="E235" s="15" t="s">
        <v>647</v>
      </c>
      <c r="F235" s="15" t="s">
        <v>368</v>
      </c>
    </row>
    <row r="236" spans="1:6" ht="45.6" x14ac:dyDescent="0.3">
      <c r="A236" s="20">
        <v>72103300</v>
      </c>
      <c r="B236" s="15" t="s">
        <v>331</v>
      </c>
      <c r="C236" s="15">
        <v>1</v>
      </c>
      <c r="D236" s="15" t="s">
        <v>441</v>
      </c>
      <c r="E236" s="15" t="s">
        <v>442</v>
      </c>
      <c r="F236" s="15" t="s">
        <v>368</v>
      </c>
    </row>
    <row r="237" spans="1:6" ht="45.6" x14ac:dyDescent="0.3">
      <c r="A237" s="20">
        <v>72121205</v>
      </c>
      <c r="B237" s="15" t="s">
        <v>341</v>
      </c>
      <c r="C237" s="15">
        <v>1</v>
      </c>
      <c r="D237" s="15" t="s">
        <v>648</v>
      </c>
      <c r="E237" s="15" t="s">
        <v>649</v>
      </c>
      <c r="F237" s="15" t="s">
        <v>551</v>
      </c>
    </row>
    <row r="238" spans="1:6" ht="45.6" x14ac:dyDescent="0.3">
      <c r="A238" s="20">
        <v>72150000</v>
      </c>
      <c r="B238" s="21" t="s">
        <v>365</v>
      </c>
      <c r="C238" s="15">
        <v>1</v>
      </c>
      <c r="D238" s="15" t="s">
        <v>650</v>
      </c>
      <c r="E238" s="15" t="s">
        <v>651</v>
      </c>
      <c r="F238" s="15" t="s">
        <v>477</v>
      </c>
    </row>
    <row r="239" spans="1:6" ht="34.200000000000003" x14ac:dyDescent="0.3">
      <c r="A239" s="20">
        <v>72151200</v>
      </c>
      <c r="B239" s="15" t="s">
        <v>331</v>
      </c>
      <c r="C239" s="15">
        <v>1</v>
      </c>
      <c r="D239" s="15" t="s">
        <v>652</v>
      </c>
      <c r="E239" s="15" t="s">
        <v>653</v>
      </c>
      <c r="F239" s="15" t="s">
        <v>477</v>
      </c>
    </row>
    <row r="240" spans="1:6" ht="45.6" x14ac:dyDescent="0.3">
      <c r="A240" s="20">
        <v>72151701</v>
      </c>
      <c r="B240" s="15" t="s">
        <v>341</v>
      </c>
      <c r="C240" s="15">
        <v>1</v>
      </c>
      <c r="D240" s="15" t="s">
        <v>654</v>
      </c>
      <c r="E240" s="15" t="s">
        <v>655</v>
      </c>
      <c r="F240" s="15" t="s">
        <v>356</v>
      </c>
    </row>
    <row r="241" spans="1:6" ht="45.6" x14ac:dyDescent="0.3">
      <c r="A241" s="20">
        <v>72154055</v>
      </c>
      <c r="B241" s="15" t="s">
        <v>341</v>
      </c>
      <c r="C241" s="15">
        <v>1</v>
      </c>
      <c r="D241" s="15" t="s">
        <v>656</v>
      </c>
      <c r="E241" s="15" t="s">
        <v>657</v>
      </c>
      <c r="F241" s="15" t="s">
        <v>433</v>
      </c>
    </row>
    <row r="242" spans="1:6" ht="45.6" x14ac:dyDescent="0.3">
      <c r="A242" s="20">
        <v>73152108</v>
      </c>
      <c r="B242" s="15" t="s">
        <v>341</v>
      </c>
      <c r="C242" s="15">
        <v>1</v>
      </c>
      <c r="D242" s="15" t="s">
        <v>658</v>
      </c>
      <c r="E242" s="15" t="s">
        <v>659</v>
      </c>
      <c r="F242" s="15" t="s">
        <v>551</v>
      </c>
    </row>
    <row r="243" spans="1:6" ht="34.200000000000003" x14ac:dyDescent="0.3">
      <c r="A243" s="20">
        <v>75150000</v>
      </c>
      <c r="B243" s="21" t="s">
        <v>365</v>
      </c>
      <c r="C243" s="15">
        <v>1</v>
      </c>
      <c r="D243" s="15" t="s">
        <v>660</v>
      </c>
      <c r="E243" s="15" t="s">
        <v>661</v>
      </c>
      <c r="F243" s="15" t="s">
        <v>337</v>
      </c>
    </row>
    <row r="244" spans="1:6" ht="34.200000000000003" x14ac:dyDescent="0.3">
      <c r="A244" s="20">
        <v>76121501</v>
      </c>
      <c r="B244" s="15" t="s">
        <v>341</v>
      </c>
      <c r="C244" s="15">
        <v>1</v>
      </c>
      <c r="D244" s="15" t="s">
        <v>662</v>
      </c>
      <c r="E244" s="15" t="s">
        <v>663</v>
      </c>
      <c r="F244" s="15" t="s">
        <v>433</v>
      </c>
    </row>
    <row r="245" spans="1:6" ht="22.8" x14ac:dyDescent="0.3">
      <c r="A245" s="20">
        <v>76121900</v>
      </c>
      <c r="B245" s="15" t="s">
        <v>331</v>
      </c>
      <c r="C245" s="15">
        <v>1</v>
      </c>
      <c r="D245" s="15" t="s">
        <v>664</v>
      </c>
      <c r="E245" s="15" t="s">
        <v>665</v>
      </c>
      <c r="F245" s="15" t="s">
        <v>433</v>
      </c>
    </row>
    <row r="246" spans="1:6" ht="34.200000000000003" x14ac:dyDescent="0.3">
      <c r="A246" s="20">
        <v>76122406</v>
      </c>
      <c r="B246" s="15" t="s">
        <v>341</v>
      </c>
      <c r="C246" s="15">
        <v>1</v>
      </c>
      <c r="D246" s="15" t="s">
        <v>666</v>
      </c>
      <c r="E246" s="15" t="s">
        <v>667</v>
      </c>
      <c r="F246" s="15" t="s">
        <v>334</v>
      </c>
    </row>
    <row r="247" spans="1:6" ht="34.200000000000003" x14ac:dyDescent="0.3">
      <c r="A247" s="20">
        <v>77101805</v>
      </c>
      <c r="B247" s="15" t="s">
        <v>341</v>
      </c>
      <c r="C247" s="15">
        <v>1</v>
      </c>
      <c r="D247" s="15" t="s">
        <v>668</v>
      </c>
      <c r="E247" s="15" t="s">
        <v>669</v>
      </c>
      <c r="F247" s="15" t="s">
        <v>433</v>
      </c>
    </row>
    <row r="248" spans="1:6" ht="22.8" x14ac:dyDescent="0.3">
      <c r="A248" s="20">
        <v>78101500</v>
      </c>
      <c r="B248" s="15" t="s">
        <v>331</v>
      </c>
      <c r="C248" s="15">
        <v>1</v>
      </c>
      <c r="D248" s="15" t="s">
        <v>670</v>
      </c>
      <c r="E248" s="15" t="s">
        <v>671</v>
      </c>
      <c r="F248" s="15" t="s">
        <v>364</v>
      </c>
    </row>
    <row r="249" spans="1:6" ht="34.200000000000003" x14ac:dyDescent="0.3">
      <c r="A249" s="20">
        <v>80101505</v>
      </c>
      <c r="B249" s="15" t="s">
        <v>341</v>
      </c>
      <c r="C249" s="15">
        <v>1</v>
      </c>
      <c r="D249" s="15" t="s">
        <v>672</v>
      </c>
      <c r="E249" s="15" t="s">
        <v>673</v>
      </c>
      <c r="F249" s="15" t="s">
        <v>334</v>
      </c>
    </row>
    <row r="250" spans="1:6" ht="22.8" x14ac:dyDescent="0.3">
      <c r="A250" s="20">
        <v>80122001</v>
      </c>
      <c r="B250" s="15" t="s">
        <v>341</v>
      </c>
      <c r="C250" s="15">
        <v>1</v>
      </c>
      <c r="D250" s="15" t="s">
        <v>674</v>
      </c>
      <c r="E250" s="15" t="s">
        <v>675</v>
      </c>
      <c r="F250" s="15" t="s">
        <v>364</v>
      </c>
    </row>
    <row r="251" spans="1:6" ht="34.200000000000003" x14ac:dyDescent="0.3">
      <c r="A251" s="20">
        <v>80141600</v>
      </c>
      <c r="B251" s="15" t="s">
        <v>331</v>
      </c>
      <c r="C251" s="15">
        <v>1</v>
      </c>
      <c r="D251" s="15" t="s">
        <v>676</v>
      </c>
      <c r="E251" s="15" t="s">
        <v>677</v>
      </c>
      <c r="F251" s="15" t="s">
        <v>678</v>
      </c>
    </row>
    <row r="252" spans="1:6" x14ac:dyDescent="0.3">
      <c r="A252" s="20">
        <v>80141607</v>
      </c>
      <c r="B252" s="15" t="s">
        <v>341</v>
      </c>
      <c r="C252" s="15">
        <v>1</v>
      </c>
      <c r="D252" s="15" t="s">
        <v>679</v>
      </c>
      <c r="E252" s="15" t="s">
        <v>680</v>
      </c>
      <c r="F252" s="15" t="s">
        <v>623</v>
      </c>
    </row>
    <row r="253" spans="1:6" ht="34.200000000000003" x14ac:dyDescent="0.3">
      <c r="A253" s="20">
        <v>80141902</v>
      </c>
      <c r="B253" s="15" t="s">
        <v>341</v>
      </c>
      <c r="C253" s="15">
        <v>1</v>
      </c>
      <c r="D253" s="15" t="s">
        <v>681</v>
      </c>
      <c r="E253" s="15" t="s">
        <v>682</v>
      </c>
      <c r="F253" s="15" t="s">
        <v>683</v>
      </c>
    </row>
    <row r="254" spans="1:6" ht="22.8" x14ac:dyDescent="0.3">
      <c r="A254" s="20">
        <v>80161500</v>
      </c>
      <c r="B254" s="15" t="s">
        <v>331</v>
      </c>
      <c r="C254" s="15">
        <v>1</v>
      </c>
      <c r="D254" s="15" t="s">
        <v>684</v>
      </c>
      <c r="E254" s="15" t="s">
        <v>685</v>
      </c>
      <c r="F254" s="15" t="s">
        <v>576</v>
      </c>
    </row>
    <row r="255" spans="1:6" ht="34.200000000000003" x14ac:dyDescent="0.3">
      <c r="A255" s="20">
        <v>81101707</v>
      </c>
      <c r="B255" s="15" t="s">
        <v>341</v>
      </c>
      <c r="C255" s="15">
        <v>1</v>
      </c>
      <c r="D255" s="15" t="s">
        <v>686</v>
      </c>
      <c r="E255" s="15" t="s">
        <v>687</v>
      </c>
      <c r="F255" s="15" t="s">
        <v>503</v>
      </c>
    </row>
    <row r="256" spans="1:6" ht="34.200000000000003" x14ac:dyDescent="0.3">
      <c r="A256" s="20">
        <v>81102501</v>
      </c>
      <c r="B256" s="15" t="s">
        <v>341</v>
      </c>
      <c r="C256" s="15">
        <v>1</v>
      </c>
      <c r="D256" s="15" t="s">
        <v>688</v>
      </c>
      <c r="E256" s="15" t="s">
        <v>689</v>
      </c>
      <c r="F256" s="15" t="s">
        <v>433</v>
      </c>
    </row>
    <row r="257" spans="1:6" ht="34.200000000000003" x14ac:dyDescent="0.3">
      <c r="A257" s="20">
        <v>81111505</v>
      </c>
      <c r="B257" s="15" t="s">
        <v>341</v>
      </c>
      <c r="C257" s="15">
        <v>1</v>
      </c>
      <c r="D257" s="15" t="s">
        <v>690</v>
      </c>
      <c r="E257" s="15" t="s">
        <v>691</v>
      </c>
      <c r="F257" s="15" t="s">
        <v>379</v>
      </c>
    </row>
    <row r="258" spans="1:6" ht="22.8" x14ac:dyDescent="0.3">
      <c r="A258" s="20">
        <v>81111506</v>
      </c>
      <c r="B258" s="15" t="s">
        <v>341</v>
      </c>
      <c r="C258" s="15">
        <v>1</v>
      </c>
      <c r="D258" s="15" t="s">
        <v>692</v>
      </c>
      <c r="E258" s="15" t="s">
        <v>693</v>
      </c>
      <c r="F258" s="15" t="s">
        <v>379</v>
      </c>
    </row>
    <row r="259" spans="1:6" ht="34.200000000000003" x14ac:dyDescent="0.3">
      <c r="A259" s="20">
        <v>81111700</v>
      </c>
      <c r="B259" s="15" t="s">
        <v>331</v>
      </c>
      <c r="C259" s="15">
        <v>1</v>
      </c>
      <c r="D259" s="15" t="s">
        <v>694</v>
      </c>
      <c r="E259" s="15" t="s">
        <v>695</v>
      </c>
      <c r="F259" s="15" t="s">
        <v>465</v>
      </c>
    </row>
    <row r="260" spans="1:6" ht="45.6" x14ac:dyDescent="0.3">
      <c r="A260" s="20">
        <v>81111803</v>
      </c>
      <c r="B260" s="15" t="s">
        <v>341</v>
      </c>
      <c r="C260" s="15">
        <v>1</v>
      </c>
      <c r="D260" s="15" t="s">
        <v>696</v>
      </c>
      <c r="E260" s="15" t="s">
        <v>697</v>
      </c>
      <c r="F260" s="15" t="s">
        <v>344</v>
      </c>
    </row>
    <row r="261" spans="1:6" ht="34.200000000000003" x14ac:dyDescent="0.3">
      <c r="A261" s="20">
        <v>81112205</v>
      </c>
      <c r="B261" s="15" t="s">
        <v>341</v>
      </c>
      <c r="C261" s="15">
        <v>1</v>
      </c>
      <c r="D261" s="15" t="s">
        <v>698</v>
      </c>
      <c r="E261" s="15" t="s">
        <v>699</v>
      </c>
      <c r="F261" s="15" t="s">
        <v>344</v>
      </c>
    </row>
    <row r="262" spans="1:6" ht="45.6" x14ac:dyDescent="0.3">
      <c r="A262" s="20">
        <v>81112215</v>
      </c>
      <c r="B262" s="15" t="s">
        <v>341</v>
      </c>
      <c r="C262" s="15">
        <v>1</v>
      </c>
      <c r="D262" s="15" t="s">
        <v>700</v>
      </c>
      <c r="E262" s="15" t="s">
        <v>701</v>
      </c>
      <c r="F262" s="15" t="s">
        <v>344</v>
      </c>
    </row>
    <row r="263" spans="1:6" ht="34.200000000000003" x14ac:dyDescent="0.3">
      <c r="A263" s="20">
        <v>81161700</v>
      </c>
      <c r="B263" s="15" t="s">
        <v>331</v>
      </c>
      <c r="C263" s="15">
        <v>1</v>
      </c>
      <c r="D263" s="15" t="s">
        <v>702</v>
      </c>
      <c r="E263" s="15" t="s">
        <v>703</v>
      </c>
      <c r="F263" s="15" t="s">
        <v>344</v>
      </c>
    </row>
    <row r="264" spans="1:6" ht="45.6" x14ac:dyDescent="0.3">
      <c r="A264" s="20">
        <v>82101500</v>
      </c>
      <c r="B264" s="15" t="s">
        <v>331</v>
      </c>
      <c r="C264" s="15">
        <v>1</v>
      </c>
      <c r="D264" s="15" t="s">
        <v>704</v>
      </c>
      <c r="E264" s="15" t="s">
        <v>705</v>
      </c>
      <c r="F264" s="15" t="s">
        <v>389</v>
      </c>
    </row>
    <row r="265" spans="1:6" ht="34.200000000000003" x14ac:dyDescent="0.3">
      <c r="A265" s="20">
        <v>82141701</v>
      </c>
      <c r="B265" s="15" t="s">
        <v>341</v>
      </c>
      <c r="C265" s="15">
        <v>1</v>
      </c>
      <c r="D265" s="15" t="s">
        <v>501</v>
      </c>
      <c r="E265" s="15" t="s">
        <v>502</v>
      </c>
      <c r="F265" s="15" t="s">
        <v>503</v>
      </c>
    </row>
    <row r="266" spans="1:6" ht="34.200000000000003" x14ac:dyDescent="0.3">
      <c r="A266" s="20">
        <v>84131602</v>
      </c>
      <c r="B266" s="15" t="s">
        <v>341</v>
      </c>
      <c r="C266" s="15">
        <v>1</v>
      </c>
      <c r="D266" s="15" t="s">
        <v>706</v>
      </c>
      <c r="E266" s="15" t="s">
        <v>707</v>
      </c>
      <c r="F266" s="15" t="s">
        <v>334</v>
      </c>
    </row>
    <row r="267" spans="1:6" ht="34.200000000000003" x14ac:dyDescent="0.3">
      <c r="A267" s="20">
        <v>85121608</v>
      </c>
      <c r="B267" s="15" t="s">
        <v>341</v>
      </c>
      <c r="C267" s="15">
        <v>1</v>
      </c>
      <c r="D267" s="15" t="s">
        <v>708</v>
      </c>
      <c r="E267" s="15" t="s">
        <v>709</v>
      </c>
      <c r="F267" s="15" t="s">
        <v>364</v>
      </c>
    </row>
    <row r="268" spans="1:6" ht="34.200000000000003" x14ac:dyDescent="0.3">
      <c r="A268" s="20">
        <v>85122201</v>
      </c>
      <c r="B268" s="15" t="s">
        <v>341</v>
      </c>
      <c r="C268" s="15">
        <v>1</v>
      </c>
      <c r="D268" s="15" t="s">
        <v>710</v>
      </c>
      <c r="E268" s="15" t="s">
        <v>711</v>
      </c>
      <c r="F268" s="15" t="s">
        <v>334</v>
      </c>
    </row>
    <row r="269" spans="1:6" ht="34.200000000000003" x14ac:dyDescent="0.3">
      <c r="A269" s="20">
        <v>85161500</v>
      </c>
      <c r="B269" s="15" t="s">
        <v>331</v>
      </c>
      <c r="C269" s="15">
        <v>1</v>
      </c>
      <c r="D269" s="15" t="s">
        <v>712</v>
      </c>
      <c r="E269" s="15" t="s">
        <v>713</v>
      </c>
      <c r="F269" s="15" t="s">
        <v>364</v>
      </c>
    </row>
    <row r="270" spans="1:6" ht="34.200000000000003" x14ac:dyDescent="0.3">
      <c r="A270" s="20">
        <v>86132103</v>
      </c>
      <c r="B270" s="15" t="s">
        <v>341</v>
      </c>
      <c r="C270" s="15">
        <v>1</v>
      </c>
      <c r="D270" s="15" t="s">
        <v>714</v>
      </c>
      <c r="E270" s="15" t="s">
        <v>715</v>
      </c>
      <c r="F270" s="15" t="s">
        <v>716</v>
      </c>
    </row>
    <row r="271" spans="1:6" x14ac:dyDescent="0.3">
      <c r="A271" s="20">
        <v>86141701</v>
      </c>
      <c r="B271" s="15" t="s">
        <v>341</v>
      </c>
      <c r="C271" s="15">
        <v>1</v>
      </c>
      <c r="D271" s="15" t="s">
        <v>717</v>
      </c>
      <c r="E271" s="15" t="s">
        <v>718</v>
      </c>
      <c r="F271" s="15" t="s">
        <v>392</v>
      </c>
    </row>
    <row r="272" spans="1:6" ht="22.8" x14ac:dyDescent="0.3">
      <c r="A272" s="20">
        <v>90141500</v>
      </c>
      <c r="B272" s="15" t="s">
        <v>331</v>
      </c>
      <c r="C272" s="15">
        <v>1</v>
      </c>
      <c r="D272" s="15" t="s">
        <v>719</v>
      </c>
      <c r="E272" s="15" t="s">
        <v>720</v>
      </c>
      <c r="F272" s="15" t="s">
        <v>364</v>
      </c>
    </row>
    <row r="273" spans="1:6" ht="22.8" x14ac:dyDescent="0.3">
      <c r="A273" s="20">
        <v>90151500</v>
      </c>
      <c r="B273" s="15" t="s">
        <v>331</v>
      </c>
      <c r="C273" s="15">
        <v>1</v>
      </c>
      <c r="D273" s="15" t="s">
        <v>721</v>
      </c>
      <c r="E273" s="15" t="s">
        <v>722</v>
      </c>
      <c r="F273" s="15" t="s">
        <v>723</v>
      </c>
    </row>
    <row r="274" spans="1:6" ht="45.6" x14ac:dyDescent="0.3">
      <c r="A274" s="20">
        <v>93141701</v>
      </c>
      <c r="B274" s="15" t="s">
        <v>341</v>
      </c>
      <c r="C274" s="15">
        <v>1</v>
      </c>
      <c r="D274" s="15" t="s">
        <v>724</v>
      </c>
      <c r="E274" s="15" t="s">
        <v>725</v>
      </c>
      <c r="F274" s="15" t="s">
        <v>356</v>
      </c>
    </row>
    <row r="275" spans="1:6" ht="22.8" x14ac:dyDescent="0.3">
      <c r="A275" s="20">
        <v>94121510</v>
      </c>
      <c r="B275" s="15" t="s">
        <v>341</v>
      </c>
      <c r="C275" s="15">
        <v>1</v>
      </c>
      <c r="D275" s="15" t="s">
        <v>726</v>
      </c>
      <c r="E275" s="15" t="s">
        <v>727</v>
      </c>
      <c r="F275" s="15" t="s">
        <v>364</v>
      </c>
    </row>
    <row r="276" spans="1:6" ht="34.200000000000003" x14ac:dyDescent="0.3">
      <c r="A276" s="20">
        <v>95101807</v>
      </c>
      <c r="B276" s="15" t="s">
        <v>341</v>
      </c>
      <c r="C276" s="15">
        <v>1</v>
      </c>
      <c r="D276" s="15" t="s">
        <v>728</v>
      </c>
      <c r="E276" s="15" t="s">
        <v>729</v>
      </c>
      <c r="F276" s="15" t="s">
        <v>364</v>
      </c>
    </row>
  </sheetData>
  <sheetProtection password="CC6D" sheet="1" formatColumns="0" formatRows="0" autoFilter="0"/>
  <mergeCells count="66">
    <mergeCell ref="A79:F79"/>
    <mergeCell ref="D73:F73"/>
    <mergeCell ref="D74:F74"/>
    <mergeCell ref="D75:F75"/>
    <mergeCell ref="D76:F76"/>
    <mergeCell ref="D77:F77"/>
    <mergeCell ref="D68:F68"/>
    <mergeCell ref="D69:F69"/>
    <mergeCell ref="D70:F70"/>
    <mergeCell ref="D71:F71"/>
    <mergeCell ref="D72:F72"/>
    <mergeCell ref="D63:F63"/>
    <mergeCell ref="D64:F64"/>
    <mergeCell ref="D65:F65"/>
    <mergeCell ref="D66:F66"/>
    <mergeCell ref="D67:F67"/>
    <mergeCell ref="D58:F58"/>
    <mergeCell ref="D59:F59"/>
    <mergeCell ref="D60:F60"/>
    <mergeCell ref="D61:F61"/>
    <mergeCell ref="D62:F62"/>
    <mergeCell ref="D53:F53"/>
    <mergeCell ref="D54:F54"/>
    <mergeCell ref="D55:F55"/>
    <mergeCell ref="D56:F56"/>
    <mergeCell ref="D57:F57"/>
    <mergeCell ref="D48:F48"/>
    <mergeCell ref="D49:F49"/>
    <mergeCell ref="D50:F50"/>
    <mergeCell ref="D51:F51"/>
    <mergeCell ref="D52:F52"/>
    <mergeCell ref="D43:F43"/>
    <mergeCell ref="D44:F44"/>
    <mergeCell ref="D45:F45"/>
    <mergeCell ref="D46:F46"/>
    <mergeCell ref="D47:F47"/>
    <mergeCell ref="D38:F38"/>
    <mergeCell ref="D39:F39"/>
    <mergeCell ref="D40:F40"/>
    <mergeCell ref="D41:F41"/>
    <mergeCell ref="D42:F42"/>
    <mergeCell ref="D33:F33"/>
    <mergeCell ref="D34:F34"/>
    <mergeCell ref="D35:F35"/>
    <mergeCell ref="D36:F36"/>
    <mergeCell ref="D37:F37"/>
    <mergeCell ref="A27:F27"/>
    <mergeCell ref="A28:F28"/>
    <mergeCell ref="A29:F29"/>
    <mergeCell ref="A31:F31"/>
    <mergeCell ref="D32:F32"/>
    <mergeCell ref="A21:F21"/>
    <mergeCell ref="A22:F22"/>
    <mergeCell ref="A24:F24"/>
    <mergeCell ref="A25:F25"/>
    <mergeCell ref="A26:F26"/>
    <mergeCell ref="A16:F16"/>
    <mergeCell ref="A17:F17"/>
    <mergeCell ref="A18:F18"/>
    <mergeCell ref="A19:F19"/>
    <mergeCell ref="A20:F20"/>
    <mergeCell ref="A4:F4"/>
    <mergeCell ref="A5:F5"/>
    <mergeCell ref="A7:F7"/>
    <mergeCell ref="A13:F13"/>
    <mergeCell ref="A15:F15"/>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K506"/>
  <sheetViews>
    <sheetView zoomScaleNormal="100" workbookViewId="0">
      <pane xSplit="2" ySplit="6" topLeftCell="C7" activePane="bottomRight" state="frozen"/>
      <selection pane="topRight" activeCell="C1" sqref="C1"/>
      <selection pane="bottomLeft" activeCell="A7" sqref="A7"/>
      <selection pane="bottomRight"/>
    </sheetView>
  </sheetViews>
  <sheetFormatPr baseColWidth="10" defaultColWidth="8.6640625" defaultRowHeight="14.4" x14ac:dyDescent="0.3"/>
  <cols>
    <col min="1" max="1" width="11" customWidth="1"/>
    <col min="2" max="2" width="34" customWidth="1"/>
    <col min="3" max="3" width="30" customWidth="1"/>
    <col min="4" max="4" width="24" customWidth="1"/>
    <col min="5" max="5" width="42" customWidth="1"/>
    <col min="6" max="6" width="24" customWidth="1"/>
    <col min="7" max="7" width="26" customWidth="1"/>
    <col min="8" max="8" width="48" customWidth="1"/>
    <col min="9" max="9" width="32" customWidth="1"/>
    <col min="10" max="10" width="26" customWidth="1"/>
    <col min="11" max="11" width="44" customWidth="1"/>
    <col min="12" max="12" width="48" customWidth="1"/>
    <col min="13" max="13" width="14" customWidth="1"/>
    <col min="14" max="14" width="18" customWidth="1"/>
    <col min="15" max="16" width="14" customWidth="1"/>
    <col min="17" max="18" width="11" customWidth="1"/>
    <col min="19" max="19" width="30" customWidth="1"/>
    <col min="20" max="20" width="32" customWidth="1"/>
    <col min="21" max="21" width="15" customWidth="1"/>
    <col min="22" max="22" width="20" customWidth="1"/>
    <col min="23" max="24" width="17" customWidth="1"/>
    <col min="25" max="25" width="12" customWidth="1"/>
    <col min="26" max="26" width="15" customWidth="1"/>
    <col min="27" max="27" width="18" customWidth="1"/>
    <col min="28" max="28" width="24" customWidth="1"/>
    <col min="29" max="29" width="22" customWidth="1"/>
    <col min="30" max="30" width="14" customWidth="1"/>
    <col min="31" max="31" width="24" customWidth="1"/>
    <col min="32" max="32" width="12" customWidth="1"/>
    <col min="33" max="33" width="13" customWidth="1"/>
    <col min="34" max="34" width="10" customWidth="1"/>
    <col min="35" max="35" width="30" customWidth="1"/>
    <col min="36" max="36" width="34" customWidth="1"/>
    <col min="37" max="37" width="6" hidden="1" customWidth="1"/>
  </cols>
  <sheetData>
    <row r="1" spans="1:37" ht="17.399999999999999" x14ac:dyDescent="0.3">
      <c r="A1" s="10" t="s">
        <v>730</v>
      </c>
    </row>
    <row r="2" spans="1:37" ht="15" customHeight="1" x14ac:dyDescent="0.3">
      <c r="A2" s="11" t="s">
        <v>731</v>
      </c>
    </row>
    <row r="3" spans="1:37" x14ac:dyDescent="0.3">
      <c r="A3" s="22" t="s">
        <v>732</v>
      </c>
    </row>
    <row r="5" spans="1:37" ht="18" customHeight="1" x14ac:dyDescent="0.3">
      <c r="A5" s="3" t="s">
        <v>733</v>
      </c>
      <c r="B5" s="3"/>
      <c r="C5" s="3"/>
      <c r="D5" s="3"/>
      <c r="E5" s="3" t="s">
        <v>734</v>
      </c>
      <c r="F5" s="3"/>
      <c r="G5" s="3"/>
      <c r="H5" s="3"/>
      <c r="I5" s="3"/>
      <c r="J5" s="2" t="s">
        <v>735</v>
      </c>
      <c r="K5" s="2"/>
      <c r="L5" s="2"/>
      <c r="M5" s="2" t="s">
        <v>736</v>
      </c>
      <c r="N5" s="2"/>
      <c r="O5" s="2"/>
      <c r="P5" s="2"/>
      <c r="Q5" s="2"/>
      <c r="R5" s="2"/>
      <c r="S5" s="2"/>
      <c r="T5" s="2"/>
      <c r="U5" s="2"/>
      <c r="V5" s="2"/>
      <c r="W5" s="2"/>
      <c r="X5" s="2"/>
      <c r="Y5" s="2"/>
      <c r="Z5" s="2"/>
      <c r="AA5" s="2"/>
      <c r="AB5" s="2" t="s">
        <v>737</v>
      </c>
      <c r="AC5" s="2"/>
      <c r="AD5" s="2"/>
      <c r="AE5" s="2"/>
      <c r="AF5" s="2" t="s">
        <v>738</v>
      </c>
      <c r="AG5" s="2"/>
      <c r="AH5" s="2"/>
      <c r="AI5" s="2"/>
      <c r="AJ5" s="1" t="s">
        <v>739</v>
      </c>
      <c r="AK5" s="1"/>
    </row>
    <row r="6" spans="1:37" ht="78" customHeight="1" x14ac:dyDescent="0.3">
      <c r="A6" s="24" t="s">
        <v>39</v>
      </c>
      <c r="B6" s="25" t="s">
        <v>44</v>
      </c>
      <c r="C6" s="24" t="s">
        <v>740</v>
      </c>
      <c r="D6" s="24" t="s">
        <v>741</v>
      </c>
      <c r="E6" s="25" t="s">
        <v>742</v>
      </c>
      <c r="F6" s="24" t="s">
        <v>743</v>
      </c>
      <c r="G6" s="24" t="s">
        <v>744</v>
      </c>
      <c r="H6" s="25" t="s">
        <v>745</v>
      </c>
      <c r="I6" s="25" t="s">
        <v>746</v>
      </c>
      <c r="J6" s="25" t="s">
        <v>67</v>
      </c>
      <c r="K6" s="25" t="s">
        <v>747</v>
      </c>
      <c r="L6" s="25" t="s">
        <v>75</v>
      </c>
      <c r="M6" s="25" t="s">
        <v>748</v>
      </c>
      <c r="N6" s="25" t="s">
        <v>749</v>
      </c>
      <c r="O6" s="25" t="s">
        <v>750</v>
      </c>
      <c r="P6" s="25" t="s">
        <v>751</v>
      </c>
      <c r="Q6" s="25" t="s">
        <v>752</v>
      </c>
      <c r="R6" s="25" t="s">
        <v>753</v>
      </c>
      <c r="S6" s="25" t="s">
        <v>100</v>
      </c>
      <c r="T6" s="25" t="s">
        <v>754</v>
      </c>
      <c r="U6" s="25" t="s">
        <v>755</v>
      </c>
      <c r="V6" s="25" t="s">
        <v>756</v>
      </c>
      <c r="W6" s="25" t="s">
        <v>757</v>
      </c>
      <c r="X6" s="25" t="s">
        <v>758</v>
      </c>
      <c r="Y6" s="25" t="s">
        <v>759</v>
      </c>
      <c r="Z6" s="25" t="s">
        <v>760</v>
      </c>
      <c r="AA6" s="25" t="s">
        <v>124</v>
      </c>
      <c r="AB6" s="25" t="s">
        <v>761</v>
      </c>
      <c r="AC6" s="25" t="s">
        <v>762</v>
      </c>
      <c r="AD6" s="25" t="s">
        <v>763</v>
      </c>
      <c r="AE6" s="25" t="s">
        <v>764</v>
      </c>
      <c r="AF6" s="25" t="s">
        <v>765</v>
      </c>
      <c r="AG6" s="25" t="s">
        <v>766</v>
      </c>
      <c r="AH6" s="25" t="s">
        <v>767</v>
      </c>
      <c r="AI6" s="25" t="s">
        <v>768</v>
      </c>
      <c r="AJ6" s="12" t="s">
        <v>142</v>
      </c>
      <c r="AK6" s="24" t="s">
        <v>769</v>
      </c>
    </row>
    <row r="7" spans="1:37" x14ac:dyDescent="0.3">
      <c r="A7" s="13" t="str">
        <f t="shared" ref="A7:A70" si="0">"PN27-"&amp;TEXT(ROW()-6,"000")</f>
        <v>PN27-001</v>
      </c>
      <c r="B7" s="26"/>
      <c r="C7" s="13" t="str">
        <f>IF(B7="","",IFERROR(INDEX(Catalogos!$R$5:$R$51,MATCH(B7,L_AREAS,0)),""))</f>
        <v/>
      </c>
      <c r="D7" s="13" t="str">
        <f>IF(B7="","",IFERROR(INDEX(Catalogos!$O$5:$O$51,MATCH(B7,L_AREAS,0)),""))</f>
        <v/>
      </c>
      <c r="E7" s="26"/>
      <c r="F7" s="13" t="str">
        <f>IF(E7="","",IFERROR(INDEX(Catalogos!$C$5:$C$49,MATCH(E7,L_METAS,0)),""))</f>
        <v/>
      </c>
      <c r="G7" s="13" t="str">
        <f>IF(E7="","",IFERROR(INDEX(Catalogos!$E$5:$E$49,MATCH(E7,L_METAS,0)),""))</f>
        <v/>
      </c>
      <c r="H7" s="26"/>
      <c r="I7" s="26"/>
      <c r="J7" s="26"/>
      <c r="K7" s="26"/>
      <c r="L7" s="26"/>
      <c r="M7" s="27"/>
      <c r="N7" s="26"/>
      <c r="O7" s="26"/>
      <c r="P7" s="26"/>
      <c r="Q7" s="26"/>
      <c r="R7" s="26"/>
      <c r="S7" s="26"/>
      <c r="T7" s="26"/>
      <c r="U7" s="26"/>
      <c r="V7" s="26"/>
      <c r="W7" s="28"/>
      <c r="X7" s="28"/>
      <c r="Y7" s="26"/>
      <c r="Z7" s="26"/>
      <c r="AA7" s="26"/>
      <c r="AB7" s="26"/>
      <c r="AC7" s="26"/>
      <c r="AD7" s="26"/>
      <c r="AE7" s="26"/>
      <c r="AF7" s="26"/>
      <c r="AG7" s="26"/>
      <c r="AH7" s="26"/>
      <c r="AI7" s="26"/>
      <c r="AJ7" s="15" t="str">
        <f>IF(COUNTA(B7,E7,H7,I7,J7,K7,L7,M7,N7,O7,P7,Q7,R7,S7,T7,U7,V7,W7,X7,Y7,Z7,AA7,AB7,AC7,AD7,AE7,AF7,AG7,AH7,AI7)=0,"",IF(OR(B7="",E7="",H7="",J7="",K7="",L7="",M7="",O7="",P7="",Q7="",R7="",S7="",T7="",U7="",W7="",X7="",Y7="",AB7="",AC7="",AE7="",AF7=""),"Incompleta: faltan campos obligatorios",IF(AND(LEFT(H7,6)="PROPIA",I7=""),"Falta el nombre de la acción propia del área",IF(AND(LEFT(H7,3)="A27",IFERROR(INDEX(Catalogos!$T$5:$T$207,MATCH(H7,Catalogos!$U$5:$U$207,0)),"x")&lt;&gt;LEFT(E7,7)),"La acción no corresponde a la meta seleccionada",IF(OR(NOT(ISNUMBER(M7)),M7&lt;10000000,M7&gt;99999999),"Código UNSPSC inválido: registre 8 dígitos",IF(MOD(M7,10000)=0,"UNSPSC a nivel de segmento o familia: use clase o producto",IF(IFERROR(MATCH(P7,L_MESES,0)&lt;MATCH(O7,L_MESES,0),TRUE()),"El mes de ofertas es anterior al de inicio del proceso",IF(OR(NOT(ISNUMBER(Q7)),Q7&lt;=0),"Duración inválida",IF(OR(NOT(ISNUMBER(W7)),NOT(ISNUMBER(X7))),"Valor inválido: registre solo números",IF(OR(W7&lt;=0,X7&lt;=0),"Valor inválido: debe ser mayor que cero",IF(X7&gt;W7,"El valor de la vigencia 2027 supera el valor total",IF(AND(X7&lt;W7,Y7="No"),"El valor total supera el de 2027: requiere vigencias futuras",IF(AND(Y7="Sí",OR(Z7="",Z7="No aplica")),"Indique el estado de la solicitud de vigencias futuras",IF(IF(AND(S7="Mínima cuantía",ISNUMBER(P_TOPE_MINIMA)),W7&gt;P_TOPE_MINIMA,FALSE()),"El valor supera el tope de mínima cuantía 2027",IF(IF(AND(S7="Selección abreviada de menor cuantía",ISNUMBER(P_TOPE_MENOR)),W7&gt;P_TOPE_MENOR,FALSE()),"El valor supera el tope de menor cuantía 2027",IF(OR(ISERROR(SEARCH("@itc.edu.co",AE7)),SUMPRODUCT(--ISNUMBER(SEARCH({"á","é","í","ó","ú","ñ"," "},AE7)))&gt;0),"El correo del responsable no es institucional válido",IF(AND(AF7="Sí",AG7=""),"Indique el N.° de registro 2026 que continúa","OK")))))))))))))))))</f>
        <v/>
      </c>
      <c r="AK7" s="15" t="str">
        <f>IF(AJ7="OK",COUNTIF($AJ$7:AJ7,"OK"),"")</f>
        <v/>
      </c>
    </row>
    <row r="8" spans="1:37" x14ac:dyDescent="0.3">
      <c r="A8" s="13" t="str">
        <f t="shared" si="0"/>
        <v>PN27-002</v>
      </c>
      <c r="B8" s="26"/>
      <c r="C8" s="13" t="str">
        <f>IF(B8="","",IFERROR(INDEX(Catalogos!$R$5:$R$51,MATCH(B8,L_AREAS,0)),""))</f>
        <v/>
      </c>
      <c r="D8" s="13" t="str">
        <f>IF(B8="","",IFERROR(INDEX(Catalogos!$O$5:$O$51,MATCH(B8,L_AREAS,0)),""))</f>
        <v/>
      </c>
      <c r="E8" s="26"/>
      <c r="F8" s="13" t="str">
        <f>IF(E8="","",IFERROR(INDEX(Catalogos!$C$5:$C$49,MATCH(E8,L_METAS,0)),""))</f>
        <v/>
      </c>
      <c r="G8" s="13" t="str">
        <f>IF(E8="","",IFERROR(INDEX(Catalogos!$E$5:$E$49,MATCH(E8,L_METAS,0)),""))</f>
        <v/>
      </c>
      <c r="H8" s="26"/>
      <c r="I8" s="26"/>
      <c r="J8" s="26"/>
      <c r="K8" s="26"/>
      <c r="L8" s="26"/>
      <c r="M8" s="27"/>
      <c r="N8" s="26"/>
      <c r="O8" s="26"/>
      <c r="P8" s="26"/>
      <c r="Q8" s="26"/>
      <c r="R8" s="26"/>
      <c r="S8" s="26"/>
      <c r="T8" s="26"/>
      <c r="U8" s="26"/>
      <c r="V8" s="26"/>
      <c r="W8" s="28"/>
      <c r="X8" s="28"/>
      <c r="Y8" s="26"/>
      <c r="Z8" s="26"/>
      <c r="AA8" s="26"/>
      <c r="AB8" s="26"/>
      <c r="AC8" s="26"/>
      <c r="AD8" s="26"/>
      <c r="AE8" s="26"/>
      <c r="AF8" s="26"/>
      <c r="AG8" s="26"/>
      <c r="AH8" s="26"/>
      <c r="AI8" s="26"/>
      <c r="AJ8" s="15" t="str">
        <f>IF(COUNTA(B8,E8,H8,I8,J8,K8,L8,M8,N8,O8,P8,Q8,R8,S8,T8,U8,V8,W8,X8,Y8,Z8,AA8,AB8,AC8,AD8,AE8,AF8,AG8,AH8,AI8)=0,"",IF(OR(B8="",E8="",H8="",J8="",K8="",L8="",M8="",O8="",P8="",Q8="",R8="",S8="",T8="",U8="",W8="",X8="",Y8="",AB8="",AC8="",AE8="",AF8=""),"Incompleta: faltan campos obligatorios",IF(AND(LEFT(H8,6)="PROPIA",I8=""),"Falta el nombre de la acción propia del área",IF(AND(LEFT(H8,3)="A27",IFERROR(INDEX(Catalogos!$T$5:$T$207,MATCH(H8,Catalogos!$U$5:$U$207,0)),"x")&lt;&gt;LEFT(E8,7)),"La acción no corresponde a la meta seleccionada",IF(OR(NOT(ISNUMBER(M8)),M8&lt;10000000,M8&gt;99999999),"Código UNSPSC inválido: registre 8 dígitos",IF(MOD(M8,10000)=0,"UNSPSC a nivel de segmento o familia: use clase o producto",IF(IFERROR(MATCH(P8,L_MESES,0)&lt;MATCH(O8,L_MESES,0),TRUE()),"El mes de ofertas es anterior al de inicio del proceso",IF(OR(NOT(ISNUMBER(Q8)),Q8&lt;=0),"Duración inválida",IF(OR(NOT(ISNUMBER(W8)),NOT(ISNUMBER(X8))),"Valor inválido: registre solo números",IF(OR(W8&lt;=0,X8&lt;=0),"Valor inválido: debe ser mayor que cero",IF(X8&gt;W8,"El valor de la vigencia 2027 supera el valor total",IF(AND(X8&lt;W8,Y8="No"),"El valor total supera el de 2027: requiere vigencias futuras",IF(AND(Y8="Sí",OR(Z8="",Z8="No aplica")),"Indique el estado de la solicitud de vigencias futuras",IF(IF(AND(S8="Mínima cuantía",ISNUMBER(P_TOPE_MINIMA)),W8&gt;P_TOPE_MINIMA,FALSE()),"El valor supera el tope de mínima cuantía 2027",IF(IF(AND(S8="Selección abreviada de menor cuantía",ISNUMBER(P_TOPE_MENOR)),W8&gt;P_TOPE_MENOR,FALSE()),"El valor supera el tope de menor cuantía 2027",IF(OR(ISERROR(SEARCH("@itc.edu.co",AE8)),SUMPRODUCT(--ISNUMBER(SEARCH({"á","é","í","ó","ú","ñ"," "},AE8)))&gt;0),"El correo del responsable no es institucional válido",IF(AND(AF8="Sí",AG8=""),"Indique el N.° de registro 2026 que continúa","OK")))))))))))))))))</f>
        <v/>
      </c>
      <c r="AK8" s="15" t="str">
        <f>IF(AJ8="OK",COUNTIF($AJ$7:AJ8,"OK"),"")</f>
        <v/>
      </c>
    </row>
    <row r="9" spans="1:37" x14ac:dyDescent="0.3">
      <c r="A9" s="13" t="str">
        <f t="shared" si="0"/>
        <v>PN27-003</v>
      </c>
      <c r="B9" s="26"/>
      <c r="C9" s="13" t="str">
        <f>IF(B9="","",IFERROR(INDEX(Catalogos!$R$5:$R$51,MATCH(B9,L_AREAS,0)),""))</f>
        <v/>
      </c>
      <c r="D9" s="13" t="str">
        <f>IF(B9="","",IFERROR(INDEX(Catalogos!$O$5:$O$51,MATCH(B9,L_AREAS,0)),""))</f>
        <v/>
      </c>
      <c r="E9" s="26"/>
      <c r="F9" s="13" t="str">
        <f>IF(E9="","",IFERROR(INDEX(Catalogos!$C$5:$C$49,MATCH(E9,L_METAS,0)),""))</f>
        <v/>
      </c>
      <c r="G9" s="13" t="str">
        <f>IF(E9="","",IFERROR(INDEX(Catalogos!$E$5:$E$49,MATCH(E9,L_METAS,0)),""))</f>
        <v/>
      </c>
      <c r="H9" s="26"/>
      <c r="I9" s="26"/>
      <c r="J9" s="26"/>
      <c r="K9" s="26"/>
      <c r="L9" s="26"/>
      <c r="M9" s="27"/>
      <c r="N9" s="26"/>
      <c r="O9" s="26"/>
      <c r="P9" s="26"/>
      <c r="Q9" s="26"/>
      <c r="R9" s="26"/>
      <c r="S9" s="26"/>
      <c r="T9" s="26"/>
      <c r="U9" s="26"/>
      <c r="V9" s="26"/>
      <c r="W9" s="28"/>
      <c r="X9" s="28"/>
      <c r="Y9" s="26"/>
      <c r="Z9" s="26"/>
      <c r="AA9" s="26"/>
      <c r="AB9" s="26"/>
      <c r="AC9" s="26"/>
      <c r="AD9" s="26"/>
      <c r="AE9" s="26"/>
      <c r="AF9" s="26"/>
      <c r="AG9" s="26"/>
      <c r="AH9" s="26"/>
      <c r="AI9" s="26"/>
      <c r="AJ9" s="15" t="str">
        <f>IF(COUNTA(B9,E9,H9,I9,J9,K9,L9,M9,N9,O9,P9,Q9,R9,S9,T9,U9,V9,W9,X9,Y9,Z9,AA9,AB9,AC9,AD9,AE9,AF9,AG9,AH9,AI9)=0,"",IF(OR(B9="",E9="",H9="",J9="",K9="",L9="",M9="",O9="",P9="",Q9="",R9="",S9="",T9="",U9="",W9="",X9="",Y9="",AB9="",AC9="",AE9="",AF9=""),"Incompleta: faltan campos obligatorios",IF(AND(LEFT(H9,6)="PROPIA",I9=""),"Falta el nombre de la acción propia del área",IF(AND(LEFT(H9,3)="A27",IFERROR(INDEX(Catalogos!$T$5:$T$207,MATCH(H9,Catalogos!$U$5:$U$207,0)),"x")&lt;&gt;LEFT(E9,7)),"La acción no corresponde a la meta seleccionada",IF(OR(NOT(ISNUMBER(M9)),M9&lt;10000000,M9&gt;99999999),"Código UNSPSC inválido: registre 8 dígitos",IF(MOD(M9,10000)=0,"UNSPSC a nivel de segmento o familia: use clase o producto",IF(IFERROR(MATCH(P9,L_MESES,0)&lt;MATCH(O9,L_MESES,0),TRUE()),"El mes de ofertas es anterior al de inicio del proceso",IF(OR(NOT(ISNUMBER(Q9)),Q9&lt;=0),"Duración inválida",IF(OR(NOT(ISNUMBER(W9)),NOT(ISNUMBER(X9))),"Valor inválido: registre solo números",IF(OR(W9&lt;=0,X9&lt;=0),"Valor inválido: debe ser mayor que cero",IF(X9&gt;W9,"El valor de la vigencia 2027 supera el valor total",IF(AND(X9&lt;W9,Y9="No"),"El valor total supera el de 2027: requiere vigencias futuras",IF(AND(Y9="Sí",OR(Z9="",Z9="No aplica")),"Indique el estado de la solicitud de vigencias futuras",IF(IF(AND(S9="Mínima cuantía",ISNUMBER(P_TOPE_MINIMA)),W9&gt;P_TOPE_MINIMA,FALSE()),"El valor supera el tope de mínima cuantía 2027",IF(IF(AND(S9="Selección abreviada de menor cuantía",ISNUMBER(P_TOPE_MENOR)),W9&gt;P_TOPE_MENOR,FALSE()),"El valor supera el tope de menor cuantía 2027",IF(OR(ISERROR(SEARCH("@itc.edu.co",AE9)),SUMPRODUCT(--ISNUMBER(SEARCH({"á","é","í","ó","ú","ñ"," "},AE9)))&gt;0),"El correo del responsable no es institucional válido",IF(AND(AF9="Sí",AG9=""),"Indique el N.° de registro 2026 que continúa","OK")))))))))))))))))</f>
        <v/>
      </c>
      <c r="AK9" s="15" t="str">
        <f>IF(AJ9="OK",COUNTIF($AJ$7:AJ9,"OK"),"")</f>
        <v/>
      </c>
    </row>
    <row r="10" spans="1:37" x14ac:dyDescent="0.3">
      <c r="A10" s="13" t="str">
        <f t="shared" si="0"/>
        <v>PN27-004</v>
      </c>
      <c r="B10" s="26"/>
      <c r="C10" s="13" t="str">
        <f>IF(B10="","",IFERROR(INDEX(Catalogos!$R$5:$R$51,MATCH(B10,L_AREAS,0)),""))</f>
        <v/>
      </c>
      <c r="D10" s="13" t="str">
        <f>IF(B10="","",IFERROR(INDEX(Catalogos!$O$5:$O$51,MATCH(B10,L_AREAS,0)),""))</f>
        <v/>
      </c>
      <c r="E10" s="26"/>
      <c r="F10" s="13" t="str">
        <f>IF(E10="","",IFERROR(INDEX(Catalogos!$C$5:$C$49,MATCH(E10,L_METAS,0)),""))</f>
        <v/>
      </c>
      <c r="G10" s="13" t="str">
        <f>IF(E10="","",IFERROR(INDEX(Catalogos!$E$5:$E$49,MATCH(E10,L_METAS,0)),""))</f>
        <v/>
      </c>
      <c r="H10" s="26"/>
      <c r="I10" s="26"/>
      <c r="J10" s="26"/>
      <c r="K10" s="26"/>
      <c r="L10" s="26"/>
      <c r="M10" s="27"/>
      <c r="N10" s="26"/>
      <c r="O10" s="26"/>
      <c r="P10" s="26"/>
      <c r="Q10" s="26"/>
      <c r="R10" s="26"/>
      <c r="S10" s="26"/>
      <c r="T10" s="26"/>
      <c r="U10" s="26"/>
      <c r="V10" s="26"/>
      <c r="W10" s="28"/>
      <c r="X10" s="28"/>
      <c r="Y10" s="26"/>
      <c r="Z10" s="26"/>
      <c r="AA10" s="26"/>
      <c r="AB10" s="26"/>
      <c r="AC10" s="26"/>
      <c r="AD10" s="26"/>
      <c r="AE10" s="26"/>
      <c r="AF10" s="26"/>
      <c r="AG10" s="26"/>
      <c r="AH10" s="26"/>
      <c r="AI10" s="26"/>
      <c r="AJ10" s="15" t="str">
        <f>IF(COUNTA(B10,E10,H10,I10,J10,K10,L10,M10,N10,O10,P10,Q10,R10,S10,T10,U10,V10,W10,X10,Y10,Z10,AA10,AB10,AC10,AD10,AE10,AF10,AG10,AH10,AI10)=0,"",IF(OR(B10="",E10="",H10="",J10="",K10="",L10="",M10="",O10="",P10="",Q10="",R10="",S10="",T10="",U10="",W10="",X10="",Y10="",AB10="",AC10="",AE10="",AF10=""),"Incompleta: faltan campos obligatorios",IF(AND(LEFT(H10,6)="PROPIA",I10=""),"Falta el nombre de la acción propia del área",IF(AND(LEFT(H10,3)="A27",IFERROR(INDEX(Catalogos!$T$5:$T$207,MATCH(H10,Catalogos!$U$5:$U$207,0)),"x")&lt;&gt;LEFT(E10,7)),"La acción no corresponde a la meta seleccionada",IF(OR(NOT(ISNUMBER(M10)),M10&lt;10000000,M10&gt;99999999),"Código UNSPSC inválido: registre 8 dígitos",IF(MOD(M10,10000)=0,"UNSPSC a nivel de segmento o familia: use clase o producto",IF(IFERROR(MATCH(P10,L_MESES,0)&lt;MATCH(O10,L_MESES,0),TRUE()),"El mes de ofertas es anterior al de inicio del proceso",IF(OR(NOT(ISNUMBER(Q10)),Q10&lt;=0),"Duración inválida",IF(OR(NOT(ISNUMBER(W10)),NOT(ISNUMBER(X10))),"Valor inválido: registre solo números",IF(OR(W10&lt;=0,X10&lt;=0),"Valor inválido: debe ser mayor que cero",IF(X10&gt;W10,"El valor de la vigencia 2027 supera el valor total",IF(AND(X10&lt;W10,Y10="No"),"El valor total supera el de 2027: requiere vigencias futuras",IF(AND(Y10="Sí",OR(Z10="",Z10="No aplica")),"Indique el estado de la solicitud de vigencias futuras",IF(IF(AND(S10="Mínima cuantía",ISNUMBER(P_TOPE_MINIMA)),W10&gt;P_TOPE_MINIMA,FALSE()),"El valor supera el tope de mínima cuantía 2027",IF(IF(AND(S10="Selección abreviada de menor cuantía",ISNUMBER(P_TOPE_MENOR)),W10&gt;P_TOPE_MENOR,FALSE()),"El valor supera el tope de menor cuantía 2027",IF(OR(ISERROR(SEARCH("@itc.edu.co",AE10)),SUMPRODUCT(--ISNUMBER(SEARCH({"á","é","í","ó","ú","ñ"," "},AE10)))&gt;0),"El correo del responsable no es institucional válido",IF(AND(AF10="Sí",AG10=""),"Indique el N.° de registro 2026 que continúa","OK")))))))))))))))))</f>
        <v/>
      </c>
      <c r="AK10" s="15" t="str">
        <f>IF(AJ10="OK",COUNTIF($AJ$7:AJ10,"OK"),"")</f>
        <v/>
      </c>
    </row>
    <row r="11" spans="1:37" x14ac:dyDescent="0.3">
      <c r="A11" s="13" t="str">
        <f t="shared" si="0"/>
        <v>PN27-005</v>
      </c>
      <c r="B11" s="26"/>
      <c r="C11" s="13" t="str">
        <f>IF(B11="","",IFERROR(INDEX(Catalogos!$R$5:$R$51,MATCH(B11,L_AREAS,0)),""))</f>
        <v/>
      </c>
      <c r="D11" s="13" t="str">
        <f>IF(B11="","",IFERROR(INDEX(Catalogos!$O$5:$O$51,MATCH(B11,L_AREAS,0)),""))</f>
        <v/>
      </c>
      <c r="E11" s="26"/>
      <c r="F11" s="13" t="str">
        <f>IF(E11="","",IFERROR(INDEX(Catalogos!$C$5:$C$49,MATCH(E11,L_METAS,0)),""))</f>
        <v/>
      </c>
      <c r="G11" s="13" t="str">
        <f>IF(E11="","",IFERROR(INDEX(Catalogos!$E$5:$E$49,MATCH(E11,L_METAS,0)),""))</f>
        <v/>
      </c>
      <c r="H11" s="26"/>
      <c r="I11" s="26"/>
      <c r="J11" s="26"/>
      <c r="K11" s="26"/>
      <c r="L11" s="26"/>
      <c r="M11" s="27"/>
      <c r="N11" s="26"/>
      <c r="O11" s="26"/>
      <c r="P11" s="26"/>
      <c r="Q11" s="26"/>
      <c r="R11" s="26"/>
      <c r="S11" s="26"/>
      <c r="T11" s="26"/>
      <c r="U11" s="26"/>
      <c r="V11" s="26"/>
      <c r="W11" s="28"/>
      <c r="X11" s="28"/>
      <c r="Y11" s="26"/>
      <c r="Z11" s="26"/>
      <c r="AA11" s="26"/>
      <c r="AB11" s="26"/>
      <c r="AC11" s="26"/>
      <c r="AD11" s="26"/>
      <c r="AE11" s="26"/>
      <c r="AF11" s="26"/>
      <c r="AG11" s="26"/>
      <c r="AH11" s="26"/>
      <c r="AI11" s="26"/>
      <c r="AJ11" s="15" t="str">
        <f>IF(COUNTA(B11,E11,H11,I11,J11,K11,L11,M11,N11,O11,P11,Q11,R11,S11,T11,U11,V11,W11,X11,Y11,Z11,AA11,AB11,AC11,AD11,AE11,AF11,AG11,AH11,AI11)=0,"",IF(OR(B11="",E11="",H11="",J11="",K11="",L11="",M11="",O11="",P11="",Q11="",R11="",S11="",T11="",U11="",W11="",X11="",Y11="",AB11="",AC11="",AE11="",AF11=""),"Incompleta: faltan campos obligatorios",IF(AND(LEFT(H11,6)="PROPIA",I11=""),"Falta el nombre de la acción propia del área",IF(AND(LEFT(H11,3)="A27",IFERROR(INDEX(Catalogos!$T$5:$T$207,MATCH(H11,Catalogos!$U$5:$U$207,0)),"x")&lt;&gt;LEFT(E11,7)),"La acción no corresponde a la meta seleccionada",IF(OR(NOT(ISNUMBER(M11)),M11&lt;10000000,M11&gt;99999999),"Código UNSPSC inválido: registre 8 dígitos",IF(MOD(M11,10000)=0,"UNSPSC a nivel de segmento o familia: use clase o producto",IF(IFERROR(MATCH(P11,L_MESES,0)&lt;MATCH(O11,L_MESES,0),TRUE()),"El mes de ofertas es anterior al de inicio del proceso",IF(OR(NOT(ISNUMBER(Q11)),Q11&lt;=0),"Duración inválida",IF(OR(NOT(ISNUMBER(W11)),NOT(ISNUMBER(X11))),"Valor inválido: registre solo números",IF(OR(W11&lt;=0,X11&lt;=0),"Valor inválido: debe ser mayor que cero",IF(X11&gt;W11,"El valor de la vigencia 2027 supera el valor total",IF(AND(X11&lt;W11,Y11="No"),"El valor total supera el de 2027: requiere vigencias futuras",IF(AND(Y11="Sí",OR(Z11="",Z11="No aplica")),"Indique el estado de la solicitud de vigencias futuras",IF(IF(AND(S11="Mínima cuantía",ISNUMBER(P_TOPE_MINIMA)),W11&gt;P_TOPE_MINIMA,FALSE()),"El valor supera el tope de mínima cuantía 2027",IF(IF(AND(S11="Selección abreviada de menor cuantía",ISNUMBER(P_TOPE_MENOR)),W11&gt;P_TOPE_MENOR,FALSE()),"El valor supera el tope de menor cuantía 2027",IF(OR(ISERROR(SEARCH("@itc.edu.co",AE11)),SUMPRODUCT(--ISNUMBER(SEARCH({"á","é","í","ó","ú","ñ"," "},AE11)))&gt;0),"El correo del responsable no es institucional válido",IF(AND(AF11="Sí",AG11=""),"Indique el N.° de registro 2026 que continúa","OK")))))))))))))))))</f>
        <v/>
      </c>
      <c r="AK11" s="15" t="str">
        <f>IF(AJ11="OK",COUNTIF($AJ$7:AJ11,"OK"),"")</f>
        <v/>
      </c>
    </row>
    <row r="12" spans="1:37" x14ac:dyDescent="0.3">
      <c r="A12" s="13" t="str">
        <f t="shared" si="0"/>
        <v>PN27-006</v>
      </c>
      <c r="B12" s="26"/>
      <c r="C12" s="13" t="str">
        <f>IF(B12="","",IFERROR(INDEX(Catalogos!$R$5:$R$51,MATCH(B12,L_AREAS,0)),""))</f>
        <v/>
      </c>
      <c r="D12" s="13" t="str">
        <f>IF(B12="","",IFERROR(INDEX(Catalogos!$O$5:$O$51,MATCH(B12,L_AREAS,0)),""))</f>
        <v/>
      </c>
      <c r="E12" s="26"/>
      <c r="F12" s="13" t="str">
        <f>IF(E12="","",IFERROR(INDEX(Catalogos!$C$5:$C$49,MATCH(E12,L_METAS,0)),""))</f>
        <v/>
      </c>
      <c r="G12" s="13" t="str">
        <f>IF(E12="","",IFERROR(INDEX(Catalogos!$E$5:$E$49,MATCH(E12,L_METAS,0)),""))</f>
        <v/>
      </c>
      <c r="H12" s="26"/>
      <c r="I12" s="26"/>
      <c r="J12" s="26"/>
      <c r="K12" s="26"/>
      <c r="L12" s="26"/>
      <c r="M12" s="27"/>
      <c r="N12" s="26"/>
      <c r="O12" s="26"/>
      <c r="P12" s="26"/>
      <c r="Q12" s="26"/>
      <c r="R12" s="26"/>
      <c r="S12" s="26"/>
      <c r="T12" s="26"/>
      <c r="U12" s="26"/>
      <c r="V12" s="26"/>
      <c r="W12" s="28"/>
      <c r="X12" s="28"/>
      <c r="Y12" s="26"/>
      <c r="Z12" s="26"/>
      <c r="AA12" s="26"/>
      <c r="AB12" s="26"/>
      <c r="AC12" s="26"/>
      <c r="AD12" s="26"/>
      <c r="AE12" s="26"/>
      <c r="AF12" s="26"/>
      <c r="AG12" s="26"/>
      <c r="AH12" s="26"/>
      <c r="AI12" s="26"/>
      <c r="AJ12" s="15" t="str">
        <f>IF(COUNTA(B12,E12,H12,I12,J12,K12,L12,M12,N12,O12,P12,Q12,R12,S12,T12,U12,V12,W12,X12,Y12,Z12,AA12,AB12,AC12,AD12,AE12,AF12,AG12,AH12,AI12)=0,"",IF(OR(B12="",E12="",H12="",J12="",K12="",L12="",M12="",O12="",P12="",Q12="",R12="",S12="",T12="",U12="",W12="",X12="",Y12="",AB12="",AC12="",AE12="",AF12=""),"Incompleta: faltan campos obligatorios",IF(AND(LEFT(H12,6)="PROPIA",I12=""),"Falta el nombre de la acción propia del área",IF(AND(LEFT(H12,3)="A27",IFERROR(INDEX(Catalogos!$T$5:$T$207,MATCH(H12,Catalogos!$U$5:$U$207,0)),"x")&lt;&gt;LEFT(E12,7)),"La acción no corresponde a la meta seleccionada",IF(OR(NOT(ISNUMBER(M12)),M12&lt;10000000,M12&gt;99999999),"Código UNSPSC inválido: registre 8 dígitos",IF(MOD(M12,10000)=0,"UNSPSC a nivel de segmento o familia: use clase o producto",IF(IFERROR(MATCH(P12,L_MESES,0)&lt;MATCH(O12,L_MESES,0),TRUE()),"El mes de ofertas es anterior al de inicio del proceso",IF(OR(NOT(ISNUMBER(Q12)),Q12&lt;=0),"Duración inválida",IF(OR(NOT(ISNUMBER(W12)),NOT(ISNUMBER(X12))),"Valor inválido: registre solo números",IF(OR(W12&lt;=0,X12&lt;=0),"Valor inválido: debe ser mayor que cero",IF(X12&gt;W12,"El valor de la vigencia 2027 supera el valor total",IF(AND(X12&lt;W12,Y12="No"),"El valor total supera el de 2027: requiere vigencias futuras",IF(AND(Y12="Sí",OR(Z12="",Z12="No aplica")),"Indique el estado de la solicitud de vigencias futuras",IF(IF(AND(S12="Mínima cuantía",ISNUMBER(P_TOPE_MINIMA)),W12&gt;P_TOPE_MINIMA,FALSE()),"El valor supera el tope de mínima cuantía 2027",IF(IF(AND(S12="Selección abreviada de menor cuantía",ISNUMBER(P_TOPE_MENOR)),W12&gt;P_TOPE_MENOR,FALSE()),"El valor supera el tope de menor cuantía 2027",IF(OR(ISERROR(SEARCH("@itc.edu.co",AE12)),SUMPRODUCT(--ISNUMBER(SEARCH({"á","é","í","ó","ú","ñ"," "},AE12)))&gt;0),"El correo del responsable no es institucional válido",IF(AND(AF12="Sí",AG12=""),"Indique el N.° de registro 2026 que continúa","OK")))))))))))))))))</f>
        <v/>
      </c>
      <c r="AK12" s="15" t="str">
        <f>IF(AJ12="OK",COUNTIF($AJ$7:AJ12,"OK"),"")</f>
        <v/>
      </c>
    </row>
    <row r="13" spans="1:37" x14ac:dyDescent="0.3">
      <c r="A13" s="13" t="str">
        <f t="shared" si="0"/>
        <v>PN27-007</v>
      </c>
      <c r="B13" s="26"/>
      <c r="C13" s="13" t="str">
        <f>IF(B13="","",IFERROR(INDEX(Catalogos!$R$5:$R$51,MATCH(B13,L_AREAS,0)),""))</f>
        <v/>
      </c>
      <c r="D13" s="13" t="str">
        <f>IF(B13="","",IFERROR(INDEX(Catalogos!$O$5:$O$51,MATCH(B13,L_AREAS,0)),""))</f>
        <v/>
      </c>
      <c r="E13" s="26"/>
      <c r="F13" s="13" t="str">
        <f>IF(E13="","",IFERROR(INDEX(Catalogos!$C$5:$C$49,MATCH(E13,L_METAS,0)),""))</f>
        <v/>
      </c>
      <c r="G13" s="13" t="str">
        <f>IF(E13="","",IFERROR(INDEX(Catalogos!$E$5:$E$49,MATCH(E13,L_METAS,0)),""))</f>
        <v/>
      </c>
      <c r="H13" s="26"/>
      <c r="I13" s="26"/>
      <c r="J13" s="26"/>
      <c r="K13" s="26"/>
      <c r="L13" s="26"/>
      <c r="M13" s="27"/>
      <c r="N13" s="26"/>
      <c r="O13" s="26"/>
      <c r="P13" s="26"/>
      <c r="Q13" s="26"/>
      <c r="R13" s="26"/>
      <c r="S13" s="26"/>
      <c r="T13" s="26"/>
      <c r="U13" s="26"/>
      <c r="V13" s="26"/>
      <c r="W13" s="28"/>
      <c r="X13" s="28"/>
      <c r="Y13" s="26"/>
      <c r="Z13" s="26"/>
      <c r="AA13" s="26"/>
      <c r="AB13" s="26"/>
      <c r="AC13" s="26"/>
      <c r="AD13" s="26"/>
      <c r="AE13" s="26"/>
      <c r="AF13" s="26"/>
      <c r="AG13" s="26"/>
      <c r="AH13" s="26"/>
      <c r="AI13" s="26"/>
      <c r="AJ13" s="15" t="str">
        <f>IF(COUNTA(B13,E13,H13,I13,J13,K13,L13,M13,N13,O13,P13,Q13,R13,S13,T13,U13,V13,W13,X13,Y13,Z13,AA13,AB13,AC13,AD13,AE13,AF13,AG13,AH13,AI13)=0,"",IF(OR(B13="",E13="",H13="",J13="",K13="",L13="",M13="",O13="",P13="",Q13="",R13="",S13="",T13="",U13="",W13="",X13="",Y13="",AB13="",AC13="",AE13="",AF13=""),"Incompleta: faltan campos obligatorios",IF(AND(LEFT(H13,6)="PROPIA",I13=""),"Falta el nombre de la acción propia del área",IF(AND(LEFT(H13,3)="A27",IFERROR(INDEX(Catalogos!$T$5:$T$207,MATCH(H13,Catalogos!$U$5:$U$207,0)),"x")&lt;&gt;LEFT(E13,7)),"La acción no corresponde a la meta seleccionada",IF(OR(NOT(ISNUMBER(M13)),M13&lt;10000000,M13&gt;99999999),"Código UNSPSC inválido: registre 8 dígitos",IF(MOD(M13,10000)=0,"UNSPSC a nivel de segmento o familia: use clase o producto",IF(IFERROR(MATCH(P13,L_MESES,0)&lt;MATCH(O13,L_MESES,0),TRUE()),"El mes de ofertas es anterior al de inicio del proceso",IF(OR(NOT(ISNUMBER(Q13)),Q13&lt;=0),"Duración inválida",IF(OR(NOT(ISNUMBER(W13)),NOT(ISNUMBER(X13))),"Valor inválido: registre solo números",IF(OR(W13&lt;=0,X13&lt;=0),"Valor inválido: debe ser mayor que cero",IF(X13&gt;W13,"El valor de la vigencia 2027 supera el valor total",IF(AND(X13&lt;W13,Y13="No"),"El valor total supera el de 2027: requiere vigencias futuras",IF(AND(Y13="Sí",OR(Z13="",Z13="No aplica")),"Indique el estado de la solicitud de vigencias futuras",IF(IF(AND(S13="Mínima cuantía",ISNUMBER(P_TOPE_MINIMA)),W13&gt;P_TOPE_MINIMA,FALSE()),"El valor supera el tope de mínima cuantía 2027",IF(IF(AND(S13="Selección abreviada de menor cuantía",ISNUMBER(P_TOPE_MENOR)),W13&gt;P_TOPE_MENOR,FALSE()),"El valor supera el tope de menor cuantía 2027",IF(OR(ISERROR(SEARCH("@itc.edu.co",AE13)),SUMPRODUCT(--ISNUMBER(SEARCH({"á","é","í","ó","ú","ñ"," "},AE13)))&gt;0),"El correo del responsable no es institucional válido",IF(AND(AF13="Sí",AG13=""),"Indique el N.° de registro 2026 que continúa","OK")))))))))))))))))</f>
        <v/>
      </c>
      <c r="AK13" s="15" t="str">
        <f>IF(AJ13="OK",COUNTIF($AJ$7:AJ13,"OK"),"")</f>
        <v/>
      </c>
    </row>
    <row r="14" spans="1:37" x14ac:dyDescent="0.3">
      <c r="A14" s="13" t="str">
        <f t="shared" si="0"/>
        <v>PN27-008</v>
      </c>
      <c r="B14" s="26"/>
      <c r="C14" s="13" t="str">
        <f>IF(B14="","",IFERROR(INDEX(Catalogos!$R$5:$R$51,MATCH(B14,L_AREAS,0)),""))</f>
        <v/>
      </c>
      <c r="D14" s="13" t="str">
        <f>IF(B14="","",IFERROR(INDEX(Catalogos!$O$5:$O$51,MATCH(B14,L_AREAS,0)),""))</f>
        <v/>
      </c>
      <c r="E14" s="26"/>
      <c r="F14" s="13" t="str">
        <f>IF(E14="","",IFERROR(INDEX(Catalogos!$C$5:$C$49,MATCH(E14,L_METAS,0)),""))</f>
        <v/>
      </c>
      <c r="G14" s="13" t="str">
        <f>IF(E14="","",IFERROR(INDEX(Catalogos!$E$5:$E$49,MATCH(E14,L_METAS,0)),""))</f>
        <v/>
      </c>
      <c r="H14" s="26"/>
      <c r="I14" s="26"/>
      <c r="J14" s="26"/>
      <c r="K14" s="26"/>
      <c r="L14" s="26"/>
      <c r="M14" s="27"/>
      <c r="N14" s="26"/>
      <c r="O14" s="26"/>
      <c r="P14" s="26"/>
      <c r="Q14" s="26"/>
      <c r="R14" s="26"/>
      <c r="S14" s="26"/>
      <c r="T14" s="26"/>
      <c r="U14" s="26"/>
      <c r="V14" s="26"/>
      <c r="W14" s="28"/>
      <c r="X14" s="28"/>
      <c r="Y14" s="26"/>
      <c r="Z14" s="26"/>
      <c r="AA14" s="26"/>
      <c r="AB14" s="26"/>
      <c r="AC14" s="26"/>
      <c r="AD14" s="26"/>
      <c r="AE14" s="26"/>
      <c r="AF14" s="26"/>
      <c r="AG14" s="26"/>
      <c r="AH14" s="26"/>
      <c r="AI14" s="26"/>
      <c r="AJ14" s="15" t="str">
        <f>IF(COUNTA(B14,E14,H14,I14,J14,K14,L14,M14,N14,O14,P14,Q14,R14,S14,T14,U14,V14,W14,X14,Y14,Z14,AA14,AB14,AC14,AD14,AE14,AF14,AG14,AH14,AI14)=0,"",IF(OR(B14="",E14="",H14="",J14="",K14="",L14="",M14="",O14="",P14="",Q14="",R14="",S14="",T14="",U14="",W14="",X14="",Y14="",AB14="",AC14="",AE14="",AF14=""),"Incompleta: faltan campos obligatorios",IF(AND(LEFT(H14,6)="PROPIA",I14=""),"Falta el nombre de la acción propia del área",IF(AND(LEFT(H14,3)="A27",IFERROR(INDEX(Catalogos!$T$5:$T$207,MATCH(H14,Catalogos!$U$5:$U$207,0)),"x")&lt;&gt;LEFT(E14,7)),"La acción no corresponde a la meta seleccionada",IF(OR(NOT(ISNUMBER(M14)),M14&lt;10000000,M14&gt;99999999),"Código UNSPSC inválido: registre 8 dígitos",IF(MOD(M14,10000)=0,"UNSPSC a nivel de segmento o familia: use clase o producto",IF(IFERROR(MATCH(P14,L_MESES,0)&lt;MATCH(O14,L_MESES,0),TRUE()),"El mes de ofertas es anterior al de inicio del proceso",IF(OR(NOT(ISNUMBER(Q14)),Q14&lt;=0),"Duración inválida",IF(OR(NOT(ISNUMBER(W14)),NOT(ISNUMBER(X14))),"Valor inválido: registre solo números",IF(OR(W14&lt;=0,X14&lt;=0),"Valor inválido: debe ser mayor que cero",IF(X14&gt;W14,"El valor de la vigencia 2027 supera el valor total",IF(AND(X14&lt;W14,Y14="No"),"El valor total supera el de 2027: requiere vigencias futuras",IF(AND(Y14="Sí",OR(Z14="",Z14="No aplica")),"Indique el estado de la solicitud de vigencias futuras",IF(IF(AND(S14="Mínima cuantía",ISNUMBER(P_TOPE_MINIMA)),W14&gt;P_TOPE_MINIMA,FALSE()),"El valor supera el tope de mínima cuantía 2027",IF(IF(AND(S14="Selección abreviada de menor cuantía",ISNUMBER(P_TOPE_MENOR)),W14&gt;P_TOPE_MENOR,FALSE()),"El valor supera el tope de menor cuantía 2027",IF(OR(ISERROR(SEARCH("@itc.edu.co",AE14)),SUMPRODUCT(--ISNUMBER(SEARCH({"á","é","í","ó","ú","ñ"," "},AE14)))&gt;0),"El correo del responsable no es institucional válido",IF(AND(AF14="Sí",AG14=""),"Indique el N.° de registro 2026 que continúa","OK")))))))))))))))))</f>
        <v/>
      </c>
      <c r="AK14" s="15" t="str">
        <f>IF(AJ14="OK",COUNTIF($AJ$7:AJ14,"OK"),"")</f>
        <v/>
      </c>
    </row>
    <row r="15" spans="1:37" x14ac:dyDescent="0.3">
      <c r="A15" s="13" t="str">
        <f t="shared" si="0"/>
        <v>PN27-009</v>
      </c>
      <c r="B15" s="26"/>
      <c r="C15" s="13" t="str">
        <f>IF(B15="","",IFERROR(INDEX(Catalogos!$R$5:$R$51,MATCH(B15,L_AREAS,0)),""))</f>
        <v/>
      </c>
      <c r="D15" s="13" t="str">
        <f>IF(B15="","",IFERROR(INDEX(Catalogos!$O$5:$O$51,MATCH(B15,L_AREAS,0)),""))</f>
        <v/>
      </c>
      <c r="E15" s="26"/>
      <c r="F15" s="13" t="str">
        <f>IF(E15="","",IFERROR(INDEX(Catalogos!$C$5:$C$49,MATCH(E15,L_METAS,0)),""))</f>
        <v/>
      </c>
      <c r="G15" s="13" t="str">
        <f>IF(E15="","",IFERROR(INDEX(Catalogos!$E$5:$E$49,MATCH(E15,L_METAS,0)),""))</f>
        <v/>
      </c>
      <c r="H15" s="26"/>
      <c r="I15" s="26"/>
      <c r="J15" s="26"/>
      <c r="K15" s="26"/>
      <c r="L15" s="26"/>
      <c r="M15" s="27"/>
      <c r="N15" s="26"/>
      <c r="O15" s="26"/>
      <c r="P15" s="26"/>
      <c r="Q15" s="26"/>
      <c r="R15" s="26"/>
      <c r="S15" s="26"/>
      <c r="T15" s="26"/>
      <c r="U15" s="26"/>
      <c r="V15" s="26"/>
      <c r="W15" s="28"/>
      <c r="X15" s="28"/>
      <c r="Y15" s="26"/>
      <c r="Z15" s="26"/>
      <c r="AA15" s="26"/>
      <c r="AB15" s="26"/>
      <c r="AC15" s="26"/>
      <c r="AD15" s="26"/>
      <c r="AE15" s="26"/>
      <c r="AF15" s="26"/>
      <c r="AG15" s="26"/>
      <c r="AH15" s="26"/>
      <c r="AI15" s="26"/>
      <c r="AJ15" s="15" t="str">
        <f>IF(COUNTA(B15,E15,H15,I15,J15,K15,L15,M15,N15,O15,P15,Q15,R15,S15,T15,U15,V15,W15,X15,Y15,Z15,AA15,AB15,AC15,AD15,AE15,AF15,AG15,AH15,AI15)=0,"",IF(OR(B15="",E15="",H15="",J15="",K15="",L15="",M15="",O15="",P15="",Q15="",R15="",S15="",T15="",U15="",W15="",X15="",Y15="",AB15="",AC15="",AE15="",AF15=""),"Incompleta: faltan campos obligatorios",IF(AND(LEFT(H15,6)="PROPIA",I15=""),"Falta el nombre de la acción propia del área",IF(AND(LEFT(H15,3)="A27",IFERROR(INDEX(Catalogos!$T$5:$T$207,MATCH(H15,Catalogos!$U$5:$U$207,0)),"x")&lt;&gt;LEFT(E15,7)),"La acción no corresponde a la meta seleccionada",IF(OR(NOT(ISNUMBER(M15)),M15&lt;10000000,M15&gt;99999999),"Código UNSPSC inválido: registre 8 dígitos",IF(MOD(M15,10000)=0,"UNSPSC a nivel de segmento o familia: use clase o producto",IF(IFERROR(MATCH(P15,L_MESES,0)&lt;MATCH(O15,L_MESES,0),TRUE()),"El mes de ofertas es anterior al de inicio del proceso",IF(OR(NOT(ISNUMBER(Q15)),Q15&lt;=0),"Duración inválida",IF(OR(NOT(ISNUMBER(W15)),NOT(ISNUMBER(X15))),"Valor inválido: registre solo números",IF(OR(W15&lt;=0,X15&lt;=0),"Valor inválido: debe ser mayor que cero",IF(X15&gt;W15,"El valor de la vigencia 2027 supera el valor total",IF(AND(X15&lt;W15,Y15="No"),"El valor total supera el de 2027: requiere vigencias futuras",IF(AND(Y15="Sí",OR(Z15="",Z15="No aplica")),"Indique el estado de la solicitud de vigencias futuras",IF(IF(AND(S15="Mínima cuantía",ISNUMBER(P_TOPE_MINIMA)),W15&gt;P_TOPE_MINIMA,FALSE()),"El valor supera el tope de mínima cuantía 2027",IF(IF(AND(S15="Selección abreviada de menor cuantía",ISNUMBER(P_TOPE_MENOR)),W15&gt;P_TOPE_MENOR,FALSE()),"El valor supera el tope de menor cuantía 2027",IF(OR(ISERROR(SEARCH("@itc.edu.co",AE15)),SUMPRODUCT(--ISNUMBER(SEARCH({"á","é","í","ó","ú","ñ"," "},AE15)))&gt;0),"El correo del responsable no es institucional válido",IF(AND(AF15="Sí",AG15=""),"Indique el N.° de registro 2026 que continúa","OK")))))))))))))))))</f>
        <v/>
      </c>
      <c r="AK15" s="15" t="str">
        <f>IF(AJ15="OK",COUNTIF($AJ$7:AJ15,"OK"),"")</f>
        <v/>
      </c>
    </row>
    <row r="16" spans="1:37" x14ac:dyDescent="0.3">
      <c r="A16" s="13" t="str">
        <f t="shared" si="0"/>
        <v>PN27-010</v>
      </c>
      <c r="B16" s="26"/>
      <c r="C16" s="13" t="str">
        <f>IF(B16="","",IFERROR(INDEX(Catalogos!$R$5:$R$51,MATCH(B16,L_AREAS,0)),""))</f>
        <v/>
      </c>
      <c r="D16" s="13" t="str">
        <f>IF(B16="","",IFERROR(INDEX(Catalogos!$O$5:$O$51,MATCH(B16,L_AREAS,0)),""))</f>
        <v/>
      </c>
      <c r="E16" s="26"/>
      <c r="F16" s="13" t="str">
        <f>IF(E16="","",IFERROR(INDEX(Catalogos!$C$5:$C$49,MATCH(E16,L_METAS,0)),""))</f>
        <v/>
      </c>
      <c r="G16" s="13" t="str">
        <f>IF(E16="","",IFERROR(INDEX(Catalogos!$E$5:$E$49,MATCH(E16,L_METAS,0)),""))</f>
        <v/>
      </c>
      <c r="H16" s="26"/>
      <c r="I16" s="26"/>
      <c r="J16" s="26"/>
      <c r="K16" s="26"/>
      <c r="L16" s="26"/>
      <c r="M16" s="27"/>
      <c r="N16" s="26"/>
      <c r="O16" s="26"/>
      <c r="P16" s="26"/>
      <c r="Q16" s="26"/>
      <c r="R16" s="26"/>
      <c r="S16" s="26"/>
      <c r="T16" s="26"/>
      <c r="U16" s="26"/>
      <c r="V16" s="26"/>
      <c r="W16" s="28"/>
      <c r="X16" s="28"/>
      <c r="Y16" s="26"/>
      <c r="Z16" s="26"/>
      <c r="AA16" s="26"/>
      <c r="AB16" s="26"/>
      <c r="AC16" s="26"/>
      <c r="AD16" s="26"/>
      <c r="AE16" s="26"/>
      <c r="AF16" s="26"/>
      <c r="AG16" s="26"/>
      <c r="AH16" s="26"/>
      <c r="AI16" s="26"/>
      <c r="AJ16" s="15" t="str">
        <f>IF(COUNTA(B16,E16,H16,I16,J16,K16,L16,M16,N16,O16,P16,Q16,R16,S16,T16,U16,V16,W16,X16,Y16,Z16,AA16,AB16,AC16,AD16,AE16,AF16,AG16,AH16,AI16)=0,"",IF(OR(B16="",E16="",H16="",J16="",K16="",L16="",M16="",O16="",P16="",Q16="",R16="",S16="",T16="",U16="",W16="",X16="",Y16="",AB16="",AC16="",AE16="",AF16=""),"Incompleta: faltan campos obligatorios",IF(AND(LEFT(H16,6)="PROPIA",I16=""),"Falta el nombre de la acción propia del área",IF(AND(LEFT(H16,3)="A27",IFERROR(INDEX(Catalogos!$T$5:$T$207,MATCH(H16,Catalogos!$U$5:$U$207,0)),"x")&lt;&gt;LEFT(E16,7)),"La acción no corresponde a la meta seleccionada",IF(OR(NOT(ISNUMBER(M16)),M16&lt;10000000,M16&gt;99999999),"Código UNSPSC inválido: registre 8 dígitos",IF(MOD(M16,10000)=0,"UNSPSC a nivel de segmento o familia: use clase o producto",IF(IFERROR(MATCH(P16,L_MESES,0)&lt;MATCH(O16,L_MESES,0),TRUE()),"El mes de ofertas es anterior al de inicio del proceso",IF(OR(NOT(ISNUMBER(Q16)),Q16&lt;=0),"Duración inválida",IF(OR(NOT(ISNUMBER(W16)),NOT(ISNUMBER(X16))),"Valor inválido: registre solo números",IF(OR(W16&lt;=0,X16&lt;=0),"Valor inválido: debe ser mayor que cero",IF(X16&gt;W16,"El valor de la vigencia 2027 supera el valor total",IF(AND(X16&lt;W16,Y16="No"),"El valor total supera el de 2027: requiere vigencias futuras",IF(AND(Y16="Sí",OR(Z16="",Z16="No aplica")),"Indique el estado de la solicitud de vigencias futuras",IF(IF(AND(S16="Mínima cuantía",ISNUMBER(P_TOPE_MINIMA)),W16&gt;P_TOPE_MINIMA,FALSE()),"El valor supera el tope de mínima cuantía 2027",IF(IF(AND(S16="Selección abreviada de menor cuantía",ISNUMBER(P_TOPE_MENOR)),W16&gt;P_TOPE_MENOR,FALSE()),"El valor supera el tope de menor cuantía 2027",IF(OR(ISERROR(SEARCH("@itc.edu.co",AE16)),SUMPRODUCT(--ISNUMBER(SEARCH({"á","é","í","ó","ú","ñ"," "},AE16)))&gt;0),"El correo del responsable no es institucional válido",IF(AND(AF16="Sí",AG16=""),"Indique el N.° de registro 2026 que continúa","OK")))))))))))))))))</f>
        <v/>
      </c>
      <c r="AK16" s="15" t="str">
        <f>IF(AJ16="OK",COUNTIF($AJ$7:AJ16,"OK"),"")</f>
        <v/>
      </c>
    </row>
    <row r="17" spans="1:37" x14ac:dyDescent="0.3">
      <c r="A17" s="13" t="str">
        <f t="shared" si="0"/>
        <v>PN27-011</v>
      </c>
      <c r="B17" s="26"/>
      <c r="C17" s="13" t="str">
        <f>IF(B17="","",IFERROR(INDEX(Catalogos!$R$5:$R$51,MATCH(B17,L_AREAS,0)),""))</f>
        <v/>
      </c>
      <c r="D17" s="13" t="str">
        <f>IF(B17="","",IFERROR(INDEX(Catalogos!$O$5:$O$51,MATCH(B17,L_AREAS,0)),""))</f>
        <v/>
      </c>
      <c r="E17" s="26"/>
      <c r="F17" s="13" t="str">
        <f>IF(E17="","",IFERROR(INDEX(Catalogos!$C$5:$C$49,MATCH(E17,L_METAS,0)),""))</f>
        <v/>
      </c>
      <c r="G17" s="13" t="str">
        <f>IF(E17="","",IFERROR(INDEX(Catalogos!$E$5:$E$49,MATCH(E17,L_METAS,0)),""))</f>
        <v/>
      </c>
      <c r="H17" s="26"/>
      <c r="I17" s="26"/>
      <c r="J17" s="26"/>
      <c r="K17" s="26"/>
      <c r="L17" s="26"/>
      <c r="M17" s="27"/>
      <c r="N17" s="26"/>
      <c r="O17" s="26"/>
      <c r="P17" s="26"/>
      <c r="Q17" s="26"/>
      <c r="R17" s="26"/>
      <c r="S17" s="26"/>
      <c r="T17" s="26"/>
      <c r="U17" s="26"/>
      <c r="V17" s="26"/>
      <c r="W17" s="28"/>
      <c r="X17" s="28"/>
      <c r="Y17" s="26"/>
      <c r="Z17" s="26"/>
      <c r="AA17" s="26"/>
      <c r="AB17" s="26"/>
      <c r="AC17" s="26"/>
      <c r="AD17" s="26"/>
      <c r="AE17" s="26"/>
      <c r="AF17" s="26"/>
      <c r="AG17" s="26"/>
      <c r="AH17" s="26"/>
      <c r="AI17" s="26"/>
      <c r="AJ17" s="15" t="str">
        <f>IF(COUNTA(B17,E17,H17,I17,J17,K17,L17,M17,N17,O17,P17,Q17,R17,S17,T17,U17,V17,W17,X17,Y17,Z17,AA17,AB17,AC17,AD17,AE17,AF17,AG17,AH17,AI17)=0,"",IF(OR(B17="",E17="",H17="",J17="",K17="",L17="",M17="",O17="",P17="",Q17="",R17="",S17="",T17="",U17="",W17="",X17="",Y17="",AB17="",AC17="",AE17="",AF17=""),"Incompleta: faltan campos obligatorios",IF(AND(LEFT(H17,6)="PROPIA",I17=""),"Falta el nombre de la acción propia del área",IF(AND(LEFT(H17,3)="A27",IFERROR(INDEX(Catalogos!$T$5:$T$207,MATCH(H17,Catalogos!$U$5:$U$207,0)),"x")&lt;&gt;LEFT(E17,7)),"La acción no corresponde a la meta seleccionada",IF(OR(NOT(ISNUMBER(M17)),M17&lt;10000000,M17&gt;99999999),"Código UNSPSC inválido: registre 8 dígitos",IF(MOD(M17,10000)=0,"UNSPSC a nivel de segmento o familia: use clase o producto",IF(IFERROR(MATCH(P17,L_MESES,0)&lt;MATCH(O17,L_MESES,0),TRUE()),"El mes de ofertas es anterior al de inicio del proceso",IF(OR(NOT(ISNUMBER(Q17)),Q17&lt;=0),"Duración inválida",IF(OR(NOT(ISNUMBER(W17)),NOT(ISNUMBER(X17))),"Valor inválido: registre solo números",IF(OR(W17&lt;=0,X17&lt;=0),"Valor inválido: debe ser mayor que cero",IF(X17&gt;W17,"El valor de la vigencia 2027 supera el valor total",IF(AND(X17&lt;W17,Y17="No"),"El valor total supera el de 2027: requiere vigencias futuras",IF(AND(Y17="Sí",OR(Z17="",Z17="No aplica")),"Indique el estado de la solicitud de vigencias futuras",IF(IF(AND(S17="Mínima cuantía",ISNUMBER(P_TOPE_MINIMA)),W17&gt;P_TOPE_MINIMA,FALSE()),"El valor supera el tope de mínima cuantía 2027",IF(IF(AND(S17="Selección abreviada de menor cuantía",ISNUMBER(P_TOPE_MENOR)),W17&gt;P_TOPE_MENOR,FALSE()),"El valor supera el tope de menor cuantía 2027",IF(OR(ISERROR(SEARCH("@itc.edu.co",AE17)),SUMPRODUCT(--ISNUMBER(SEARCH({"á","é","í","ó","ú","ñ"," "},AE17)))&gt;0),"El correo del responsable no es institucional válido",IF(AND(AF17="Sí",AG17=""),"Indique el N.° de registro 2026 que continúa","OK")))))))))))))))))</f>
        <v/>
      </c>
      <c r="AK17" s="15" t="str">
        <f>IF(AJ17="OK",COUNTIF($AJ$7:AJ17,"OK"),"")</f>
        <v/>
      </c>
    </row>
    <row r="18" spans="1:37" x14ac:dyDescent="0.3">
      <c r="A18" s="13" t="str">
        <f t="shared" si="0"/>
        <v>PN27-012</v>
      </c>
      <c r="B18" s="26"/>
      <c r="C18" s="13" t="str">
        <f>IF(B18="","",IFERROR(INDEX(Catalogos!$R$5:$R$51,MATCH(B18,L_AREAS,0)),""))</f>
        <v/>
      </c>
      <c r="D18" s="13" t="str">
        <f>IF(B18="","",IFERROR(INDEX(Catalogos!$O$5:$O$51,MATCH(B18,L_AREAS,0)),""))</f>
        <v/>
      </c>
      <c r="E18" s="26"/>
      <c r="F18" s="13" t="str">
        <f>IF(E18="","",IFERROR(INDEX(Catalogos!$C$5:$C$49,MATCH(E18,L_METAS,0)),""))</f>
        <v/>
      </c>
      <c r="G18" s="13" t="str">
        <f>IF(E18="","",IFERROR(INDEX(Catalogos!$E$5:$E$49,MATCH(E18,L_METAS,0)),""))</f>
        <v/>
      </c>
      <c r="H18" s="26"/>
      <c r="I18" s="26"/>
      <c r="J18" s="26"/>
      <c r="K18" s="26"/>
      <c r="L18" s="26"/>
      <c r="M18" s="27"/>
      <c r="N18" s="26"/>
      <c r="O18" s="26"/>
      <c r="P18" s="26"/>
      <c r="Q18" s="26"/>
      <c r="R18" s="26"/>
      <c r="S18" s="26"/>
      <c r="T18" s="26"/>
      <c r="U18" s="26"/>
      <c r="V18" s="26"/>
      <c r="W18" s="28"/>
      <c r="X18" s="28"/>
      <c r="Y18" s="26"/>
      <c r="Z18" s="26"/>
      <c r="AA18" s="26"/>
      <c r="AB18" s="26"/>
      <c r="AC18" s="26"/>
      <c r="AD18" s="26"/>
      <c r="AE18" s="26"/>
      <c r="AF18" s="26"/>
      <c r="AG18" s="26"/>
      <c r="AH18" s="26"/>
      <c r="AI18" s="26"/>
      <c r="AJ18" s="15" t="str">
        <f>IF(COUNTA(B18,E18,H18,I18,J18,K18,L18,M18,N18,O18,P18,Q18,R18,S18,T18,U18,V18,W18,X18,Y18,Z18,AA18,AB18,AC18,AD18,AE18,AF18,AG18,AH18,AI18)=0,"",IF(OR(B18="",E18="",H18="",J18="",K18="",L18="",M18="",O18="",P18="",Q18="",R18="",S18="",T18="",U18="",W18="",X18="",Y18="",AB18="",AC18="",AE18="",AF18=""),"Incompleta: faltan campos obligatorios",IF(AND(LEFT(H18,6)="PROPIA",I18=""),"Falta el nombre de la acción propia del área",IF(AND(LEFT(H18,3)="A27",IFERROR(INDEX(Catalogos!$T$5:$T$207,MATCH(H18,Catalogos!$U$5:$U$207,0)),"x")&lt;&gt;LEFT(E18,7)),"La acción no corresponde a la meta seleccionada",IF(OR(NOT(ISNUMBER(M18)),M18&lt;10000000,M18&gt;99999999),"Código UNSPSC inválido: registre 8 dígitos",IF(MOD(M18,10000)=0,"UNSPSC a nivel de segmento o familia: use clase o producto",IF(IFERROR(MATCH(P18,L_MESES,0)&lt;MATCH(O18,L_MESES,0),TRUE()),"El mes de ofertas es anterior al de inicio del proceso",IF(OR(NOT(ISNUMBER(Q18)),Q18&lt;=0),"Duración inválida",IF(OR(NOT(ISNUMBER(W18)),NOT(ISNUMBER(X18))),"Valor inválido: registre solo números",IF(OR(W18&lt;=0,X18&lt;=0),"Valor inválido: debe ser mayor que cero",IF(X18&gt;W18,"El valor de la vigencia 2027 supera el valor total",IF(AND(X18&lt;W18,Y18="No"),"El valor total supera el de 2027: requiere vigencias futuras",IF(AND(Y18="Sí",OR(Z18="",Z18="No aplica")),"Indique el estado de la solicitud de vigencias futuras",IF(IF(AND(S18="Mínima cuantía",ISNUMBER(P_TOPE_MINIMA)),W18&gt;P_TOPE_MINIMA,FALSE()),"El valor supera el tope de mínima cuantía 2027",IF(IF(AND(S18="Selección abreviada de menor cuantía",ISNUMBER(P_TOPE_MENOR)),W18&gt;P_TOPE_MENOR,FALSE()),"El valor supera el tope de menor cuantía 2027",IF(OR(ISERROR(SEARCH("@itc.edu.co",AE18)),SUMPRODUCT(--ISNUMBER(SEARCH({"á","é","í","ó","ú","ñ"," "},AE18)))&gt;0),"El correo del responsable no es institucional válido",IF(AND(AF18="Sí",AG18=""),"Indique el N.° de registro 2026 que continúa","OK")))))))))))))))))</f>
        <v/>
      </c>
      <c r="AK18" s="15" t="str">
        <f>IF(AJ18="OK",COUNTIF($AJ$7:AJ18,"OK"),"")</f>
        <v/>
      </c>
    </row>
    <row r="19" spans="1:37" x14ac:dyDescent="0.3">
      <c r="A19" s="13" t="str">
        <f t="shared" si="0"/>
        <v>PN27-013</v>
      </c>
      <c r="B19" s="26"/>
      <c r="C19" s="13" t="str">
        <f>IF(B19="","",IFERROR(INDEX(Catalogos!$R$5:$R$51,MATCH(B19,L_AREAS,0)),""))</f>
        <v/>
      </c>
      <c r="D19" s="13" t="str">
        <f>IF(B19="","",IFERROR(INDEX(Catalogos!$O$5:$O$51,MATCH(B19,L_AREAS,0)),""))</f>
        <v/>
      </c>
      <c r="E19" s="26"/>
      <c r="F19" s="13" t="str">
        <f>IF(E19="","",IFERROR(INDEX(Catalogos!$C$5:$C$49,MATCH(E19,L_METAS,0)),""))</f>
        <v/>
      </c>
      <c r="G19" s="13" t="str">
        <f>IF(E19="","",IFERROR(INDEX(Catalogos!$E$5:$E$49,MATCH(E19,L_METAS,0)),""))</f>
        <v/>
      </c>
      <c r="H19" s="26"/>
      <c r="I19" s="26"/>
      <c r="J19" s="26"/>
      <c r="K19" s="26"/>
      <c r="L19" s="26"/>
      <c r="M19" s="27"/>
      <c r="N19" s="26"/>
      <c r="O19" s="26"/>
      <c r="P19" s="26"/>
      <c r="Q19" s="26"/>
      <c r="R19" s="26"/>
      <c r="S19" s="26"/>
      <c r="T19" s="26"/>
      <c r="U19" s="26"/>
      <c r="V19" s="26"/>
      <c r="W19" s="28"/>
      <c r="X19" s="28"/>
      <c r="Y19" s="26"/>
      <c r="Z19" s="26"/>
      <c r="AA19" s="26"/>
      <c r="AB19" s="26"/>
      <c r="AC19" s="26"/>
      <c r="AD19" s="26"/>
      <c r="AE19" s="26"/>
      <c r="AF19" s="26"/>
      <c r="AG19" s="26"/>
      <c r="AH19" s="26"/>
      <c r="AI19" s="26"/>
      <c r="AJ19" s="15" t="str">
        <f>IF(COUNTA(B19,E19,H19,I19,J19,K19,L19,M19,N19,O19,P19,Q19,R19,S19,T19,U19,V19,W19,X19,Y19,Z19,AA19,AB19,AC19,AD19,AE19,AF19,AG19,AH19,AI19)=0,"",IF(OR(B19="",E19="",H19="",J19="",K19="",L19="",M19="",O19="",P19="",Q19="",R19="",S19="",T19="",U19="",W19="",X19="",Y19="",AB19="",AC19="",AE19="",AF19=""),"Incompleta: faltan campos obligatorios",IF(AND(LEFT(H19,6)="PROPIA",I19=""),"Falta el nombre de la acción propia del área",IF(AND(LEFT(H19,3)="A27",IFERROR(INDEX(Catalogos!$T$5:$T$207,MATCH(H19,Catalogos!$U$5:$U$207,0)),"x")&lt;&gt;LEFT(E19,7)),"La acción no corresponde a la meta seleccionada",IF(OR(NOT(ISNUMBER(M19)),M19&lt;10000000,M19&gt;99999999),"Código UNSPSC inválido: registre 8 dígitos",IF(MOD(M19,10000)=0,"UNSPSC a nivel de segmento o familia: use clase o producto",IF(IFERROR(MATCH(P19,L_MESES,0)&lt;MATCH(O19,L_MESES,0),TRUE()),"El mes de ofertas es anterior al de inicio del proceso",IF(OR(NOT(ISNUMBER(Q19)),Q19&lt;=0),"Duración inválida",IF(OR(NOT(ISNUMBER(W19)),NOT(ISNUMBER(X19))),"Valor inválido: registre solo números",IF(OR(W19&lt;=0,X19&lt;=0),"Valor inválido: debe ser mayor que cero",IF(X19&gt;W19,"El valor de la vigencia 2027 supera el valor total",IF(AND(X19&lt;W19,Y19="No"),"El valor total supera el de 2027: requiere vigencias futuras",IF(AND(Y19="Sí",OR(Z19="",Z19="No aplica")),"Indique el estado de la solicitud de vigencias futuras",IF(IF(AND(S19="Mínima cuantía",ISNUMBER(P_TOPE_MINIMA)),W19&gt;P_TOPE_MINIMA,FALSE()),"El valor supera el tope de mínima cuantía 2027",IF(IF(AND(S19="Selección abreviada de menor cuantía",ISNUMBER(P_TOPE_MENOR)),W19&gt;P_TOPE_MENOR,FALSE()),"El valor supera el tope de menor cuantía 2027",IF(OR(ISERROR(SEARCH("@itc.edu.co",AE19)),SUMPRODUCT(--ISNUMBER(SEARCH({"á","é","í","ó","ú","ñ"," "},AE19)))&gt;0),"El correo del responsable no es institucional válido",IF(AND(AF19="Sí",AG19=""),"Indique el N.° de registro 2026 que continúa","OK")))))))))))))))))</f>
        <v/>
      </c>
      <c r="AK19" s="15" t="str">
        <f>IF(AJ19="OK",COUNTIF($AJ$7:AJ19,"OK"),"")</f>
        <v/>
      </c>
    </row>
    <row r="20" spans="1:37" x14ac:dyDescent="0.3">
      <c r="A20" s="13" t="str">
        <f t="shared" si="0"/>
        <v>PN27-014</v>
      </c>
      <c r="B20" s="26"/>
      <c r="C20" s="13" t="str">
        <f>IF(B20="","",IFERROR(INDEX(Catalogos!$R$5:$R$51,MATCH(B20,L_AREAS,0)),""))</f>
        <v/>
      </c>
      <c r="D20" s="13" t="str">
        <f>IF(B20="","",IFERROR(INDEX(Catalogos!$O$5:$O$51,MATCH(B20,L_AREAS,0)),""))</f>
        <v/>
      </c>
      <c r="E20" s="26"/>
      <c r="F20" s="13" t="str">
        <f>IF(E20="","",IFERROR(INDEX(Catalogos!$C$5:$C$49,MATCH(E20,L_METAS,0)),""))</f>
        <v/>
      </c>
      <c r="G20" s="13" t="str">
        <f>IF(E20="","",IFERROR(INDEX(Catalogos!$E$5:$E$49,MATCH(E20,L_METAS,0)),""))</f>
        <v/>
      </c>
      <c r="H20" s="26"/>
      <c r="I20" s="26"/>
      <c r="J20" s="26"/>
      <c r="K20" s="26"/>
      <c r="L20" s="26"/>
      <c r="M20" s="27"/>
      <c r="N20" s="26"/>
      <c r="O20" s="26"/>
      <c r="P20" s="26"/>
      <c r="Q20" s="26"/>
      <c r="R20" s="26"/>
      <c r="S20" s="26"/>
      <c r="T20" s="26"/>
      <c r="U20" s="26"/>
      <c r="V20" s="26"/>
      <c r="W20" s="28"/>
      <c r="X20" s="28"/>
      <c r="Y20" s="26"/>
      <c r="Z20" s="26"/>
      <c r="AA20" s="26"/>
      <c r="AB20" s="26"/>
      <c r="AC20" s="26"/>
      <c r="AD20" s="26"/>
      <c r="AE20" s="26"/>
      <c r="AF20" s="26"/>
      <c r="AG20" s="26"/>
      <c r="AH20" s="26"/>
      <c r="AI20" s="26"/>
      <c r="AJ20" s="15" t="str">
        <f>IF(COUNTA(B20,E20,H20,I20,J20,K20,L20,M20,N20,O20,P20,Q20,R20,S20,T20,U20,V20,W20,X20,Y20,Z20,AA20,AB20,AC20,AD20,AE20,AF20,AG20,AH20,AI20)=0,"",IF(OR(B20="",E20="",H20="",J20="",K20="",L20="",M20="",O20="",P20="",Q20="",R20="",S20="",T20="",U20="",W20="",X20="",Y20="",AB20="",AC20="",AE20="",AF20=""),"Incompleta: faltan campos obligatorios",IF(AND(LEFT(H20,6)="PROPIA",I20=""),"Falta el nombre de la acción propia del área",IF(AND(LEFT(H20,3)="A27",IFERROR(INDEX(Catalogos!$T$5:$T$207,MATCH(H20,Catalogos!$U$5:$U$207,0)),"x")&lt;&gt;LEFT(E20,7)),"La acción no corresponde a la meta seleccionada",IF(OR(NOT(ISNUMBER(M20)),M20&lt;10000000,M20&gt;99999999),"Código UNSPSC inválido: registre 8 dígitos",IF(MOD(M20,10000)=0,"UNSPSC a nivel de segmento o familia: use clase o producto",IF(IFERROR(MATCH(P20,L_MESES,0)&lt;MATCH(O20,L_MESES,0),TRUE()),"El mes de ofertas es anterior al de inicio del proceso",IF(OR(NOT(ISNUMBER(Q20)),Q20&lt;=0),"Duración inválida",IF(OR(NOT(ISNUMBER(W20)),NOT(ISNUMBER(X20))),"Valor inválido: registre solo números",IF(OR(W20&lt;=0,X20&lt;=0),"Valor inválido: debe ser mayor que cero",IF(X20&gt;W20,"El valor de la vigencia 2027 supera el valor total",IF(AND(X20&lt;W20,Y20="No"),"El valor total supera el de 2027: requiere vigencias futuras",IF(AND(Y20="Sí",OR(Z20="",Z20="No aplica")),"Indique el estado de la solicitud de vigencias futuras",IF(IF(AND(S20="Mínima cuantía",ISNUMBER(P_TOPE_MINIMA)),W20&gt;P_TOPE_MINIMA,FALSE()),"El valor supera el tope de mínima cuantía 2027",IF(IF(AND(S20="Selección abreviada de menor cuantía",ISNUMBER(P_TOPE_MENOR)),W20&gt;P_TOPE_MENOR,FALSE()),"El valor supera el tope de menor cuantía 2027",IF(OR(ISERROR(SEARCH("@itc.edu.co",AE20)),SUMPRODUCT(--ISNUMBER(SEARCH({"á","é","í","ó","ú","ñ"," "},AE20)))&gt;0),"El correo del responsable no es institucional válido",IF(AND(AF20="Sí",AG20=""),"Indique el N.° de registro 2026 que continúa","OK")))))))))))))))))</f>
        <v/>
      </c>
      <c r="AK20" s="15" t="str">
        <f>IF(AJ20="OK",COUNTIF($AJ$7:AJ20,"OK"),"")</f>
        <v/>
      </c>
    </row>
    <row r="21" spans="1:37" x14ac:dyDescent="0.3">
      <c r="A21" s="13" t="str">
        <f t="shared" si="0"/>
        <v>PN27-015</v>
      </c>
      <c r="B21" s="26"/>
      <c r="C21" s="13" t="str">
        <f>IF(B21="","",IFERROR(INDEX(Catalogos!$R$5:$R$51,MATCH(B21,L_AREAS,0)),""))</f>
        <v/>
      </c>
      <c r="D21" s="13" t="str">
        <f>IF(B21="","",IFERROR(INDEX(Catalogos!$O$5:$O$51,MATCH(B21,L_AREAS,0)),""))</f>
        <v/>
      </c>
      <c r="E21" s="26"/>
      <c r="F21" s="13" t="str">
        <f>IF(E21="","",IFERROR(INDEX(Catalogos!$C$5:$C$49,MATCH(E21,L_METAS,0)),""))</f>
        <v/>
      </c>
      <c r="G21" s="13" t="str">
        <f>IF(E21="","",IFERROR(INDEX(Catalogos!$E$5:$E$49,MATCH(E21,L_METAS,0)),""))</f>
        <v/>
      </c>
      <c r="H21" s="26"/>
      <c r="I21" s="26"/>
      <c r="J21" s="26"/>
      <c r="K21" s="26"/>
      <c r="L21" s="26"/>
      <c r="M21" s="27"/>
      <c r="N21" s="26"/>
      <c r="O21" s="26"/>
      <c r="P21" s="26"/>
      <c r="Q21" s="26"/>
      <c r="R21" s="26"/>
      <c r="S21" s="26"/>
      <c r="T21" s="26"/>
      <c r="U21" s="26"/>
      <c r="V21" s="26"/>
      <c r="W21" s="28"/>
      <c r="X21" s="28"/>
      <c r="Y21" s="26"/>
      <c r="Z21" s="26"/>
      <c r="AA21" s="26"/>
      <c r="AB21" s="26"/>
      <c r="AC21" s="26"/>
      <c r="AD21" s="26"/>
      <c r="AE21" s="26"/>
      <c r="AF21" s="26"/>
      <c r="AG21" s="26"/>
      <c r="AH21" s="26"/>
      <c r="AI21" s="26"/>
      <c r="AJ21" s="15" t="str">
        <f>IF(COUNTA(B21,E21,H21,I21,J21,K21,L21,M21,N21,O21,P21,Q21,R21,S21,T21,U21,V21,W21,X21,Y21,Z21,AA21,AB21,AC21,AD21,AE21,AF21,AG21,AH21,AI21)=0,"",IF(OR(B21="",E21="",H21="",J21="",K21="",L21="",M21="",O21="",P21="",Q21="",R21="",S21="",T21="",U21="",W21="",X21="",Y21="",AB21="",AC21="",AE21="",AF21=""),"Incompleta: faltan campos obligatorios",IF(AND(LEFT(H21,6)="PROPIA",I21=""),"Falta el nombre de la acción propia del área",IF(AND(LEFT(H21,3)="A27",IFERROR(INDEX(Catalogos!$T$5:$T$207,MATCH(H21,Catalogos!$U$5:$U$207,0)),"x")&lt;&gt;LEFT(E21,7)),"La acción no corresponde a la meta seleccionada",IF(OR(NOT(ISNUMBER(M21)),M21&lt;10000000,M21&gt;99999999),"Código UNSPSC inválido: registre 8 dígitos",IF(MOD(M21,10000)=0,"UNSPSC a nivel de segmento o familia: use clase o producto",IF(IFERROR(MATCH(P21,L_MESES,0)&lt;MATCH(O21,L_MESES,0),TRUE()),"El mes de ofertas es anterior al de inicio del proceso",IF(OR(NOT(ISNUMBER(Q21)),Q21&lt;=0),"Duración inválida",IF(OR(NOT(ISNUMBER(W21)),NOT(ISNUMBER(X21))),"Valor inválido: registre solo números",IF(OR(W21&lt;=0,X21&lt;=0),"Valor inválido: debe ser mayor que cero",IF(X21&gt;W21,"El valor de la vigencia 2027 supera el valor total",IF(AND(X21&lt;W21,Y21="No"),"El valor total supera el de 2027: requiere vigencias futuras",IF(AND(Y21="Sí",OR(Z21="",Z21="No aplica")),"Indique el estado de la solicitud de vigencias futuras",IF(IF(AND(S21="Mínima cuantía",ISNUMBER(P_TOPE_MINIMA)),W21&gt;P_TOPE_MINIMA,FALSE()),"El valor supera el tope de mínima cuantía 2027",IF(IF(AND(S21="Selección abreviada de menor cuantía",ISNUMBER(P_TOPE_MENOR)),W21&gt;P_TOPE_MENOR,FALSE()),"El valor supera el tope de menor cuantía 2027",IF(OR(ISERROR(SEARCH("@itc.edu.co",AE21)),SUMPRODUCT(--ISNUMBER(SEARCH({"á","é","í","ó","ú","ñ"," "},AE21)))&gt;0),"El correo del responsable no es institucional válido",IF(AND(AF21="Sí",AG21=""),"Indique el N.° de registro 2026 que continúa","OK")))))))))))))))))</f>
        <v/>
      </c>
      <c r="AK21" s="15" t="str">
        <f>IF(AJ21="OK",COUNTIF($AJ$7:AJ21,"OK"),"")</f>
        <v/>
      </c>
    </row>
    <row r="22" spans="1:37" x14ac:dyDescent="0.3">
      <c r="A22" s="13" t="str">
        <f t="shared" si="0"/>
        <v>PN27-016</v>
      </c>
      <c r="B22" s="26"/>
      <c r="C22" s="13" t="str">
        <f>IF(B22="","",IFERROR(INDEX(Catalogos!$R$5:$R$51,MATCH(B22,L_AREAS,0)),""))</f>
        <v/>
      </c>
      <c r="D22" s="13" t="str">
        <f>IF(B22="","",IFERROR(INDEX(Catalogos!$O$5:$O$51,MATCH(B22,L_AREAS,0)),""))</f>
        <v/>
      </c>
      <c r="E22" s="26"/>
      <c r="F22" s="13" t="str">
        <f>IF(E22="","",IFERROR(INDEX(Catalogos!$C$5:$C$49,MATCH(E22,L_METAS,0)),""))</f>
        <v/>
      </c>
      <c r="G22" s="13" t="str">
        <f>IF(E22="","",IFERROR(INDEX(Catalogos!$E$5:$E$49,MATCH(E22,L_METAS,0)),""))</f>
        <v/>
      </c>
      <c r="H22" s="26"/>
      <c r="I22" s="26"/>
      <c r="J22" s="26"/>
      <c r="K22" s="26"/>
      <c r="L22" s="26"/>
      <c r="M22" s="27"/>
      <c r="N22" s="26"/>
      <c r="O22" s="26"/>
      <c r="P22" s="26"/>
      <c r="Q22" s="26"/>
      <c r="R22" s="26"/>
      <c r="S22" s="26"/>
      <c r="T22" s="26"/>
      <c r="U22" s="26"/>
      <c r="V22" s="26"/>
      <c r="W22" s="28"/>
      <c r="X22" s="28"/>
      <c r="Y22" s="26"/>
      <c r="Z22" s="26"/>
      <c r="AA22" s="26"/>
      <c r="AB22" s="26"/>
      <c r="AC22" s="26"/>
      <c r="AD22" s="26"/>
      <c r="AE22" s="26"/>
      <c r="AF22" s="26"/>
      <c r="AG22" s="26"/>
      <c r="AH22" s="26"/>
      <c r="AI22" s="26"/>
      <c r="AJ22" s="15" t="str">
        <f>IF(COUNTA(B22,E22,H22,I22,J22,K22,L22,M22,N22,O22,P22,Q22,R22,S22,T22,U22,V22,W22,X22,Y22,Z22,AA22,AB22,AC22,AD22,AE22,AF22,AG22,AH22,AI22)=0,"",IF(OR(B22="",E22="",H22="",J22="",K22="",L22="",M22="",O22="",P22="",Q22="",R22="",S22="",T22="",U22="",W22="",X22="",Y22="",AB22="",AC22="",AE22="",AF22=""),"Incompleta: faltan campos obligatorios",IF(AND(LEFT(H22,6)="PROPIA",I22=""),"Falta el nombre de la acción propia del área",IF(AND(LEFT(H22,3)="A27",IFERROR(INDEX(Catalogos!$T$5:$T$207,MATCH(H22,Catalogos!$U$5:$U$207,0)),"x")&lt;&gt;LEFT(E22,7)),"La acción no corresponde a la meta seleccionada",IF(OR(NOT(ISNUMBER(M22)),M22&lt;10000000,M22&gt;99999999),"Código UNSPSC inválido: registre 8 dígitos",IF(MOD(M22,10000)=0,"UNSPSC a nivel de segmento o familia: use clase o producto",IF(IFERROR(MATCH(P22,L_MESES,0)&lt;MATCH(O22,L_MESES,0),TRUE()),"El mes de ofertas es anterior al de inicio del proceso",IF(OR(NOT(ISNUMBER(Q22)),Q22&lt;=0),"Duración inválida",IF(OR(NOT(ISNUMBER(W22)),NOT(ISNUMBER(X22))),"Valor inválido: registre solo números",IF(OR(W22&lt;=0,X22&lt;=0),"Valor inválido: debe ser mayor que cero",IF(X22&gt;W22,"El valor de la vigencia 2027 supera el valor total",IF(AND(X22&lt;W22,Y22="No"),"El valor total supera el de 2027: requiere vigencias futuras",IF(AND(Y22="Sí",OR(Z22="",Z22="No aplica")),"Indique el estado de la solicitud de vigencias futuras",IF(IF(AND(S22="Mínima cuantía",ISNUMBER(P_TOPE_MINIMA)),W22&gt;P_TOPE_MINIMA,FALSE()),"El valor supera el tope de mínima cuantía 2027",IF(IF(AND(S22="Selección abreviada de menor cuantía",ISNUMBER(P_TOPE_MENOR)),W22&gt;P_TOPE_MENOR,FALSE()),"El valor supera el tope de menor cuantía 2027",IF(OR(ISERROR(SEARCH("@itc.edu.co",AE22)),SUMPRODUCT(--ISNUMBER(SEARCH({"á","é","í","ó","ú","ñ"," "},AE22)))&gt;0),"El correo del responsable no es institucional válido",IF(AND(AF22="Sí",AG22=""),"Indique el N.° de registro 2026 que continúa","OK")))))))))))))))))</f>
        <v/>
      </c>
      <c r="AK22" s="15" t="str">
        <f>IF(AJ22="OK",COUNTIF($AJ$7:AJ22,"OK"),"")</f>
        <v/>
      </c>
    </row>
    <row r="23" spans="1:37" x14ac:dyDescent="0.3">
      <c r="A23" s="13" t="str">
        <f t="shared" si="0"/>
        <v>PN27-017</v>
      </c>
      <c r="B23" s="26"/>
      <c r="C23" s="13" t="str">
        <f>IF(B23="","",IFERROR(INDEX(Catalogos!$R$5:$R$51,MATCH(B23,L_AREAS,0)),""))</f>
        <v/>
      </c>
      <c r="D23" s="13" t="str">
        <f>IF(B23="","",IFERROR(INDEX(Catalogos!$O$5:$O$51,MATCH(B23,L_AREAS,0)),""))</f>
        <v/>
      </c>
      <c r="E23" s="26"/>
      <c r="F23" s="13" t="str">
        <f>IF(E23="","",IFERROR(INDEX(Catalogos!$C$5:$C$49,MATCH(E23,L_METAS,0)),""))</f>
        <v/>
      </c>
      <c r="G23" s="13" t="str">
        <f>IF(E23="","",IFERROR(INDEX(Catalogos!$E$5:$E$49,MATCH(E23,L_METAS,0)),""))</f>
        <v/>
      </c>
      <c r="H23" s="26"/>
      <c r="I23" s="26"/>
      <c r="J23" s="26"/>
      <c r="K23" s="26"/>
      <c r="L23" s="26"/>
      <c r="M23" s="27"/>
      <c r="N23" s="26"/>
      <c r="O23" s="26"/>
      <c r="P23" s="26"/>
      <c r="Q23" s="26"/>
      <c r="R23" s="26"/>
      <c r="S23" s="26"/>
      <c r="T23" s="26"/>
      <c r="U23" s="26"/>
      <c r="V23" s="26"/>
      <c r="W23" s="28"/>
      <c r="X23" s="28"/>
      <c r="Y23" s="26"/>
      <c r="Z23" s="26"/>
      <c r="AA23" s="26"/>
      <c r="AB23" s="26"/>
      <c r="AC23" s="26"/>
      <c r="AD23" s="26"/>
      <c r="AE23" s="26"/>
      <c r="AF23" s="26"/>
      <c r="AG23" s="26"/>
      <c r="AH23" s="26"/>
      <c r="AI23" s="26"/>
      <c r="AJ23" s="15" t="str">
        <f>IF(COUNTA(B23,E23,H23,I23,J23,K23,L23,M23,N23,O23,P23,Q23,R23,S23,T23,U23,V23,W23,X23,Y23,Z23,AA23,AB23,AC23,AD23,AE23,AF23,AG23,AH23,AI23)=0,"",IF(OR(B23="",E23="",H23="",J23="",K23="",L23="",M23="",O23="",P23="",Q23="",R23="",S23="",T23="",U23="",W23="",X23="",Y23="",AB23="",AC23="",AE23="",AF23=""),"Incompleta: faltan campos obligatorios",IF(AND(LEFT(H23,6)="PROPIA",I23=""),"Falta el nombre de la acción propia del área",IF(AND(LEFT(H23,3)="A27",IFERROR(INDEX(Catalogos!$T$5:$T$207,MATCH(H23,Catalogos!$U$5:$U$207,0)),"x")&lt;&gt;LEFT(E23,7)),"La acción no corresponde a la meta seleccionada",IF(OR(NOT(ISNUMBER(M23)),M23&lt;10000000,M23&gt;99999999),"Código UNSPSC inválido: registre 8 dígitos",IF(MOD(M23,10000)=0,"UNSPSC a nivel de segmento o familia: use clase o producto",IF(IFERROR(MATCH(P23,L_MESES,0)&lt;MATCH(O23,L_MESES,0),TRUE()),"El mes de ofertas es anterior al de inicio del proceso",IF(OR(NOT(ISNUMBER(Q23)),Q23&lt;=0),"Duración inválida",IF(OR(NOT(ISNUMBER(W23)),NOT(ISNUMBER(X23))),"Valor inválido: registre solo números",IF(OR(W23&lt;=0,X23&lt;=0),"Valor inválido: debe ser mayor que cero",IF(X23&gt;W23,"El valor de la vigencia 2027 supera el valor total",IF(AND(X23&lt;W23,Y23="No"),"El valor total supera el de 2027: requiere vigencias futuras",IF(AND(Y23="Sí",OR(Z23="",Z23="No aplica")),"Indique el estado de la solicitud de vigencias futuras",IF(IF(AND(S23="Mínima cuantía",ISNUMBER(P_TOPE_MINIMA)),W23&gt;P_TOPE_MINIMA,FALSE()),"El valor supera el tope de mínima cuantía 2027",IF(IF(AND(S23="Selección abreviada de menor cuantía",ISNUMBER(P_TOPE_MENOR)),W23&gt;P_TOPE_MENOR,FALSE()),"El valor supera el tope de menor cuantía 2027",IF(OR(ISERROR(SEARCH("@itc.edu.co",AE23)),SUMPRODUCT(--ISNUMBER(SEARCH({"á","é","í","ó","ú","ñ"," "},AE23)))&gt;0),"El correo del responsable no es institucional válido",IF(AND(AF23="Sí",AG23=""),"Indique el N.° de registro 2026 que continúa","OK")))))))))))))))))</f>
        <v/>
      </c>
      <c r="AK23" s="15" t="str">
        <f>IF(AJ23="OK",COUNTIF($AJ$7:AJ23,"OK"),"")</f>
        <v/>
      </c>
    </row>
    <row r="24" spans="1:37" x14ac:dyDescent="0.3">
      <c r="A24" s="13" t="str">
        <f t="shared" si="0"/>
        <v>PN27-018</v>
      </c>
      <c r="B24" s="26"/>
      <c r="C24" s="13" t="str">
        <f>IF(B24="","",IFERROR(INDEX(Catalogos!$R$5:$R$51,MATCH(B24,L_AREAS,0)),""))</f>
        <v/>
      </c>
      <c r="D24" s="13" t="str">
        <f>IF(B24="","",IFERROR(INDEX(Catalogos!$O$5:$O$51,MATCH(B24,L_AREAS,0)),""))</f>
        <v/>
      </c>
      <c r="E24" s="26"/>
      <c r="F24" s="13" t="str">
        <f>IF(E24="","",IFERROR(INDEX(Catalogos!$C$5:$C$49,MATCH(E24,L_METAS,0)),""))</f>
        <v/>
      </c>
      <c r="G24" s="13" t="str">
        <f>IF(E24="","",IFERROR(INDEX(Catalogos!$E$5:$E$49,MATCH(E24,L_METAS,0)),""))</f>
        <v/>
      </c>
      <c r="H24" s="26"/>
      <c r="I24" s="26"/>
      <c r="J24" s="26"/>
      <c r="K24" s="26"/>
      <c r="L24" s="26"/>
      <c r="M24" s="27"/>
      <c r="N24" s="26"/>
      <c r="O24" s="26"/>
      <c r="P24" s="26"/>
      <c r="Q24" s="26"/>
      <c r="R24" s="26"/>
      <c r="S24" s="26"/>
      <c r="T24" s="26"/>
      <c r="U24" s="26"/>
      <c r="V24" s="26"/>
      <c r="W24" s="28"/>
      <c r="X24" s="28"/>
      <c r="Y24" s="26"/>
      <c r="Z24" s="26"/>
      <c r="AA24" s="26"/>
      <c r="AB24" s="26"/>
      <c r="AC24" s="26"/>
      <c r="AD24" s="26"/>
      <c r="AE24" s="26"/>
      <c r="AF24" s="26"/>
      <c r="AG24" s="26"/>
      <c r="AH24" s="26"/>
      <c r="AI24" s="26"/>
      <c r="AJ24" s="15" t="str">
        <f>IF(COUNTA(B24,E24,H24,I24,J24,K24,L24,M24,N24,O24,P24,Q24,R24,S24,T24,U24,V24,W24,X24,Y24,Z24,AA24,AB24,AC24,AD24,AE24,AF24,AG24,AH24,AI24)=0,"",IF(OR(B24="",E24="",H24="",J24="",K24="",L24="",M24="",O24="",P24="",Q24="",R24="",S24="",T24="",U24="",W24="",X24="",Y24="",AB24="",AC24="",AE24="",AF24=""),"Incompleta: faltan campos obligatorios",IF(AND(LEFT(H24,6)="PROPIA",I24=""),"Falta el nombre de la acción propia del área",IF(AND(LEFT(H24,3)="A27",IFERROR(INDEX(Catalogos!$T$5:$T$207,MATCH(H24,Catalogos!$U$5:$U$207,0)),"x")&lt;&gt;LEFT(E24,7)),"La acción no corresponde a la meta seleccionada",IF(OR(NOT(ISNUMBER(M24)),M24&lt;10000000,M24&gt;99999999),"Código UNSPSC inválido: registre 8 dígitos",IF(MOD(M24,10000)=0,"UNSPSC a nivel de segmento o familia: use clase o producto",IF(IFERROR(MATCH(P24,L_MESES,0)&lt;MATCH(O24,L_MESES,0),TRUE()),"El mes de ofertas es anterior al de inicio del proceso",IF(OR(NOT(ISNUMBER(Q24)),Q24&lt;=0),"Duración inválida",IF(OR(NOT(ISNUMBER(W24)),NOT(ISNUMBER(X24))),"Valor inválido: registre solo números",IF(OR(W24&lt;=0,X24&lt;=0),"Valor inválido: debe ser mayor que cero",IF(X24&gt;W24,"El valor de la vigencia 2027 supera el valor total",IF(AND(X24&lt;W24,Y24="No"),"El valor total supera el de 2027: requiere vigencias futuras",IF(AND(Y24="Sí",OR(Z24="",Z24="No aplica")),"Indique el estado de la solicitud de vigencias futuras",IF(IF(AND(S24="Mínima cuantía",ISNUMBER(P_TOPE_MINIMA)),W24&gt;P_TOPE_MINIMA,FALSE()),"El valor supera el tope de mínima cuantía 2027",IF(IF(AND(S24="Selección abreviada de menor cuantía",ISNUMBER(P_TOPE_MENOR)),W24&gt;P_TOPE_MENOR,FALSE()),"El valor supera el tope de menor cuantía 2027",IF(OR(ISERROR(SEARCH("@itc.edu.co",AE24)),SUMPRODUCT(--ISNUMBER(SEARCH({"á","é","í","ó","ú","ñ"," "},AE24)))&gt;0),"El correo del responsable no es institucional válido",IF(AND(AF24="Sí",AG24=""),"Indique el N.° de registro 2026 que continúa","OK")))))))))))))))))</f>
        <v/>
      </c>
      <c r="AK24" s="15" t="str">
        <f>IF(AJ24="OK",COUNTIF($AJ$7:AJ24,"OK"),"")</f>
        <v/>
      </c>
    </row>
    <row r="25" spans="1:37" x14ac:dyDescent="0.3">
      <c r="A25" s="13" t="str">
        <f t="shared" si="0"/>
        <v>PN27-019</v>
      </c>
      <c r="B25" s="26"/>
      <c r="C25" s="13" t="str">
        <f>IF(B25="","",IFERROR(INDEX(Catalogos!$R$5:$R$51,MATCH(B25,L_AREAS,0)),""))</f>
        <v/>
      </c>
      <c r="D25" s="13" t="str">
        <f>IF(B25="","",IFERROR(INDEX(Catalogos!$O$5:$O$51,MATCH(B25,L_AREAS,0)),""))</f>
        <v/>
      </c>
      <c r="E25" s="26"/>
      <c r="F25" s="13" t="str">
        <f>IF(E25="","",IFERROR(INDEX(Catalogos!$C$5:$C$49,MATCH(E25,L_METAS,0)),""))</f>
        <v/>
      </c>
      <c r="G25" s="13" t="str">
        <f>IF(E25="","",IFERROR(INDEX(Catalogos!$E$5:$E$49,MATCH(E25,L_METAS,0)),""))</f>
        <v/>
      </c>
      <c r="H25" s="26"/>
      <c r="I25" s="26"/>
      <c r="J25" s="26"/>
      <c r="K25" s="26"/>
      <c r="L25" s="26"/>
      <c r="M25" s="27"/>
      <c r="N25" s="26"/>
      <c r="O25" s="26"/>
      <c r="P25" s="26"/>
      <c r="Q25" s="26"/>
      <c r="R25" s="26"/>
      <c r="S25" s="26"/>
      <c r="T25" s="26"/>
      <c r="U25" s="26"/>
      <c r="V25" s="26"/>
      <c r="W25" s="28"/>
      <c r="X25" s="28"/>
      <c r="Y25" s="26"/>
      <c r="Z25" s="26"/>
      <c r="AA25" s="26"/>
      <c r="AB25" s="26"/>
      <c r="AC25" s="26"/>
      <c r="AD25" s="26"/>
      <c r="AE25" s="26"/>
      <c r="AF25" s="26"/>
      <c r="AG25" s="26"/>
      <c r="AH25" s="26"/>
      <c r="AI25" s="26"/>
      <c r="AJ25" s="15" t="str">
        <f>IF(COUNTA(B25,E25,H25,I25,J25,K25,L25,M25,N25,O25,P25,Q25,R25,S25,T25,U25,V25,W25,X25,Y25,Z25,AA25,AB25,AC25,AD25,AE25,AF25,AG25,AH25,AI25)=0,"",IF(OR(B25="",E25="",H25="",J25="",K25="",L25="",M25="",O25="",P25="",Q25="",R25="",S25="",T25="",U25="",W25="",X25="",Y25="",AB25="",AC25="",AE25="",AF25=""),"Incompleta: faltan campos obligatorios",IF(AND(LEFT(H25,6)="PROPIA",I25=""),"Falta el nombre de la acción propia del área",IF(AND(LEFT(H25,3)="A27",IFERROR(INDEX(Catalogos!$T$5:$T$207,MATCH(H25,Catalogos!$U$5:$U$207,0)),"x")&lt;&gt;LEFT(E25,7)),"La acción no corresponde a la meta seleccionada",IF(OR(NOT(ISNUMBER(M25)),M25&lt;10000000,M25&gt;99999999),"Código UNSPSC inválido: registre 8 dígitos",IF(MOD(M25,10000)=0,"UNSPSC a nivel de segmento o familia: use clase o producto",IF(IFERROR(MATCH(P25,L_MESES,0)&lt;MATCH(O25,L_MESES,0),TRUE()),"El mes de ofertas es anterior al de inicio del proceso",IF(OR(NOT(ISNUMBER(Q25)),Q25&lt;=0),"Duración inválida",IF(OR(NOT(ISNUMBER(W25)),NOT(ISNUMBER(X25))),"Valor inválido: registre solo números",IF(OR(W25&lt;=0,X25&lt;=0),"Valor inválido: debe ser mayor que cero",IF(X25&gt;W25,"El valor de la vigencia 2027 supera el valor total",IF(AND(X25&lt;W25,Y25="No"),"El valor total supera el de 2027: requiere vigencias futuras",IF(AND(Y25="Sí",OR(Z25="",Z25="No aplica")),"Indique el estado de la solicitud de vigencias futuras",IF(IF(AND(S25="Mínima cuantía",ISNUMBER(P_TOPE_MINIMA)),W25&gt;P_TOPE_MINIMA,FALSE()),"El valor supera el tope de mínima cuantía 2027",IF(IF(AND(S25="Selección abreviada de menor cuantía",ISNUMBER(P_TOPE_MENOR)),W25&gt;P_TOPE_MENOR,FALSE()),"El valor supera el tope de menor cuantía 2027",IF(OR(ISERROR(SEARCH("@itc.edu.co",AE25)),SUMPRODUCT(--ISNUMBER(SEARCH({"á","é","í","ó","ú","ñ"," "},AE25)))&gt;0),"El correo del responsable no es institucional válido",IF(AND(AF25="Sí",AG25=""),"Indique el N.° de registro 2026 que continúa","OK")))))))))))))))))</f>
        <v/>
      </c>
      <c r="AK25" s="15" t="str">
        <f>IF(AJ25="OK",COUNTIF($AJ$7:AJ25,"OK"),"")</f>
        <v/>
      </c>
    </row>
    <row r="26" spans="1:37" x14ac:dyDescent="0.3">
      <c r="A26" s="13" t="str">
        <f t="shared" si="0"/>
        <v>PN27-020</v>
      </c>
      <c r="B26" s="26"/>
      <c r="C26" s="13" t="str">
        <f>IF(B26="","",IFERROR(INDEX(Catalogos!$R$5:$R$51,MATCH(B26,L_AREAS,0)),""))</f>
        <v/>
      </c>
      <c r="D26" s="13" t="str">
        <f>IF(B26="","",IFERROR(INDEX(Catalogos!$O$5:$O$51,MATCH(B26,L_AREAS,0)),""))</f>
        <v/>
      </c>
      <c r="E26" s="26"/>
      <c r="F26" s="13" t="str">
        <f>IF(E26="","",IFERROR(INDEX(Catalogos!$C$5:$C$49,MATCH(E26,L_METAS,0)),""))</f>
        <v/>
      </c>
      <c r="G26" s="13" t="str">
        <f>IF(E26="","",IFERROR(INDEX(Catalogos!$E$5:$E$49,MATCH(E26,L_METAS,0)),""))</f>
        <v/>
      </c>
      <c r="H26" s="26"/>
      <c r="I26" s="26"/>
      <c r="J26" s="26"/>
      <c r="K26" s="26"/>
      <c r="L26" s="26"/>
      <c r="M26" s="27"/>
      <c r="N26" s="26"/>
      <c r="O26" s="26"/>
      <c r="P26" s="26"/>
      <c r="Q26" s="26"/>
      <c r="R26" s="26"/>
      <c r="S26" s="26"/>
      <c r="T26" s="26"/>
      <c r="U26" s="26"/>
      <c r="V26" s="26"/>
      <c r="W26" s="28"/>
      <c r="X26" s="28"/>
      <c r="Y26" s="26"/>
      <c r="Z26" s="26"/>
      <c r="AA26" s="26"/>
      <c r="AB26" s="26"/>
      <c r="AC26" s="26"/>
      <c r="AD26" s="26"/>
      <c r="AE26" s="26"/>
      <c r="AF26" s="26"/>
      <c r="AG26" s="26"/>
      <c r="AH26" s="26"/>
      <c r="AI26" s="26"/>
      <c r="AJ26" s="15" t="str">
        <f>IF(COUNTA(B26,E26,H26,I26,J26,K26,L26,M26,N26,O26,P26,Q26,R26,S26,T26,U26,V26,W26,X26,Y26,Z26,AA26,AB26,AC26,AD26,AE26,AF26,AG26,AH26,AI26)=0,"",IF(OR(B26="",E26="",H26="",J26="",K26="",L26="",M26="",O26="",P26="",Q26="",R26="",S26="",T26="",U26="",W26="",X26="",Y26="",AB26="",AC26="",AE26="",AF26=""),"Incompleta: faltan campos obligatorios",IF(AND(LEFT(H26,6)="PROPIA",I26=""),"Falta el nombre de la acción propia del área",IF(AND(LEFT(H26,3)="A27",IFERROR(INDEX(Catalogos!$T$5:$T$207,MATCH(H26,Catalogos!$U$5:$U$207,0)),"x")&lt;&gt;LEFT(E26,7)),"La acción no corresponde a la meta seleccionada",IF(OR(NOT(ISNUMBER(M26)),M26&lt;10000000,M26&gt;99999999),"Código UNSPSC inválido: registre 8 dígitos",IF(MOD(M26,10000)=0,"UNSPSC a nivel de segmento o familia: use clase o producto",IF(IFERROR(MATCH(P26,L_MESES,0)&lt;MATCH(O26,L_MESES,0),TRUE()),"El mes de ofertas es anterior al de inicio del proceso",IF(OR(NOT(ISNUMBER(Q26)),Q26&lt;=0),"Duración inválida",IF(OR(NOT(ISNUMBER(W26)),NOT(ISNUMBER(X26))),"Valor inválido: registre solo números",IF(OR(W26&lt;=0,X26&lt;=0),"Valor inválido: debe ser mayor que cero",IF(X26&gt;W26,"El valor de la vigencia 2027 supera el valor total",IF(AND(X26&lt;W26,Y26="No"),"El valor total supera el de 2027: requiere vigencias futuras",IF(AND(Y26="Sí",OR(Z26="",Z26="No aplica")),"Indique el estado de la solicitud de vigencias futuras",IF(IF(AND(S26="Mínima cuantía",ISNUMBER(P_TOPE_MINIMA)),W26&gt;P_TOPE_MINIMA,FALSE()),"El valor supera el tope de mínima cuantía 2027",IF(IF(AND(S26="Selección abreviada de menor cuantía",ISNUMBER(P_TOPE_MENOR)),W26&gt;P_TOPE_MENOR,FALSE()),"El valor supera el tope de menor cuantía 2027",IF(OR(ISERROR(SEARCH("@itc.edu.co",AE26)),SUMPRODUCT(--ISNUMBER(SEARCH({"á","é","í","ó","ú","ñ"," "},AE26)))&gt;0),"El correo del responsable no es institucional válido",IF(AND(AF26="Sí",AG26=""),"Indique el N.° de registro 2026 que continúa","OK")))))))))))))))))</f>
        <v/>
      </c>
      <c r="AK26" s="15" t="str">
        <f>IF(AJ26="OK",COUNTIF($AJ$7:AJ26,"OK"),"")</f>
        <v/>
      </c>
    </row>
    <row r="27" spans="1:37" x14ac:dyDescent="0.3">
      <c r="A27" s="13" t="str">
        <f t="shared" si="0"/>
        <v>PN27-021</v>
      </c>
      <c r="B27" s="26"/>
      <c r="C27" s="13" t="str">
        <f>IF(B27="","",IFERROR(INDEX(Catalogos!$R$5:$R$51,MATCH(B27,L_AREAS,0)),""))</f>
        <v/>
      </c>
      <c r="D27" s="13" t="str">
        <f>IF(B27="","",IFERROR(INDEX(Catalogos!$O$5:$O$51,MATCH(B27,L_AREAS,0)),""))</f>
        <v/>
      </c>
      <c r="E27" s="26"/>
      <c r="F27" s="13" t="str">
        <f>IF(E27="","",IFERROR(INDEX(Catalogos!$C$5:$C$49,MATCH(E27,L_METAS,0)),""))</f>
        <v/>
      </c>
      <c r="G27" s="13" t="str">
        <f>IF(E27="","",IFERROR(INDEX(Catalogos!$E$5:$E$49,MATCH(E27,L_METAS,0)),""))</f>
        <v/>
      </c>
      <c r="H27" s="26"/>
      <c r="I27" s="26"/>
      <c r="J27" s="26"/>
      <c r="K27" s="26"/>
      <c r="L27" s="26"/>
      <c r="M27" s="27"/>
      <c r="N27" s="26"/>
      <c r="O27" s="26"/>
      <c r="P27" s="26"/>
      <c r="Q27" s="26"/>
      <c r="R27" s="26"/>
      <c r="S27" s="26"/>
      <c r="T27" s="26"/>
      <c r="U27" s="26"/>
      <c r="V27" s="26"/>
      <c r="W27" s="28"/>
      <c r="X27" s="28"/>
      <c r="Y27" s="26"/>
      <c r="Z27" s="26"/>
      <c r="AA27" s="26"/>
      <c r="AB27" s="26"/>
      <c r="AC27" s="26"/>
      <c r="AD27" s="26"/>
      <c r="AE27" s="26"/>
      <c r="AF27" s="26"/>
      <c r="AG27" s="26"/>
      <c r="AH27" s="26"/>
      <c r="AI27" s="26"/>
      <c r="AJ27" s="15" t="str">
        <f>IF(COUNTA(B27,E27,H27,I27,J27,K27,L27,M27,N27,O27,P27,Q27,R27,S27,T27,U27,V27,W27,X27,Y27,Z27,AA27,AB27,AC27,AD27,AE27,AF27,AG27,AH27,AI27)=0,"",IF(OR(B27="",E27="",H27="",J27="",K27="",L27="",M27="",O27="",P27="",Q27="",R27="",S27="",T27="",U27="",W27="",X27="",Y27="",AB27="",AC27="",AE27="",AF27=""),"Incompleta: faltan campos obligatorios",IF(AND(LEFT(H27,6)="PROPIA",I27=""),"Falta el nombre de la acción propia del área",IF(AND(LEFT(H27,3)="A27",IFERROR(INDEX(Catalogos!$T$5:$T$207,MATCH(H27,Catalogos!$U$5:$U$207,0)),"x")&lt;&gt;LEFT(E27,7)),"La acción no corresponde a la meta seleccionada",IF(OR(NOT(ISNUMBER(M27)),M27&lt;10000000,M27&gt;99999999),"Código UNSPSC inválido: registre 8 dígitos",IF(MOD(M27,10000)=0,"UNSPSC a nivel de segmento o familia: use clase o producto",IF(IFERROR(MATCH(P27,L_MESES,0)&lt;MATCH(O27,L_MESES,0),TRUE()),"El mes de ofertas es anterior al de inicio del proceso",IF(OR(NOT(ISNUMBER(Q27)),Q27&lt;=0),"Duración inválida",IF(OR(NOT(ISNUMBER(W27)),NOT(ISNUMBER(X27))),"Valor inválido: registre solo números",IF(OR(W27&lt;=0,X27&lt;=0),"Valor inválido: debe ser mayor que cero",IF(X27&gt;W27,"El valor de la vigencia 2027 supera el valor total",IF(AND(X27&lt;W27,Y27="No"),"El valor total supera el de 2027: requiere vigencias futuras",IF(AND(Y27="Sí",OR(Z27="",Z27="No aplica")),"Indique el estado de la solicitud de vigencias futuras",IF(IF(AND(S27="Mínima cuantía",ISNUMBER(P_TOPE_MINIMA)),W27&gt;P_TOPE_MINIMA,FALSE()),"El valor supera el tope de mínima cuantía 2027",IF(IF(AND(S27="Selección abreviada de menor cuantía",ISNUMBER(P_TOPE_MENOR)),W27&gt;P_TOPE_MENOR,FALSE()),"El valor supera el tope de menor cuantía 2027",IF(OR(ISERROR(SEARCH("@itc.edu.co",AE27)),SUMPRODUCT(--ISNUMBER(SEARCH({"á","é","í","ó","ú","ñ"," "},AE27)))&gt;0),"El correo del responsable no es institucional válido",IF(AND(AF27="Sí",AG27=""),"Indique el N.° de registro 2026 que continúa","OK")))))))))))))))))</f>
        <v/>
      </c>
      <c r="AK27" s="15" t="str">
        <f>IF(AJ27="OK",COUNTIF($AJ$7:AJ27,"OK"),"")</f>
        <v/>
      </c>
    </row>
    <row r="28" spans="1:37" x14ac:dyDescent="0.3">
      <c r="A28" s="13" t="str">
        <f t="shared" si="0"/>
        <v>PN27-022</v>
      </c>
      <c r="B28" s="26"/>
      <c r="C28" s="13" t="str">
        <f>IF(B28="","",IFERROR(INDEX(Catalogos!$R$5:$R$51,MATCH(B28,L_AREAS,0)),""))</f>
        <v/>
      </c>
      <c r="D28" s="13" t="str">
        <f>IF(B28="","",IFERROR(INDEX(Catalogos!$O$5:$O$51,MATCH(B28,L_AREAS,0)),""))</f>
        <v/>
      </c>
      <c r="E28" s="26"/>
      <c r="F28" s="13" t="str">
        <f>IF(E28="","",IFERROR(INDEX(Catalogos!$C$5:$C$49,MATCH(E28,L_METAS,0)),""))</f>
        <v/>
      </c>
      <c r="G28" s="13" t="str">
        <f>IF(E28="","",IFERROR(INDEX(Catalogos!$E$5:$E$49,MATCH(E28,L_METAS,0)),""))</f>
        <v/>
      </c>
      <c r="H28" s="26"/>
      <c r="I28" s="26"/>
      <c r="J28" s="26"/>
      <c r="K28" s="26"/>
      <c r="L28" s="26"/>
      <c r="M28" s="27"/>
      <c r="N28" s="26"/>
      <c r="O28" s="26"/>
      <c r="P28" s="26"/>
      <c r="Q28" s="26"/>
      <c r="R28" s="26"/>
      <c r="S28" s="26"/>
      <c r="T28" s="26"/>
      <c r="U28" s="26"/>
      <c r="V28" s="26"/>
      <c r="W28" s="28"/>
      <c r="X28" s="28"/>
      <c r="Y28" s="26"/>
      <c r="Z28" s="26"/>
      <c r="AA28" s="26"/>
      <c r="AB28" s="26"/>
      <c r="AC28" s="26"/>
      <c r="AD28" s="26"/>
      <c r="AE28" s="26"/>
      <c r="AF28" s="26"/>
      <c r="AG28" s="26"/>
      <c r="AH28" s="26"/>
      <c r="AI28" s="26"/>
      <c r="AJ28" s="15" t="str">
        <f>IF(COUNTA(B28,E28,H28,I28,J28,K28,L28,M28,N28,O28,P28,Q28,R28,S28,T28,U28,V28,W28,X28,Y28,Z28,AA28,AB28,AC28,AD28,AE28,AF28,AG28,AH28,AI28)=0,"",IF(OR(B28="",E28="",H28="",J28="",K28="",L28="",M28="",O28="",P28="",Q28="",R28="",S28="",T28="",U28="",W28="",X28="",Y28="",AB28="",AC28="",AE28="",AF28=""),"Incompleta: faltan campos obligatorios",IF(AND(LEFT(H28,6)="PROPIA",I28=""),"Falta el nombre de la acción propia del área",IF(AND(LEFT(H28,3)="A27",IFERROR(INDEX(Catalogos!$T$5:$T$207,MATCH(H28,Catalogos!$U$5:$U$207,0)),"x")&lt;&gt;LEFT(E28,7)),"La acción no corresponde a la meta seleccionada",IF(OR(NOT(ISNUMBER(M28)),M28&lt;10000000,M28&gt;99999999),"Código UNSPSC inválido: registre 8 dígitos",IF(MOD(M28,10000)=0,"UNSPSC a nivel de segmento o familia: use clase o producto",IF(IFERROR(MATCH(P28,L_MESES,0)&lt;MATCH(O28,L_MESES,0),TRUE()),"El mes de ofertas es anterior al de inicio del proceso",IF(OR(NOT(ISNUMBER(Q28)),Q28&lt;=0),"Duración inválida",IF(OR(NOT(ISNUMBER(W28)),NOT(ISNUMBER(X28))),"Valor inválido: registre solo números",IF(OR(W28&lt;=0,X28&lt;=0),"Valor inválido: debe ser mayor que cero",IF(X28&gt;W28,"El valor de la vigencia 2027 supera el valor total",IF(AND(X28&lt;W28,Y28="No"),"El valor total supera el de 2027: requiere vigencias futuras",IF(AND(Y28="Sí",OR(Z28="",Z28="No aplica")),"Indique el estado de la solicitud de vigencias futuras",IF(IF(AND(S28="Mínima cuantía",ISNUMBER(P_TOPE_MINIMA)),W28&gt;P_TOPE_MINIMA,FALSE()),"El valor supera el tope de mínima cuantía 2027",IF(IF(AND(S28="Selección abreviada de menor cuantía",ISNUMBER(P_TOPE_MENOR)),W28&gt;P_TOPE_MENOR,FALSE()),"El valor supera el tope de menor cuantía 2027",IF(OR(ISERROR(SEARCH("@itc.edu.co",AE28)),SUMPRODUCT(--ISNUMBER(SEARCH({"á","é","í","ó","ú","ñ"," "},AE28)))&gt;0),"El correo del responsable no es institucional válido",IF(AND(AF28="Sí",AG28=""),"Indique el N.° de registro 2026 que continúa","OK")))))))))))))))))</f>
        <v/>
      </c>
      <c r="AK28" s="15" t="str">
        <f>IF(AJ28="OK",COUNTIF($AJ$7:AJ28,"OK"),"")</f>
        <v/>
      </c>
    </row>
    <row r="29" spans="1:37" x14ac:dyDescent="0.3">
      <c r="A29" s="13" t="str">
        <f t="shared" si="0"/>
        <v>PN27-023</v>
      </c>
      <c r="B29" s="26"/>
      <c r="C29" s="13" t="str">
        <f>IF(B29="","",IFERROR(INDEX(Catalogos!$R$5:$R$51,MATCH(B29,L_AREAS,0)),""))</f>
        <v/>
      </c>
      <c r="D29" s="13" t="str">
        <f>IF(B29="","",IFERROR(INDEX(Catalogos!$O$5:$O$51,MATCH(B29,L_AREAS,0)),""))</f>
        <v/>
      </c>
      <c r="E29" s="26"/>
      <c r="F29" s="13" t="str">
        <f>IF(E29="","",IFERROR(INDEX(Catalogos!$C$5:$C$49,MATCH(E29,L_METAS,0)),""))</f>
        <v/>
      </c>
      <c r="G29" s="13" t="str">
        <f>IF(E29="","",IFERROR(INDEX(Catalogos!$E$5:$E$49,MATCH(E29,L_METAS,0)),""))</f>
        <v/>
      </c>
      <c r="H29" s="26"/>
      <c r="I29" s="26"/>
      <c r="J29" s="26"/>
      <c r="K29" s="26"/>
      <c r="L29" s="26"/>
      <c r="M29" s="27"/>
      <c r="N29" s="26"/>
      <c r="O29" s="26"/>
      <c r="P29" s="26"/>
      <c r="Q29" s="26"/>
      <c r="R29" s="26"/>
      <c r="S29" s="26"/>
      <c r="T29" s="26"/>
      <c r="U29" s="26"/>
      <c r="V29" s="26"/>
      <c r="W29" s="28"/>
      <c r="X29" s="28"/>
      <c r="Y29" s="26"/>
      <c r="Z29" s="26"/>
      <c r="AA29" s="26"/>
      <c r="AB29" s="26"/>
      <c r="AC29" s="26"/>
      <c r="AD29" s="26"/>
      <c r="AE29" s="26"/>
      <c r="AF29" s="26"/>
      <c r="AG29" s="26"/>
      <c r="AH29" s="26"/>
      <c r="AI29" s="26"/>
      <c r="AJ29" s="15" t="str">
        <f>IF(COUNTA(B29,E29,H29,I29,J29,K29,L29,M29,N29,O29,P29,Q29,R29,S29,T29,U29,V29,W29,X29,Y29,Z29,AA29,AB29,AC29,AD29,AE29,AF29,AG29,AH29,AI29)=0,"",IF(OR(B29="",E29="",H29="",J29="",K29="",L29="",M29="",O29="",P29="",Q29="",R29="",S29="",T29="",U29="",W29="",X29="",Y29="",AB29="",AC29="",AE29="",AF29=""),"Incompleta: faltan campos obligatorios",IF(AND(LEFT(H29,6)="PROPIA",I29=""),"Falta el nombre de la acción propia del área",IF(AND(LEFT(H29,3)="A27",IFERROR(INDEX(Catalogos!$T$5:$T$207,MATCH(H29,Catalogos!$U$5:$U$207,0)),"x")&lt;&gt;LEFT(E29,7)),"La acción no corresponde a la meta seleccionada",IF(OR(NOT(ISNUMBER(M29)),M29&lt;10000000,M29&gt;99999999),"Código UNSPSC inválido: registre 8 dígitos",IF(MOD(M29,10000)=0,"UNSPSC a nivel de segmento o familia: use clase o producto",IF(IFERROR(MATCH(P29,L_MESES,0)&lt;MATCH(O29,L_MESES,0),TRUE()),"El mes de ofertas es anterior al de inicio del proceso",IF(OR(NOT(ISNUMBER(Q29)),Q29&lt;=0),"Duración inválida",IF(OR(NOT(ISNUMBER(W29)),NOT(ISNUMBER(X29))),"Valor inválido: registre solo números",IF(OR(W29&lt;=0,X29&lt;=0),"Valor inválido: debe ser mayor que cero",IF(X29&gt;W29,"El valor de la vigencia 2027 supera el valor total",IF(AND(X29&lt;W29,Y29="No"),"El valor total supera el de 2027: requiere vigencias futuras",IF(AND(Y29="Sí",OR(Z29="",Z29="No aplica")),"Indique el estado de la solicitud de vigencias futuras",IF(IF(AND(S29="Mínima cuantía",ISNUMBER(P_TOPE_MINIMA)),W29&gt;P_TOPE_MINIMA,FALSE()),"El valor supera el tope de mínima cuantía 2027",IF(IF(AND(S29="Selección abreviada de menor cuantía",ISNUMBER(P_TOPE_MENOR)),W29&gt;P_TOPE_MENOR,FALSE()),"El valor supera el tope de menor cuantía 2027",IF(OR(ISERROR(SEARCH("@itc.edu.co",AE29)),SUMPRODUCT(--ISNUMBER(SEARCH({"á","é","í","ó","ú","ñ"," "},AE29)))&gt;0),"El correo del responsable no es institucional válido",IF(AND(AF29="Sí",AG29=""),"Indique el N.° de registro 2026 que continúa","OK")))))))))))))))))</f>
        <v/>
      </c>
      <c r="AK29" s="15" t="str">
        <f>IF(AJ29="OK",COUNTIF($AJ$7:AJ29,"OK"),"")</f>
        <v/>
      </c>
    </row>
    <row r="30" spans="1:37" x14ac:dyDescent="0.3">
      <c r="A30" s="13" t="str">
        <f t="shared" si="0"/>
        <v>PN27-024</v>
      </c>
      <c r="B30" s="26"/>
      <c r="C30" s="13" t="str">
        <f>IF(B30="","",IFERROR(INDEX(Catalogos!$R$5:$R$51,MATCH(B30,L_AREAS,0)),""))</f>
        <v/>
      </c>
      <c r="D30" s="13" t="str">
        <f>IF(B30="","",IFERROR(INDEX(Catalogos!$O$5:$O$51,MATCH(B30,L_AREAS,0)),""))</f>
        <v/>
      </c>
      <c r="E30" s="26"/>
      <c r="F30" s="13" t="str">
        <f>IF(E30="","",IFERROR(INDEX(Catalogos!$C$5:$C$49,MATCH(E30,L_METAS,0)),""))</f>
        <v/>
      </c>
      <c r="G30" s="13" t="str">
        <f>IF(E30="","",IFERROR(INDEX(Catalogos!$E$5:$E$49,MATCH(E30,L_METAS,0)),""))</f>
        <v/>
      </c>
      <c r="H30" s="26"/>
      <c r="I30" s="26"/>
      <c r="J30" s="26"/>
      <c r="K30" s="26"/>
      <c r="L30" s="26"/>
      <c r="M30" s="27"/>
      <c r="N30" s="26"/>
      <c r="O30" s="26"/>
      <c r="P30" s="26"/>
      <c r="Q30" s="26"/>
      <c r="R30" s="26"/>
      <c r="S30" s="26"/>
      <c r="T30" s="26"/>
      <c r="U30" s="26"/>
      <c r="V30" s="26"/>
      <c r="W30" s="28"/>
      <c r="X30" s="28"/>
      <c r="Y30" s="26"/>
      <c r="Z30" s="26"/>
      <c r="AA30" s="26"/>
      <c r="AB30" s="26"/>
      <c r="AC30" s="26"/>
      <c r="AD30" s="26"/>
      <c r="AE30" s="26"/>
      <c r="AF30" s="26"/>
      <c r="AG30" s="26"/>
      <c r="AH30" s="26"/>
      <c r="AI30" s="26"/>
      <c r="AJ30" s="15" t="str">
        <f>IF(COUNTA(B30,E30,H30,I30,J30,K30,L30,M30,N30,O30,P30,Q30,R30,S30,T30,U30,V30,W30,X30,Y30,Z30,AA30,AB30,AC30,AD30,AE30,AF30,AG30,AH30,AI30)=0,"",IF(OR(B30="",E30="",H30="",J30="",K30="",L30="",M30="",O30="",P30="",Q30="",R30="",S30="",T30="",U30="",W30="",X30="",Y30="",AB30="",AC30="",AE30="",AF30=""),"Incompleta: faltan campos obligatorios",IF(AND(LEFT(H30,6)="PROPIA",I30=""),"Falta el nombre de la acción propia del área",IF(AND(LEFT(H30,3)="A27",IFERROR(INDEX(Catalogos!$T$5:$T$207,MATCH(H30,Catalogos!$U$5:$U$207,0)),"x")&lt;&gt;LEFT(E30,7)),"La acción no corresponde a la meta seleccionada",IF(OR(NOT(ISNUMBER(M30)),M30&lt;10000000,M30&gt;99999999),"Código UNSPSC inválido: registre 8 dígitos",IF(MOD(M30,10000)=0,"UNSPSC a nivel de segmento o familia: use clase o producto",IF(IFERROR(MATCH(P30,L_MESES,0)&lt;MATCH(O30,L_MESES,0),TRUE()),"El mes de ofertas es anterior al de inicio del proceso",IF(OR(NOT(ISNUMBER(Q30)),Q30&lt;=0),"Duración inválida",IF(OR(NOT(ISNUMBER(W30)),NOT(ISNUMBER(X30))),"Valor inválido: registre solo números",IF(OR(W30&lt;=0,X30&lt;=0),"Valor inválido: debe ser mayor que cero",IF(X30&gt;W30,"El valor de la vigencia 2027 supera el valor total",IF(AND(X30&lt;W30,Y30="No"),"El valor total supera el de 2027: requiere vigencias futuras",IF(AND(Y30="Sí",OR(Z30="",Z30="No aplica")),"Indique el estado de la solicitud de vigencias futuras",IF(IF(AND(S30="Mínima cuantía",ISNUMBER(P_TOPE_MINIMA)),W30&gt;P_TOPE_MINIMA,FALSE()),"El valor supera el tope de mínima cuantía 2027",IF(IF(AND(S30="Selección abreviada de menor cuantía",ISNUMBER(P_TOPE_MENOR)),W30&gt;P_TOPE_MENOR,FALSE()),"El valor supera el tope de menor cuantía 2027",IF(OR(ISERROR(SEARCH("@itc.edu.co",AE30)),SUMPRODUCT(--ISNUMBER(SEARCH({"á","é","í","ó","ú","ñ"," "},AE30)))&gt;0),"El correo del responsable no es institucional válido",IF(AND(AF30="Sí",AG30=""),"Indique el N.° de registro 2026 que continúa","OK")))))))))))))))))</f>
        <v/>
      </c>
      <c r="AK30" s="15" t="str">
        <f>IF(AJ30="OK",COUNTIF($AJ$7:AJ30,"OK"),"")</f>
        <v/>
      </c>
    </row>
    <row r="31" spans="1:37" x14ac:dyDescent="0.3">
      <c r="A31" s="13" t="str">
        <f t="shared" si="0"/>
        <v>PN27-025</v>
      </c>
      <c r="B31" s="26"/>
      <c r="C31" s="13" t="str">
        <f>IF(B31="","",IFERROR(INDEX(Catalogos!$R$5:$R$51,MATCH(B31,L_AREAS,0)),""))</f>
        <v/>
      </c>
      <c r="D31" s="13" t="str">
        <f>IF(B31="","",IFERROR(INDEX(Catalogos!$O$5:$O$51,MATCH(B31,L_AREAS,0)),""))</f>
        <v/>
      </c>
      <c r="E31" s="26"/>
      <c r="F31" s="13" t="str">
        <f>IF(E31="","",IFERROR(INDEX(Catalogos!$C$5:$C$49,MATCH(E31,L_METAS,0)),""))</f>
        <v/>
      </c>
      <c r="G31" s="13" t="str">
        <f>IF(E31="","",IFERROR(INDEX(Catalogos!$E$5:$E$49,MATCH(E31,L_METAS,0)),""))</f>
        <v/>
      </c>
      <c r="H31" s="26"/>
      <c r="I31" s="26"/>
      <c r="J31" s="26"/>
      <c r="K31" s="26"/>
      <c r="L31" s="26"/>
      <c r="M31" s="27"/>
      <c r="N31" s="26"/>
      <c r="O31" s="26"/>
      <c r="P31" s="26"/>
      <c r="Q31" s="26"/>
      <c r="R31" s="26"/>
      <c r="S31" s="26"/>
      <c r="T31" s="26"/>
      <c r="U31" s="26"/>
      <c r="V31" s="26"/>
      <c r="W31" s="28"/>
      <c r="X31" s="28"/>
      <c r="Y31" s="26"/>
      <c r="Z31" s="26"/>
      <c r="AA31" s="26"/>
      <c r="AB31" s="26"/>
      <c r="AC31" s="26"/>
      <c r="AD31" s="26"/>
      <c r="AE31" s="26"/>
      <c r="AF31" s="26"/>
      <c r="AG31" s="26"/>
      <c r="AH31" s="26"/>
      <c r="AI31" s="26"/>
      <c r="AJ31" s="15" t="str">
        <f>IF(COUNTA(B31,E31,H31,I31,J31,K31,L31,M31,N31,O31,P31,Q31,R31,S31,T31,U31,V31,W31,X31,Y31,Z31,AA31,AB31,AC31,AD31,AE31,AF31,AG31,AH31,AI31)=0,"",IF(OR(B31="",E31="",H31="",J31="",K31="",L31="",M31="",O31="",P31="",Q31="",R31="",S31="",T31="",U31="",W31="",X31="",Y31="",AB31="",AC31="",AE31="",AF31=""),"Incompleta: faltan campos obligatorios",IF(AND(LEFT(H31,6)="PROPIA",I31=""),"Falta el nombre de la acción propia del área",IF(AND(LEFT(H31,3)="A27",IFERROR(INDEX(Catalogos!$T$5:$T$207,MATCH(H31,Catalogos!$U$5:$U$207,0)),"x")&lt;&gt;LEFT(E31,7)),"La acción no corresponde a la meta seleccionada",IF(OR(NOT(ISNUMBER(M31)),M31&lt;10000000,M31&gt;99999999),"Código UNSPSC inválido: registre 8 dígitos",IF(MOD(M31,10000)=0,"UNSPSC a nivel de segmento o familia: use clase o producto",IF(IFERROR(MATCH(P31,L_MESES,0)&lt;MATCH(O31,L_MESES,0),TRUE()),"El mes de ofertas es anterior al de inicio del proceso",IF(OR(NOT(ISNUMBER(Q31)),Q31&lt;=0),"Duración inválida",IF(OR(NOT(ISNUMBER(W31)),NOT(ISNUMBER(X31))),"Valor inválido: registre solo números",IF(OR(W31&lt;=0,X31&lt;=0),"Valor inválido: debe ser mayor que cero",IF(X31&gt;W31,"El valor de la vigencia 2027 supera el valor total",IF(AND(X31&lt;W31,Y31="No"),"El valor total supera el de 2027: requiere vigencias futuras",IF(AND(Y31="Sí",OR(Z31="",Z31="No aplica")),"Indique el estado de la solicitud de vigencias futuras",IF(IF(AND(S31="Mínima cuantía",ISNUMBER(P_TOPE_MINIMA)),W31&gt;P_TOPE_MINIMA,FALSE()),"El valor supera el tope de mínima cuantía 2027",IF(IF(AND(S31="Selección abreviada de menor cuantía",ISNUMBER(P_TOPE_MENOR)),W31&gt;P_TOPE_MENOR,FALSE()),"El valor supera el tope de menor cuantía 2027",IF(OR(ISERROR(SEARCH("@itc.edu.co",AE31)),SUMPRODUCT(--ISNUMBER(SEARCH({"á","é","í","ó","ú","ñ"," "},AE31)))&gt;0),"El correo del responsable no es institucional válido",IF(AND(AF31="Sí",AG31=""),"Indique el N.° de registro 2026 que continúa","OK")))))))))))))))))</f>
        <v/>
      </c>
      <c r="AK31" s="15" t="str">
        <f>IF(AJ31="OK",COUNTIF($AJ$7:AJ31,"OK"),"")</f>
        <v/>
      </c>
    </row>
    <row r="32" spans="1:37" x14ac:dyDescent="0.3">
      <c r="A32" s="13" t="str">
        <f t="shared" si="0"/>
        <v>PN27-026</v>
      </c>
      <c r="B32" s="26"/>
      <c r="C32" s="13" t="str">
        <f>IF(B32="","",IFERROR(INDEX(Catalogos!$R$5:$R$51,MATCH(B32,L_AREAS,0)),""))</f>
        <v/>
      </c>
      <c r="D32" s="13" t="str">
        <f>IF(B32="","",IFERROR(INDEX(Catalogos!$O$5:$O$51,MATCH(B32,L_AREAS,0)),""))</f>
        <v/>
      </c>
      <c r="E32" s="26"/>
      <c r="F32" s="13" t="str">
        <f>IF(E32="","",IFERROR(INDEX(Catalogos!$C$5:$C$49,MATCH(E32,L_METAS,0)),""))</f>
        <v/>
      </c>
      <c r="G32" s="13" t="str">
        <f>IF(E32="","",IFERROR(INDEX(Catalogos!$E$5:$E$49,MATCH(E32,L_METAS,0)),""))</f>
        <v/>
      </c>
      <c r="H32" s="26"/>
      <c r="I32" s="26"/>
      <c r="J32" s="26"/>
      <c r="K32" s="26"/>
      <c r="L32" s="26"/>
      <c r="M32" s="27"/>
      <c r="N32" s="26"/>
      <c r="O32" s="26"/>
      <c r="P32" s="26"/>
      <c r="Q32" s="26"/>
      <c r="R32" s="26"/>
      <c r="S32" s="26"/>
      <c r="T32" s="26"/>
      <c r="U32" s="26"/>
      <c r="V32" s="26"/>
      <c r="W32" s="28"/>
      <c r="X32" s="28"/>
      <c r="Y32" s="26"/>
      <c r="Z32" s="26"/>
      <c r="AA32" s="26"/>
      <c r="AB32" s="26"/>
      <c r="AC32" s="26"/>
      <c r="AD32" s="26"/>
      <c r="AE32" s="26"/>
      <c r="AF32" s="26"/>
      <c r="AG32" s="26"/>
      <c r="AH32" s="26"/>
      <c r="AI32" s="26"/>
      <c r="AJ32" s="15" t="str">
        <f>IF(COUNTA(B32,E32,H32,I32,J32,K32,L32,M32,N32,O32,P32,Q32,R32,S32,T32,U32,V32,W32,X32,Y32,Z32,AA32,AB32,AC32,AD32,AE32,AF32,AG32,AH32,AI32)=0,"",IF(OR(B32="",E32="",H32="",J32="",K32="",L32="",M32="",O32="",P32="",Q32="",R32="",S32="",T32="",U32="",W32="",X32="",Y32="",AB32="",AC32="",AE32="",AF32=""),"Incompleta: faltan campos obligatorios",IF(AND(LEFT(H32,6)="PROPIA",I32=""),"Falta el nombre de la acción propia del área",IF(AND(LEFT(H32,3)="A27",IFERROR(INDEX(Catalogos!$T$5:$T$207,MATCH(H32,Catalogos!$U$5:$U$207,0)),"x")&lt;&gt;LEFT(E32,7)),"La acción no corresponde a la meta seleccionada",IF(OR(NOT(ISNUMBER(M32)),M32&lt;10000000,M32&gt;99999999),"Código UNSPSC inválido: registre 8 dígitos",IF(MOD(M32,10000)=0,"UNSPSC a nivel de segmento o familia: use clase o producto",IF(IFERROR(MATCH(P32,L_MESES,0)&lt;MATCH(O32,L_MESES,0),TRUE()),"El mes de ofertas es anterior al de inicio del proceso",IF(OR(NOT(ISNUMBER(Q32)),Q32&lt;=0),"Duración inválida",IF(OR(NOT(ISNUMBER(W32)),NOT(ISNUMBER(X32))),"Valor inválido: registre solo números",IF(OR(W32&lt;=0,X32&lt;=0),"Valor inválido: debe ser mayor que cero",IF(X32&gt;W32,"El valor de la vigencia 2027 supera el valor total",IF(AND(X32&lt;W32,Y32="No"),"El valor total supera el de 2027: requiere vigencias futuras",IF(AND(Y32="Sí",OR(Z32="",Z32="No aplica")),"Indique el estado de la solicitud de vigencias futuras",IF(IF(AND(S32="Mínima cuantía",ISNUMBER(P_TOPE_MINIMA)),W32&gt;P_TOPE_MINIMA,FALSE()),"El valor supera el tope de mínima cuantía 2027",IF(IF(AND(S32="Selección abreviada de menor cuantía",ISNUMBER(P_TOPE_MENOR)),W32&gt;P_TOPE_MENOR,FALSE()),"El valor supera el tope de menor cuantía 2027",IF(OR(ISERROR(SEARCH("@itc.edu.co",AE32)),SUMPRODUCT(--ISNUMBER(SEARCH({"á","é","í","ó","ú","ñ"," "},AE32)))&gt;0),"El correo del responsable no es institucional válido",IF(AND(AF32="Sí",AG32=""),"Indique el N.° de registro 2026 que continúa","OK")))))))))))))))))</f>
        <v/>
      </c>
      <c r="AK32" s="15" t="str">
        <f>IF(AJ32="OK",COUNTIF($AJ$7:AJ32,"OK"),"")</f>
        <v/>
      </c>
    </row>
    <row r="33" spans="1:37" x14ac:dyDescent="0.3">
      <c r="A33" s="13" t="str">
        <f t="shared" si="0"/>
        <v>PN27-027</v>
      </c>
      <c r="B33" s="26"/>
      <c r="C33" s="13" t="str">
        <f>IF(B33="","",IFERROR(INDEX(Catalogos!$R$5:$R$51,MATCH(B33,L_AREAS,0)),""))</f>
        <v/>
      </c>
      <c r="D33" s="13" t="str">
        <f>IF(B33="","",IFERROR(INDEX(Catalogos!$O$5:$O$51,MATCH(B33,L_AREAS,0)),""))</f>
        <v/>
      </c>
      <c r="E33" s="26"/>
      <c r="F33" s="13" t="str">
        <f>IF(E33="","",IFERROR(INDEX(Catalogos!$C$5:$C$49,MATCH(E33,L_METAS,0)),""))</f>
        <v/>
      </c>
      <c r="G33" s="13" t="str">
        <f>IF(E33="","",IFERROR(INDEX(Catalogos!$E$5:$E$49,MATCH(E33,L_METAS,0)),""))</f>
        <v/>
      </c>
      <c r="H33" s="26"/>
      <c r="I33" s="26"/>
      <c r="J33" s="26"/>
      <c r="K33" s="26"/>
      <c r="L33" s="26"/>
      <c r="M33" s="27"/>
      <c r="N33" s="26"/>
      <c r="O33" s="26"/>
      <c r="P33" s="26"/>
      <c r="Q33" s="26"/>
      <c r="R33" s="26"/>
      <c r="S33" s="26"/>
      <c r="T33" s="26"/>
      <c r="U33" s="26"/>
      <c r="V33" s="26"/>
      <c r="W33" s="28"/>
      <c r="X33" s="28"/>
      <c r="Y33" s="26"/>
      <c r="Z33" s="26"/>
      <c r="AA33" s="26"/>
      <c r="AB33" s="26"/>
      <c r="AC33" s="26"/>
      <c r="AD33" s="26"/>
      <c r="AE33" s="26"/>
      <c r="AF33" s="26"/>
      <c r="AG33" s="26"/>
      <c r="AH33" s="26"/>
      <c r="AI33" s="26"/>
      <c r="AJ33" s="15" t="str">
        <f>IF(COUNTA(B33,E33,H33,I33,J33,K33,L33,M33,N33,O33,P33,Q33,R33,S33,T33,U33,V33,W33,X33,Y33,Z33,AA33,AB33,AC33,AD33,AE33,AF33,AG33,AH33,AI33)=0,"",IF(OR(B33="",E33="",H33="",J33="",K33="",L33="",M33="",O33="",P33="",Q33="",R33="",S33="",T33="",U33="",W33="",X33="",Y33="",AB33="",AC33="",AE33="",AF33=""),"Incompleta: faltan campos obligatorios",IF(AND(LEFT(H33,6)="PROPIA",I33=""),"Falta el nombre de la acción propia del área",IF(AND(LEFT(H33,3)="A27",IFERROR(INDEX(Catalogos!$T$5:$T$207,MATCH(H33,Catalogos!$U$5:$U$207,0)),"x")&lt;&gt;LEFT(E33,7)),"La acción no corresponde a la meta seleccionada",IF(OR(NOT(ISNUMBER(M33)),M33&lt;10000000,M33&gt;99999999),"Código UNSPSC inválido: registre 8 dígitos",IF(MOD(M33,10000)=0,"UNSPSC a nivel de segmento o familia: use clase o producto",IF(IFERROR(MATCH(P33,L_MESES,0)&lt;MATCH(O33,L_MESES,0),TRUE()),"El mes de ofertas es anterior al de inicio del proceso",IF(OR(NOT(ISNUMBER(Q33)),Q33&lt;=0),"Duración inválida",IF(OR(NOT(ISNUMBER(W33)),NOT(ISNUMBER(X33))),"Valor inválido: registre solo números",IF(OR(W33&lt;=0,X33&lt;=0),"Valor inválido: debe ser mayor que cero",IF(X33&gt;W33,"El valor de la vigencia 2027 supera el valor total",IF(AND(X33&lt;W33,Y33="No"),"El valor total supera el de 2027: requiere vigencias futuras",IF(AND(Y33="Sí",OR(Z33="",Z33="No aplica")),"Indique el estado de la solicitud de vigencias futuras",IF(IF(AND(S33="Mínima cuantía",ISNUMBER(P_TOPE_MINIMA)),W33&gt;P_TOPE_MINIMA,FALSE()),"El valor supera el tope de mínima cuantía 2027",IF(IF(AND(S33="Selección abreviada de menor cuantía",ISNUMBER(P_TOPE_MENOR)),W33&gt;P_TOPE_MENOR,FALSE()),"El valor supera el tope de menor cuantía 2027",IF(OR(ISERROR(SEARCH("@itc.edu.co",AE33)),SUMPRODUCT(--ISNUMBER(SEARCH({"á","é","í","ó","ú","ñ"," "},AE33)))&gt;0),"El correo del responsable no es institucional válido",IF(AND(AF33="Sí",AG33=""),"Indique el N.° de registro 2026 que continúa","OK")))))))))))))))))</f>
        <v/>
      </c>
      <c r="AK33" s="15" t="str">
        <f>IF(AJ33="OK",COUNTIF($AJ$7:AJ33,"OK"),"")</f>
        <v/>
      </c>
    </row>
    <row r="34" spans="1:37" x14ac:dyDescent="0.3">
      <c r="A34" s="13" t="str">
        <f t="shared" si="0"/>
        <v>PN27-028</v>
      </c>
      <c r="B34" s="26"/>
      <c r="C34" s="13" t="str">
        <f>IF(B34="","",IFERROR(INDEX(Catalogos!$R$5:$R$51,MATCH(B34,L_AREAS,0)),""))</f>
        <v/>
      </c>
      <c r="D34" s="13" t="str">
        <f>IF(B34="","",IFERROR(INDEX(Catalogos!$O$5:$O$51,MATCH(B34,L_AREAS,0)),""))</f>
        <v/>
      </c>
      <c r="E34" s="26"/>
      <c r="F34" s="13" t="str">
        <f>IF(E34="","",IFERROR(INDEX(Catalogos!$C$5:$C$49,MATCH(E34,L_METAS,0)),""))</f>
        <v/>
      </c>
      <c r="G34" s="13" t="str">
        <f>IF(E34="","",IFERROR(INDEX(Catalogos!$E$5:$E$49,MATCH(E34,L_METAS,0)),""))</f>
        <v/>
      </c>
      <c r="H34" s="26"/>
      <c r="I34" s="26"/>
      <c r="J34" s="26"/>
      <c r="K34" s="26"/>
      <c r="L34" s="26"/>
      <c r="M34" s="27"/>
      <c r="N34" s="26"/>
      <c r="O34" s="26"/>
      <c r="P34" s="26"/>
      <c r="Q34" s="26"/>
      <c r="R34" s="26"/>
      <c r="S34" s="26"/>
      <c r="T34" s="26"/>
      <c r="U34" s="26"/>
      <c r="V34" s="26"/>
      <c r="W34" s="28"/>
      <c r="X34" s="28"/>
      <c r="Y34" s="26"/>
      <c r="Z34" s="26"/>
      <c r="AA34" s="26"/>
      <c r="AB34" s="26"/>
      <c r="AC34" s="26"/>
      <c r="AD34" s="26"/>
      <c r="AE34" s="26"/>
      <c r="AF34" s="26"/>
      <c r="AG34" s="26"/>
      <c r="AH34" s="26"/>
      <c r="AI34" s="26"/>
      <c r="AJ34" s="15" t="str">
        <f>IF(COUNTA(B34,E34,H34,I34,J34,K34,L34,M34,N34,O34,P34,Q34,R34,S34,T34,U34,V34,W34,X34,Y34,Z34,AA34,AB34,AC34,AD34,AE34,AF34,AG34,AH34,AI34)=0,"",IF(OR(B34="",E34="",H34="",J34="",K34="",L34="",M34="",O34="",P34="",Q34="",R34="",S34="",T34="",U34="",W34="",X34="",Y34="",AB34="",AC34="",AE34="",AF34=""),"Incompleta: faltan campos obligatorios",IF(AND(LEFT(H34,6)="PROPIA",I34=""),"Falta el nombre de la acción propia del área",IF(AND(LEFT(H34,3)="A27",IFERROR(INDEX(Catalogos!$T$5:$T$207,MATCH(H34,Catalogos!$U$5:$U$207,0)),"x")&lt;&gt;LEFT(E34,7)),"La acción no corresponde a la meta seleccionada",IF(OR(NOT(ISNUMBER(M34)),M34&lt;10000000,M34&gt;99999999),"Código UNSPSC inválido: registre 8 dígitos",IF(MOD(M34,10000)=0,"UNSPSC a nivel de segmento o familia: use clase o producto",IF(IFERROR(MATCH(P34,L_MESES,0)&lt;MATCH(O34,L_MESES,0),TRUE()),"El mes de ofertas es anterior al de inicio del proceso",IF(OR(NOT(ISNUMBER(Q34)),Q34&lt;=0),"Duración inválida",IF(OR(NOT(ISNUMBER(W34)),NOT(ISNUMBER(X34))),"Valor inválido: registre solo números",IF(OR(W34&lt;=0,X34&lt;=0),"Valor inválido: debe ser mayor que cero",IF(X34&gt;W34,"El valor de la vigencia 2027 supera el valor total",IF(AND(X34&lt;W34,Y34="No"),"El valor total supera el de 2027: requiere vigencias futuras",IF(AND(Y34="Sí",OR(Z34="",Z34="No aplica")),"Indique el estado de la solicitud de vigencias futuras",IF(IF(AND(S34="Mínima cuantía",ISNUMBER(P_TOPE_MINIMA)),W34&gt;P_TOPE_MINIMA,FALSE()),"El valor supera el tope de mínima cuantía 2027",IF(IF(AND(S34="Selección abreviada de menor cuantía",ISNUMBER(P_TOPE_MENOR)),W34&gt;P_TOPE_MENOR,FALSE()),"El valor supera el tope de menor cuantía 2027",IF(OR(ISERROR(SEARCH("@itc.edu.co",AE34)),SUMPRODUCT(--ISNUMBER(SEARCH({"á","é","í","ó","ú","ñ"," "},AE34)))&gt;0),"El correo del responsable no es institucional válido",IF(AND(AF34="Sí",AG34=""),"Indique el N.° de registro 2026 que continúa","OK")))))))))))))))))</f>
        <v/>
      </c>
      <c r="AK34" s="15" t="str">
        <f>IF(AJ34="OK",COUNTIF($AJ$7:AJ34,"OK"),"")</f>
        <v/>
      </c>
    </row>
    <row r="35" spans="1:37" x14ac:dyDescent="0.3">
      <c r="A35" s="13" t="str">
        <f t="shared" si="0"/>
        <v>PN27-029</v>
      </c>
      <c r="B35" s="26"/>
      <c r="C35" s="13" t="str">
        <f>IF(B35="","",IFERROR(INDEX(Catalogos!$R$5:$R$51,MATCH(B35,L_AREAS,0)),""))</f>
        <v/>
      </c>
      <c r="D35" s="13" t="str">
        <f>IF(B35="","",IFERROR(INDEX(Catalogos!$O$5:$O$51,MATCH(B35,L_AREAS,0)),""))</f>
        <v/>
      </c>
      <c r="E35" s="26"/>
      <c r="F35" s="13" t="str">
        <f>IF(E35="","",IFERROR(INDEX(Catalogos!$C$5:$C$49,MATCH(E35,L_METAS,0)),""))</f>
        <v/>
      </c>
      <c r="G35" s="13" t="str">
        <f>IF(E35="","",IFERROR(INDEX(Catalogos!$E$5:$E$49,MATCH(E35,L_METAS,0)),""))</f>
        <v/>
      </c>
      <c r="H35" s="26"/>
      <c r="I35" s="26"/>
      <c r="J35" s="26"/>
      <c r="K35" s="26"/>
      <c r="L35" s="26"/>
      <c r="M35" s="27"/>
      <c r="N35" s="26"/>
      <c r="O35" s="26"/>
      <c r="P35" s="26"/>
      <c r="Q35" s="26"/>
      <c r="R35" s="26"/>
      <c r="S35" s="26"/>
      <c r="T35" s="26"/>
      <c r="U35" s="26"/>
      <c r="V35" s="26"/>
      <c r="W35" s="28"/>
      <c r="X35" s="28"/>
      <c r="Y35" s="26"/>
      <c r="Z35" s="26"/>
      <c r="AA35" s="26"/>
      <c r="AB35" s="26"/>
      <c r="AC35" s="26"/>
      <c r="AD35" s="26"/>
      <c r="AE35" s="26"/>
      <c r="AF35" s="26"/>
      <c r="AG35" s="26"/>
      <c r="AH35" s="26"/>
      <c r="AI35" s="26"/>
      <c r="AJ35" s="15" t="str">
        <f>IF(COUNTA(B35,E35,H35,I35,J35,K35,L35,M35,N35,O35,P35,Q35,R35,S35,T35,U35,V35,W35,X35,Y35,Z35,AA35,AB35,AC35,AD35,AE35,AF35,AG35,AH35,AI35)=0,"",IF(OR(B35="",E35="",H35="",J35="",K35="",L35="",M35="",O35="",P35="",Q35="",R35="",S35="",T35="",U35="",W35="",X35="",Y35="",AB35="",AC35="",AE35="",AF35=""),"Incompleta: faltan campos obligatorios",IF(AND(LEFT(H35,6)="PROPIA",I35=""),"Falta el nombre de la acción propia del área",IF(AND(LEFT(H35,3)="A27",IFERROR(INDEX(Catalogos!$T$5:$T$207,MATCH(H35,Catalogos!$U$5:$U$207,0)),"x")&lt;&gt;LEFT(E35,7)),"La acción no corresponde a la meta seleccionada",IF(OR(NOT(ISNUMBER(M35)),M35&lt;10000000,M35&gt;99999999),"Código UNSPSC inválido: registre 8 dígitos",IF(MOD(M35,10000)=0,"UNSPSC a nivel de segmento o familia: use clase o producto",IF(IFERROR(MATCH(P35,L_MESES,0)&lt;MATCH(O35,L_MESES,0),TRUE()),"El mes de ofertas es anterior al de inicio del proceso",IF(OR(NOT(ISNUMBER(Q35)),Q35&lt;=0),"Duración inválida",IF(OR(NOT(ISNUMBER(W35)),NOT(ISNUMBER(X35))),"Valor inválido: registre solo números",IF(OR(W35&lt;=0,X35&lt;=0),"Valor inválido: debe ser mayor que cero",IF(X35&gt;W35,"El valor de la vigencia 2027 supera el valor total",IF(AND(X35&lt;W35,Y35="No"),"El valor total supera el de 2027: requiere vigencias futuras",IF(AND(Y35="Sí",OR(Z35="",Z35="No aplica")),"Indique el estado de la solicitud de vigencias futuras",IF(IF(AND(S35="Mínima cuantía",ISNUMBER(P_TOPE_MINIMA)),W35&gt;P_TOPE_MINIMA,FALSE()),"El valor supera el tope de mínima cuantía 2027",IF(IF(AND(S35="Selección abreviada de menor cuantía",ISNUMBER(P_TOPE_MENOR)),W35&gt;P_TOPE_MENOR,FALSE()),"El valor supera el tope de menor cuantía 2027",IF(OR(ISERROR(SEARCH("@itc.edu.co",AE35)),SUMPRODUCT(--ISNUMBER(SEARCH({"á","é","í","ó","ú","ñ"," "},AE35)))&gt;0),"El correo del responsable no es institucional válido",IF(AND(AF35="Sí",AG35=""),"Indique el N.° de registro 2026 que continúa","OK")))))))))))))))))</f>
        <v/>
      </c>
      <c r="AK35" s="15" t="str">
        <f>IF(AJ35="OK",COUNTIF($AJ$7:AJ35,"OK"),"")</f>
        <v/>
      </c>
    </row>
    <row r="36" spans="1:37" x14ac:dyDescent="0.3">
      <c r="A36" s="13" t="str">
        <f t="shared" si="0"/>
        <v>PN27-030</v>
      </c>
      <c r="B36" s="26"/>
      <c r="C36" s="13" t="str">
        <f>IF(B36="","",IFERROR(INDEX(Catalogos!$R$5:$R$51,MATCH(B36,L_AREAS,0)),""))</f>
        <v/>
      </c>
      <c r="D36" s="13" t="str">
        <f>IF(B36="","",IFERROR(INDEX(Catalogos!$O$5:$O$51,MATCH(B36,L_AREAS,0)),""))</f>
        <v/>
      </c>
      <c r="E36" s="26"/>
      <c r="F36" s="13" t="str">
        <f>IF(E36="","",IFERROR(INDEX(Catalogos!$C$5:$C$49,MATCH(E36,L_METAS,0)),""))</f>
        <v/>
      </c>
      <c r="G36" s="13" t="str">
        <f>IF(E36="","",IFERROR(INDEX(Catalogos!$E$5:$E$49,MATCH(E36,L_METAS,0)),""))</f>
        <v/>
      </c>
      <c r="H36" s="26"/>
      <c r="I36" s="26"/>
      <c r="J36" s="26"/>
      <c r="K36" s="26"/>
      <c r="L36" s="26"/>
      <c r="M36" s="27"/>
      <c r="N36" s="26"/>
      <c r="O36" s="26"/>
      <c r="P36" s="26"/>
      <c r="Q36" s="26"/>
      <c r="R36" s="26"/>
      <c r="S36" s="26"/>
      <c r="T36" s="26"/>
      <c r="U36" s="26"/>
      <c r="V36" s="26"/>
      <c r="W36" s="28"/>
      <c r="X36" s="28"/>
      <c r="Y36" s="26"/>
      <c r="Z36" s="26"/>
      <c r="AA36" s="26"/>
      <c r="AB36" s="26"/>
      <c r="AC36" s="26"/>
      <c r="AD36" s="26"/>
      <c r="AE36" s="26"/>
      <c r="AF36" s="26"/>
      <c r="AG36" s="26"/>
      <c r="AH36" s="26"/>
      <c r="AI36" s="26"/>
      <c r="AJ36" s="15" t="str">
        <f>IF(COUNTA(B36,E36,H36,I36,J36,K36,L36,M36,N36,O36,P36,Q36,R36,S36,T36,U36,V36,W36,X36,Y36,Z36,AA36,AB36,AC36,AD36,AE36,AF36,AG36,AH36,AI36)=0,"",IF(OR(B36="",E36="",H36="",J36="",K36="",L36="",M36="",O36="",P36="",Q36="",R36="",S36="",T36="",U36="",W36="",X36="",Y36="",AB36="",AC36="",AE36="",AF36=""),"Incompleta: faltan campos obligatorios",IF(AND(LEFT(H36,6)="PROPIA",I36=""),"Falta el nombre de la acción propia del área",IF(AND(LEFT(H36,3)="A27",IFERROR(INDEX(Catalogos!$T$5:$T$207,MATCH(H36,Catalogos!$U$5:$U$207,0)),"x")&lt;&gt;LEFT(E36,7)),"La acción no corresponde a la meta seleccionada",IF(OR(NOT(ISNUMBER(M36)),M36&lt;10000000,M36&gt;99999999),"Código UNSPSC inválido: registre 8 dígitos",IF(MOD(M36,10000)=0,"UNSPSC a nivel de segmento o familia: use clase o producto",IF(IFERROR(MATCH(P36,L_MESES,0)&lt;MATCH(O36,L_MESES,0),TRUE()),"El mes de ofertas es anterior al de inicio del proceso",IF(OR(NOT(ISNUMBER(Q36)),Q36&lt;=0),"Duración inválida",IF(OR(NOT(ISNUMBER(W36)),NOT(ISNUMBER(X36))),"Valor inválido: registre solo números",IF(OR(W36&lt;=0,X36&lt;=0),"Valor inválido: debe ser mayor que cero",IF(X36&gt;W36,"El valor de la vigencia 2027 supera el valor total",IF(AND(X36&lt;W36,Y36="No"),"El valor total supera el de 2027: requiere vigencias futuras",IF(AND(Y36="Sí",OR(Z36="",Z36="No aplica")),"Indique el estado de la solicitud de vigencias futuras",IF(IF(AND(S36="Mínima cuantía",ISNUMBER(P_TOPE_MINIMA)),W36&gt;P_TOPE_MINIMA,FALSE()),"El valor supera el tope de mínima cuantía 2027",IF(IF(AND(S36="Selección abreviada de menor cuantía",ISNUMBER(P_TOPE_MENOR)),W36&gt;P_TOPE_MENOR,FALSE()),"El valor supera el tope de menor cuantía 2027",IF(OR(ISERROR(SEARCH("@itc.edu.co",AE36)),SUMPRODUCT(--ISNUMBER(SEARCH({"á","é","í","ó","ú","ñ"," "},AE36)))&gt;0),"El correo del responsable no es institucional válido",IF(AND(AF36="Sí",AG36=""),"Indique el N.° de registro 2026 que continúa","OK")))))))))))))))))</f>
        <v/>
      </c>
      <c r="AK36" s="15" t="str">
        <f>IF(AJ36="OK",COUNTIF($AJ$7:AJ36,"OK"),"")</f>
        <v/>
      </c>
    </row>
    <row r="37" spans="1:37" x14ac:dyDescent="0.3">
      <c r="A37" s="13" t="str">
        <f t="shared" si="0"/>
        <v>PN27-031</v>
      </c>
      <c r="B37" s="26"/>
      <c r="C37" s="13" t="str">
        <f>IF(B37="","",IFERROR(INDEX(Catalogos!$R$5:$R$51,MATCH(B37,L_AREAS,0)),""))</f>
        <v/>
      </c>
      <c r="D37" s="13" t="str">
        <f>IF(B37="","",IFERROR(INDEX(Catalogos!$O$5:$O$51,MATCH(B37,L_AREAS,0)),""))</f>
        <v/>
      </c>
      <c r="E37" s="26"/>
      <c r="F37" s="13" t="str">
        <f>IF(E37="","",IFERROR(INDEX(Catalogos!$C$5:$C$49,MATCH(E37,L_METAS,0)),""))</f>
        <v/>
      </c>
      <c r="G37" s="13" t="str">
        <f>IF(E37="","",IFERROR(INDEX(Catalogos!$E$5:$E$49,MATCH(E37,L_METAS,0)),""))</f>
        <v/>
      </c>
      <c r="H37" s="26"/>
      <c r="I37" s="26"/>
      <c r="J37" s="26"/>
      <c r="K37" s="26"/>
      <c r="L37" s="26"/>
      <c r="M37" s="27"/>
      <c r="N37" s="26"/>
      <c r="O37" s="26"/>
      <c r="P37" s="26"/>
      <c r="Q37" s="26"/>
      <c r="R37" s="26"/>
      <c r="S37" s="26"/>
      <c r="T37" s="26"/>
      <c r="U37" s="26"/>
      <c r="V37" s="26"/>
      <c r="W37" s="28"/>
      <c r="X37" s="28"/>
      <c r="Y37" s="26"/>
      <c r="Z37" s="26"/>
      <c r="AA37" s="26"/>
      <c r="AB37" s="26"/>
      <c r="AC37" s="26"/>
      <c r="AD37" s="26"/>
      <c r="AE37" s="26"/>
      <c r="AF37" s="26"/>
      <c r="AG37" s="26"/>
      <c r="AH37" s="26"/>
      <c r="AI37" s="26"/>
      <c r="AJ37" s="15" t="str">
        <f>IF(COUNTA(B37,E37,H37,I37,J37,K37,L37,M37,N37,O37,P37,Q37,R37,S37,T37,U37,V37,W37,X37,Y37,Z37,AA37,AB37,AC37,AD37,AE37,AF37,AG37,AH37,AI37)=0,"",IF(OR(B37="",E37="",H37="",J37="",K37="",L37="",M37="",O37="",P37="",Q37="",R37="",S37="",T37="",U37="",W37="",X37="",Y37="",AB37="",AC37="",AE37="",AF37=""),"Incompleta: faltan campos obligatorios",IF(AND(LEFT(H37,6)="PROPIA",I37=""),"Falta el nombre de la acción propia del área",IF(AND(LEFT(H37,3)="A27",IFERROR(INDEX(Catalogos!$T$5:$T$207,MATCH(H37,Catalogos!$U$5:$U$207,0)),"x")&lt;&gt;LEFT(E37,7)),"La acción no corresponde a la meta seleccionada",IF(OR(NOT(ISNUMBER(M37)),M37&lt;10000000,M37&gt;99999999),"Código UNSPSC inválido: registre 8 dígitos",IF(MOD(M37,10000)=0,"UNSPSC a nivel de segmento o familia: use clase o producto",IF(IFERROR(MATCH(P37,L_MESES,0)&lt;MATCH(O37,L_MESES,0),TRUE()),"El mes de ofertas es anterior al de inicio del proceso",IF(OR(NOT(ISNUMBER(Q37)),Q37&lt;=0),"Duración inválida",IF(OR(NOT(ISNUMBER(W37)),NOT(ISNUMBER(X37))),"Valor inválido: registre solo números",IF(OR(W37&lt;=0,X37&lt;=0),"Valor inválido: debe ser mayor que cero",IF(X37&gt;W37,"El valor de la vigencia 2027 supera el valor total",IF(AND(X37&lt;W37,Y37="No"),"El valor total supera el de 2027: requiere vigencias futuras",IF(AND(Y37="Sí",OR(Z37="",Z37="No aplica")),"Indique el estado de la solicitud de vigencias futuras",IF(IF(AND(S37="Mínima cuantía",ISNUMBER(P_TOPE_MINIMA)),W37&gt;P_TOPE_MINIMA,FALSE()),"El valor supera el tope de mínima cuantía 2027",IF(IF(AND(S37="Selección abreviada de menor cuantía",ISNUMBER(P_TOPE_MENOR)),W37&gt;P_TOPE_MENOR,FALSE()),"El valor supera el tope de menor cuantía 2027",IF(OR(ISERROR(SEARCH("@itc.edu.co",AE37)),SUMPRODUCT(--ISNUMBER(SEARCH({"á","é","í","ó","ú","ñ"," "},AE37)))&gt;0),"El correo del responsable no es institucional válido",IF(AND(AF37="Sí",AG37=""),"Indique el N.° de registro 2026 que continúa","OK")))))))))))))))))</f>
        <v/>
      </c>
      <c r="AK37" s="15" t="str">
        <f>IF(AJ37="OK",COUNTIF($AJ$7:AJ37,"OK"),"")</f>
        <v/>
      </c>
    </row>
    <row r="38" spans="1:37" x14ac:dyDescent="0.3">
      <c r="A38" s="13" t="str">
        <f t="shared" si="0"/>
        <v>PN27-032</v>
      </c>
      <c r="B38" s="26"/>
      <c r="C38" s="13" t="str">
        <f>IF(B38="","",IFERROR(INDEX(Catalogos!$R$5:$R$51,MATCH(B38,L_AREAS,0)),""))</f>
        <v/>
      </c>
      <c r="D38" s="13" t="str">
        <f>IF(B38="","",IFERROR(INDEX(Catalogos!$O$5:$O$51,MATCH(B38,L_AREAS,0)),""))</f>
        <v/>
      </c>
      <c r="E38" s="26"/>
      <c r="F38" s="13" t="str">
        <f>IF(E38="","",IFERROR(INDEX(Catalogos!$C$5:$C$49,MATCH(E38,L_METAS,0)),""))</f>
        <v/>
      </c>
      <c r="G38" s="13" t="str">
        <f>IF(E38="","",IFERROR(INDEX(Catalogos!$E$5:$E$49,MATCH(E38,L_METAS,0)),""))</f>
        <v/>
      </c>
      <c r="H38" s="26"/>
      <c r="I38" s="26"/>
      <c r="J38" s="26"/>
      <c r="K38" s="26"/>
      <c r="L38" s="26"/>
      <c r="M38" s="27"/>
      <c r="N38" s="26"/>
      <c r="O38" s="26"/>
      <c r="P38" s="26"/>
      <c r="Q38" s="26"/>
      <c r="R38" s="26"/>
      <c r="S38" s="26"/>
      <c r="T38" s="26"/>
      <c r="U38" s="26"/>
      <c r="V38" s="26"/>
      <c r="W38" s="28"/>
      <c r="X38" s="28"/>
      <c r="Y38" s="26"/>
      <c r="Z38" s="26"/>
      <c r="AA38" s="26"/>
      <c r="AB38" s="26"/>
      <c r="AC38" s="26"/>
      <c r="AD38" s="26"/>
      <c r="AE38" s="26"/>
      <c r="AF38" s="26"/>
      <c r="AG38" s="26"/>
      <c r="AH38" s="26"/>
      <c r="AI38" s="26"/>
      <c r="AJ38" s="15" t="str">
        <f>IF(COUNTA(B38,E38,H38,I38,J38,K38,L38,M38,N38,O38,P38,Q38,R38,S38,T38,U38,V38,W38,X38,Y38,Z38,AA38,AB38,AC38,AD38,AE38,AF38,AG38,AH38,AI38)=0,"",IF(OR(B38="",E38="",H38="",J38="",K38="",L38="",M38="",O38="",P38="",Q38="",R38="",S38="",T38="",U38="",W38="",X38="",Y38="",AB38="",AC38="",AE38="",AF38=""),"Incompleta: faltan campos obligatorios",IF(AND(LEFT(H38,6)="PROPIA",I38=""),"Falta el nombre de la acción propia del área",IF(AND(LEFT(H38,3)="A27",IFERROR(INDEX(Catalogos!$T$5:$T$207,MATCH(H38,Catalogos!$U$5:$U$207,0)),"x")&lt;&gt;LEFT(E38,7)),"La acción no corresponde a la meta seleccionada",IF(OR(NOT(ISNUMBER(M38)),M38&lt;10000000,M38&gt;99999999),"Código UNSPSC inválido: registre 8 dígitos",IF(MOD(M38,10000)=0,"UNSPSC a nivel de segmento o familia: use clase o producto",IF(IFERROR(MATCH(P38,L_MESES,0)&lt;MATCH(O38,L_MESES,0),TRUE()),"El mes de ofertas es anterior al de inicio del proceso",IF(OR(NOT(ISNUMBER(Q38)),Q38&lt;=0),"Duración inválida",IF(OR(NOT(ISNUMBER(W38)),NOT(ISNUMBER(X38))),"Valor inválido: registre solo números",IF(OR(W38&lt;=0,X38&lt;=0),"Valor inválido: debe ser mayor que cero",IF(X38&gt;W38,"El valor de la vigencia 2027 supera el valor total",IF(AND(X38&lt;W38,Y38="No"),"El valor total supera el de 2027: requiere vigencias futuras",IF(AND(Y38="Sí",OR(Z38="",Z38="No aplica")),"Indique el estado de la solicitud de vigencias futuras",IF(IF(AND(S38="Mínima cuantía",ISNUMBER(P_TOPE_MINIMA)),W38&gt;P_TOPE_MINIMA,FALSE()),"El valor supera el tope de mínima cuantía 2027",IF(IF(AND(S38="Selección abreviada de menor cuantía",ISNUMBER(P_TOPE_MENOR)),W38&gt;P_TOPE_MENOR,FALSE()),"El valor supera el tope de menor cuantía 2027",IF(OR(ISERROR(SEARCH("@itc.edu.co",AE38)),SUMPRODUCT(--ISNUMBER(SEARCH({"á","é","í","ó","ú","ñ"," "},AE38)))&gt;0),"El correo del responsable no es institucional válido",IF(AND(AF38="Sí",AG38=""),"Indique el N.° de registro 2026 que continúa","OK")))))))))))))))))</f>
        <v/>
      </c>
      <c r="AK38" s="15" t="str">
        <f>IF(AJ38="OK",COUNTIF($AJ$7:AJ38,"OK"),"")</f>
        <v/>
      </c>
    </row>
    <row r="39" spans="1:37" x14ac:dyDescent="0.3">
      <c r="A39" s="13" t="str">
        <f t="shared" si="0"/>
        <v>PN27-033</v>
      </c>
      <c r="B39" s="26"/>
      <c r="C39" s="13" t="str">
        <f>IF(B39="","",IFERROR(INDEX(Catalogos!$R$5:$R$51,MATCH(B39,L_AREAS,0)),""))</f>
        <v/>
      </c>
      <c r="D39" s="13" t="str">
        <f>IF(B39="","",IFERROR(INDEX(Catalogos!$O$5:$O$51,MATCH(B39,L_AREAS,0)),""))</f>
        <v/>
      </c>
      <c r="E39" s="26"/>
      <c r="F39" s="13" t="str">
        <f>IF(E39="","",IFERROR(INDEX(Catalogos!$C$5:$C$49,MATCH(E39,L_METAS,0)),""))</f>
        <v/>
      </c>
      <c r="G39" s="13" t="str">
        <f>IF(E39="","",IFERROR(INDEX(Catalogos!$E$5:$E$49,MATCH(E39,L_METAS,0)),""))</f>
        <v/>
      </c>
      <c r="H39" s="26"/>
      <c r="I39" s="26"/>
      <c r="J39" s="26"/>
      <c r="K39" s="26"/>
      <c r="L39" s="26"/>
      <c r="M39" s="27"/>
      <c r="N39" s="26"/>
      <c r="O39" s="26"/>
      <c r="P39" s="26"/>
      <c r="Q39" s="26"/>
      <c r="R39" s="26"/>
      <c r="S39" s="26"/>
      <c r="T39" s="26"/>
      <c r="U39" s="26"/>
      <c r="V39" s="26"/>
      <c r="W39" s="28"/>
      <c r="X39" s="28"/>
      <c r="Y39" s="26"/>
      <c r="Z39" s="26"/>
      <c r="AA39" s="26"/>
      <c r="AB39" s="26"/>
      <c r="AC39" s="26"/>
      <c r="AD39" s="26"/>
      <c r="AE39" s="26"/>
      <c r="AF39" s="26"/>
      <c r="AG39" s="26"/>
      <c r="AH39" s="26"/>
      <c r="AI39" s="26"/>
      <c r="AJ39" s="15" t="str">
        <f>IF(COUNTA(B39,E39,H39,I39,J39,K39,L39,M39,N39,O39,P39,Q39,R39,S39,T39,U39,V39,W39,X39,Y39,Z39,AA39,AB39,AC39,AD39,AE39,AF39,AG39,AH39,AI39)=0,"",IF(OR(B39="",E39="",H39="",J39="",K39="",L39="",M39="",O39="",P39="",Q39="",R39="",S39="",T39="",U39="",W39="",X39="",Y39="",AB39="",AC39="",AE39="",AF39=""),"Incompleta: faltan campos obligatorios",IF(AND(LEFT(H39,6)="PROPIA",I39=""),"Falta el nombre de la acción propia del área",IF(AND(LEFT(H39,3)="A27",IFERROR(INDEX(Catalogos!$T$5:$T$207,MATCH(H39,Catalogos!$U$5:$U$207,0)),"x")&lt;&gt;LEFT(E39,7)),"La acción no corresponde a la meta seleccionada",IF(OR(NOT(ISNUMBER(M39)),M39&lt;10000000,M39&gt;99999999),"Código UNSPSC inválido: registre 8 dígitos",IF(MOD(M39,10000)=0,"UNSPSC a nivel de segmento o familia: use clase o producto",IF(IFERROR(MATCH(P39,L_MESES,0)&lt;MATCH(O39,L_MESES,0),TRUE()),"El mes de ofertas es anterior al de inicio del proceso",IF(OR(NOT(ISNUMBER(Q39)),Q39&lt;=0),"Duración inválida",IF(OR(NOT(ISNUMBER(W39)),NOT(ISNUMBER(X39))),"Valor inválido: registre solo números",IF(OR(W39&lt;=0,X39&lt;=0),"Valor inválido: debe ser mayor que cero",IF(X39&gt;W39,"El valor de la vigencia 2027 supera el valor total",IF(AND(X39&lt;W39,Y39="No"),"El valor total supera el de 2027: requiere vigencias futuras",IF(AND(Y39="Sí",OR(Z39="",Z39="No aplica")),"Indique el estado de la solicitud de vigencias futuras",IF(IF(AND(S39="Mínima cuantía",ISNUMBER(P_TOPE_MINIMA)),W39&gt;P_TOPE_MINIMA,FALSE()),"El valor supera el tope de mínima cuantía 2027",IF(IF(AND(S39="Selección abreviada de menor cuantía",ISNUMBER(P_TOPE_MENOR)),W39&gt;P_TOPE_MENOR,FALSE()),"El valor supera el tope de menor cuantía 2027",IF(OR(ISERROR(SEARCH("@itc.edu.co",AE39)),SUMPRODUCT(--ISNUMBER(SEARCH({"á","é","í","ó","ú","ñ"," "},AE39)))&gt;0),"El correo del responsable no es institucional válido",IF(AND(AF39="Sí",AG39=""),"Indique el N.° de registro 2026 que continúa","OK")))))))))))))))))</f>
        <v/>
      </c>
      <c r="AK39" s="15" t="str">
        <f>IF(AJ39="OK",COUNTIF($AJ$7:AJ39,"OK"),"")</f>
        <v/>
      </c>
    </row>
    <row r="40" spans="1:37" x14ac:dyDescent="0.3">
      <c r="A40" s="13" t="str">
        <f t="shared" si="0"/>
        <v>PN27-034</v>
      </c>
      <c r="B40" s="26"/>
      <c r="C40" s="13" t="str">
        <f>IF(B40="","",IFERROR(INDEX(Catalogos!$R$5:$R$51,MATCH(B40,L_AREAS,0)),""))</f>
        <v/>
      </c>
      <c r="D40" s="13" t="str">
        <f>IF(B40="","",IFERROR(INDEX(Catalogos!$O$5:$O$51,MATCH(B40,L_AREAS,0)),""))</f>
        <v/>
      </c>
      <c r="E40" s="26"/>
      <c r="F40" s="13" t="str">
        <f>IF(E40="","",IFERROR(INDEX(Catalogos!$C$5:$C$49,MATCH(E40,L_METAS,0)),""))</f>
        <v/>
      </c>
      <c r="G40" s="13" t="str">
        <f>IF(E40="","",IFERROR(INDEX(Catalogos!$E$5:$E$49,MATCH(E40,L_METAS,0)),""))</f>
        <v/>
      </c>
      <c r="H40" s="26"/>
      <c r="I40" s="26"/>
      <c r="J40" s="26"/>
      <c r="K40" s="26"/>
      <c r="L40" s="26"/>
      <c r="M40" s="27"/>
      <c r="N40" s="26"/>
      <c r="O40" s="26"/>
      <c r="P40" s="26"/>
      <c r="Q40" s="26"/>
      <c r="R40" s="26"/>
      <c r="S40" s="26"/>
      <c r="T40" s="26"/>
      <c r="U40" s="26"/>
      <c r="V40" s="26"/>
      <c r="W40" s="28"/>
      <c r="X40" s="28"/>
      <c r="Y40" s="26"/>
      <c r="Z40" s="26"/>
      <c r="AA40" s="26"/>
      <c r="AB40" s="26"/>
      <c r="AC40" s="26"/>
      <c r="AD40" s="26"/>
      <c r="AE40" s="26"/>
      <c r="AF40" s="26"/>
      <c r="AG40" s="26"/>
      <c r="AH40" s="26"/>
      <c r="AI40" s="26"/>
      <c r="AJ40" s="15" t="str">
        <f>IF(COUNTA(B40,E40,H40,I40,J40,K40,L40,M40,N40,O40,P40,Q40,R40,S40,T40,U40,V40,W40,X40,Y40,Z40,AA40,AB40,AC40,AD40,AE40,AF40,AG40,AH40,AI40)=0,"",IF(OR(B40="",E40="",H40="",J40="",K40="",L40="",M40="",O40="",P40="",Q40="",R40="",S40="",T40="",U40="",W40="",X40="",Y40="",AB40="",AC40="",AE40="",AF40=""),"Incompleta: faltan campos obligatorios",IF(AND(LEFT(H40,6)="PROPIA",I40=""),"Falta el nombre de la acción propia del área",IF(AND(LEFT(H40,3)="A27",IFERROR(INDEX(Catalogos!$T$5:$T$207,MATCH(H40,Catalogos!$U$5:$U$207,0)),"x")&lt;&gt;LEFT(E40,7)),"La acción no corresponde a la meta seleccionada",IF(OR(NOT(ISNUMBER(M40)),M40&lt;10000000,M40&gt;99999999),"Código UNSPSC inválido: registre 8 dígitos",IF(MOD(M40,10000)=0,"UNSPSC a nivel de segmento o familia: use clase o producto",IF(IFERROR(MATCH(P40,L_MESES,0)&lt;MATCH(O40,L_MESES,0),TRUE()),"El mes de ofertas es anterior al de inicio del proceso",IF(OR(NOT(ISNUMBER(Q40)),Q40&lt;=0),"Duración inválida",IF(OR(NOT(ISNUMBER(W40)),NOT(ISNUMBER(X40))),"Valor inválido: registre solo números",IF(OR(W40&lt;=0,X40&lt;=0),"Valor inválido: debe ser mayor que cero",IF(X40&gt;W40,"El valor de la vigencia 2027 supera el valor total",IF(AND(X40&lt;W40,Y40="No"),"El valor total supera el de 2027: requiere vigencias futuras",IF(AND(Y40="Sí",OR(Z40="",Z40="No aplica")),"Indique el estado de la solicitud de vigencias futuras",IF(IF(AND(S40="Mínima cuantía",ISNUMBER(P_TOPE_MINIMA)),W40&gt;P_TOPE_MINIMA,FALSE()),"El valor supera el tope de mínima cuantía 2027",IF(IF(AND(S40="Selección abreviada de menor cuantía",ISNUMBER(P_TOPE_MENOR)),W40&gt;P_TOPE_MENOR,FALSE()),"El valor supera el tope de menor cuantía 2027",IF(OR(ISERROR(SEARCH("@itc.edu.co",AE40)),SUMPRODUCT(--ISNUMBER(SEARCH({"á","é","í","ó","ú","ñ"," "},AE40)))&gt;0),"El correo del responsable no es institucional válido",IF(AND(AF40="Sí",AG40=""),"Indique el N.° de registro 2026 que continúa","OK")))))))))))))))))</f>
        <v/>
      </c>
      <c r="AK40" s="15" t="str">
        <f>IF(AJ40="OK",COUNTIF($AJ$7:AJ40,"OK"),"")</f>
        <v/>
      </c>
    </row>
    <row r="41" spans="1:37" x14ac:dyDescent="0.3">
      <c r="A41" s="13" t="str">
        <f t="shared" si="0"/>
        <v>PN27-035</v>
      </c>
      <c r="B41" s="26"/>
      <c r="C41" s="13" t="str">
        <f>IF(B41="","",IFERROR(INDEX(Catalogos!$R$5:$R$51,MATCH(B41,L_AREAS,0)),""))</f>
        <v/>
      </c>
      <c r="D41" s="13" t="str">
        <f>IF(B41="","",IFERROR(INDEX(Catalogos!$O$5:$O$51,MATCH(B41,L_AREAS,0)),""))</f>
        <v/>
      </c>
      <c r="E41" s="26"/>
      <c r="F41" s="13" t="str">
        <f>IF(E41="","",IFERROR(INDEX(Catalogos!$C$5:$C$49,MATCH(E41,L_METAS,0)),""))</f>
        <v/>
      </c>
      <c r="G41" s="13" t="str">
        <f>IF(E41="","",IFERROR(INDEX(Catalogos!$E$5:$E$49,MATCH(E41,L_METAS,0)),""))</f>
        <v/>
      </c>
      <c r="H41" s="26"/>
      <c r="I41" s="26"/>
      <c r="J41" s="26"/>
      <c r="K41" s="26"/>
      <c r="L41" s="26"/>
      <c r="M41" s="27"/>
      <c r="N41" s="26"/>
      <c r="O41" s="26"/>
      <c r="P41" s="26"/>
      <c r="Q41" s="26"/>
      <c r="R41" s="26"/>
      <c r="S41" s="26"/>
      <c r="T41" s="26"/>
      <c r="U41" s="26"/>
      <c r="V41" s="26"/>
      <c r="W41" s="28"/>
      <c r="X41" s="28"/>
      <c r="Y41" s="26"/>
      <c r="Z41" s="26"/>
      <c r="AA41" s="26"/>
      <c r="AB41" s="26"/>
      <c r="AC41" s="26"/>
      <c r="AD41" s="26"/>
      <c r="AE41" s="26"/>
      <c r="AF41" s="26"/>
      <c r="AG41" s="26"/>
      <c r="AH41" s="26"/>
      <c r="AI41" s="26"/>
      <c r="AJ41" s="15" t="str">
        <f>IF(COUNTA(B41,E41,H41,I41,J41,K41,L41,M41,N41,O41,P41,Q41,R41,S41,T41,U41,V41,W41,X41,Y41,Z41,AA41,AB41,AC41,AD41,AE41,AF41,AG41,AH41,AI41)=0,"",IF(OR(B41="",E41="",H41="",J41="",K41="",L41="",M41="",O41="",P41="",Q41="",R41="",S41="",T41="",U41="",W41="",X41="",Y41="",AB41="",AC41="",AE41="",AF41=""),"Incompleta: faltan campos obligatorios",IF(AND(LEFT(H41,6)="PROPIA",I41=""),"Falta el nombre de la acción propia del área",IF(AND(LEFT(H41,3)="A27",IFERROR(INDEX(Catalogos!$T$5:$T$207,MATCH(H41,Catalogos!$U$5:$U$207,0)),"x")&lt;&gt;LEFT(E41,7)),"La acción no corresponde a la meta seleccionada",IF(OR(NOT(ISNUMBER(M41)),M41&lt;10000000,M41&gt;99999999),"Código UNSPSC inválido: registre 8 dígitos",IF(MOD(M41,10000)=0,"UNSPSC a nivel de segmento o familia: use clase o producto",IF(IFERROR(MATCH(P41,L_MESES,0)&lt;MATCH(O41,L_MESES,0),TRUE()),"El mes de ofertas es anterior al de inicio del proceso",IF(OR(NOT(ISNUMBER(Q41)),Q41&lt;=0),"Duración inválida",IF(OR(NOT(ISNUMBER(W41)),NOT(ISNUMBER(X41))),"Valor inválido: registre solo números",IF(OR(W41&lt;=0,X41&lt;=0),"Valor inválido: debe ser mayor que cero",IF(X41&gt;W41,"El valor de la vigencia 2027 supera el valor total",IF(AND(X41&lt;W41,Y41="No"),"El valor total supera el de 2027: requiere vigencias futuras",IF(AND(Y41="Sí",OR(Z41="",Z41="No aplica")),"Indique el estado de la solicitud de vigencias futuras",IF(IF(AND(S41="Mínima cuantía",ISNUMBER(P_TOPE_MINIMA)),W41&gt;P_TOPE_MINIMA,FALSE()),"El valor supera el tope de mínima cuantía 2027",IF(IF(AND(S41="Selección abreviada de menor cuantía",ISNUMBER(P_TOPE_MENOR)),W41&gt;P_TOPE_MENOR,FALSE()),"El valor supera el tope de menor cuantía 2027",IF(OR(ISERROR(SEARCH("@itc.edu.co",AE41)),SUMPRODUCT(--ISNUMBER(SEARCH({"á","é","í","ó","ú","ñ"," "},AE41)))&gt;0),"El correo del responsable no es institucional válido",IF(AND(AF41="Sí",AG41=""),"Indique el N.° de registro 2026 que continúa","OK")))))))))))))))))</f>
        <v/>
      </c>
      <c r="AK41" s="15" t="str">
        <f>IF(AJ41="OK",COUNTIF($AJ$7:AJ41,"OK"),"")</f>
        <v/>
      </c>
    </row>
    <row r="42" spans="1:37" x14ac:dyDescent="0.3">
      <c r="A42" s="13" t="str">
        <f t="shared" si="0"/>
        <v>PN27-036</v>
      </c>
      <c r="B42" s="26"/>
      <c r="C42" s="13" t="str">
        <f>IF(B42="","",IFERROR(INDEX(Catalogos!$R$5:$R$51,MATCH(B42,L_AREAS,0)),""))</f>
        <v/>
      </c>
      <c r="D42" s="13" t="str">
        <f>IF(B42="","",IFERROR(INDEX(Catalogos!$O$5:$O$51,MATCH(B42,L_AREAS,0)),""))</f>
        <v/>
      </c>
      <c r="E42" s="26"/>
      <c r="F42" s="13" t="str">
        <f>IF(E42="","",IFERROR(INDEX(Catalogos!$C$5:$C$49,MATCH(E42,L_METAS,0)),""))</f>
        <v/>
      </c>
      <c r="G42" s="13" t="str">
        <f>IF(E42="","",IFERROR(INDEX(Catalogos!$E$5:$E$49,MATCH(E42,L_METAS,0)),""))</f>
        <v/>
      </c>
      <c r="H42" s="26"/>
      <c r="I42" s="26"/>
      <c r="J42" s="26"/>
      <c r="K42" s="26"/>
      <c r="L42" s="26"/>
      <c r="M42" s="27"/>
      <c r="N42" s="26"/>
      <c r="O42" s="26"/>
      <c r="P42" s="26"/>
      <c r="Q42" s="26"/>
      <c r="R42" s="26"/>
      <c r="S42" s="26"/>
      <c r="T42" s="26"/>
      <c r="U42" s="26"/>
      <c r="V42" s="26"/>
      <c r="W42" s="28"/>
      <c r="X42" s="28"/>
      <c r="Y42" s="26"/>
      <c r="Z42" s="26"/>
      <c r="AA42" s="26"/>
      <c r="AB42" s="26"/>
      <c r="AC42" s="26"/>
      <c r="AD42" s="26"/>
      <c r="AE42" s="26"/>
      <c r="AF42" s="26"/>
      <c r="AG42" s="26"/>
      <c r="AH42" s="26"/>
      <c r="AI42" s="26"/>
      <c r="AJ42" s="15" t="str">
        <f>IF(COUNTA(B42,E42,H42,I42,J42,K42,L42,M42,N42,O42,P42,Q42,R42,S42,T42,U42,V42,W42,X42,Y42,Z42,AA42,AB42,AC42,AD42,AE42,AF42,AG42,AH42,AI42)=0,"",IF(OR(B42="",E42="",H42="",J42="",K42="",L42="",M42="",O42="",P42="",Q42="",R42="",S42="",T42="",U42="",W42="",X42="",Y42="",AB42="",AC42="",AE42="",AF42=""),"Incompleta: faltan campos obligatorios",IF(AND(LEFT(H42,6)="PROPIA",I42=""),"Falta el nombre de la acción propia del área",IF(AND(LEFT(H42,3)="A27",IFERROR(INDEX(Catalogos!$T$5:$T$207,MATCH(H42,Catalogos!$U$5:$U$207,0)),"x")&lt;&gt;LEFT(E42,7)),"La acción no corresponde a la meta seleccionada",IF(OR(NOT(ISNUMBER(M42)),M42&lt;10000000,M42&gt;99999999),"Código UNSPSC inválido: registre 8 dígitos",IF(MOD(M42,10000)=0,"UNSPSC a nivel de segmento o familia: use clase o producto",IF(IFERROR(MATCH(P42,L_MESES,0)&lt;MATCH(O42,L_MESES,0),TRUE()),"El mes de ofertas es anterior al de inicio del proceso",IF(OR(NOT(ISNUMBER(Q42)),Q42&lt;=0),"Duración inválida",IF(OR(NOT(ISNUMBER(W42)),NOT(ISNUMBER(X42))),"Valor inválido: registre solo números",IF(OR(W42&lt;=0,X42&lt;=0),"Valor inválido: debe ser mayor que cero",IF(X42&gt;W42,"El valor de la vigencia 2027 supera el valor total",IF(AND(X42&lt;W42,Y42="No"),"El valor total supera el de 2027: requiere vigencias futuras",IF(AND(Y42="Sí",OR(Z42="",Z42="No aplica")),"Indique el estado de la solicitud de vigencias futuras",IF(IF(AND(S42="Mínima cuantía",ISNUMBER(P_TOPE_MINIMA)),W42&gt;P_TOPE_MINIMA,FALSE()),"El valor supera el tope de mínima cuantía 2027",IF(IF(AND(S42="Selección abreviada de menor cuantía",ISNUMBER(P_TOPE_MENOR)),W42&gt;P_TOPE_MENOR,FALSE()),"El valor supera el tope de menor cuantía 2027",IF(OR(ISERROR(SEARCH("@itc.edu.co",AE42)),SUMPRODUCT(--ISNUMBER(SEARCH({"á","é","í","ó","ú","ñ"," "},AE42)))&gt;0),"El correo del responsable no es institucional válido",IF(AND(AF42="Sí",AG42=""),"Indique el N.° de registro 2026 que continúa","OK")))))))))))))))))</f>
        <v/>
      </c>
      <c r="AK42" s="15" t="str">
        <f>IF(AJ42="OK",COUNTIF($AJ$7:AJ42,"OK"),"")</f>
        <v/>
      </c>
    </row>
    <row r="43" spans="1:37" x14ac:dyDescent="0.3">
      <c r="A43" s="13" t="str">
        <f t="shared" si="0"/>
        <v>PN27-037</v>
      </c>
      <c r="B43" s="26"/>
      <c r="C43" s="13" t="str">
        <f>IF(B43="","",IFERROR(INDEX(Catalogos!$R$5:$R$51,MATCH(B43,L_AREAS,0)),""))</f>
        <v/>
      </c>
      <c r="D43" s="13" t="str">
        <f>IF(B43="","",IFERROR(INDEX(Catalogos!$O$5:$O$51,MATCH(B43,L_AREAS,0)),""))</f>
        <v/>
      </c>
      <c r="E43" s="26"/>
      <c r="F43" s="13" t="str">
        <f>IF(E43="","",IFERROR(INDEX(Catalogos!$C$5:$C$49,MATCH(E43,L_METAS,0)),""))</f>
        <v/>
      </c>
      <c r="G43" s="13" t="str">
        <f>IF(E43="","",IFERROR(INDEX(Catalogos!$E$5:$E$49,MATCH(E43,L_METAS,0)),""))</f>
        <v/>
      </c>
      <c r="H43" s="26"/>
      <c r="I43" s="26"/>
      <c r="J43" s="26"/>
      <c r="K43" s="26"/>
      <c r="L43" s="26"/>
      <c r="M43" s="27"/>
      <c r="N43" s="26"/>
      <c r="O43" s="26"/>
      <c r="P43" s="26"/>
      <c r="Q43" s="26"/>
      <c r="R43" s="26"/>
      <c r="S43" s="26"/>
      <c r="T43" s="26"/>
      <c r="U43" s="26"/>
      <c r="V43" s="26"/>
      <c r="W43" s="28"/>
      <c r="X43" s="28"/>
      <c r="Y43" s="26"/>
      <c r="Z43" s="26"/>
      <c r="AA43" s="26"/>
      <c r="AB43" s="26"/>
      <c r="AC43" s="26"/>
      <c r="AD43" s="26"/>
      <c r="AE43" s="26"/>
      <c r="AF43" s="26"/>
      <c r="AG43" s="26"/>
      <c r="AH43" s="26"/>
      <c r="AI43" s="26"/>
      <c r="AJ43" s="15" t="str">
        <f>IF(COUNTA(B43,E43,H43,I43,J43,K43,L43,M43,N43,O43,P43,Q43,R43,S43,T43,U43,V43,W43,X43,Y43,Z43,AA43,AB43,AC43,AD43,AE43,AF43,AG43,AH43,AI43)=0,"",IF(OR(B43="",E43="",H43="",J43="",K43="",L43="",M43="",O43="",P43="",Q43="",R43="",S43="",T43="",U43="",W43="",X43="",Y43="",AB43="",AC43="",AE43="",AF43=""),"Incompleta: faltan campos obligatorios",IF(AND(LEFT(H43,6)="PROPIA",I43=""),"Falta el nombre de la acción propia del área",IF(AND(LEFT(H43,3)="A27",IFERROR(INDEX(Catalogos!$T$5:$T$207,MATCH(H43,Catalogos!$U$5:$U$207,0)),"x")&lt;&gt;LEFT(E43,7)),"La acción no corresponde a la meta seleccionada",IF(OR(NOT(ISNUMBER(M43)),M43&lt;10000000,M43&gt;99999999),"Código UNSPSC inválido: registre 8 dígitos",IF(MOD(M43,10000)=0,"UNSPSC a nivel de segmento o familia: use clase o producto",IF(IFERROR(MATCH(P43,L_MESES,0)&lt;MATCH(O43,L_MESES,0),TRUE()),"El mes de ofertas es anterior al de inicio del proceso",IF(OR(NOT(ISNUMBER(Q43)),Q43&lt;=0),"Duración inválida",IF(OR(NOT(ISNUMBER(W43)),NOT(ISNUMBER(X43))),"Valor inválido: registre solo números",IF(OR(W43&lt;=0,X43&lt;=0),"Valor inválido: debe ser mayor que cero",IF(X43&gt;W43,"El valor de la vigencia 2027 supera el valor total",IF(AND(X43&lt;W43,Y43="No"),"El valor total supera el de 2027: requiere vigencias futuras",IF(AND(Y43="Sí",OR(Z43="",Z43="No aplica")),"Indique el estado de la solicitud de vigencias futuras",IF(IF(AND(S43="Mínima cuantía",ISNUMBER(P_TOPE_MINIMA)),W43&gt;P_TOPE_MINIMA,FALSE()),"El valor supera el tope de mínima cuantía 2027",IF(IF(AND(S43="Selección abreviada de menor cuantía",ISNUMBER(P_TOPE_MENOR)),W43&gt;P_TOPE_MENOR,FALSE()),"El valor supera el tope de menor cuantía 2027",IF(OR(ISERROR(SEARCH("@itc.edu.co",AE43)),SUMPRODUCT(--ISNUMBER(SEARCH({"á","é","í","ó","ú","ñ"," "},AE43)))&gt;0),"El correo del responsable no es institucional válido",IF(AND(AF43="Sí",AG43=""),"Indique el N.° de registro 2026 que continúa","OK")))))))))))))))))</f>
        <v/>
      </c>
      <c r="AK43" s="15" t="str">
        <f>IF(AJ43="OK",COUNTIF($AJ$7:AJ43,"OK"),"")</f>
        <v/>
      </c>
    </row>
    <row r="44" spans="1:37" x14ac:dyDescent="0.3">
      <c r="A44" s="13" t="str">
        <f t="shared" si="0"/>
        <v>PN27-038</v>
      </c>
      <c r="B44" s="26"/>
      <c r="C44" s="13" t="str">
        <f>IF(B44="","",IFERROR(INDEX(Catalogos!$R$5:$R$51,MATCH(B44,L_AREAS,0)),""))</f>
        <v/>
      </c>
      <c r="D44" s="13" t="str">
        <f>IF(B44="","",IFERROR(INDEX(Catalogos!$O$5:$O$51,MATCH(B44,L_AREAS,0)),""))</f>
        <v/>
      </c>
      <c r="E44" s="26"/>
      <c r="F44" s="13" t="str">
        <f>IF(E44="","",IFERROR(INDEX(Catalogos!$C$5:$C$49,MATCH(E44,L_METAS,0)),""))</f>
        <v/>
      </c>
      <c r="G44" s="13" t="str">
        <f>IF(E44="","",IFERROR(INDEX(Catalogos!$E$5:$E$49,MATCH(E44,L_METAS,0)),""))</f>
        <v/>
      </c>
      <c r="H44" s="26"/>
      <c r="I44" s="26"/>
      <c r="J44" s="26"/>
      <c r="K44" s="26"/>
      <c r="L44" s="26"/>
      <c r="M44" s="27"/>
      <c r="N44" s="26"/>
      <c r="O44" s="26"/>
      <c r="P44" s="26"/>
      <c r="Q44" s="26"/>
      <c r="R44" s="26"/>
      <c r="S44" s="26"/>
      <c r="T44" s="26"/>
      <c r="U44" s="26"/>
      <c r="V44" s="26"/>
      <c r="W44" s="28"/>
      <c r="X44" s="28"/>
      <c r="Y44" s="26"/>
      <c r="Z44" s="26"/>
      <c r="AA44" s="26"/>
      <c r="AB44" s="26"/>
      <c r="AC44" s="26"/>
      <c r="AD44" s="26"/>
      <c r="AE44" s="26"/>
      <c r="AF44" s="26"/>
      <c r="AG44" s="26"/>
      <c r="AH44" s="26"/>
      <c r="AI44" s="26"/>
      <c r="AJ44" s="15" t="str">
        <f>IF(COUNTA(B44,E44,H44,I44,J44,K44,L44,M44,N44,O44,P44,Q44,R44,S44,T44,U44,V44,W44,X44,Y44,Z44,AA44,AB44,AC44,AD44,AE44,AF44,AG44,AH44,AI44)=0,"",IF(OR(B44="",E44="",H44="",J44="",K44="",L44="",M44="",O44="",P44="",Q44="",R44="",S44="",T44="",U44="",W44="",X44="",Y44="",AB44="",AC44="",AE44="",AF44=""),"Incompleta: faltan campos obligatorios",IF(AND(LEFT(H44,6)="PROPIA",I44=""),"Falta el nombre de la acción propia del área",IF(AND(LEFT(H44,3)="A27",IFERROR(INDEX(Catalogos!$T$5:$T$207,MATCH(H44,Catalogos!$U$5:$U$207,0)),"x")&lt;&gt;LEFT(E44,7)),"La acción no corresponde a la meta seleccionada",IF(OR(NOT(ISNUMBER(M44)),M44&lt;10000000,M44&gt;99999999),"Código UNSPSC inválido: registre 8 dígitos",IF(MOD(M44,10000)=0,"UNSPSC a nivel de segmento o familia: use clase o producto",IF(IFERROR(MATCH(P44,L_MESES,0)&lt;MATCH(O44,L_MESES,0),TRUE()),"El mes de ofertas es anterior al de inicio del proceso",IF(OR(NOT(ISNUMBER(Q44)),Q44&lt;=0),"Duración inválida",IF(OR(NOT(ISNUMBER(W44)),NOT(ISNUMBER(X44))),"Valor inválido: registre solo números",IF(OR(W44&lt;=0,X44&lt;=0),"Valor inválido: debe ser mayor que cero",IF(X44&gt;W44,"El valor de la vigencia 2027 supera el valor total",IF(AND(X44&lt;W44,Y44="No"),"El valor total supera el de 2027: requiere vigencias futuras",IF(AND(Y44="Sí",OR(Z44="",Z44="No aplica")),"Indique el estado de la solicitud de vigencias futuras",IF(IF(AND(S44="Mínima cuantía",ISNUMBER(P_TOPE_MINIMA)),W44&gt;P_TOPE_MINIMA,FALSE()),"El valor supera el tope de mínima cuantía 2027",IF(IF(AND(S44="Selección abreviada de menor cuantía",ISNUMBER(P_TOPE_MENOR)),W44&gt;P_TOPE_MENOR,FALSE()),"El valor supera el tope de menor cuantía 2027",IF(OR(ISERROR(SEARCH("@itc.edu.co",AE44)),SUMPRODUCT(--ISNUMBER(SEARCH({"á","é","í","ó","ú","ñ"," "},AE44)))&gt;0),"El correo del responsable no es institucional válido",IF(AND(AF44="Sí",AG44=""),"Indique el N.° de registro 2026 que continúa","OK")))))))))))))))))</f>
        <v/>
      </c>
      <c r="AK44" s="15" t="str">
        <f>IF(AJ44="OK",COUNTIF($AJ$7:AJ44,"OK"),"")</f>
        <v/>
      </c>
    </row>
    <row r="45" spans="1:37" x14ac:dyDescent="0.3">
      <c r="A45" s="13" t="str">
        <f t="shared" si="0"/>
        <v>PN27-039</v>
      </c>
      <c r="B45" s="26"/>
      <c r="C45" s="13" t="str">
        <f>IF(B45="","",IFERROR(INDEX(Catalogos!$R$5:$R$51,MATCH(B45,L_AREAS,0)),""))</f>
        <v/>
      </c>
      <c r="D45" s="13" t="str">
        <f>IF(B45="","",IFERROR(INDEX(Catalogos!$O$5:$O$51,MATCH(B45,L_AREAS,0)),""))</f>
        <v/>
      </c>
      <c r="E45" s="26"/>
      <c r="F45" s="13" t="str">
        <f>IF(E45="","",IFERROR(INDEX(Catalogos!$C$5:$C$49,MATCH(E45,L_METAS,0)),""))</f>
        <v/>
      </c>
      <c r="G45" s="13" t="str">
        <f>IF(E45="","",IFERROR(INDEX(Catalogos!$E$5:$E$49,MATCH(E45,L_METAS,0)),""))</f>
        <v/>
      </c>
      <c r="H45" s="26"/>
      <c r="I45" s="26"/>
      <c r="J45" s="26"/>
      <c r="K45" s="26"/>
      <c r="L45" s="26"/>
      <c r="M45" s="27"/>
      <c r="N45" s="26"/>
      <c r="O45" s="26"/>
      <c r="P45" s="26"/>
      <c r="Q45" s="26"/>
      <c r="R45" s="26"/>
      <c r="S45" s="26"/>
      <c r="T45" s="26"/>
      <c r="U45" s="26"/>
      <c r="V45" s="26"/>
      <c r="W45" s="28"/>
      <c r="X45" s="28"/>
      <c r="Y45" s="26"/>
      <c r="Z45" s="26"/>
      <c r="AA45" s="26"/>
      <c r="AB45" s="26"/>
      <c r="AC45" s="26"/>
      <c r="AD45" s="26"/>
      <c r="AE45" s="26"/>
      <c r="AF45" s="26"/>
      <c r="AG45" s="26"/>
      <c r="AH45" s="26"/>
      <c r="AI45" s="26"/>
      <c r="AJ45" s="15" t="str">
        <f>IF(COUNTA(B45,E45,H45,I45,J45,K45,L45,M45,N45,O45,P45,Q45,R45,S45,T45,U45,V45,W45,X45,Y45,Z45,AA45,AB45,AC45,AD45,AE45,AF45,AG45,AH45,AI45)=0,"",IF(OR(B45="",E45="",H45="",J45="",K45="",L45="",M45="",O45="",P45="",Q45="",R45="",S45="",T45="",U45="",W45="",X45="",Y45="",AB45="",AC45="",AE45="",AF45=""),"Incompleta: faltan campos obligatorios",IF(AND(LEFT(H45,6)="PROPIA",I45=""),"Falta el nombre de la acción propia del área",IF(AND(LEFT(H45,3)="A27",IFERROR(INDEX(Catalogos!$T$5:$T$207,MATCH(H45,Catalogos!$U$5:$U$207,0)),"x")&lt;&gt;LEFT(E45,7)),"La acción no corresponde a la meta seleccionada",IF(OR(NOT(ISNUMBER(M45)),M45&lt;10000000,M45&gt;99999999),"Código UNSPSC inválido: registre 8 dígitos",IF(MOD(M45,10000)=0,"UNSPSC a nivel de segmento o familia: use clase o producto",IF(IFERROR(MATCH(P45,L_MESES,0)&lt;MATCH(O45,L_MESES,0),TRUE()),"El mes de ofertas es anterior al de inicio del proceso",IF(OR(NOT(ISNUMBER(Q45)),Q45&lt;=0),"Duración inválida",IF(OR(NOT(ISNUMBER(W45)),NOT(ISNUMBER(X45))),"Valor inválido: registre solo números",IF(OR(W45&lt;=0,X45&lt;=0),"Valor inválido: debe ser mayor que cero",IF(X45&gt;W45,"El valor de la vigencia 2027 supera el valor total",IF(AND(X45&lt;W45,Y45="No"),"El valor total supera el de 2027: requiere vigencias futuras",IF(AND(Y45="Sí",OR(Z45="",Z45="No aplica")),"Indique el estado de la solicitud de vigencias futuras",IF(IF(AND(S45="Mínima cuantía",ISNUMBER(P_TOPE_MINIMA)),W45&gt;P_TOPE_MINIMA,FALSE()),"El valor supera el tope de mínima cuantía 2027",IF(IF(AND(S45="Selección abreviada de menor cuantía",ISNUMBER(P_TOPE_MENOR)),W45&gt;P_TOPE_MENOR,FALSE()),"El valor supera el tope de menor cuantía 2027",IF(OR(ISERROR(SEARCH("@itc.edu.co",AE45)),SUMPRODUCT(--ISNUMBER(SEARCH({"á","é","í","ó","ú","ñ"," "},AE45)))&gt;0),"El correo del responsable no es institucional válido",IF(AND(AF45="Sí",AG45=""),"Indique el N.° de registro 2026 que continúa","OK")))))))))))))))))</f>
        <v/>
      </c>
      <c r="AK45" s="15" t="str">
        <f>IF(AJ45="OK",COUNTIF($AJ$7:AJ45,"OK"),"")</f>
        <v/>
      </c>
    </row>
    <row r="46" spans="1:37" x14ac:dyDescent="0.3">
      <c r="A46" s="13" t="str">
        <f t="shared" si="0"/>
        <v>PN27-040</v>
      </c>
      <c r="B46" s="26"/>
      <c r="C46" s="13" t="str">
        <f>IF(B46="","",IFERROR(INDEX(Catalogos!$R$5:$R$51,MATCH(B46,L_AREAS,0)),""))</f>
        <v/>
      </c>
      <c r="D46" s="13" t="str">
        <f>IF(B46="","",IFERROR(INDEX(Catalogos!$O$5:$O$51,MATCH(B46,L_AREAS,0)),""))</f>
        <v/>
      </c>
      <c r="E46" s="26"/>
      <c r="F46" s="13" t="str">
        <f>IF(E46="","",IFERROR(INDEX(Catalogos!$C$5:$C$49,MATCH(E46,L_METAS,0)),""))</f>
        <v/>
      </c>
      <c r="G46" s="13" t="str">
        <f>IF(E46="","",IFERROR(INDEX(Catalogos!$E$5:$E$49,MATCH(E46,L_METAS,0)),""))</f>
        <v/>
      </c>
      <c r="H46" s="26"/>
      <c r="I46" s="26"/>
      <c r="J46" s="26"/>
      <c r="K46" s="26"/>
      <c r="L46" s="26"/>
      <c r="M46" s="27"/>
      <c r="N46" s="26"/>
      <c r="O46" s="26"/>
      <c r="P46" s="26"/>
      <c r="Q46" s="26"/>
      <c r="R46" s="26"/>
      <c r="S46" s="26"/>
      <c r="T46" s="26"/>
      <c r="U46" s="26"/>
      <c r="V46" s="26"/>
      <c r="W46" s="28"/>
      <c r="X46" s="28"/>
      <c r="Y46" s="26"/>
      <c r="Z46" s="26"/>
      <c r="AA46" s="26"/>
      <c r="AB46" s="26"/>
      <c r="AC46" s="26"/>
      <c r="AD46" s="26"/>
      <c r="AE46" s="26"/>
      <c r="AF46" s="26"/>
      <c r="AG46" s="26"/>
      <c r="AH46" s="26"/>
      <c r="AI46" s="26"/>
      <c r="AJ46" s="15" t="str">
        <f>IF(COUNTA(B46,E46,H46,I46,J46,K46,L46,M46,N46,O46,P46,Q46,R46,S46,T46,U46,V46,W46,X46,Y46,Z46,AA46,AB46,AC46,AD46,AE46,AF46,AG46,AH46,AI46)=0,"",IF(OR(B46="",E46="",H46="",J46="",K46="",L46="",M46="",O46="",P46="",Q46="",R46="",S46="",T46="",U46="",W46="",X46="",Y46="",AB46="",AC46="",AE46="",AF46=""),"Incompleta: faltan campos obligatorios",IF(AND(LEFT(H46,6)="PROPIA",I46=""),"Falta el nombre de la acción propia del área",IF(AND(LEFT(H46,3)="A27",IFERROR(INDEX(Catalogos!$T$5:$T$207,MATCH(H46,Catalogos!$U$5:$U$207,0)),"x")&lt;&gt;LEFT(E46,7)),"La acción no corresponde a la meta seleccionada",IF(OR(NOT(ISNUMBER(M46)),M46&lt;10000000,M46&gt;99999999),"Código UNSPSC inválido: registre 8 dígitos",IF(MOD(M46,10000)=0,"UNSPSC a nivel de segmento o familia: use clase o producto",IF(IFERROR(MATCH(P46,L_MESES,0)&lt;MATCH(O46,L_MESES,0),TRUE()),"El mes de ofertas es anterior al de inicio del proceso",IF(OR(NOT(ISNUMBER(Q46)),Q46&lt;=0),"Duración inválida",IF(OR(NOT(ISNUMBER(W46)),NOT(ISNUMBER(X46))),"Valor inválido: registre solo números",IF(OR(W46&lt;=0,X46&lt;=0),"Valor inválido: debe ser mayor que cero",IF(X46&gt;W46,"El valor de la vigencia 2027 supera el valor total",IF(AND(X46&lt;W46,Y46="No"),"El valor total supera el de 2027: requiere vigencias futuras",IF(AND(Y46="Sí",OR(Z46="",Z46="No aplica")),"Indique el estado de la solicitud de vigencias futuras",IF(IF(AND(S46="Mínima cuantía",ISNUMBER(P_TOPE_MINIMA)),W46&gt;P_TOPE_MINIMA,FALSE()),"El valor supera el tope de mínima cuantía 2027",IF(IF(AND(S46="Selección abreviada de menor cuantía",ISNUMBER(P_TOPE_MENOR)),W46&gt;P_TOPE_MENOR,FALSE()),"El valor supera el tope de menor cuantía 2027",IF(OR(ISERROR(SEARCH("@itc.edu.co",AE46)),SUMPRODUCT(--ISNUMBER(SEARCH({"á","é","í","ó","ú","ñ"," "},AE46)))&gt;0),"El correo del responsable no es institucional válido",IF(AND(AF46="Sí",AG46=""),"Indique el N.° de registro 2026 que continúa","OK")))))))))))))))))</f>
        <v/>
      </c>
      <c r="AK46" s="15" t="str">
        <f>IF(AJ46="OK",COUNTIF($AJ$7:AJ46,"OK"),"")</f>
        <v/>
      </c>
    </row>
    <row r="47" spans="1:37" x14ac:dyDescent="0.3">
      <c r="A47" s="13" t="str">
        <f t="shared" si="0"/>
        <v>PN27-041</v>
      </c>
      <c r="B47" s="26"/>
      <c r="C47" s="13" t="str">
        <f>IF(B47="","",IFERROR(INDEX(Catalogos!$R$5:$R$51,MATCH(B47,L_AREAS,0)),""))</f>
        <v/>
      </c>
      <c r="D47" s="13" t="str">
        <f>IF(B47="","",IFERROR(INDEX(Catalogos!$O$5:$O$51,MATCH(B47,L_AREAS,0)),""))</f>
        <v/>
      </c>
      <c r="E47" s="26"/>
      <c r="F47" s="13" t="str">
        <f>IF(E47="","",IFERROR(INDEX(Catalogos!$C$5:$C$49,MATCH(E47,L_METAS,0)),""))</f>
        <v/>
      </c>
      <c r="G47" s="13" t="str">
        <f>IF(E47="","",IFERROR(INDEX(Catalogos!$E$5:$E$49,MATCH(E47,L_METAS,0)),""))</f>
        <v/>
      </c>
      <c r="H47" s="26"/>
      <c r="I47" s="26"/>
      <c r="J47" s="26"/>
      <c r="K47" s="26"/>
      <c r="L47" s="26"/>
      <c r="M47" s="27"/>
      <c r="N47" s="26"/>
      <c r="O47" s="26"/>
      <c r="P47" s="26"/>
      <c r="Q47" s="26"/>
      <c r="R47" s="26"/>
      <c r="S47" s="26"/>
      <c r="T47" s="26"/>
      <c r="U47" s="26"/>
      <c r="V47" s="26"/>
      <c r="W47" s="28"/>
      <c r="X47" s="28"/>
      <c r="Y47" s="26"/>
      <c r="Z47" s="26"/>
      <c r="AA47" s="26"/>
      <c r="AB47" s="26"/>
      <c r="AC47" s="26"/>
      <c r="AD47" s="26"/>
      <c r="AE47" s="26"/>
      <c r="AF47" s="26"/>
      <c r="AG47" s="26"/>
      <c r="AH47" s="26"/>
      <c r="AI47" s="26"/>
      <c r="AJ47" s="15" t="str">
        <f>IF(COUNTA(B47,E47,H47,I47,J47,K47,L47,M47,N47,O47,P47,Q47,R47,S47,T47,U47,V47,W47,X47,Y47,Z47,AA47,AB47,AC47,AD47,AE47,AF47,AG47,AH47,AI47)=0,"",IF(OR(B47="",E47="",H47="",J47="",K47="",L47="",M47="",O47="",P47="",Q47="",R47="",S47="",T47="",U47="",W47="",X47="",Y47="",AB47="",AC47="",AE47="",AF47=""),"Incompleta: faltan campos obligatorios",IF(AND(LEFT(H47,6)="PROPIA",I47=""),"Falta el nombre de la acción propia del área",IF(AND(LEFT(H47,3)="A27",IFERROR(INDEX(Catalogos!$T$5:$T$207,MATCH(H47,Catalogos!$U$5:$U$207,0)),"x")&lt;&gt;LEFT(E47,7)),"La acción no corresponde a la meta seleccionada",IF(OR(NOT(ISNUMBER(M47)),M47&lt;10000000,M47&gt;99999999),"Código UNSPSC inválido: registre 8 dígitos",IF(MOD(M47,10000)=0,"UNSPSC a nivel de segmento o familia: use clase o producto",IF(IFERROR(MATCH(P47,L_MESES,0)&lt;MATCH(O47,L_MESES,0),TRUE()),"El mes de ofertas es anterior al de inicio del proceso",IF(OR(NOT(ISNUMBER(Q47)),Q47&lt;=0),"Duración inválida",IF(OR(NOT(ISNUMBER(W47)),NOT(ISNUMBER(X47))),"Valor inválido: registre solo números",IF(OR(W47&lt;=0,X47&lt;=0),"Valor inválido: debe ser mayor que cero",IF(X47&gt;W47,"El valor de la vigencia 2027 supera el valor total",IF(AND(X47&lt;W47,Y47="No"),"El valor total supera el de 2027: requiere vigencias futuras",IF(AND(Y47="Sí",OR(Z47="",Z47="No aplica")),"Indique el estado de la solicitud de vigencias futuras",IF(IF(AND(S47="Mínima cuantía",ISNUMBER(P_TOPE_MINIMA)),W47&gt;P_TOPE_MINIMA,FALSE()),"El valor supera el tope de mínima cuantía 2027",IF(IF(AND(S47="Selección abreviada de menor cuantía",ISNUMBER(P_TOPE_MENOR)),W47&gt;P_TOPE_MENOR,FALSE()),"El valor supera el tope de menor cuantía 2027",IF(OR(ISERROR(SEARCH("@itc.edu.co",AE47)),SUMPRODUCT(--ISNUMBER(SEARCH({"á","é","í","ó","ú","ñ"," "},AE47)))&gt;0),"El correo del responsable no es institucional válido",IF(AND(AF47="Sí",AG47=""),"Indique el N.° de registro 2026 que continúa","OK")))))))))))))))))</f>
        <v/>
      </c>
      <c r="AK47" s="15" t="str">
        <f>IF(AJ47="OK",COUNTIF($AJ$7:AJ47,"OK"),"")</f>
        <v/>
      </c>
    </row>
    <row r="48" spans="1:37" x14ac:dyDescent="0.3">
      <c r="A48" s="13" t="str">
        <f t="shared" si="0"/>
        <v>PN27-042</v>
      </c>
      <c r="B48" s="26"/>
      <c r="C48" s="13" t="str">
        <f>IF(B48="","",IFERROR(INDEX(Catalogos!$R$5:$R$51,MATCH(B48,L_AREAS,0)),""))</f>
        <v/>
      </c>
      <c r="D48" s="13" t="str">
        <f>IF(B48="","",IFERROR(INDEX(Catalogos!$O$5:$O$51,MATCH(B48,L_AREAS,0)),""))</f>
        <v/>
      </c>
      <c r="E48" s="26"/>
      <c r="F48" s="13" t="str">
        <f>IF(E48="","",IFERROR(INDEX(Catalogos!$C$5:$C$49,MATCH(E48,L_METAS,0)),""))</f>
        <v/>
      </c>
      <c r="G48" s="13" t="str">
        <f>IF(E48="","",IFERROR(INDEX(Catalogos!$E$5:$E$49,MATCH(E48,L_METAS,0)),""))</f>
        <v/>
      </c>
      <c r="H48" s="26"/>
      <c r="I48" s="26"/>
      <c r="J48" s="26"/>
      <c r="K48" s="26"/>
      <c r="L48" s="26"/>
      <c r="M48" s="27"/>
      <c r="N48" s="26"/>
      <c r="O48" s="26"/>
      <c r="P48" s="26"/>
      <c r="Q48" s="26"/>
      <c r="R48" s="26"/>
      <c r="S48" s="26"/>
      <c r="T48" s="26"/>
      <c r="U48" s="26"/>
      <c r="V48" s="26"/>
      <c r="W48" s="28"/>
      <c r="X48" s="28"/>
      <c r="Y48" s="26"/>
      <c r="Z48" s="26"/>
      <c r="AA48" s="26"/>
      <c r="AB48" s="26"/>
      <c r="AC48" s="26"/>
      <c r="AD48" s="26"/>
      <c r="AE48" s="26"/>
      <c r="AF48" s="26"/>
      <c r="AG48" s="26"/>
      <c r="AH48" s="26"/>
      <c r="AI48" s="26"/>
      <c r="AJ48" s="15" t="str">
        <f>IF(COUNTA(B48,E48,H48,I48,J48,K48,L48,M48,N48,O48,P48,Q48,R48,S48,T48,U48,V48,W48,X48,Y48,Z48,AA48,AB48,AC48,AD48,AE48,AF48,AG48,AH48,AI48)=0,"",IF(OR(B48="",E48="",H48="",J48="",K48="",L48="",M48="",O48="",P48="",Q48="",R48="",S48="",T48="",U48="",W48="",X48="",Y48="",AB48="",AC48="",AE48="",AF48=""),"Incompleta: faltan campos obligatorios",IF(AND(LEFT(H48,6)="PROPIA",I48=""),"Falta el nombre de la acción propia del área",IF(AND(LEFT(H48,3)="A27",IFERROR(INDEX(Catalogos!$T$5:$T$207,MATCH(H48,Catalogos!$U$5:$U$207,0)),"x")&lt;&gt;LEFT(E48,7)),"La acción no corresponde a la meta seleccionada",IF(OR(NOT(ISNUMBER(M48)),M48&lt;10000000,M48&gt;99999999),"Código UNSPSC inválido: registre 8 dígitos",IF(MOD(M48,10000)=0,"UNSPSC a nivel de segmento o familia: use clase o producto",IF(IFERROR(MATCH(P48,L_MESES,0)&lt;MATCH(O48,L_MESES,0),TRUE()),"El mes de ofertas es anterior al de inicio del proceso",IF(OR(NOT(ISNUMBER(Q48)),Q48&lt;=0),"Duración inválida",IF(OR(NOT(ISNUMBER(W48)),NOT(ISNUMBER(X48))),"Valor inválido: registre solo números",IF(OR(W48&lt;=0,X48&lt;=0),"Valor inválido: debe ser mayor que cero",IF(X48&gt;W48,"El valor de la vigencia 2027 supera el valor total",IF(AND(X48&lt;W48,Y48="No"),"El valor total supera el de 2027: requiere vigencias futuras",IF(AND(Y48="Sí",OR(Z48="",Z48="No aplica")),"Indique el estado de la solicitud de vigencias futuras",IF(IF(AND(S48="Mínima cuantía",ISNUMBER(P_TOPE_MINIMA)),W48&gt;P_TOPE_MINIMA,FALSE()),"El valor supera el tope de mínima cuantía 2027",IF(IF(AND(S48="Selección abreviada de menor cuantía",ISNUMBER(P_TOPE_MENOR)),W48&gt;P_TOPE_MENOR,FALSE()),"El valor supera el tope de menor cuantía 2027",IF(OR(ISERROR(SEARCH("@itc.edu.co",AE48)),SUMPRODUCT(--ISNUMBER(SEARCH({"á","é","í","ó","ú","ñ"," "},AE48)))&gt;0),"El correo del responsable no es institucional válido",IF(AND(AF48="Sí",AG48=""),"Indique el N.° de registro 2026 que continúa","OK")))))))))))))))))</f>
        <v/>
      </c>
      <c r="AK48" s="15" t="str">
        <f>IF(AJ48="OK",COUNTIF($AJ$7:AJ48,"OK"),"")</f>
        <v/>
      </c>
    </row>
    <row r="49" spans="1:37" x14ac:dyDescent="0.3">
      <c r="A49" s="13" t="str">
        <f t="shared" si="0"/>
        <v>PN27-043</v>
      </c>
      <c r="B49" s="26"/>
      <c r="C49" s="13" t="str">
        <f>IF(B49="","",IFERROR(INDEX(Catalogos!$R$5:$R$51,MATCH(B49,L_AREAS,0)),""))</f>
        <v/>
      </c>
      <c r="D49" s="13" t="str">
        <f>IF(B49="","",IFERROR(INDEX(Catalogos!$O$5:$O$51,MATCH(B49,L_AREAS,0)),""))</f>
        <v/>
      </c>
      <c r="E49" s="26"/>
      <c r="F49" s="13" t="str">
        <f>IF(E49="","",IFERROR(INDEX(Catalogos!$C$5:$C$49,MATCH(E49,L_METAS,0)),""))</f>
        <v/>
      </c>
      <c r="G49" s="13" t="str">
        <f>IF(E49="","",IFERROR(INDEX(Catalogos!$E$5:$E$49,MATCH(E49,L_METAS,0)),""))</f>
        <v/>
      </c>
      <c r="H49" s="26"/>
      <c r="I49" s="26"/>
      <c r="J49" s="26"/>
      <c r="K49" s="26"/>
      <c r="L49" s="26"/>
      <c r="M49" s="27"/>
      <c r="N49" s="26"/>
      <c r="O49" s="26"/>
      <c r="P49" s="26"/>
      <c r="Q49" s="26"/>
      <c r="R49" s="26"/>
      <c r="S49" s="26"/>
      <c r="T49" s="26"/>
      <c r="U49" s="26"/>
      <c r="V49" s="26"/>
      <c r="W49" s="28"/>
      <c r="X49" s="28"/>
      <c r="Y49" s="26"/>
      <c r="Z49" s="26"/>
      <c r="AA49" s="26"/>
      <c r="AB49" s="26"/>
      <c r="AC49" s="26"/>
      <c r="AD49" s="26"/>
      <c r="AE49" s="26"/>
      <c r="AF49" s="26"/>
      <c r="AG49" s="26"/>
      <c r="AH49" s="26"/>
      <c r="AI49" s="26"/>
      <c r="AJ49" s="15" t="str">
        <f>IF(COUNTA(B49,E49,H49,I49,J49,K49,L49,M49,N49,O49,P49,Q49,R49,S49,T49,U49,V49,W49,X49,Y49,Z49,AA49,AB49,AC49,AD49,AE49,AF49,AG49,AH49,AI49)=0,"",IF(OR(B49="",E49="",H49="",J49="",K49="",L49="",M49="",O49="",P49="",Q49="",R49="",S49="",T49="",U49="",W49="",X49="",Y49="",AB49="",AC49="",AE49="",AF49=""),"Incompleta: faltan campos obligatorios",IF(AND(LEFT(H49,6)="PROPIA",I49=""),"Falta el nombre de la acción propia del área",IF(AND(LEFT(H49,3)="A27",IFERROR(INDEX(Catalogos!$T$5:$T$207,MATCH(H49,Catalogos!$U$5:$U$207,0)),"x")&lt;&gt;LEFT(E49,7)),"La acción no corresponde a la meta seleccionada",IF(OR(NOT(ISNUMBER(M49)),M49&lt;10000000,M49&gt;99999999),"Código UNSPSC inválido: registre 8 dígitos",IF(MOD(M49,10000)=0,"UNSPSC a nivel de segmento o familia: use clase o producto",IF(IFERROR(MATCH(P49,L_MESES,0)&lt;MATCH(O49,L_MESES,0),TRUE()),"El mes de ofertas es anterior al de inicio del proceso",IF(OR(NOT(ISNUMBER(Q49)),Q49&lt;=0),"Duración inválida",IF(OR(NOT(ISNUMBER(W49)),NOT(ISNUMBER(X49))),"Valor inválido: registre solo números",IF(OR(W49&lt;=0,X49&lt;=0),"Valor inválido: debe ser mayor que cero",IF(X49&gt;W49,"El valor de la vigencia 2027 supera el valor total",IF(AND(X49&lt;W49,Y49="No"),"El valor total supera el de 2027: requiere vigencias futuras",IF(AND(Y49="Sí",OR(Z49="",Z49="No aplica")),"Indique el estado de la solicitud de vigencias futuras",IF(IF(AND(S49="Mínima cuantía",ISNUMBER(P_TOPE_MINIMA)),W49&gt;P_TOPE_MINIMA,FALSE()),"El valor supera el tope de mínima cuantía 2027",IF(IF(AND(S49="Selección abreviada de menor cuantía",ISNUMBER(P_TOPE_MENOR)),W49&gt;P_TOPE_MENOR,FALSE()),"El valor supera el tope de menor cuantía 2027",IF(OR(ISERROR(SEARCH("@itc.edu.co",AE49)),SUMPRODUCT(--ISNUMBER(SEARCH({"á","é","í","ó","ú","ñ"," "},AE49)))&gt;0),"El correo del responsable no es institucional válido",IF(AND(AF49="Sí",AG49=""),"Indique el N.° de registro 2026 que continúa","OK")))))))))))))))))</f>
        <v/>
      </c>
      <c r="AK49" s="15" t="str">
        <f>IF(AJ49="OK",COUNTIF($AJ$7:AJ49,"OK"),"")</f>
        <v/>
      </c>
    </row>
    <row r="50" spans="1:37" x14ac:dyDescent="0.3">
      <c r="A50" s="13" t="str">
        <f t="shared" si="0"/>
        <v>PN27-044</v>
      </c>
      <c r="B50" s="26"/>
      <c r="C50" s="13" t="str">
        <f>IF(B50="","",IFERROR(INDEX(Catalogos!$R$5:$R$51,MATCH(B50,L_AREAS,0)),""))</f>
        <v/>
      </c>
      <c r="D50" s="13" t="str">
        <f>IF(B50="","",IFERROR(INDEX(Catalogos!$O$5:$O$51,MATCH(B50,L_AREAS,0)),""))</f>
        <v/>
      </c>
      <c r="E50" s="26"/>
      <c r="F50" s="13" t="str">
        <f>IF(E50="","",IFERROR(INDEX(Catalogos!$C$5:$C$49,MATCH(E50,L_METAS,0)),""))</f>
        <v/>
      </c>
      <c r="G50" s="13" t="str">
        <f>IF(E50="","",IFERROR(INDEX(Catalogos!$E$5:$E$49,MATCH(E50,L_METAS,0)),""))</f>
        <v/>
      </c>
      <c r="H50" s="26"/>
      <c r="I50" s="26"/>
      <c r="J50" s="26"/>
      <c r="K50" s="26"/>
      <c r="L50" s="26"/>
      <c r="M50" s="27"/>
      <c r="N50" s="26"/>
      <c r="O50" s="26"/>
      <c r="P50" s="26"/>
      <c r="Q50" s="26"/>
      <c r="R50" s="26"/>
      <c r="S50" s="26"/>
      <c r="T50" s="26"/>
      <c r="U50" s="26"/>
      <c r="V50" s="26"/>
      <c r="W50" s="28"/>
      <c r="X50" s="28"/>
      <c r="Y50" s="26"/>
      <c r="Z50" s="26"/>
      <c r="AA50" s="26"/>
      <c r="AB50" s="26"/>
      <c r="AC50" s="26"/>
      <c r="AD50" s="26"/>
      <c r="AE50" s="26"/>
      <c r="AF50" s="26"/>
      <c r="AG50" s="26"/>
      <c r="AH50" s="26"/>
      <c r="AI50" s="26"/>
      <c r="AJ50" s="15" t="str">
        <f>IF(COUNTA(B50,E50,H50,I50,J50,K50,L50,M50,N50,O50,P50,Q50,R50,S50,T50,U50,V50,W50,X50,Y50,Z50,AA50,AB50,AC50,AD50,AE50,AF50,AG50,AH50,AI50)=0,"",IF(OR(B50="",E50="",H50="",J50="",K50="",L50="",M50="",O50="",P50="",Q50="",R50="",S50="",T50="",U50="",W50="",X50="",Y50="",AB50="",AC50="",AE50="",AF50=""),"Incompleta: faltan campos obligatorios",IF(AND(LEFT(H50,6)="PROPIA",I50=""),"Falta el nombre de la acción propia del área",IF(AND(LEFT(H50,3)="A27",IFERROR(INDEX(Catalogos!$T$5:$T$207,MATCH(H50,Catalogos!$U$5:$U$207,0)),"x")&lt;&gt;LEFT(E50,7)),"La acción no corresponde a la meta seleccionada",IF(OR(NOT(ISNUMBER(M50)),M50&lt;10000000,M50&gt;99999999),"Código UNSPSC inválido: registre 8 dígitos",IF(MOD(M50,10000)=0,"UNSPSC a nivel de segmento o familia: use clase o producto",IF(IFERROR(MATCH(P50,L_MESES,0)&lt;MATCH(O50,L_MESES,0),TRUE()),"El mes de ofertas es anterior al de inicio del proceso",IF(OR(NOT(ISNUMBER(Q50)),Q50&lt;=0),"Duración inválida",IF(OR(NOT(ISNUMBER(W50)),NOT(ISNUMBER(X50))),"Valor inválido: registre solo números",IF(OR(W50&lt;=0,X50&lt;=0),"Valor inválido: debe ser mayor que cero",IF(X50&gt;W50,"El valor de la vigencia 2027 supera el valor total",IF(AND(X50&lt;W50,Y50="No"),"El valor total supera el de 2027: requiere vigencias futuras",IF(AND(Y50="Sí",OR(Z50="",Z50="No aplica")),"Indique el estado de la solicitud de vigencias futuras",IF(IF(AND(S50="Mínima cuantía",ISNUMBER(P_TOPE_MINIMA)),W50&gt;P_TOPE_MINIMA,FALSE()),"El valor supera el tope de mínima cuantía 2027",IF(IF(AND(S50="Selección abreviada de menor cuantía",ISNUMBER(P_TOPE_MENOR)),W50&gt;P_TOPE_MENOR,FALSE()),"El valor supera el tope de menor cuantía 2027",IF(OR(ISERROR(SEARCH("@itc.edu.co",AE50)),SUMPRODUCT(--ISNUMBER(SEARCH({"á","é","í","ó","ú","ñ"," "},AE50)))&gt;0),"El correo del responsable no es institucional válido",IF(AND(AF50="Sí",AG50=""),"Indique el N.° de registro 2026 que continúa","OK")))))))))))))))))</f>
        <v/>
      </c>
      <c r="AK50" s="15" t="str">
        <f>IF(AJ50="OK",COUNTIF($AJ$7:AJ50,"OK"),"")</f>
        <v/>
      </c>
    </row>
    <row r="51" spans="1:37" x14ac:dyDescent="0.3">
      <c r="A51" s="13" t="str">
        <f t="shared" si="0"/>
        <v>PN27-045</v>
      </c>
      <c r="B51" s="26"/>
      <c r="C51" s="13" t="str">
        <f>IF(B51="","",IFERROR(INDEX(Catalogos!$R$5:$R$51,MATCH(B51,L_AREAS,0)),""))</f>
        <v/>
      </c>
      <c r="D51" s="13" t="str">
        <f>IF(B51="","",IFERROR(INDEX(Catalogos!$O$5:$O$51,MATCH(B51,L_AREAS,0)),""))</f>
        <v/>
      </c>
      <c r="E51" s="26"/>
      <c r="F51" s="13" t="str">
        <f>IF(E51="","",IFERROR(INDEX(Catalogos!$C$5:$C$49,MATCH(E51,L_METAS,0)),""))</f>
        <v/>
      </c>
      <c r="G51" s="13" t="str">
        <f>IF(E51="","",IFERROR(INDEX(Catalogos!$E$5:$E$49,MATCH(E51,L_METAS,0)),""))</f>
        <v/>
      </c>
      <c r="H51" s="26"/>
      <c r="I51" s="26"/>
      <c r="J51" s="26"/>
      <c r="K51" s="26"/>
      <c r="L51" s="26"/>
      <c r="M51" s="27"/>
      <c r="N51" s="26"/>
      <c r="O51" s="26"/>
      <c r="P51" s="26"/>
      <c r="Q51" s="26"/>
      <c r="R51" s="26"/>
      <c r="S51" s="26"/>
      <c r="T51" s="26"/>
      <c r="U51" s="26"/>
      <c r="V51" s="26"/>
      <c r="W51" s="28"/>
      <c r="X51" s="28"/>
      <c r="Y51" s="26"/>
      <c r="Z51" s="26"/>
      <c r="AA51" s="26"/>
      <c r="AB51" s="26"/>
      <c r="AC51" s="26"/>
      <c r="AD51" s="26"/>
      <c r="AE51" s="26"/>
      <c r="AF51" s="26"/>
      <c r="AG51" s="26"/>
      <c r="AH51" s="26"/>
      <c r="AI51" s="26"/>
      <c r="AJ51" s="15" t="str">
        <f>IF(COUNTA(B51,E51,H51,I51,J51,K51,L51,M51,N51,O51,P51,Q51,R51,S51,T51,U51,V51,W51,X51,Y51,Z51,AA51,AB51,AC51,AD51,AE51,AF51,AG51,AH51,AI51)=0,"",IF(OR(B51="",E51="",H51="",J51="",K51="",L51="",M51="",O51="",P51="",Q51="",R51="",S51="",T51="",U51="",W51="",X51="",Y51="",AB51="",AC51="",AE51="",AF51=""),"Incompleta: faltan campos obligatorios",IF(AND(LEFT(H51,6)="PROPIA",I51=""),"Falta el nombre de la acción propia del área",IF(AND(LEFT(H51,3)="A27",IFERROR(INDEX(Catalogos!$T$5:$T$207,MATCH(H51,Catalogos!$U$5:$U$207,0)),"x")&lt;&gt;LEFT(E51,7)),"La acción no corresponde a la meta seleccionada",IF(OR(NOT(ISNUMBER(M51)),M51&lt;10000000,M51&gt;99999999),"Código UNSPSC inválido: registre 8 dígitos",IF(MOD(M51,10000)=0,"UNSPSC a nivel de segmento o familia: use clase o producto",IF(IFERROR(MATCH(P51,L_MESES,0)&lt;MATCH(O51,L_MESES,0),TRUE()),"El mes de ofertas es anterior al de inicio del proceso",IF(OR(NOT(ISNUMBER(Q51)),Q51&lt;=0),"Duración inválida",IF(OR(NOT(ISNUMBER(W51)),NOT(ISNUMBER(X51))),"Valor inválido: registre solo números",IF(OR(W51&lt;=0,X51&lt;=0),"Valor inválido: debe ser mayor que cero",IF(X51&gt;W51,"El valor de la vigencia 2027 supera el valor total",IF(AND(X51&lt;W51,Y51="No"),"El valor total supera el de 2027: requiere vigencias futuras",IF(AND(Y51="Sí",OR(Z51="",Z51="No aplica")),"Indique el estado de la solicitud de vigencias futuras",IF(IF(AND(S51="Mínima cuantía",ISNUMBER(P_TOPE_MINIMA)),W51&gt;P_TOPE_MINIMA,FALSE()),"El valor supera el tope de mínima cuantía 2027",IF(IF(AND(S51="Selección abreviada de menor cuantía",ISNUMBER(P_TOPE_MENOR)),W51&gt;P_TOPE_MENOR,FALSE()),"El valor supera el tope de menor cuantía 2027",IF(OR(ISERROR(SEARCH("@itc.edu.co",AE51)),SUMPRODUCT(--ISNUMBER(SEARCH({"á","é","í","ó","ú","ñ"," "},AE51)))&gt;0),"El correo del responsable no es institucional válido",IF(AND(AF51="Sí",AG51=""),"Indique el N.° de registro 2026 que continúa","OK")))))))))))))))))</f>
        <v/>
      </c>
      <c r="AK51" s="15" t="str">
        <f>IF(AJ51="OK",COUNTIF($AJ$7:AJ51,"OK"),"")</f>
        <v/>
      </c>
    </row>
    <row r="52" spans="1:37" x14ac:dyDescent="0.3">
      <c r="A52" s="13" t="str">
        <f t="shared" si="0"/>
        <v>PN27-046</v>
      </c>
      <c r="B52" s="26"/>
      <c r="C52" s="13" t="str">
        <f>IF(B52="","",IFERROR(INDEX(Catalogos!$R$5:$R$51,MATCH(B52,L_AREAS,0)),""))</f>
        <v/>
      </c>
      <c r="D52" s="13" t="str">
        <f>IF(B52="","",IFERROR(INDEX(Catalogos!$O$5:$O$51,MATCH(B52,L_AREAS,0)),""))</f>
        <v/>
      </c>
      <c r="E52" s="26"/>
      <c r="F52" s="13" t="str">
        <f>IF(E52="","",IFERROR(INDEX(Catalogos!$C$5:$C$49,MATCH(E52,L_METAS,0)),""))</f>
        <v/>
      </c>
      <c r="G52" s="13" t="str">
        <f>IF(E52="","",IFERROR(INDEX(Catalogos!$E$5:$E$49,MATCH(E52,L_METAS,0)),""))</f>
        <v/>
      </c>
      <c r="H52" s="26"/>
      <c r="I52" s="26"/>
      <c r="J52" s="26"/>
      <c r="K52" s="26"/>
      <c r="L52" s="26"/>
      <c r="M52" s="27"/>
      <c r="N52" s="26"/>
      <c r="O52" s="26"/>
      <c r="P52" s="26"/>
      <c r="Q52" s="26"/>
      <c r="R52" s="26"/>
      <c r="S52" s="26"/>
      <c r="T52" s="26"/>
      <c r="U52" s="26"/>
      <c r="V52" s="26"/>
      <c r="W52" s="28"/>
      <c r="X52" s="28"/>
      <c r="Y52" s="26"/>
      <c r="Z52" s="26"/>
      <c r="AA52" s="26"/>
      <c r="AB52" s="26"/>
      <c r="AC52" s="26"/>
      <c r="AD52" s="26"/>
      <c r="AE52" s="26"/>
      <c r="AF52" s="26"/>
      <c r="AG52" s="26"/>
      <c r="AH52" s="26"/>
      <c r="AI52" s="26"/>
      <c r="AJ52" s="15" t="str">
        <f>IF(COUNTA(B52,E52,H52,I52,J52,K52,L52,M52,N52,O52,P52,Q52,R52,S52,T52,U52,V52,W52,X52,Y52,Z52,AA52,AB52,AC52,AD52,AE52,AF52,AG52,AH52,AI52)=0,"",IF(OR(B52="",E52="",H52="",J52="",K52="",L52="",M52="",O52="",P52="",Q52="",R52="",S52="",T52="",U52="",W52="",X52="",Y52="",AB52="",AC52="",AE52="",AF52=""),"Incompleta: faltan campos obligatorios",IF(AND(LEFT(H52,6)="PROPIA",I52=""),"Falta el nombre de la acción propia del área",IF(AND(LEFT(H52,3)="A27",IFERROR(INDEX(Catalogos!$T$5:$T$207,MATCH(H52,Catalogos!$U$5:$U$207,0)),"x")&lt;&gt;LEFT(E52,7)),"La acción no corresponde a la meta seleccionada",IF(OR(NOT(ISNUMBER(M52)),M52&lt;10000000,M52&gt;99999999),"Código UNSPSC inválido: registre 8 dígitos",IF(MOD(M52,10000)=0,"UNSPSC a nivel de segmento o familia: use clase o producto",IF(IFERROR(MATCH(P52,L_MESES,0)&lt;MATCH(O52,L_MESES,0),TRUE()),"El mes de ofertas es anterior al de inicio del proceso",IF(OR(NOT(ISNUMBER(Q52)),Q52&lt;=0),"Duración inválida",IF(OR(NOT(ISNUMBER(W52)),NOT(ISNUMBER(X52))),"Valor inválido: registre solo números",IF(OR(W52&lt;=0,X52&lt;=0),"Valor inválido: debe ser mayor que cero",IF(X52&gt;W52,"El valor de la vigencia 2027 supera el valor total",IF(AND(X52&lt;W52,Y52="No"),"El valor total supera el de 2027: requiere vigencias futuras",IF(AND(Y52="Sí",OR(Z52="",Z52="No aplica")),"Indique el estado de la solicitud de vigencias futuras",IF(IF(AND(S52="Mínima cuantía",ISNUMBER(P_TOPE_MINIMA)),W52&gt;P_TOPE_MINIMA,FALSE()),"El valor supera el tope de mínima cuantía 2027",IF(IF(AND(S52="Selección abreviada de menor cuantía",ISNUMBER(P_TOPE_MENOR)),W52&gt;P_TOPE_MENOR,FALSE()),"El valor supera el tope de menor cuantía 2027",IF(OR(ISERROR(SEARCH("@itc.edu.co",AE52)),SUMPRODUCT(--ISNUMBER(SEARCH({"á","é","í","ó","ú","ñ"," "},AE52)))&gt;0),"El correo del responsable no es institucional válido",IF(AND(AF52="Sí",AG52=""),"Indique el N.° de registro 2026 que continúa","OK")))))))))))))))))</f>
        <v/>
      </c>
      <c r="AK52" s="15" t="str">
        <f>IF(AJ52="OK",COUNTIF($AJ$7:AJ52,"OK"),"")</f>
        <v/>
      </c>
    </row>
    <row r="53" spans="1:37" x14ac:dyDescent="0.3">
      <c r="A53" s="13" t="str">
        <f t="shared" si="0"/>
        <v>PN27-047</v>
      </c>
      <c r="B53" s="26"/>
      <c r="C53" s="13" t="str">
        <f>IF(B53="","",IFERROR(INDEX(Catalogos!$R$5:$R$51,MATCH(B53,L_AREAS,0)),""))</f>
        <v/>
      </c>
      <c r="D53" s="13" t="str">
        <f>IF(B53="","",IFERROR(INDEX(Catalogos!$O$5:$O$51,MATCH(B53,L_AREAS,0)),""))</f>
        <v/>
      </c>
      <c r="E53" s="26"/>
      <c r="F53" s="13" t="str">
        <f>IF(E53="","",IFERROR(INDEX(Catalogos!$C$5:$C$49,MATCH(E53,L_METAS,0)),""))</f>
        <v/>
      </c>
      <c r="G53" s="13" t="str">
        <f>IF(E53="","",IFERROR(INDEX(Catalogos!$E$5:$E$49,MATCH(E53,L_METAS,0)),""))</f>
        <v/>
      </c>
      <c r="H53" s="26"/>
      <c r="I53" s="26"/>
      <c r="J53" s="26"/>
      <c r="K53" s="26"/>
      <c r="L53" s="26"/>
      <c r="M53" s="27"/>
      <c r="N53" s="26"/>
      <c r="O53" s="26"/>
      <c r="P53" s="26"/>
      <c r="Q53" s="26"/>
      <c r="R53" s="26"/>
      <c r="S53" s="26"/>
      <c r="T53" s="26"/>
      <c r="U53" s="26"/>
      <c r="V53" s="26"/>
      <c r="W53" s="28"/>
      <c r="X53" s="28"/>
      <c r="Y53" s="26"/>
      <c r="Z53" s="26"/>
      <c r="AA53" s="26"/>
      <c r="AB53" s="26"/>
      <c r="AC53" s="26"/>
      <c r="AD53" s="26"/>
      <c r="AE53" s="26"/>
      <c r="AF53" s="26"/>
      <c r="AG53" s="26"/>
      <c r="AH53" s="26"/>
      <c r="AI53" s="26"/>
      <c r="AJ53" s="15" t="str">
        <f>IF(COUNTA(B53,E53,H53,I53,J53,K53,L53,M53,N53,O53,P53,Q53,R53,S53,T53,U53,V53,W53,X53,Y53,Z53,AA53,AB53,AC53,AD53,AE53,AF53,AG53,AH53,AI53)=0,"",IF(OR(B53="",E53="",H53="",J53="",K53="",L53="",M53="",O53="",P53="",Q53="",R53="",S53="",T53="",U53="",W53="",X53="",Y53="",AB53="",AC53="",AE53="",AF53=""),"Incompleta: faltan campos obligatorios",IF(AND(LEFT(H53,6)="PROPIA",I53=""),"Falta el nombre de la acción propia del área",IF(AND(LEFT(H53,3)="A27",IFERROR(INDEX(Catalogos!$T$5:$T$207,MATCH(H53,Catalogos!$U$5:$U$207,0)),"x")&lt;&gt;LEFT(E53,7)),"La acción no corresponde a la meta seleccionada",IF(OR(NOT(ISNUMBER(M53)),M53&lt;10000000,M53&gt;99999999),"Código UNSPSC inválido: registre 8 dígitos",IF(MOD(M53,10000)=0,"UNSPSC a nivel de segmento o familia: use clase o producto",IF(IFERROR(MATCH(P53,L_MESES,0)&lt;MATCH(O53,L_MESES,0),TRUE()),"El mes de ofertas es anterior al de inicio del proceso",IF(OR(NOT(ISNUMBER(Q53)),Q53&lt;=0),"Duración inválida",IF(OR(NOT(ISNUMBER(W53)),NOT(ISNUMBER(X53))),"Valor inválido: registre solo números",IF(OR(W53&lt;=0,X53&lt;=0),"Valor inválido: debe ser mayor que cero",IF(X53&gt;W53,"El valor de la vigencia 2027 supera el valor total",IF(AND(X53&lt;W53,Y53="No"),"El valor total supera el de 2027: requiere vigencias futuras",IF(AND(Y53="Sí",OR(Z53="",Z53="No aplica")),"Indique el estado de la solicitud de vigencias futuras",IF(IF(AND(S53="Mínima cuantía",ISNUMBER(P_TOPE_MINIMA)),W53&gt;P_TOPE_MINIMA,FALSE()),"El valor supera el tope de mínima cuantía 2027",IF(IF(AND(S53="Selección abreviada de menor cuantía",ISNUMBER(P_TOPE_MENOR)),W53&gt;P_TOPE_MENOR,FALSE()),"El valor supera el tope de menor cuantía 2027",IF(OR(ISERROR(SEARCH("@itc.edu.co",AE53)),SUMPRODUCT(--ISNUMBER(SEARCH({"á","é","í","ó","ú","ñ"," "},AE53)))&gt;0),"El correo del responsable no es institucional válido",IF(AND(AF53="Sí",AG53=""),"Indique el N.° de registro 2026 que continúa","OK")))))))))))))))))</f>
        <v/>
      </c>
      <c r="AK53" s="15" t="str">
        <f>IF(AJ53="OK",COUNTIF($AJ$7:AJ53,"OK"),"")</f>
        <v/>
      </c>
    </row>
    <row r="54" spans="1:37" x14ac:dyDescent="0.3">
      <c r="A54" s="13" t="str">
        <f t="shared" si="0"/>
        <v>PN27-048</v>
      </c>
      <c r="B54" s="26"/>
      <c r="C54" s="13" t="str">
        <f>IF(B54="","",IFERROR(INDEX(Catalogos!$R$5:$R$51,MATCH(B54,L_AREAS,0)),""))</f>
        <v/>
      </c>
      <c r="D54" s="13" t="str">
        <f>IF(B54="","",IFERROR(INDEX(Catalogos!$O$5:$O$51,MATCH(B54,L_AREAS,0)),""))</f>
        <v/>
      </c>
      <c r="E54" s="26"/>
      <c r="F54" s="13" t="str">
        <f>IF(E54="","",IFERROR(INDEX(Catalogos!$C$5:$C$49,MATCH(E54,L_METAS,0)),""))</f>
        <v/>
      </c>
      <c r="G54" s="13" t="str">
        <f>IF(E54="","",IFERROR(INDEX(Catalogos!$E$5:$E$49,MATCH(E54,L_METAS,0)),""))</f>
        <v/>
      </c>
      <c r="H54" s="26"/>
      <c r="I54" s="26"/>
      <c r="J54" s="26"/>
      <c r="K54" s="26"/>
      <c r="L54" s="26"/>
      <c r="M54" s="27"/>
      <c r="N54" s="26"/>
      <c r="O54" s="26"/>
      <c r="P54" s="26"/>
      <c r="Q54" s="26"/>
      <c r="R54" s="26"/>
      <c r="S54" s="26"/>
      <c r="T54" s="26"/>
      <c r="U54" s="26"/>
      <c r="V54" s="26"/>
      <c r="W54" s="28"/>
      <c r="X54" s="28"/>
      <c r="Y54" s="26"/>
      <c r="Z54" s="26"/>
      <c r="AA54" s="26"/>
      <c r="AB54" s="26"/>
      <c r="AC54" s="26"/>
      <c r="AD54" s="26"/>
      <c r="AE54" s="26"/>
      <c r="AF54" s="26"/>
      <c r="AG54" s="26"/>
      <c r="AH54" s="26"/>
      <c r="AI54" s="26"/>
      <c r="AJ54" s="15" t="str">
        <f>IF(COUNTA(B54,E54,H54,I54,J54,K54,L54,M54,N54,O54,P54,Q54,R54,S54,T54,U54,V54,W54,X54,Y54,Z54,AA54,AB54,AC54,AD54,AE54,AF54,AG54,AH54,AI54)=0,"",IF(OR(B54="",E54="",H54="",J54="",K54="",L54="",M54="",O54="",P54="",Q54="",R54="",S54="",T54="",U54="",W54="",X54="",Y54="",AB54="",AC54="",AE54="",AF54=""),"Incompleta: faltan campos obligatorios",IF(AND(LEFT(H54,6)="PROPIA",I54=""),"Falta el nombre de la acción propia del área",IF(AND(LEFT(H54,3)="A27",IFERROR(INDEX(Catalogos!$T$5:$T$207,MATCH(H54,Catalogos!$U$5:$U$207,0)),"x")&lt;&gt;LEFT(E54,7)),"La acción no corresponde a la meta seleccionada",IF(OR(NOT(ISNUMBER(M54)),M54&lt;10000000,M54&gt;99999999),"Código UNSPSC inválido: registre 8 dígitos",IF(MOD(M54,10000)=0,"UNSPSC a nivel de segmento o familia: use clase o producto",IF(IFERROR(MATCH(P54,L_MESES,0)&lt;MATCH(O54,L_MESES,0),TRUE()),"El mes de ofertas es anterior al de inicio del proceso",IF(OR(NOT(ISNUMBER(Q54)),Q54&lt;=0),"Duración inválida",IF(OR(NOT(ISNUMBER(W54)),NOT(ISNUMBER(X54))),"Valor inválido: registre solo números",IF(OR(W54&lt;=0,X54&lt;=0),"Valor inválido: debe ser mayor que cero",IF(X54&gt;W54,"El valor de la vigencia 2027 supera el valor total",IF(AND(X54&lt;W54,Y54="No"),"El valor total supera el de 2027: requiere vigencias futuras",IF(AND(Y54="Sí",OR(Z54="",Z54="No aplica")),"Indique el estado de la solicitud de vigencias futuras",IF(IF(AND(S54="Mínima cuantía",ISNUMBER(P_TOPE_MINIMA)),W54&gt;P_TOPE_MINIMA,FALSE()),"El valor supera el tope de mínima cuantía 2027",IF(IF(AND(S54="Selección abreviada de menor cuantía",ISNUMBER(P_TOPE_MENOR)),W54&gt;P_TOPE_MENOR,FALSE()),"El valor supera el tope de menor cuantía 2027",IF(OR(ISERROR(SEARCH("@itc.edu.co",AE54)),SUMPRODUCT(--ISNUMBER(SEARCH({"á","é","í","ó","ú","ñ"," "},AE54)))&gt;0),"El correo del responsable no es institucional válido",IF(AND(AF54="Sí",AG54=""),"Indique el N.° de registro 2026 que continúa","OK")))))))))))))))))</f>
        <v/>
      </c>
      <c r="AK54" s="15" t="str">
        <f>IF(AJ54="OK",COUNTIF($AJ$7:AJ54,"OK"),"")</f>
        <v/>
      </c>
    </row>
    <row r="55" spans="1:37" x14ac:dyDescent="0.3">
      <c r="A55" s="13" t="str">
        <f t="shared" si="0"/>
        <v>PN27-049</v>
      </c>
      <c r="B55" s="26"/>
      <c r="C55" s="13" t="str">
        <f>IF(B55="","",IFERROR(INDEX(Catalogos!$R$5:$R$51,MATCH(B55,L_AREAS,0)),""))</f>
        <v/>
      </c>
      <c r="D55" s="13" t="str">
        <f>IF(B55="","",IFERROR(INDEX(Catalogos!$O$5:$O$51,MATCH(B55,L_AREAS,0)),""))</f>
        <v/>
      </c>
      <c r="E55" s="26"/>
      <c r="F55" s="13" t="str">
        <f>IF(E55="","",IFERROR(INDEX(Catalogos!$C$5:$C$49,MATCH(E55,L_METAS,0)),""))</f>
        <v/>
      </c>
      <c r="G55" s="13" t="str">
        <f>IF(E55="","",IFERROR(INDEX(Catalogos!$E$5:$E$49,MATCH(E55,L_METAS,0)),""))</f>
        <v/>
      </c>
      <c r="H55" s="26"/>
      <c r="I55" s="26"/>
      <c r="J55" s="26"/>
      <c r="K55" s="26"/>
      <c r="L55" s="26"/>
      <c r="M55" s="27"/>
      <c r="N55" s="26"/>
      <c r="O55" s="26"/>
      <c r="P55" s="26"/>
      <c r="Q55" s="26"/>
      <c r="R55" s="26"/>
      <c r="S55" s="26"/>
      <c r="T55" s="26"/>
      <c r="U55" s="26"/>
      <c r="V55" s="26"/>
      <c r="W55" s="28"/>
      <c r="X55" s="28"/>
      <c r="Y55" s="26"/>
      <c r="Z55" s="26"/>
      <c r="AA55" s="26"/>
      <c r="AB55" s="26"/>
      <c r="AC55" s="26"/>
      <c r="AD55" s="26"/>
      <c r="AE55" s="26"/>
      <c r="AF55" s="26"/>
      <c r="AG55" s="26"/>
      <c r="AH55" s="26"/>
      <c r="AI55" s="26"/>
      <c r="AJ55" s="15" t="str">
        <f>IF(COUNTA(B55,E55,H55,I55,J55,K55,L55,M55,N55,O55,P55,Q55,R55,S55,T55,U55,V55,W55,X55,Y55,Z55,AA55,AB55,AC55,AD55,AE55,AF55,AG55,AH55,AI55)=0,"",IF(OR(B55="",E55="",H55="",J55="",K55="",L55="",M55="",O55="",P55="",Q55="",R55="",S55="",T55="",U55="",W55="",X55="",Y55="",AB55="",AC55="",AE55="",AF55=""),"Incompleta: faltan campos obligatorios",IF(AND(LEFT(H55,6)="PROPIA",I55=""),"Falta el nombre de la acción propia del área",IF(AND(LEFT(H55,3)="A27",IFERROR(INDEX(Catalogos!$T$5:$T$207,MATCH(H55,Catalogos!$U$5:$U$207,0)),"x")&lt;&gt;LEFT(E55,7)),"La acción no corresponde a la meta seleccionada",IF(OR(NOT(ISNUMBER(M55)),M55&lt;10000000,M55&gt;99999999),"Código UNSPSC inválido: registre 8 dígitos",IF(MOD(M55,10000)=0,"UNSPSC a nivel de segmento o familia: use clase o producto",IF(IFERROR(MATCH(P55,L_MESES,0)&lt;MATCH(O55,L_MESES,0),TRUE()),"El mes de ofertas es anterior al de inicio del proceso",IF(OR(NOT(ISNUMBER(Q55)),Q55&lt;=0),"Duración inválida",IF(OR(NOT(ISNUMBER(W55)),NOT(ISNUMBER(X55))),"Valor inválido: registre solo números",IF(OR(W55&lt;=0,X55&lt;=0),"Valor inválido: debe ser mayor que cero",IF(X55&gt;W55,"El valor de la vigencia 2027 supera el valor total",IF(AND(X55&lt;W55,Y55="No"),"El valor total supera el de 2027: requiere vigencias futuras",IF(AND(Y55="Sí",OR(Z55="",Z55="No aplica")),"Indique el estado de la solicitud de vigencias futuras",IF(IF(AND(S55="Mínima cuantía",ISNUMBER(P_TOPE_MINIMA)),W55&gt;P_TOPE_MINIMA,FALSE()),"El valor supera el tope de mínima cuantía 2027",IF(IF(AND(S55="Selección abreviada de menor cuantía",ISNUMBER(P_TOPE_MENOR)),W55&gt;P_TOPE_MENOR,FALSE()),"El valor supera el tope de menor cuantía 2027",IF(OR(ISERROR(SEARCH("@itc.edu.co",AE55)),SUMPRODUCT(--ISNUMBER(SEARCH({"á","é","í","ó","ú","ñ"," "},AE55)))&gt;0),"El correo del responsable no es institucional válido",IF(AND(AF55="Sí",AG55=""),"Indique el N.° de registro 2026 que continúa","OK")))))))))))))))))</f>
        <v/>
      </c>
      <c r="AK55" s="15" t="str">
        <f>IF(AJ55="OK",COUNTIF($AJ$7:AJ55,"OK"),"")</f>
        <v/>
      </c>
    </row>
    <row r="56" spans="1:37" x14ac:dyDescent="0.3">
      <c r="A56" s="13" t="str">
        <f t="shared" si="0"/>
        <v>PN27-050</v>
      </c>
      <c r="B56" s="26"/>
      <c r="C56" s="13" t="str">
        <f>IF(B56="","",IFERROR(INDEX(Catalogos!$R$5:$R$51,MATCH(B56,L_AREAS,0)),""))</f>
        <v/>
      </c>
      <c r="D56" s="13" t="str">
        <f>IF(B56="","",IFERROR(INDEX(Catalogos!$O$5:$O$51,MATCH(B56,L_AREAS,0)),""))</f>
        <v/>
      </c>
      <c r="E56" s="26"/>
      <c r="F56" s="13" t="str">
        <f>IF(E56="","",IFERROR(INDEX(Catalogos!$C$5:$C$49,MATCH(E56,L_METAS,0)),""))</f>
        <v/>
      </c>
      <c r="G56" s="13" t="str">
        <f>IF(E56="","",IFERROR(INDEX(Catalogos!$E$5:$E$49,MATCH(E56,L_METAS,0)),""))</f>
        <v/>
      </c>
      <c r="H56" s="26"/>
      <c r="I56" s="26"/>
      <c r="J56" s="26"/>
      <c r="K56" s="26"/>
      <c r="L56" s="26"/>
      <c r="M56" s="27"/>
      <c r="N56" s="26"/>
      <c r="O56" s="26"/>
      <c r="P56" s="26"/>
      <c r="Q56" s="26"/>
      <c r="R56" s="26"/>
      <c r="S56" s="26"/>
      <c r="T56" s="26"/>
      <c r="U56" s="26"/>
      <c r="V56" s="26"/>
      <c r="W56" s="28"/>
      <c r="X56" s="28"/>
      <c r="Y56" s="26"/>
      <c r="Z56" s="26"/>
      <c r="AA56" s="26"/>
      <c r="AB56" s="26"/>
      <c r="AC56" s="26"/>
      <c r="AD56" s="26"/>
      <c r="AE56" s="26"/>
      <c r="AF56" s="26"/>
      <c r="AG56" s="26"/>
      <c r="AH56" s="26"/>
      <c r="AI56" s="26"/>
      <c r="AJ56" s="15" t="str">
        <f>IF(COUNTA(B56,E56,H56,I56,J56,K56,L56,M56,N56,O56,P56,Q56,R56,S56,T56,U56,V56,W56,X56,Y56,Z56,AA56,AB56,AC56,AD56,AE56,AF56,AG56,AH56,AI56)=0,"",IF(OR(B56="",E56="",H56="",J56="",K56="",L56="",M56="",O56="",P56="",Q56="",R56="",S56="",T56="",U56="",W56="",X56="",Y56="",AB56="",AC56="",AE56="",AF56=""),"Incompleta: faltan campos obligatorios",IF(AND(LEFT(H56,6)="PROPIA",I56=""),"Falta el nombre de la acción propia del área",IF(AND(LEFT(H56,3)="A27",IFERROR(INDEX(Catalogos!$T$5:$T$207,MATCH(H56,Catalogos!$U$5:$U$207,0)),"x")&lt;&gt;LEFT(E56,7)),"La acción no corresponde a la meta seleccionada",IF(OR(NOT(ISNUMBER(M56)),M56&lt;10000000,M56&gt;99999999),"Código UNSPSC inválido: registre 8 dígitos",IF(MOD(M56,10000)=0,"UNSPSC a nivel de segmento o familia: use clase o producto",IF(IFERROR(MATCH(P56,L_MESES,0)&lt;MATCH(O56,L_MESES,0),TRUE()),"El mes de ofertas es anterior al de inicio del proceso",IF(OR(NOT(ISNUMBER(Q56)),Q56&lt;=0),"Duración inválida",IF(OR(NOT(ISNUMBER(W56)),NOT(ISNUMBER(X56))),"Valor inválido: registre solo números",IF(OR(W56&lt;=0,X56&lt;=0),"Valor inválido: debe ser mayor que cero",IF(X56&gt;W56,"El valor de la vigencia 2027 supera el valor total",IF(AND(X56&lt;W56,Y56="No"),"El valor total supera el de 2027: requiere vigencias futuras",IF(AND(Y56="Sí",OR(Z56="",Z56="No aplica")),"Indique el estado de la solicitud de vigencias futuras",IF(IF(AND(S56="Mínima cuantía",ISNUMBER(P_TOPE_MINIMA)),W56&gt;P_TOPE_MINIMA,FALSE()),"El valor supera el tope de mínima cuantía 2027",IF(IF(AND(S56="Selección abreviada de menor cuantía",ISNUMBER(P_TOPE_MENOR)),W56&gt;P_TOPE_MENOR,FALSE()),"El valor supera el tope de menor cuantía 2027",IF(OR(ISERROR(SEARCH("@itc.edu.co",AE56)),SUMPRODUCT(--ISNUMBER(SEARCH({"á","é","í","ó","ú","ñ"," "},AE56)))&gt;0),"El correo del responsable no es institucional válido",IF(AND(AF56="Sí",AG56=""),"Indique el N.° de registro 2026 que continúa","OK")))))))))))))))))</f>
        <v/>
      </c>
      <c r="AK56" s="15" t="str">
        <f>IF(AJ56="OK",COUNTIF($AJ$7:AJ56,"OK"),"")</f>
        <v/>
      </c>
    </row>
    <row r="57" spans="1:37" x14ac:dyDescent="0.3">
      <c r="A57" s="13" t="str">
        <f t="shared" si="0"/>
        <v>PN27-051</v>
      </c>
      <c r="B57" s="26"/>
      <c r="C57" s="13" t="str">
        <f>IF(B57="","",IFERROR(INDEX(Catalogos!$R$5:$R$51,MATCH(B57,L_AREAS,0)),""))</f>
        <v/>
      </c>
      <c r="D57" s="13" t="str">
        <f>IF(B57="","",IFERROR(INDEX(Catalogos!$O$5:$O$51,MATCH(B57,L_AREAS,0)),""))</f>
        <v/>
      </c>
      <c r="E57" s="26"/>
      <c r="F57" s="13" t="str">
        <f>IF(E57="","",IFERROR(INDEX(Catalogos!$C$5:$C$49,MATCH(E57,L_METAS,0)),""))</f>
        <v/>
      </c>
      <c r="G57" s="13" t="str">
        <f>IF(E57="","",IFERROR(INDEX(Catalogos!$E$5:$E$49,MATCH(E57,L_METAS,0)),""))</f>
        <v/>
      </c>
      <c r="H57" s="26"/>
      <c r="I57" s="26"/>
      <c r="J57" s="26"/>
      <c r="K57" s="26"/>
      <c r="L57" s="26"/>
      <c r="M57" s="27"/>
      <c r="N57" s="26"/>
      <c r="O57" s="26"/>
      <c r="P57" s="26"/>
      <c r="Q57" s="26"/>
      <c r="R57" s="26"/>
      <c r="S57" s="26"/>
      <c r="T57" s="26"/>
      <c r="U57" s="26"/>
      <c r="V57" s="26"/>
      <c r="W57" s="28"/>
      <c r="X57" s="28"/>
      <c r="Y57" s="26"/>
      <c r="Z57" s="26"/>
      <c r="AA57" s="26"/>
      <c r="AB57" s="26"/>
      <c r="AC57" s="26"/>
      <c r="AD57" s="26"/>
      <c r="AE57" s="26"/>
      <c r="AF57" s="26"/>
      <c r="AG57" s="26"/>
      <c r="AH57" s="26"/>
      <c r="AI57" s="26"/>
      <c r="AJ57" s="15" t="str">
        <f>IF(COUNTA(B57,E57,H57,I57,J57,K57,L57,M57,N57,O57,P57,Q57,R57,S57,T57,U57,V57,W57,X57,Y57,Z57,AA57,AB57,AC57,AD57,AE57,AF57,AG57,AH57,AI57)=0,"",IF(OR(B57="",E57="",H57="",J57="",K57="",L57="",M57="",O57="",P57="",Q57="",R57="",S57="",T57="",U57="",W57="",X57="",Y57="",AB57="",AC57="",AE57="",AF57=""),"Incompleta: faltan campos obligatorios",IF(AND(LEFT(H57,6)="PROPIA",I57=""),"Falta el nombre de la acción propia del área",IF(AND(LEFT(H57,3)="A27",IFERROR(INDEX(Catalogos!$T$5:$T$207,MATCH(H57,Catalogos!$U$5:$U$207,0)),"x")&lt;&gt;LEFT(E57,7)),"La acción no corresponde a la meta seleccionada",IF(OR(NOT(ISNUMBER(M57)),M57&lt;10000000,M57&gt;99999999),"Código UNSPSC inválido: registre 8 dígitos",IF(MOD(M57,10000)=0,"UNSPSC a nivel de segmento o familia: use clase o producto",IF(IFERROR(MATCH(P57,L_MESES,0)&lt;MATCH(O57,L_MESES,0),TRUE()),"El mes de ofertas es anterior al de inicio del proceso",IF(OR(NOT(ISNUMBER(Q57)),Q57&lt;=0),"Duración inválida",IF(OR(NOT(ISNUMBER(W57)),NOT(ISNUMBER(X57))),"Valor inválido: registre solo números",IF(OR(W57&lt;=0,X57&lt;=0),"Valor inválido: debe ser mayor que cero",IF(X57&gt;W57,"El valor de la vigencia 2027 supera el valor total",IF(AND(X57&lt;W57,Y57="No"),"El valor total supera el de 2027: requiere vigencias futuras",IF(AND(Y57="Sí",OR(Z57="",Z57="No aplica")),"Indique el estado de la solicitud de vigencias futuras",IF(IF(AND(S57="Mínima cuantía",ISNUMBER(P_TOPE_MINIMA)),W57&gt;P_TOPE_MINIMA,FALSE()),"El valor supera el tope de mínima cuantía 2027",IF(IF(AND(S57="Selección abreviada de menor cuantía",ISNUMBER(P_TOPE_MENOR)),W57&gt;P_TOPE_MENOR,FALSE()),"El valor supera el tope de menor cuantía 2027",IF(OR(ISERROR(SEARCH("@itc.edu.co",AE57)),SUMPRODUCT(--ISNUMBER(SEARCH({"á","é","í","ó","ú","ñ"," "},AE57)))&gt;0),"El correo del responsable no es institucional válido",IF(AND(AF57="Sí",AG57=""),"Indique el N.° de registro 2026 que continúa","OK")))))))))))))))))</f>
        <v/>
      </c>
      <c r="AK57" s="15" t="str">
        <f>IF(AJ57="OK",COUNTIF($AJ$7:AJ57,"OK"),"")</f>
        <v/>
      </c>
    </row>
    <row r="58" spans="1:37" x14ac:dyDescent="0.3">
      <c r="A58" s="13" t="str">
        <f t="shared" si="0"/>
        <v>PN27-052</v>
      </c>
      <c r="B58" s="26"/>
      <c r="C58" s="13" t="str">
        <f>IF(B58="","",IFERROR(INDEX(Catalogos!$R$5:$R$51,MATCH(B58,L_AREAS,0)),""))</f>
        <v/>
      </c>
      <c r="D58" s="13" t="str">
        <f>IF(B58="","",IFERROR(INDEX(Catalogos!$O$5:$O$51,MATCH(B58,L_AREAS,0)),""))</f>
        <v/>
      </c>
      <c r="E58" s="26"/>
      <c r="F58" s="13" t="str">
        <f>IF(E58="","",IFERROR(INDEX(Catalogos!$C$5:$C$49,MATCH(E58,L_METAS,0)),""))</f>
        <v/>
      </c>
      <c r="G58" s="13" t="str">
        <f>IF(E58="","",IFERROR(INDEX(Catalogos!$E$5:$E$49,MATCH(E58,L_METAS,0)),""))</f>
        <v/>
      </c>
      <c r="H58" s="26"/>
      <c r="I58" s="26"/>
      <c r="J58" s="26"/>
      <c r="K58" s="26"/>
      <c r="L58" s="26"/>
      <c r="M58" s="27"/>
      <c r="N58" s="26"/>
      <c r="O58" s="26"/>
      <c r="P58" s="26"/>
      <c r="Q58" s="26"/>
      <c r="R58" s="26"/>
      <c r="S58" s="26"/>
      <c r="T58" s="26"/>
      <c r="U58" s="26"/>
      <c r="V58" s="26"/>
      <c r="W58" s="28"/>
      <c r="X58" s="28"/>
      <c r="Y58" s="26"/>
      <c r="Z58" s="26"/>
      <c r="AA58" s="26"/>
      <c r="AB58" s="26"/>
      <c r="AC58" s="26"/>
      <c r="AD58" s="26"/>
      <c r="AE58" s="26"/>
      <c r="AF58" s="26"/>
      <c r="AG58" s="26"/>
      <c r="AH58" s="26"/>
      <c r="AI58" s="26"/>
      <c r="AJ58" s="15" t="str">
        <f>IF(COUNTA(B58,E58,H58,I58,J58,K58,L58,M58,N58,O58,P58,Q58,R58,S58,T58,U58,V58,W58,X58,Y58,Z58,AA58,AB58,AC58,AD58,AE58,AF58,AG58,AH58,AI58)=0,"",IF(OR(B58="",E58="",H58="",J58="",K58="",L58="",M58="",O58="",P58="",Q58="",R58="",S58="",T58="",U58="",W58="",X58="",Y58="",AB58="",AC58="",AE58="",AF58=""),"Incompleta: faltan campos obligatorios",IF(AND(LEFT(H58,6)="PROPIA",I58=""),"Falta el nombre de la acción propia del área",IF(AND(LEFT(H58,3)="A27",IFERROR(INDEX(Catalogos!$T$5:$T$207,MATCH(H58,Catalogos!$U$5:$U$207,0)),"x")&lt;&gt;LEFT(E58,7)),"La acción no corresponde a la meta seleccionada",IF(OR(NOT(ISNUMBER(M58)),M58&lt;10000000,M58&gt;99999999),"Código UNSPSC inválido: registre 8 dígitos",IF(MOD(M58,10000)=0,"UNSPSC a nivel de segmento o familia: use clase o producto",IF(IFERROR(MATCH(P58,L_MESES,0)&lt;MATCH(O58,L_MESES,0),TRUE()),"El mes de ofertas es anterior al de inicio del proceso",IF(OR(NOT(ISNUMBER(Q58)),Q58&lt;=0),"Duración inválida",IF(OR(NOT(ISNUMBER(W58)),NOT(ISNUMBER(X58))),"Valor inválido: registre solo números",IF(OR(W58&lt;=0,X58&lt;=0),"Valor inválido: debe ser mayor que cero",IF(X58&gt;W58,"El valor de la vigencia 2027 supera el valor total",IF(AND(X58&lt;W58,Y58="No"),"El valor total supera el de 2027: requiere vigencias futuras",IF(AND(Y58="Sí",OR(Z58="",Z58="No aplica")),"Indique el estado de la solicitud de vigencias futuras",IF(IF(AND(S58="Mínima cuantía",ISNUMBER(P_TOPE_MINIMA)),W58&gt;P_TOPE_MINIMA,FALSE()),"El valor supera el tope de mínima cuantía 2027",IF(IF(AND(S58="Selección abreviada de menor cuantía",ISNUMBER(P_TOPE_MENOR)),W58&gt;P_TOPE_MENOR,FALSE()),"El valor supera el tope de menor cuantía 2027",IF(OR(ISERROR(SEARCH("@itc.edu.co",AE58)),SUMPRODUCT(--ISNUMBER(SEARCH({"á","é","í","ó","ú","ñ"," "},AE58)))&gt;0),"El correo del responsable no es institucional válido",IF(AND(AF58="Sí",AG58=""),"Indique el N.° de registro 2026 que continúa","OK")))))))))))))))))</f>
        <v/>
      </c>
      <c r="AK58" s="15" t="str">
        <f>IF(AJ58="OK",COUNTIF($AJ$7:AJ58,"OK"),"")</f>
        <v/>
      </c>
    </row>
    <row r="59" spans="1:37" x14ac:dyDescent="0.3">
      <c r="A59" s="13" t="str">
        <f t="shared" si="0"/>
        <v>PN27-053</v>
      </c>
      <c r="B59" s="26"/>
      <c r="C59" s="13" t="str">
        <f>IF(B59="","",IFERROR(INDEX(Catalogos!$R$5:$R$51,MATCH(B59,L_AREAS,0)),""))</f>
        <v/>
      </c>
      <c r="D59" s="13" t="str">
        <f>IF(B59="","",IFERROR(INDEX(Catalogos!$O$5:$O$51,MATCH(B59,L_AREAS,0)),""))</f>
        <v/>
      </c>
      <c r="E59" s="26"/>
      <c r="F59" s="13" t="str">
        <f>IF(E59="","",IFERROR(INDEX(Catalogos!$C$5:$C$49,MATCH(E59,L_METAS,0)),""))</f>
        <v/>
      </c>
      <c r="G59" s="13" t="str">
        <f>IF(E59="","",IFERROR(INDEX(Catalogos!$E$5:$E$49,MATCH(E59,L_METAS,0)),""))</f>
        <v/>
      </c>
      <c r="H59" s="26"/>
      <c r="I59" s="26"/>
      <c r="J59" s="26"/>
      <c r="K59" s="26"/>
      <c r="L59" s="26"/>
      <c r="M59" s="27"/>
      <c r="N59" s="26"/>
      <c r="O59" s="26"/>
      <c r="P59" s="26"/>
      <c r="Q59" s="26"/>
      <c r="R59" s="26"/>
      <c r="S59" s="26"/>
      <c r="T59" s="26"/>
      <c r="U59" s="26"/>
      <c r="V59" s="26"/>
      <c r="W59" s="28"/>
      <c r="X59" s="28"/>
      <c r="Y59" s="26"/>
      <c r="Z59" s="26"/>
      <c r="AA59" s="26"/>
      <c r="AB59" s="26"/>
      <c r="AC59" s="26"/>
      <c r="AD59" s="26"/>
      <c r="AE59" s="26"/>
      <c r="AF59" s="26"/>
      <c r="AG59" s="26"/>
      <c r="AH59" s="26"/>
      <c r="AI59" s="26"/>
      <c r="AJ59" s="15" t="str">
        <f>IF(COUNTA(B59,E59,H59,I59,J59,K59,L59,M59,N59,O59,P59,Q59,R59,S59,T59,U59,V59,W59,X59,Y59,Z59,AA59,AB59,AC59,AD59,AE59,AF59,AG59,AH59,AI59)=0,"",IF(OR(B59="",E59="",H59="",J59="",K59="",L59="",M59="",O59="",P59="",Q59="",R59="",S59="",T59="",U59="",W59="",X59="",Y59="",AB59="",AC59="",AE59="",AF59=""),"Incompleta: faltan campos obligatorios",IF(AND(LEFT(H59,6)="PROPIA",I59=""),"Falta el nombre de la acción propia del área",IF(AND(LEFT(H59,3)="A27",IFERROR(INDEX(Catalogos!$T$5:$T$207,MATCH(H59,Catalogos!$U$5:$U$207,0)),"x")&lt;&gt;LEFT(E59,7)),"La acción no corresponde a la meta seleccionada",IF(OR(NOT(ISNUMBER(M59)),M59&lt;10000000,M59&gt;99999999),"Código UNSPSC inválido: registre 8 dígitos",IF(MOD(M59,10000)=0,"UNSPSC a nivel de segmento o familia: use clase o producto",IF(IFERROR(MATCH(P59,L_MESES,0)&lt;MATCH(O59,L_MESES,0),TRUE()),"El mes de ofertas es anterior al de inicio del proceso",IF(OR(NOT(ISNUMBER(Q59)),Q59&lt;=0),"Duración inválida",IF(OR(NOT(ISNUMBER(W59)),NOT(ISNUMBER(X59))),"Valor inválido: registre solo números",IF(OR(W59&lt;=0,X59&lt;=0),"Valor inválido: debe ser mayor que cero",IF(X59&gt;W59,"El valor de la vigencia 2027 supera el valor total",IF(AND(X59&lt;W59,Y59="No"),"El valor total supera el de 2027: requiere vigencias futuras",IF(AND(Y59="Sí",OR(Z59="",Z59="No aplica")),"Indique el estado de la solicitud de vigencias futuras",IF(IF(AND(S59="Mínima cuantía",ISNUMBER(P_TOPE_MINIMA)),W59&gt;P_TOPE_MINIMA,FALSE()),"El valor supera el tope de mínima cuantía 2027",IF(IF(AND(S59="Selección abreviada de menor cuantía",ISNUMBER(P_TOPE_MENOR)),W59&gt;P_TOPE_MENOR,FALSE()),"El valor supera el tope de menor cuantía 2027",IF(OR(ISERROR(SEARCH("@itc.edu.co",AE59)),SUMPRODUCT(--ISNUMBER(SEARCH({"á","é","í","ó","ú","ñ"," "},AE59)))&gt;0),"El correo del responsable no es institucional válido",IF(AND(AF59="Sí",AG59=""),"Indique el N.° de registro 2026 que continúa","OK")))))))))))))))))</f>
        <v/>
      </c>
      <c r="AK59" s="15" t="str">
        <f>IF(AJ59="OK",COUNTIF($AJ$7:AJ59,"OK"),"")</f>
        <v/>
      </c>
    </row>
    <row r="60" spans="1:37" x14ac:dyDescent="0.3">
      <c r="A60" s="13" t="str">
        <f t="shared" si="0"/>
        <v>PN27-054</v>
      </c>
      <c r="B60" s="26"/>
      <c r="C60" s="13" t="str">
        <f>IF(B60="","",IFERROR(INDEX(Catalogos!$R$5:$R$51,MATCH(B60,L_AREAS,0)),""))</f>
        <v/>
      </c>
      <c r="D60" s="13" t="str">
        <f>IF(B60="","",IFERROR(INDEX(Catalogos!$O$5:$O$51,MATCH(B60,L_AREAS,0)),""))</f>
        <v/>
      </c>
      <c r="E60" s="26"/>
      <c r="F60" s="13" t="str">
        <f>IF(E60="","",IFERROR(INDEX(Catalogos!$C$5:$C$49,MATCH(E60,L_METAS,0)),""))</f>
        <v/>
      </c>
      <c r="G60" s="13" t="str">
        <f>IF(E60="","",IFERROR(INDEX(Catalogos!$E$5:$E$49,MATCH(E60,L_METAS,0)),""))</f>
        <v/>
      </c>
      <c r="H60" s="26"/>
      <c r="I60" s="26"/>
      <c r="J60" s="26"/>
      <c r="K60" s="26"/>
      <c r="L60" s="26"/>
      <c r="M60" s="27"/>
      <c r="N60" s="26"/>
      <c r="O60" s="26"/>
      <c r="P60" s="26"/>
      <c r="Q60" s="26"/>
      <c r="R60" s="26"/>
      <c r="S60" s="26"/>
      <c r="T60" s="26"/>
      <c r="U60" s="26"/>
      <c r="V60" s="26"/>
      <c r="W60" s="28"/>
      <c r="X60" s="28"/>
      <c r="Y60" s="26"/>
      <c r="Z60" s="26"/>
      <c r="AA60" s="26"/>
      <c r="AB60" s="26"/>
      <c r="AC60" s="26"/>
      <c r="AD60" s="26"/>
      <c r="AE60" s="26"/>
      <c r="AF60" s="26"/>
      <c r="AG60" s="26"/>
      <c r="AH60" s="26"/>
      <c r="AI60" s="26"/>
      <c r="AJ60" s="15" t="str">
        <f>IF(COUNTA(B60,E60,H60,I60,J60,K60,L60,M60,N60,O60,P60,Q60,R60,S60,T60,U60,V60,W60,X60,Y60,Z60,AA60,AB60,AC60,AD60,AE60,AF60,AG60,AH60,AI60)=0,"",IF(OR(B60="",E60="",H60="",J60="",K60="",L60="",M60="",O60="",P60="",Q60="",R60="",S60="",T60="",U60="",W60="",X60="",Y60="",AB60="",AC60="",AE60="",AF60=""),"Incompleta: faltan campos obligatorios",IF(AND(LEFT(H60,6)="PROPIA",I60=""),"Falta el nombre de la acción propia del área",IF(AND(LEFT(H60,3)="A27",IFERROR(INDEX(Catalogos!$T$5:$T$207,MATCH(H60,Catalogos!$U$5:$U$207,0)),"x")&lt;&gt;LEFT(E60,7)),"La acción no corresponde a la meta seleccionada",IF(OR(NOT(ISNUMBER(M60)),M60&lt;10000000,M60&gt;99999999),"Código UNSPSC inválido: registre 8 dígitos",IF(MOD(M60,10000)=0,"UNSPSC a nivel de segmento o familia: use clase o producto",IF(IFERROR(MATCH(P60,L_MESES,0)&lt;MATCH(O60,L_MESES,0),TRUE()),"El mes de ofertas es anterior al de inicio del proceso",IF(OR(NOT(ISNUMBER(Q60)),Q60&lt;=0),"Duración inválida",IF(OR(NOT(ISNUMBER(W60)),NOT(ISNUMBER(X60))),"Valor inválido: registre solo números",IF(OR(W60&lt;=0,X60&lt;=0),"Valor inválido: debe ser mayor que cero",IF(X60&gt;W60,"El valor de la vigencia 2027 supera el valor total",IF(AND(X60&lt;W60,Y60="No"),"El valor total supera el de 2027: requiere vigencias futuras",IF(AND(Y60="Sí",OR(Z60="",Z60="No aplica")),"Indique el estado de la solicitud de vigencias futuras",IF(IF(AND(S60="Mínima cuantía",ISNUMBER(P_TOPE_MINIMA)),W60&gt;P_TOPE_MINIMA,FALSE()),"El valor supera el tope de mínima cuantía 2027",IF(IF(AND(S60="Selección abreviada de menor cuantía",ISNUMBER(P_TOPE_MENOR)),W60&gt;P_TOPE_MENOR,FALSE()),"El valor supera el tope de menor cuantía 2027",IF(OR(ISERROR(SEARCH("@itc.edu.co",AE60)),SUMPRODUCT(--ISNUMBER(SEARCH({"á","é","í","ó","ú","ñ"," "},AE60)))&gt;0),"El correo del responsable no es institucional válido",IF(AND(AF60="Sí",AG60=""),"Indique el N.° de registro 2026 que continúa","OK")))))))))))))))))</f>
        <v/>
      </c>
      <c r="AK60" s="15" t="str">
        <f>IF(AJ60="OK",COUNTIF($AJ$7:AJ60,"OK"),"")</f>
        <v/>
      </c>
    </row>
    <row r="61" spans="1:37" x14ac:dyDescent="0.3">
      <c r="A61" s="13" t="str">
        <f t="shared" si="0"/>
        <v>PN27-055</v>
      </c>
      <c r="B61" s="26"/>
      <c r="C61" s="13" t="str">
        <f>IF(B61="","",IFERROR(INDEX(Catalogos!$R$5:$R$51,MATCH(B61,L_AREAS,0)),""))</f>
        <v/>
      </c>
      <c r="D61" s="13" t="str">
        <f>IF(B61="","",IFERROR(INDEX(Catalogos!$O$5:$O$51,MATCH(B61,L_AREAS,0)),""))</f>
        <v/>
      </c>
      <c r="E61" s="26"/>
      <c r="F61" s="13" t="str">
        <f>IF(E61="","",IFERROR(INDEX(Catalogos!$C$5:$C$49,MATCH(E61,L_METAS,0)),""))</f>
        <v/>
      </c>
      <c r="G61" s="13" t="str">
        <f>IF(E61="","",IFERROR(INDEX(Catalogos!$E$5:$E$49,MATCH(E61,L_METAS,0)),""))</f>
        <v/>
      </c>
      <c r="H61" s="26"/>
      <c r="I61" s="26"/>
      <c r="J61" s="26"/>
      <c r="K61" s="26"/>
      <c r="L61" s="26"/>
      <c r="M61" s="27"/>
      <c r="N61" s="26"/>
      <c r="O61" s="26"/>
      <c r="P61" s="26"/>
      <c r="Q61" s="26"/>
      <c r="R61" s="26"/>
      <c r="S61" s="26"/>
      <c r="T61" s="26"/>
      <c r="U61" s="26"/>
      <c r="V61" s="26"/>
      <c r="W61" s="28"/>
      <c r="X61" s="28"/>
      <c r="Y61" s="26"/>
      <c r="Z61" s="26"/>
      <c r="AA61" s="26"/>
      <c r="AB61" s="26"/>
      <c r="AC61" s="26"/>
      <c r="AD61" s="26"/>
      <c r="AE61" s="26"/>
      <c r="AF61" s="26"/>
      <c r="AG61" s="26"/>
      <c r="AH61" s="26"/>
      <c r="AI61" s="26"/>
      <c r="AJ61" s="15" t="str">
        <f>IF(COUNTA(B61,E61,H61,I61,J61,K61,L61,M61,N61,O61,P61,Q61,R61,S61,T61,U61,V61,W61,X61,Y61,Z61,AA61,AB61,AC61,AD61,AE61,AF61,AG61,AH61,AI61)=0,"",IF(OR(B61="",E61="",H61="",J61="",K61="",L61="",M61="",O61="",P61="",Q61="",R61="",S61="",T61="",U61="",W61="",X61="",Y61="",AB61="",AC61="",AE61="",AF61=""),"Incompleta: faltan campos obligatorios",IF(AND(LEFT(H61,6)="PROPIA",I61=""),"Falta el nombre de la acción propia del área",IF(AND(LEFT(H61,3)="A27",IFERROR(INDEX(Catalogos!$T$5:$T$207,MATCH(H61,Catalogos!$U$5:$U$207,0)),"x")&lt;&gt;LEFT(E61,7)),"La acción no corresponde a la meta seleccionada",IF(OR(NOT(ISNUMBER(M61)),M61&lt;10000000,M61&gt;99999999),"Código UNSPSC inválido: registre 8 dígitos",IF(MOD(M61,10000)=0,"UNSPSC a nivel de segmento o familia: use clase o producto",IF(IFERROR(MATCH(P61,L_MESES,0)&lt;MATCH(O61,L_MESES,0),TRUE()),"El mes de ofertas es anterior al de inicio del proceso",IF(OR(NOT(ISNUMBER(Q61)),Q61&lt;=0),"Duración inválida",IF(OR(NOT(ISNUMBER(W61)),NOT(ISNUMBER(X61))),"Valor inválido: registre solo números",IF(OR(W61&lt;=0,X61&lt;=0),"Valor inválido: debe ser mayor que cero",IF(X61&gt;W61,"El valor de la vigencia 2027 supera el valor total",IF(AND(X61&lt;W61,Y61="No"),"El valor total supera el de 2027: requiere vigencias futuras",IF(AND(Y61="Sí",OR(Z61="",Z61="No aplica")),"Indique el estado de la solicitud de vigencias futuras",IF(IF(AND(S61="Mínima cuantía",ISNUMBER(P_TOPE_MINIMA)),W61&gt;P_TOPE_MINIMA,FALSE()),"El valor supera el tope de mínima cuantía 2027",IF(IF(AND(S61="Selección abreviada de menor cuantía",ISNUMBER(P_TOPE_MENOR)),W61&gt;P_TOPE_MENOR,FALSE()),"El valor supera el tope de menor cuantía 2027",IF(OR(ISERROR(SEARCH("@itc.edu.co",AE61)),SUMPRODUCT(--ISNUMBER(SEARCH({"á","é","í","ó","ú","ñ"," "},AE61)))&gt;0),"El correo del responsable no es institucional válido",IF(AND(AF61="Sí",AG61=""),"Indique el N.° de registro 2026 que continúa","OK")))))))))))))))))</f>
        <v/>
      </c>
      <c r="AK61" s="15" t="str">
        <f>IF(AJ61="OK",COUNTIF($AJ$7:AJ61,"OK"),"")</f>
        <v/>
      </c>
    </row>
    <row r="62" spans="1:37" x14ac:dyDescent="0.3">
      <c r="A62" s="13" t="str">
        <f t="shared" si="0"/>
        <v>PN27-056</v>
      </c>
      <c r="B62" s="26"/>
      <c r="C62" s="13" t="str">
        <f>IF(B62="","",IFERROR(INDEX(Catalogos!$R$5:$R$51,MATCH(B62,L_AREAS,0)),""))</f>
        <v/>
      </c>
      <c r="D62" s="13" t="str">
        <f>IF(B62="","",IFERROR(INDEX(Catalogos!$O$5:$O$51,MATCH(B62,L_AREAS,0)),""))</f>
        <v/>
      </c>
      <c r="E62" s="26"/>
      <c r="F62" s="13" t="str">
        <f>IF(E62="","",IFERROR(INDEX(Catalogos!$C$5:$C$49,MATCH(E62,L_METAS,0)),""))</f>
        <v/>
      </c>
      <c r="G62" s="13" t="str">
        <f>IF(E62="","",IFERROR(INDEX(Catalogos!$E$5:$E$49,MATCH(E62,L_METAS,0)),""))</f>
        <v/>
      </c>
      <c r="H62" s="26"/>
      <c r="I62" s="26"/>
      <c r="J62" s="26"/>
      <c r="K62" s="26"/>
      <c r="L62" s="26"/>
      <c r="M62" s="27"/>
      <c r="N62" s="26"/>
      <c r="O62" s="26"/>
      <c r="P62" s="26"/>
      <c r="Q62" s="26"/>
      <c r="R62" s="26"/>
      <c r="S62" s="26"/>
      <c r="T62" s="26"/>
      <c r="U62" s="26"/>
      <c r="V62" s="26"/>
      <c r="W62" s="28"/>
      <c r="X62" s="28"/>
      <c r="Y62" s="26"/>
      <c r="Z62" s="26"/>
      <c r="AA62" s="26"/>
      <c r="AB62" s="26"/>
      <c r="AC62" s="26"/>
      <c r="AD62" s="26"/>
      <c r="AE62" s="26"/>
      <c r="AF62" s="26"/>
      <c r="AG62" s="26"/>
      <c r="AH62" s="26"/>
      <c r="AI62" s="26"/>
      <c r="AJ62" s="15" t="str">
        <f>IF(COUNTA(B62,E62,H62,I62,J62,K62,L62,M62,N62,O62,P62,Q62,R62,S62,T62,U62,V62,W62,X62,Y62,Z62,AA62,AB62,AC62,AD62,AE62,AF62,AG62,AH62,AI62)=0,"",IF(OR(B62="",E62="",H62="",J62="",K62="",L62="",M62="",O62="",P62="",Q62="",R62="",S62="",T62="",U62="",W62="",X62="",Y62="",AB62="",AC62="",AE62="",AF62=""),"Incompleta: faltan campos obligatorios",IF(AND(LEFT(H62,6)="PROPIA",I62=""),"Falta el nombre de la acción propia del área",IF(AND(LEFT(H62,3)="A27",IFERROR(INDEX(Catalogos!$T$5:$T$207,MATCH(H62,Catalogos!$U$5:$U$207,0)),"x")&lt;&gt;LEFT(E62,7)),"La acción no corresponde a la meta seleccionada",IF(OR(NOT(ISNUMBER(M62)),M62&lt;10000000,M62&gt;99999999),"Código UNSPSC inválido: registre 8 dígitos",IF(MOD(M62,10000)=0,"UNSPSC a nivel de segmento o familia: use clase o producto",IF(IFERROR(MATCH(P62,L_MESES,0)&lt;MATCH(O62,L_MESES,0),TRUE()),"El mes de ofertas es anterior al de inicio del proceso",IF(OR(NOT(ISNUMBER(Q62)),Q62&lt;=0),"Duración inválida",IF(OR(NOT(ISNUMBER(W62)),NOT(ISNUMBER(X62))),"Valor inválido: registre solo números",IF(OR(W62&lt;=0,X62&lt;=0),"Valor inválido: debe ser mayor que cero",IF(X62&gt;W62,"El valor de la vigencia 2027 supera el valor total",IF(AND(X62&lt;W62,Y62="No"),"El valor total supera el de 2027: requiere vigencias futuras",IF(AND(Y62="Sí",OR(Z62="",Z62="No aplica")),"Indique el estado de la solicitud de vigencias futuras",IF(IF(AND(S62="Mínima cuantía",ISNUMBER(P_TOPE_MINIMA)),W62&gt;P_TOPE_MINIMA,FALSE()),"El valor supera el tope de mínima cuantía 2027",IF(IF(AND(S62="Selección abreviada de menor cuantía",ISNUMBER(P_TOPE_MENOR)),W62&gt;P_TOPE_MENOR,FALSE()),"El valor supera el tope de menor cuantía 2027",IF(OR(ISERROR(SEARCH("@itc.edu.co",AE62)),SUMPRODUCT(--ISNUMBER(SEARCH({"á","é","í","ó","ú","ñ"," "},AE62)))&gt;0),"El correo del responsable no es institucional válido",IF(AND(AF62="Sí",AG62=""),"Indique el N.° de registro 2026 que continúa","OK")))))))))))))))))</f>
        <v/>
      </c>
      <c r="AK62" s="15" t="str">
        <f>IF(AJ62="OK",COUNTIF($AJ$7:AJ62,"OK"),"")</f>
        <v/>
      </c>
    </row>
    <row r="63" spans="1:37" x14ac:dyDescent="0.3">
      <c r="A63" s="13" t="str">
        <f t="shared" si="0"/>
        <v>PN27-057</v>
      </c>
      <c r="B63" s="26"/>
      <c r="C63" s="13" t="str">
        <f>IF(B63="","",IFERROR(INDEX(Catalogos!$R$5:$R$51,MATCH(B63,L_AREAS,0)),""))</f>
        <v/>
      </c>
      <c r="D63" s="13" t="str">
        <f>IF(B63="","",IFERROR(INDEX(Catalogos!$O$5:$O$51,MATCH(B63,L_AREAS,0)),""))</f>
        <v/>
      </c>
      <c r="E63" s="26"/>
      <c r="F63" s="13" t="str">
        <f>IF(E63="","",IFERROR(INDEX(Catalogos!$C$5:$C$49,MATCH(E63,L_METAS,0)),""))</f>
        <v/>
      </c>
      <c r="G63" s="13" t="str">
        <f>IF(E63="","",IFERROR(INDEX(Catalogos!$E$5:$E$49,MATCH(E63,L_METAS,0)),""))</f>
        <v/>
      </c>
      <c r="H63" s="26"/>
      <c r="I63" s="26"/>
      <c r="J63" s="26"/>
      <c r="K63" s="26"/>
      <c r="L63" s="26"/>
      <c r="M63" s="27"/>
      <c r="N63" s="26"/>
      <c r="O63" s="26"/>
      <c r="P63" s="26"/>
      <c r="Q63" s="26"/>
      <c r="R63" s="26"/>
      <c r="S63" s="26"/>
      <c r="T63" s="26"/>
      <c r="U63" s="26"/>
      <c r="V63" s="26"/>
      <c r="W63" s="28"/>
      <c r="X63" s="28"/>
      <c r="Y63" s="26"/>
      <c r="Z63" s="26"/>
      <c r="AA63" s="26"/>
      <c r="AB63" s="26"/>
      <c r="AC63" s="26"/>
      <c r="AD63" s="26"/>
      <c r="AE63" s="26"/>
      <c r="AF63" s="26"/>
      <c r="AG63" s="26"/>
      <c r="AH63" s="26"/>
      <c r="AI63" s="26"/>
      <c r="AJ63" s="15" t="str">
        <f>IF(COUNTA(B63,E63,H63,I63,J63,K63,L63,M63,N63,O63,P63,Q63,R63,S63,T63,U63,V63,W63,X63,Y63,Z63,AA63,AB63,AC63,AD63,AE63,AF63,AG63,AH63,AI63)=0,"",IF(OR(B63="",E63="",H63="",J63="",K63="",L63="",M63="",O63="",P63="",Q63="",R63="",S63="",T63="",U63="",W63="",X63="",Y63="",AB63="",AC63="",AE63="",AF63=""),"Incompleta: faltan campos obligatorios",IF(AND(LEFT(H63,6)="PROPIA",I63=""),"Falta el nombre de la acción propia del área",IF(AND(LEFT(H63,3)="A27",IFERROR(INDEX(Catalogos!$T$5:$T$207,MATCH(H63,Catalogos!$U$5:$U$207,0)),"x")&lt;&gt;LEFT(E63,7)),"La acción no corresponde a la meta seleccionada",IF(OR(NOT(ISNUMBER(M63)),M63&lt;10000000,M63&gt;99999999),"Código UNSPSC inválido: registre 8 dígitos",IF(MOD(M63,10000)=0,"UNSPSC a nivel de segmento o familia: use clase o producto",IF(IFERROR(MATCH(P63,L_MESES,0)&lt;MATCH(O63,L_MESES,0),TRUE()),"El mes de ofertas es anterior al de inicio del proceso",IF(OR(NOT(ISNUMBER(Q63)),Q63&lt;=0),"Duración inválida",IF(OR(NOT(ISNUMBER(W63)),NOT(ISNUMBER(X63))),"Valor inválido: registre solo números",IF(OR(W63&lt;=0,X63&lt;=0),"Valor inválido: debe ser mayor que cero",IF(X63&gt;W63,"El valor de la vigencia 2027 supera el valor total",IF(AND(X63&lt;W63,Y63="No"),"El valor total supera el de 2027: requiere vigencias futuras",IF(AND(Y63="Sí",OR(Z63="",Z63="No aplica")),"Indique el estado de la solicitud de vigencias futuras",IF(IF(AND(S63="Mínima cuantía",ISNUMBER(P_TOPE_MINIMA)),W63&gt;P_TOPE_MINIMA,FALSE()),"El valor supera el tope de mínima cuantía 2027",IF(IF(AND(S63="Selección abreviada de menor cuantía",ISNUMBER(P_TOPE_MENOR)),W63&gt;P_TOPE_MENOR,FALSE()),"El valor supera el tope de menor cuantía 2027",IF(OR(ISERROR(SEARCH("@itc.edu.co",AE63)),SUMPRODUCT(--ISNUMBER(SEARCH({"á","é","í","ó","ú","ñ"," "},AE63)))&gt;0),"El correo del responsable no es institucional válido",IF(AND(AF63="Sí",AG63=""),"Indique el N.° de registro 2026 que continúa","OK")))))))))))))))))</f>
        <v/>
      </c>
      <c r="AK63" s="15" t="str">
        <f>IF(AJ63="OK",COUNTIF($AJ$7:AJ63,"OK"),"")</f>
        <v/>
      </c>
    </row>
    <row r="64" spans="1:37" x14ac:dyDescent="0.3">
      <c r="A64" s="13" t="str">
        <f t="shared" si="0"/>
        <v>PN27-058</v>
      </c>
      <c r="B64" s="26"/>
      <c r="C64" s="13" t="str">
        <f>IF(B64="","",IFERROR(INDEX(Catalogos!$R$5:$R$51,MATCH(B64,L_AREAS,0)),""))</f>
        <v/>
      </c>
      <c r="D64" s="13" t="str">
        <f>IF(B64="","",IFERROR(INDEX(Catalogos!$O$5:$O$51,MATCH(B64,L_AREAS,0)),""))</f>
        <v/>
      </c>
      <c r="E64" s="26"/>
      <c r="F64" s="13" t="str">
        <f>IF(E64="","",IFERROR(INDEX(Catalogos!$C$5:$C$49,MATCH(E64,L_METAS,0)),""))</f>
        <v/>
      </c>
      <c r="G64" s="13" t="str">
        <f>IF(E64="","",IFERROR(INDEX(Catalogos!$E$5:$E$49,MATCH(E64,L_METAS,0)),""))</f>
        <v/>
      </c>
      <c r="H64" s="26"/>
      <c r="I64" s="26"/>
      <c r="J64" s="26"/>
      <c r="K64" s="26"/>
      <c r="L64" s="26"/>
      <c r="M64" s="27"/>
      <c r="N64" s="26"/>
      <c r="O64" s="26"/>
      <c r="P64" s="26"/>
      <c r="Q64" s="26"/>
      <c r="R64" s="26"/>
      <c r="S64" s="26"/>
      <c r="T64" s="26"/>
      <c r="U64" s="26"/>
      <c r="V64" s="26"/>
      <c r="W64" s="28"/>
      <c r="X64" s="28"/>
      <c r="Y64" s="26"/>
      <c r="Z64" s="26"/>
      <c r="AA64" s="26"/>
      <c r="AB64" s="26"/>
      <c r="AC64" s="26"/>
      <c r="AD64" s="26"/>
      <c r="AE64" s="26"/>
      <c r="AF64" s="26"/>
      <c r="AG64" s="26"/>
      <c r="AH64" s="26"/>
      <c r="AI64" s="26"/>
      <c r="AJ64" s="15" t="str">
        <f>IF(COUNTA(B64,E64,H64,I64,J64,K64,L64,M64,N64,O64,P64,Q64,R64,S64,T64,U64,V64,W64,X64,Y64,Z64,AA64,AB64,AC64,AD64,AE64,AF64,AG64,AH64,AI64)=0,"",IF(OR(B64="",E64="",H64="",J64="",K64="",L64="",M64="",O64="",P64="",Q64="",R64="",S64="",T64="",U64="",W64="",X64="",Y64="",AB64="",AC64="",AE64="",AF64=""),"Incompleta: faltan campos obligatorios",IF(AND(LEFT(H64,6)="PROPIA",I64=""),"Falta el nombre de la acción propia del área",IF(AND(LEFT(H64,3)="A27",IFERROR(INDEX(Catalogos!$T$5:$T$207,MATCH(H64,Catalogos!$U$5:$U$207,0)),"x")&lt;&gt;LEFT(E64,7)),"La acción no corresponde a la meta seleccionada",IF(OR(NOT(ISNUMBER(M64)),M64&lt;10000000,M64&gt;99999999),"Código UNSPSC inválido: registre 8 dígitos",IF(MOD(M64,10000)=0,"UNSPSC a nivel de segmento o familia: use clase o producto",IF(IFERROR(MATCH(P64,L_MESES,0)&lt;MATCH(O64,L_MESES,0),TRUE()),"El mes de ofertas es anterior al de inicio del proceso",IF(OR(NOT(ISNUMBER(Q64)),Q64&lt;=0),"Duración inválida",IF(OR(NOT(ISNUMBER(W64)),NOT(ISNUMBER(X64))),"Valor inválido: registre solo números",IF(OR(W64&lt;=0,X64&lt;=0),"Valor inválido: debe ser mayor que cero",IF(X64&gt;W64,"El valor de la vigencia 2027 supera el valor total",IF(AND(X64&lt;W64,Y64="No"),"El valor total supera el de 2027: requiere vigencias futuras",IF(AND(Y64="Sí",OR(Z64="",Z64="No aplica")),"Indique el estado de la solicitud de vigencias futuras",IF(IF(AND(S64="Mínima cuantía",ISNUMBER(P_TOPE_MINIMA)),W64&gt;P_TOPE_MINIMA,FALSE()),"El valor supera el tope de mínima cuantía 2027",IF(IF(AND(S64="Selección abreviada de menor cuantía",ISNUMBER(P_TOPE_MENOR)),W64&gt;P_TOPE_MENOR,FALSE()),"El valor supera el tope de menor cuantía 2027",IF(OR(ISERROR(SEARCH("@itc.edu.co",AE64)),SUMPRODUCT(--ISNUMBER(SEARCH({"á","é","í","ó","ú","ñ"," "},AE64)))&gt;0),"El correo del responsable no es institucional válido",IF(AND(AF64="Sí",AG64=""),"Indique el N.° de registro 2026 que continúa","OK")))))))))))))))))</f>
        <v/>
      </c>
      <c r="AK64" s="15" t="str">
        <f>IF(AJ64="OK",COUNTIF($AJ$7:AJ64,"OK"),"")</f>
        <v/>
      </c>
    </row>
    <row r="65" spans="1:37" x14ac:dyDescent="0.3">
      <c r="A65" s="13" t="str">
        <f t="shared" si="0"/>
        <v>PN27-059</v>
      </c>
      <c r="B65" s="26"/>
      <c r="C65" s="13" t="str">
        <f>IF(B65="","",IFERROR(INDEX(Catalogos!$R$5:$R$51,MATCH(B65,L_AREAS,0)),""))</f>
        <v/>
      </c>
      <c r="D65" s="13" t="str">
        <f>IF(B65="","",IFERROR(INDEX(Catalogos!$O$5:$O$51,MATCH(B65,L_AREAS,0)),""))</f>
        <v/>
      </c>
      <c r="E65" s="26"/>
      <c r="F65" s="13" t="str">
        <f>IF(E65="","",IFERROR(INDEX(Catalogos!$C$5:$C$49,MATCH(E65,L_METAS,0)),""))</f>
        <v/>
      </c>
      <c r="G65" s="13" t="str">
        <f>IF(E65="","",IFERROR(INDEX(Catalogos!$E$5:$E$49,MATCH(E65,L_METAS,0)),""))</f>
        <v/>
      </c>
      <c r="H65" s="26"/>
      <c r="I65" s="26"/>
      <c r="J65" s="26"/>
      <c r="K65" s="26"/>
      <c r="L65" s="26"/>
      <c r="M65" s="27"/>
      <c r="N65" s="26"/>
      <c r="O65" s="26"/>
      <c r="P65" s="26"/>
      <c r="Q65" s="26"/>
      <c r="R65" s="26"/>
      <c r="S65" s="26"/>
      <c r="T65" s="26"/>
      <c r="U65" s="26"/>
      <c r="V65" s="26"/>
      <c r="W65" s="28"/>
      <c r="X65" s="28"/>
      <c r="Y65" s="26"/>
      <c r="Z65" s="26"/>
      <c r="AA65" s="26"/>
      <c r="AB65" s="26"/>
      <c r="AC65" s="26"/>
      <c r="AD65" s="26"/>
      <c r="AE65" s="26"/>
      <c r="AF65" s="26"/>
      <c r="AG65" s="26"/>
      <c r="AH65" s="26"/>
      <c r="AI65" s="26"/>
      <c r="AJ65" s="15" t="str">
        <f>IF(COUNTA(B65,E65,H65,I65,J65,K65,L65,M65,N65,O65,P65,Q65,R65,S65,T65,U65,V65,W65,X65,Y65,Z65,AA65,AB65,AC65,AD65,AE65,AF65,AG65,AH65,AI65)=0,"",IF(OR(B65="",E65="",H65="",J65="",K65="",L65="",M65="",O65="",P65="",Q65="",R65="",S65="",T65="",U65="",W65="",X65="",Y65="",AB65="",AC65="",AE65="",AF65=""),"Incompleta: faltan campos obligatorios",IF(AND(LEFT(H65,6)="PROPIA",I65=""),"Falta el nombre de la acción propia del área",IF(AND(LEFT(H65,3)="A27",IFERROR(INDEX(Catalogos!$T$5:$T$207,MATCH(H65,Catalogos!$U$5:$U$207,0)),"x")&lt;&gt;LEFT(E65,7)),"La acción no corresponde a la meta seleccionada",IF(OR(NOT(ISNUMBER(M65)),M65&lt;10000000,M65&gt;99999999),"Código UNSPSC inválido: registre 8 dígitos",IF(MOD(M65,10000)=0,"UNSPSC a nivel de segmento o familia: use clase o producto",IF(IFERROR(MATCH(P65,L_MESES,0)&lt;MATCH(O65,L_MESES,0),TRUE()),"El mes de ofertas es anterior al de inicio del proceso",IF(OR(NOT(ISNUMBER(Q65)),Q65&lt;=0),"Duración inválida",IF(OR(NOT(ISNUMBER(W65)),NOT(ISNUMBER(X65))),"Valor inválido: registre solo números",IF(OR(W65&lt;=0,X65&lt;=0),"Valor inválido: debe ser mayor que cero",IF(X65&gt;W65,"El valor de la vigencia 2027 supera el valor total",IF(AND(X65&lt;W65,Y65="No"),"El valor total supera el de 2027: requiere vigencias futuras",IF(AND(Y65="Sí",OR(Z65="",Z65="No aplica")),"Indique el estado de la solicitud de vigencias futuras",IF(IF(AND(S65="Mínima cuantía",ISNUMBER(P_TOPE_MINIMA)),W65&gt;P_TOPE_MINIMA,FALSE()),"El valor supera el tope de mínima cuantía 2027",IF(IF(AND(S65="Selección abreviada de menor cuantía",ISNUMBER(P_TOPE_MENOR)),W65&gt;P_TOPE_MENOR,FALSE()),"El valor supera el tope de menor cuantía 2027",IF(OR(ISERROR(SEARCH("@itc.edu.co",AE65)),SUMPRODUCT(--ISNUMBER(SEARCH({"á","é","í","ó","ú","ñ"," "},AE65)))&gt;0),"El correo del responsable no es institucional válido",IF(AND(AF65="Sí",AG65=""),"Indique el N.° de registro 2026 que continúa","OK")))))))))))))))))</f>
        <v/>
      </c>
      <c r="AK65" s="15" t="str">
        <f>IF(AJ65="OK",COUNTIF($AJ$7:AJ65,"OK"),"")</f>
        <v/>
      </c>
    </row>
    <row r="66" spans="1:37" x14ac:dyDescent="0.3">
      <c r="A66" s="13" t="str">
        <f t="shared" si="0"/>
        <v>PN27-060</v>
      </c>
      <c r="B66" s="26"/>
      <c r="C66" s="13" t="str">
        <f>IF(B66="","",IFERROR(INDEX(Catalogos!$R$5:$R$51,MATCH(B66,L_AREAS,0)),""))</f>
        <v/>
      </c>
      <c r="D66" s="13" t="str">
        <f>IF(B66="","",IFERROR(INDEX(Catalogos!$O$5:$O$51,MATCH(B66,L_AREAS,0)),""))</f>
        <v/>
      </c>
      <c r="E66" s="26"/>
      <c r="F66" s="13" t="str">
        <f>IF(E66="","",IFERROR(INDEX(Catalogos!$C$5:$C$49,MATCH(E66,L_METAS,0)),""))</f>
        <v/>
      </c>
      <c r="G66" s="13" t="str">
        <f>IF(E66="","",IFERROR(INDEX(Catalogos!$E$5:$E$49,MATCH(E66,L_METAS,0)),""))</f>
        <v/>
      </c>
      <c r="H66" s="26"/>
      <c r="I66" s="26"/>
      <c r="J66" s="26"/>
      <c r="K66" s="26"/>
      <c r="L66" s="26"/>
      <c r="M66" s="27"/>
      <c r="N66" s="26"/>
      <c r="O66" s="26"/>
      <c r="P66" s="26"/>
      <c r="Q66" s="26"/>
      <c r="R66" s="26"/>
      <c r="S66" s="26"/>
      <c r="T66" s="26"/>
      <c r="U66" s="26"/>
      <c r="V66" s="26"/>
      <c r="W66" s="28"/>
      <c r="X66" s="28"/>
      <c r="Y66" s="26"/>
      <c r="Z66" s="26"/>
      <c r="AA66" s="26"/>
      <c r="AB66" s="26"/>
      <c r="AC66" s="26"/>
      <c r="AD66" s="26"/>
      <c r="AE66" s="26"/>
      <c r="AF66" s="26"/>
      <c r="AG66" s="26"/>
      <c r="AH66" s="26"/>
      <c r="AI66" s="26"/>
      <c r="AJ66" s="15" t="str">
        <f>IF(COUNTA(B66,E66,H66,I66,J66,K66,L66,M66,N66,O66,P66,Q66,R66,S66,T66,U66,V66,W66,X66,Y66,Z66,AA66,AB66,AC66,AD66,AE66,AF66,AG66,AH66,AI66)=0,"",IF(OR(B66="",E66="",H66="",J66="",K66="",L66="",M66="",O66="",P66="",Q66="",R66="",S66="",T66="",U66="",W66="",X66="",Y66="",AB66="",AC66="",AE66="",AF66=""),"Incompleta: faltan campos obligatorios",IF(AND(LEFT(H66,6)="PROPIA",I66=""),"Falta el nombre de la acción propia del área",IF(AND(LEFT(H66,3)="A27",IFERROR(INDEX(Catalogos!$T$5:$T$207,MATCH(H66,Catalogos!$U$5:$U$207,0)),"x")&lt;&gt;LEFT(E66,7)),"La acción no corresponde a la meta seleccionada",IF(OR(NOT(ISNUMBER(M66)),M66&lt;10000000,M66&gt;99999999),"Código UNSPSC inválido: registre 8 dígitos",IF(MOD(M66,10000)=0,"UNSPSC a nivel de segmento o familia: use clase o producto",IF(IFERROR(MATCH(P66,L_MESES,0)&lt;MATCH(O66,L_MESES,0),TRUE()),"El mes de ofertas es anterior al de inicio del proceso",IF(OR(NOT(ISNUMBER(Q66)),Q66&lt;=0),"Duración inválida",IF(OR(NOT(ISNUMBER(W66)),NOT(ISNUMBER(X66))),"Valor inválido: registre solo números",IF(OR(W66&lt;=0,X66&lt;=0),"Valor inválido: debe ser mayor que cero",IF(X66&gt;W66,"El valor de la vigencia 2027 supera el valor total",IF(AND(X66&lt;W66,Y66="No"),"El valor total supera el de 2027: requiere vigencias futuras",IF(AND(Y66="Sí",OR(Z66="",Z66="No aplica")),"Indique el estado de la solicitud de vigencias futuras",IF(IF(AND(S66="Mínima cuantía",ISNUMBER(P_TOPE_MINIMA)),W66&gt;P_TOPE_MINIMA,FALSE()),"El valor supera el tope de mínima cuantía 2027",IF(IF(AND(S66="Selección abreviada de menor cuantía",ISNUMBER(P_TOPE_MENOR)),W66&gt;P_TOPE_MENOR,FALSE()),"El valor supera el tope de menor cuantía 2027",IF(OR(ISERROR(SEARCH("@itc.edu.co",AE66)),SUMPRODUCT(--ISNUMBER(SEARCH({"á","é","í","ó","ú","ñ"," "},AE66)))&gt;0),"El correo del responsable no es institucional válido",IF(AND(AF66="Sí",AG66=""),"Indique el N.° de registro 2026 que continúa","OK")))))))))))))))))</f>
        <v/>
      </c>
      <c r="AK66" s="15" t="str">
        <f>IF(AJ66="OK",COUNTIF($AJ$7:AJ66,"OK"),"")</f>
        <v/>
      </c>
    </row>
    <row r="67" spans="1:37" x14ac:dyDescent="0.3">
      <c r="A67" s="13" t="str">
        <f t="shared" si="0"/>
        <v>PN27-061</v>
      </c>
      <c r="B67" s="26"/>
      <c r="C67" s="13" t="str">
        <f>IF(B67="","",IFERROR(INDEX(Catalogos!$R$5:$R$51,MATCH(B67,L_AREAS,0)),""))</f>
        <v/>
      </c>
      <c r="D67" s="13" t="str">
        <f>IF(B67="","",IFERROR(INDEX(Catalogos!$O$5:$O$51,MATCH(B67,L_AREAS,0)),""))</f>
        <v/>
      </c>
      <c r="E67" s="26"/>
      <c r="F67" s="13" t="str">
        <f>IF(E67="","",IFERROR(INDEX(Catalogos!$C$5:$C$49,MATCH(E67,L_METAS,0)),""))</f>
        <v/>
      </c>
      <c r="G67" s="13" t="str">
        <f>IF(E67="","",IFERROR(INDEX(Catalogos!$E$5:$E$49,MATCH(E67,L_METAS,0)),""))</f>
        <v/>
      </c>
      <c r="H67" s="26"/>
      <c r="I67" s="26"/>
      <c r="J67" s="26"/>
      <c r="K67" s="26"/>
      <c r="L67" s="26"/>
      <c r="M67" s="27"/>
      <c r="N67" s="26"/>
      <c r="O67" s="26"/>
      <c r="P67" s="26"/>
      <c r="Q67" s="26"/>
      <c r="R67" s="26"/>
      <c r="S67" s="26"/>
      <c r="T67" s="26"/>
      <c r="U67" s="26"/>
      <c r="V67" s="26"/>
      <c r="W67" s="28"/>
      <c r="X67" s="28"/>
      <c r="Y67" s="26"/>
      <c r="Z67" s="26"/>
      <c r="AA67" s="26"/>
      <c r="AB67" s="26"/>
      <c r="AC67" s="26"/>
      <c r="AD67" s="26"/>
      <c r="AE67" s="26"/>
      <c r="AF67" s="26"/>
      <c r="AG67" s="26"/>
      <c r="AH67" s="26"/>
      <c r="AI67" s="26"/>
      <c r="AJ67" s="15" t="str">
        <f>IF(COUNTA(B67,E67,H67,I67,J67,K67,L67,M67,N67,O67,P67,Q67,R67,S67,T67,U67,V67,W67,X67,Y67,Z67,AA67,AB67,AC67,AD67,AE67,AF67,AG67,AH67,AI67)=0,"",IF(OR(B67="",E67="",H67="",J67="",K67="",L67="",M67="",O67="",P67="",Q67="",R67="",S67="",T67="",U67="",W67="",X67="",Y67="",AB67="",AC67="",AE67="",AF67=""),"Incompleta: faltan campos obligatorios",IF(AND(LEFT(H67,6)="PROPIA",I67=""),"Falta el nombre de la acción propia del área",IF(AND(LEFT(H67,3)="A27",IFERROR(INDEX(Catalogos!$T$5:$T$207,MATCH(H67,Catalogos!$U$5:$U$207,0)),"x")&lt;&gt;LEFT(E67,7)),"La acción no corresponde a la meta seleccionada",IF(OR(NOT(ISNUMBER(M67)),M67&lt;10000000,M67&gt;99999999),"Código UNSPSC inválido: registre 8 dígitos",IF(MOD(M67,10000)=0,"UNSPSC a nivel de segmento o familia: use clase o producto",IF(IFERROR(MATCH(P67,L_MESES,0)&lt;MATCH(O67,L_MESES,0),TRUE()),"El mes de ofertas es anterior al de inicio del proceso",IF(OR(NOT(ISNUMBER(Q67)),Q67&lt;=0),"Duración inválida",IF(OR(NOT(ISNUMBER(W67)),NOT(ISNUMBER(X67))),"Valor inválido: registre solo números",IF(OR(W67&lt;=0,X67&lt;=0),"Valor inválido: debe ser mayor que cero",IF(X67&gt;W67,"El valor de la vigencia 2027 supera el valor total",IF(AND(X67&lt;W67,Y67="No"),"El valor total supera el de 2027: requiere vigencias futuras",IF(AND(Y67="Sí",OR(Z67="",Z67="No aplica")),"Indique el estado de la solicitud de vigencias futuras",IF(IF(AND(S67="Mínima cuantía",ISNUMBER(P_TOPE_MINIMA)),W67&gt;P_TOPE_MINIMA,FALSE()),"El valor supera el tope de mínima cuantía 2027",IF(IF(AND(S67="Selección abreviada de menor cuantía",ISNUMBER(P_TOPE_MENOR)),W67&gt;P_TOPE_MENOR,FALSE()),"El valor supera el tope de menor cuantía 2027",IF(OR(ISERROR(SEARCH("@itc.edu.co",AE67)),SUMPRODUCT(--ISNUMBER(SEARCH({"á","é","í","ó","ú","ñ"," "},AE67)))&gt;0),"El correo del responsable no es institucional válido",IF(AND(AF67="Sí",AG67=""),"Indique el N.° de registro 2026 que continúa","OK")))))))))))))))))</f>
        <v/>
      </c>
      <c r="AK67" s="15" t="str">
        <f>IF(AJ67="OK",COUNTIF($AJ$7:AJ67,"OK"),"")</f>
        <v/>
      </c>
    </row>
    <row r="68" spans="1:37" x14ac:dyDescent="0.3">
      <c r="A68" s="13" t="str">
        <f t="shared" si="0"/>
        <v>PN27-062</v>
      </c>
      <c r="B68" s="26"/>
      <c r="C68" s="13" t="str">
        <f>IF(B68="","",IFERROR(INDEX(Catalogos!$R$5:$R$51,MATCH(B68,L_AREAS,0)),""))</f>
        <v/>
      </c>
      <c r="D68" s="13" t="str">
        <f>IF(B68="","",IFERROR(INDEX(Catalogos!$O$5:$O$51,MATCH(B68,L_AREAS,0)),""))</f>
        <v/>
      </c>
      <c r="E68" s="26"/>
      <c r="F68" s="13" t="str">
        <f>IF(E68="","",IFERROR(INDEX(Catalogos!$C$5:$C$49,MATCH(E68,L_METAS,0)),""))</f>
        <v/>
      </c>
      <c r="G68" s="13" t="str">
        <f>IF(E68="","",IFERROR(INDEX(Catalogos!$E$5:$E$49,MATCH(E68,L_METAS,0)),""))</f>
        <v/>
      </c>
      <c r="H68" s="26"/>
      <c r="I68" s="26"/>
      <c r="J68" s="26"/>
      <c r="K68" s="26"/>
      <c r="L68" s="26"/>
      <c r="M68" s="27"/>
      <c r="N68" s="26"/>
      <c r="O68" s="26"/>
      <c r="P68" s="26"/>
      <c r="Q68" s="26"/>
      <c r="R68" s="26"/>
      <c r="S68" s="26"/>
      <c r="T68" s="26"/>
      <c r="U68" s="26"/>
      <c r="V68" s="26"/>
      <c r="W68" s="28"/>
      <c r="X68" s="28"/>
      <c r="Y68" s="26"/>
      <c r="Z68" s="26"/>
      <c r="AA68" s="26"/>
      <c r="AB68" s="26"/>
      <c r="AC68" s="26"/>
      <c r="AD68" s="26"/>
      <c r="AE68" s="26"/>
      <c r="AF68" s="26"/>
      <c r="AG68" s="26"/>
      <c r="AH68" s="26"/>
      <c r="AI68" s="26"/>
      <c r="AJ68" s="15" t="str">
        <f>IF(COUNTA(B68,E68,H68,I68,J68,K68,L68,M68,N68,O68,P68,Q68,R68,S68,T68,U68,V68,W68,X68,Y68,Z68,AA68,AB68,AC68,AD68,AE68,AF68,AG68,AH68,AI68)=0,"",IF(OR(B68="",E68="",H68="",J68="",K68="",L68="",M68="",O68="",P68="",Q68="",R68="",S68="",T68="",U68="",W68="",X68="",Y68="",AB68="",AC68="",AE68="",AF68=""),"Incompleta: faltan campos obligatorios",IF(AND(LEFT(H68,6)="PROPIA",I68=""),"Falta el nombre de la acción propia del área",IF(AND(LEFT(H68,3)="A27",IFERROR(INDEX(Catalogos!$T$5:$T$207,MATCH(H68,Catalogos!$U$5:$U$207,0)),"x")&lt;&gt;LEFT(E68,7)),"La acción no corresponde a la meta seleccionada",IF(OR(NOT(ISNUMBER(M68)),M68&lt;10000000,M68&gt;99999999),"Código UNSPSC inválido: registre 8 dígitos",IF(MOD(M68,10000)=0,"UNSPSC a nivel de segmento o familia: use clase o producto",IF(IFERROR(MATCH(P68,L_MESES,0)&lt;MATCH(O68,L_MESES,0),TRUE()),"El mes de ofertas es anterior al de inicio del proceso",IF(OR(NOT(ISNUMBER(Q68)),Q68&lt;=0),"Duración inválida",IF(OR(NOT(ISNUMBER(W68)),NOT(ISNUMBER(X68))),"Valor inválido: registre solo números",IF(OR(W68&lt;=0,X68&lt;=0),"Valor inválido: debe ser mayor que cero",IF(X68&gt;W68,"El valor de la vigencia 2027 supera el valor total",IF(AND(X68&lt;W68,Y68="No"),"El valor total supera el de 2027: requiere vigencias futuras",IF(AND(Y68="Sí",OR(Z68="",Z68="No aplica")),"Indique el estado de la solicitud de vigencias futuras",IF(IF(AND(S68="Mínima cuantía",ISNUMBER(P_TOPE_MINIMA)),W68&gt;P_TOPE_MINIMA,FALSE()),"El valor supera el tope de mínima cuantía 2027",IF(IF(AND(S68="Selección abreviada de menor cuantía",ISNUMBER(P_TOPE_MENOR)),W68&gt;P_TOPE_MENOR,FALSE()),"El valor supera el tope de menor cuantía 2027",IF(OR(ISERROR(SEARCH("@itc.edu.co",AE68)),SUMPRODUCT(--ISNUMBER(SEARCH({"á","é","í","ó","ú","ñ"," "},AE68)))&gt;0),"El correo del responsable no es institucional válido",IF(AND(AF68="Sí",AG68=""),"Indique el N.° de registro 2026 que continúa","OK")))))))))))))))))</f>
        <v/>
      </c>
      <c r="AK68" s="15" t="str">
        <f>IF(AJ68="OK",COUNTIF($AJ$7:AJ68,"OK"),"")</f>
        <v/>
      </c>
    </row>
    <row r="69" spans="1:37" x14ac:dyDescent="0.3">
      <c r="A69" s="13" t="str">
        <f t="shared" si="0"/>
        <v>PN27-063</v>
      </c>
      <c r="B69" s="26"/>
      <c r="C69" s="13" t="str">
        <f>IF(B69="","",IFERROR(INDEX(Catalogos!$R$5:$R$51,MATCH(B69,L_AREAS,0)),""))</f>
        <v/>
      </c>
      <c r="D69" s="13" t="str">
        <f>IF(B69="","",IFERROR(INDEX(Catalogos!$O$5:$O$51,MATCH(B69,L_AREAS,0)),""))</f>
        <v/>
      </c>
      <c r="E69" s="26"/>
      <c r="F69" s="13" t="str">
        <f>IF(E69="","",IFERROR(INDEX(Catalogos!$C$5:$C$49,MATCH(E69,L_METAS,0)),""))</f>
        <v/>
      </c>
      <c r="G69" s="13" t="str">
        <f>IF(E69="","",IFERROR(INDEX(Catalogos!$E$5:$E$49,MATCH(E69,L_METAS,0)),""))</f>
        <v/>
      </c>
      <c r="H69" s="26"/>
      <c r="I69" s="26"/>
      <c r="J69" s="26"/>
      <c r="K69" s="26"/>
      <c r="L69" s="26"/>
      <c r="M69" s="27"/>
      <c r="N69" s="26"/>
      <c r="O69" s="26"/>
      <c r="P69" s="26"/>
      <c r="Q69" s="26"/>
      <c r="R69" s="26"/>
      <c r="S69" s="26"/>
      <c r="T69" s="26"/>
      <c r="U69" s="26"/>
      <c r="V69" s="26"/>
      <c r="W69" s="28"/>
      <c r="X69" s="28"/>
      <c r="Y69" s="26"/>
      <c r="Z69" s="26"/>
      <c r="AA69" s="26"/>
      <c r="AB69" s="26"/>
      <c r="AC69" s="26"/>
      <c r="AD69" s="26"/>
      <c r="AE69" s="26"/>
      <c r="AF69" s="26"/>
      <c r="AG69" s="26"/>
      <c r="AH69" s="26"/>
      <c r="AI69" s="26"/>
      <c r="AJ69" s="15" t="str">
        <f>IF(COUNTA(B69,E69,H69,I69,J69,K69,L69,M69,N69,O69,P69,Q69,R69,S69,T69,U69,V69,W69,X69,Y69,Z69,AA69,AB69,AC69,AD69,AE69,AF69,AG69,AH69,AI69)=0,"",IF(OR(B69="",E69="",H69="",J69="",K69="",L69="",M69="",O69="",P69="",Q69="",R69="",S69="",T69="",U69="",W69="",X69="",Y69="",AB69="",AC69="",AE69="",AF69=""),"Incompleta: faltan campos obligatorios",IF(AND(LEFT(H69,6)="PROPIA",I69=""),"Falta el nombre de la acción propia del área",IF(AND(LEFT(H69,3)="A27",IFERROR(INDEX(Catalogos!$T$5:$T$207,MATCH(H69,Catalogos!$U$5:$U$207,0)),"x")&lt;&gt;LEFT(E69,7)),"La acción no corresponde a la meta seleccionada",IF(OR(NOT(ISNUMBER(M69)),M69&lt;10000000,M69&gt;99999999),"Código UNSPSC inválido: registre 8 dígitos",IF(MOD(M69,10000)=0,"UNSPSC a nivel de segmento o familia: use clase o producto",IF(IFERROR(MATCH(P69,L_MESES,0)&lt;MATCH(O69,L_MESES,0),TRUE()),"El mes de ofertas es anterior al de inicio del proceso",IF(OR(NOT(ISNUMBER(Q69)),Q69&lt;=0),"Duración inválida",IF(OR(NOT(ISNUMBER(W69)),NOT(ISNUMBER(X69))),"Valor inválido: registre solo números",IF(OR(W69&lt;=0,X69&lt;=0),"Valor inválido: debe ser mayor que cero",IF(X69&gt;W69,"El valor de la vigencia 2027 supera el valor total",IF(AND(X69&lt;W69,Y69="No"),"El valor total supera el de 2027: requiere vigencias futuras",IF(AND(Y69="Sí",OR(Z69="",Z69="No aplica")),"Indique el estado de la solicitud de vigencias futuras",IF(IF(AND(S69="Mínima cuantía",ISNUMBER(P_TOPE_MINIMA)),W69&gt;P_TOPE_MINIMA,FALSE()),"El valor supera el tope de mínima cuantía 2027",IF(IF(AND(S69="Selección abreviada de menor cuantía",ISNUMBER(P_TOPE_MENOR)),W69&gt;P_TOPE_MENOR,FALSE()),"El valor supera el tope de menor cuantía 2027",IF(OR(ISERROR(SEARCH("@itc.edu.co",AE69)),SUMPRODUCT(--ISNUMBER(SEARCH({"á","é","í","ó","ú","ñ"," "},AE69)))&gt;0),"El correo del responsable no es institucional válido",IF(AND(AF69="Sí",AG69=""),"Indique el N.° de registro 2026 que continúa","OK")))))))))))))))))</f>
        <v/>
      </c>
      <c r="AK69" s="15" t="str">
        <f>IF(AJ69="OK",COUNTIF($AJ$7:AJ69,"OK"),"")</f>
        <v/>
      </c>
    </row>
    <row r="70" spans="1:37" x14ac:dyDescent="0.3">
      <c r="A70" s="13" t="str">
        <f t="shared" si="0"/>
        <v>PN27-064</v>
      </c>
      <c r="B70" s="26"/>
      <c r="C70" s="13" t="str">
        <f>IF(B70="","",IFERROR(INDEX(Catalogos!$R$5:$R$51,MATCH(B70,L_AREAS,0)),""))</f>
        <v/>
      </c>
      <c r="D70" s="13" t="str">
        <f>IF(B70="","",IFERROR(INDEX(Catalogos!$O$5:$O$51,MATCH(B70,L_AREAS,0)),""))</f>
        <v/>
      </c>
      <c r="E70" s="26"/>
      <c r="F70" s="13" t="str">
        <f>IF(E70="","",IFERROR(INDEX(Catalogos!$C$5:$C$49,MATCH(E70,L_METAS,0)),""))</f>
        <v/>
      </c>
      <c r="G70" s="13" t="str">
        <f>IF(E70="","",IFERROR(INDEX(Catalogos!$E$5:$E$49,MATCH(E70,L_METAS,0)),""))</f>
        <v/>
      </c>
      <c r="H70" s="26"/>
      <c r="I70" s="26"/>
      <c r="J70" s="26"/>
      <c r="K70" s="26"/>
      <c r="L70" s="26"/>
      <c r="M70" s="27"/>
      <c r="N70" s="26"/>
      <c r="O70" s="26"/>
      <c r="P70" s="26"/>
      <c r="Q70" s="26"/>
      <c r="R70" s="26"/>
      <c r="S70" s="26"/>
      <c r="T70" s="26"/>
      <c r="U70" s="26"/>
      <c r="V70" s="26"/>
      <c r="W70" s="28"/>
      <c r="X70" s="28"/>
      <c r="Y70" s="26"/>
      <c r="Z70" s="26"/>
      <c r="AA70" s="26"/>
      <c r="AB70" s="26"/>
      <c r="AC70" s="26"/>
      <c r="AD70" s="26"/>
      <c r="AE70" s="26"/>
      <c r="AF70" s="26"/>
      <c r="AG70" s="26"/>
      <c r="AH70" s="26"/>
      <c r="AI70" s="26"/>
      <c r="AJ70" s="15" t="str">
        <f>IF(COUNTA(B70,E70,H70,I70,J70,K70,L70,M70,N70,O70,P70,Q70,R70,S70,T70,U70,V70,W70,X70,Y70,Z70,AA70,AB70,AC70,AD70,AE70,AF70,AG70,AH70,AI70)=0,"",IF(OR(B70="",E70="",H70="",J70="",K70="",L70="",M70="",O70="",P70="",Q70="",R70="",S70="",T70="",U70="",W70="",X70="",Y70="",AB70="",AC70="",AE70="",AF70=""),"Incompleta: faltan campos obligatorios",IF(AND(LEFT(H70,6)="PROPIA",I70=""),"Falta el nombre de la acción propia del área",IF(AND(LEFT(H70,3)="A27",IFERROR(INDEX(Catalogos!$T$5:$T$207,MATCH(H70,Catalogos!$U$5:$U$207,0)),"x")&lt;&gt;LEFT(E70,7)),"La acción no corresponde a la meta seleccionada",IF(OR(NOT(ISNUMBER(M70)),M70&lt;10000000,M70&gt;99999999),"Código UNSPSC inválido: registre 8 dígitos",IF(MOD(M70,10000)=0,"UNSPSC a nivel de segmento o familia: use clase o producto",IF(IFERROR(MATCH(P70,L_MESES,0)&lt;MATCH(O70,L_MESES,0),TRUE()),"El mes de ofertas es anterior al de inicio del proceso",IF(OR(NOT(ISNUMBER(Q70)),Q70&lt;=0),"Duración inválida",IF(OR(NOT(ISNUMBER(W70)),NOT(ISNUMBER(X70))),"Valor inválido: registre solo números",IF(OR(W70&lt;=0,X70&lt;=0),"Valor inválido: debe ser mayor que cero",IF(X70&gt;W70,"El valor de la vigencia 2027 supera el valor total",IF(AND(X70&lt;W70,Y70="No"),"El valor total supera el de 2027: requiere vigencias futuras",IF(AND(Y70="Sí",OR(Z70="",Z70="No aplica")),"Indique el estado de la solicitud de vigencias futuras",IF(IF(AND(S70="Mínima cuantía",ISNUMBER(P_TOPE_MINIMA)),W70&gt;P_TOPE_MINIMA,FALSE()),"El valor supera el tope de mínima cuantía 2027",IF(IF(AND(S70="Selección abreviada de menor cuantía",ISNUMBER(P_TOPE_MENOR)),W70&gt;P_TOPE_MENOR,FALSE()),"El valor supera el tope de menor cuantía 2027",IF(OR(ISERROR(SEARCH("@itc.edu.co",AE70)),SUMPRODUCT(--ISNUMBER(SEARCH({"á","é","í","ó","ú","ñ"," "},AE70)))&gt;0),"El correo del responsable no es institucional válido",IF(AND(AF70="Sí",AG70=""),"Indique el N.° de registro 2026 que continúa","OK")))))))))))))))))</f>
        <v/>
      </c>
      <c r="AK70" s="15" t="str">
        <f>IF(AJ70="OK",COUNTIF($AJ$7:AJ70,"OK"),"")</f>
        <v/>
      </c>
    </row>
    <row r="71" spans="1:37" x14ac:dyDescent="0.3">
      <c r="A71" s="13" t="str">
        <f t="shared" ref="A71:A134" si="1">"PN27-"&amp;TEXT(ROW()-6,"000")</f>
        <v>PN27-065</v>
      </c>
      <c r="B71" s="26"/>
      <c r="C71" s="13" t="str">
        <f>IF(B71="","",IFERROR(INDEX(Catalogos!$R$5:$R$51,MATCH(B71,L_AREAS,0)),""))</f>
        <v/>
      </c>
      <c r="D71" s="13" t="str">
        <f>IF(B71="","",IFERROR(INDEX(Catalogos!$O$5:$O$51,MATCH(B71,L_AREAS,0)),""))</f>
        <v/>
      </c>
      <c r="E71" s="26"/>
      <c r="F71" s="13" t="str">
        <f>IF(E71="","",IFERROR(INDEX(Catalogos!$C$5:$C$49,MATCH(E71,L_METAS,0)),""))</f>
        <v/>
      </c>
      <c r="G71" s="13" t="str">
        <f>IF(E71="","",IFERROR(INDEX(Catalogos!$E$5:$E$49,MATCH(E71,L_METAS,0)),""))</f>
        <v/>
      </c>
      <c r="H71" s="26"/>
      <c r="I71" s="26"/>
      <c r="J71" s="26"/>
      <c r="K71" s="26"/>
      <c r="L71" s="26"/>
      <c r="M71" s="27"/>
      <c r="N71" s="26"/>
      <c r="O71" s="26"/>
      <c r="P71" s="26"/>
      <c r="Q71" s="26"/>
      <c r="R71" s="26"/>
      <c r="S71" s="26"/>
      <c r="T71" s="26"/>
      <c r="U71" s="26"/>
      <c r="V71" s="26"/>
      <c r="W71" s="28"/>
      <c r="X71" s="28"/>
      <c r="Y71" s="26"/>
      <c r="Z71" s="26"/>
      <c r="AA71" s="26"/>
      <c r="AB71" s="26"/>
      <c r="AC71" s="26"/>
      <c r="AD71" s="26"/>
      <c r="AE71" s="26"/>
      <c r="AF71" s="26"/>
      <c r="AG71" s="26"/>
      <c r="AH71" s="26"/>
      <c r="AI71" s="26"/>
      <c r="AJ71" s="15" t="str">
        <f>IF(COUNTA(B71,E71,H71,I71,J71,K71,L71,M71,N71,O71,P71,Q71,R71,S71,T71,U71,V71,W71,X71,Y71,Z71,AA71,AB71,AC71,AD71,AE71,AF71,AG71,AH71,AI71)=0,"",IF(OR(B71="",E71="",H71="",J71="",K71="",L71="",M71="",O71="",P71="",Q71="",R71="",S71="",T71="",U71="",W71="",X71="",Y71="",AB71="",AC71="",AE71="",AF71=""),"Incompleta: faltan campos obligatorios",IF(AND(LEFT(H71,6)="PROPIA",I71=""),"Falta el nombre de la acción propia del área",IF(AND(LEFT(H71,3)="A27",IFERROR(INDEX(Catalogos!$T$5:$T$207,MATCH(H71,Catalogos!$U$5:$U$207,0)),"x")&lt;&gt;LEFT(E71,7)),"La acción no corresponde a la meta seleccionada",IF(OR(NOT(ISNUMBER(M71)),M71&lt;10000000,M71&gt;99999999),"Código UNSPSC inválido: registre 8 dígitos",IF(MOD(M71,10000)=0,"UNSPSC a nivel de segmento o familia: use clase o producto",IF(IFERROR(MATCH(P71,L_MESES,0)&lt;MATCH(O71,L_MESES,0),TRUE()),"El mes de ofertas es anterior al de inicio del proceso",IF(OR(NOT(ISNUMBER(Q71)),Q71&lt;=0),"Duración inválida",IF(OR(NOT(ISNUMBER(W71)),NOT(ISNUMBER(X71))),"Valor inválido: registre solo números",IF(OR(W71&lt;=0,X71&lt;=0),"Valor inválido: debe ser mayor que cero",IF(X71&gt;W71,"El valor de la vigencia 2027 supera el valor total",IF(AND(X71&lt;W71,Y71="No"),"El valor total supera el de 2027: requiere vigencias futuras",IF(AND(Y71="Sí",OR(Z71="",Z71="No aplica")),"Indique el estado de la solicitud de vigencias futuras",IF(IF(AND(S71="Mínima cuantía",ISNUMBER(P_TOPE_MINIMA)),W71&gt;P_TOPE_MINIMA,FALSE()),"El valor supera el tope de mínima cuantía 2027",IF(IF(AND(S71="Selección abreviada de menor cuantía",ISNUMBER(P_TOPE_MENOR)),W71&gt;P_TOPE_MENOR,FALSE()),"El valor supera el tope de menor cuantía 2027",IF(OR(ISERROR(SEARCH("@itc.edu.co",AE71)),SUMPRODUCT(--ISNUMBER(SEARCH({"á","é","í","ó","ú","ñ"," "},AE71)))&gt;0),"El correo del responsable no es institucional válido",IF(AND(AF71="Sí",AG71=""),"Indique el N.° de registro 2026 que continúa","OK")))))))))))))))))</f>
        <v/>
      </c>
      <c r="AK71" s="15" t="str">
        <f>IF(AJ71="OK",COUNTIF($AJ$7:AJ71,"OK"),"")</f>
        <v/>
      </c>
    </row>
    <row r="72" spans="1:37" x14ac:dyDescent="0.3">
      <c r="A72" s="13" t="str">
        <f t="shared" si="1"/>
        <v>PN27-066</v>
      </c>
      <c r="B72" s="26"/>
      <c r="C72" s="13" t="str">
        <f>IF(B72="","",IFERROR(INDEX(Catalogos!$R$5:$R$51,MATCH(B72,L_AREAS,0)),""))</f>
        <v/>
      </c>
      <c r="D72" s="13" t="str">
        <f>IF(B72="","",IFERROR(INDEX(Catalogos!$O$5:$O$51,MATCH(B72,L_AREAS,0)),""))</f>
        <v/>
      </c>
      <c r="E72" s="26"/>
      <c r="F72" s="13" t="str">
        <f>IF(E72="","",IFERROR(INDEX(Catalogos!$C$5:$C$49,MATCH(E72,L_METAS,0)),""))</f>
        <v/>
      </c>
      <c r="G72" s="13" t="str">
        <f>IF(E72="","",IFERROR(INDEX(Catalogos!$E$5:$E$49,MATCH(E72,L_METAS,0)),""))</f>
        <v/>
      </c>
      <c r="H72" s="26"/>
      <c r="I72" s="26"/>
      <c r="J72" s="26"/>
      <c r="K72" s="26"/>
      <c r="L72" s="26"/>
      <c r="M72" s="27"/>
      <c r="N72" s="26"/>
      <c r="O72" s="26"/>
      <c r="P72" s="26"/>
      <c r="Q72" s="26"/>
      <c r="R72" s="26"/>
      <c r="S72" s="26"/>
      <c r="T72" s="26"/>
      <c r="U72" s="26"/>
      <c r="V72" s="26"/>
      <c r="W72" s="28"/>
      <c r="X72" s="28"/>
      <c r="Y72" s="26"/>
      <c r="Z72" s="26"/>
      <c r="AA72" s="26"/>
      <c r="AB72" s="26"/>
      <c r="AC72" s="26"/>
      <c r="AD72" s="26"/>
      <c r="AE72" s="26"/>
      <c r="AF72" s="26"/>
      <c r="AG72" s="26"/>
      <c r="AH72" s="26"/>
      <c r="AI72" s="26"/>
      <c r="AJ72" s="15" t="str">
        <f>IF(COUNTA(B72,E72,H72,I72,J72,K72,L72,M72,N72,O72,P72,Q72,R72,S72,T72,U72,V72,W72,X72,Y72,Z72,AA72,AB72,AC72,AD72,AE72,AF72,AG72,AH72,AI72)=0,"",IF(OR(B72="",E72="",H72="",J72="",K72="",L72="",M72="",O72="",P72="",Q72="",R72="",S72="",T72="",U72="",W72="",X72="",Y72="",AB72="",AC72="",AE72="",AF72=""),"Incompleta: faltan campos obligatorios",IF(AND(LEFT(H72,6)="PROPIA",I72=""),"Falta el nombre de la acción propia del área",IF(AND(LEFT(H72,3)="A27",IFERROR(INDEX(Catalogos!$T$5:$T$207,MATCH(H72,Catalogos!$U$5:$U$207,0)),"x")&lt;&gt;LEFT(E72,7)),"La acción no corresponde a la meta seleccionada",IF(OR(NOT(ISNUMBER(M72)),M72&lt;10000000,M72&gt;99999999),"Código UNSPSC inválido: registre 8 dígitos",IF(MOD(M72,10000)=0,"UNSPSC a nivel de segmento o familia: use clase o producto",IF(IFERROR(MATCH(P72,L_MESES,0)&lt;MATCH(O72,L_MESES,0),TRUE()),"El mes de ofertas es anterior al de inicio del proceso",IF(OR(NOT(ISNUMBER(Q72)),Q72&lt;=0),"Duración inválida",IF(OR(NOT(ISNUMBER(W72)),NOT(ISNUMBER(X72))),"Valor inválido: registre solo números",IF(OR(W72&lt;=0,X72&lt;=0),"Valor inválido: debe ser mayor que cero",IF(X72&gt;W72,"El valor de la vigencia 2027 supera el valor total",IF(AND(X72&lt;W72,Y72="No"),"El valor total supera el de 2027: requiere vigencias futuras",IF(AND(Y72="Sí",OR(Z72="",Z72="No aplica")),"Indique el estado de la solicitud de vigencias futuras",IF(IF(AND(S72="Mínima cuantía",ISNUMBER(P_TOPE_MINIMA)),W72&gt;P_TOPE_MINIMA,FALSE()),"El valor supera el tope de mínima cuantía 2027",IF(IF(AND(S72="Selección abreviada de menor cuantía",ISNUMBER(P_TOPE_MENOR)),W72&gt;P_TOPE_MENOR,FALSE()),"El valor supera el tope de menor cuantía 2027",IF(OR(ISERROR(SEARCH("@itc.edu.co",AE72)),SUMPRODUCT(--ISNUMBER(SEARCH({"á","é","í","ó","ú","ñ"," "},AE72)))&gt;0),"El correo del responsable no es institucional válido",IF(AND(AF72="Sí",AG72=""),"Indique el N.° de registro 2026 que continúa","OK")))))))))))))))))</f>
        <v/>
      </c>
      <c r="AK72" s="15" t="str">
        <f>IF(AJ72="OK",COUNTIF($AJ$7:AJ72,"OK"),"")</f>
        <v/>
      </c>
    </row>
    <row r="73" spans="1:37" x14ac:dyDescent="0.3">
      <c r="A73" s="13" t="str">
        <f t="shared" si="1"/>
        <v>PN27-067</v>
      </c>
      <c r="B73" s="26"/>
      <c r="C73" s="13" t="str">
        <f>IF(B73="","",IFERROR(INDEX(Catalogos!$R$5:$R$51,MATCH(B73,L_AREAS,0)),""))</f>
        <v/>
      </c>
      <c r="D73" s="13" t="str">
        <f>IF(B73="","",IFERROR(INDEX(Catalogos!$O$5:$O$51,MATCH(B73,L_AREAS,0)),""))</f>
        <v/>
      </c>
      <c r="E73" s="26"/>
      <c r="F73" s="13" t="str">
        <f>IF(E73="","",IFERROR(INDEX(Catalogos!$C$5:$C$49,MATCH(E73,L_METAS,0)),""))</f>
        <v/>
      </c>
      <c r="G73" s="13" t="str">
        <f>IF(E73="","",IFERROR(INDEX(Catalogos!$E$5:$E$49,MATCH(E73,L_METAS,0)),""))</f>
        <v/>
      </c>
      <c r="H73" s="26"/>
      <c r="I73" s="26"/>
      <c r="J73" s="26"/>
      <c r="K73" s="26"/>
      <c r="L73" s="26"/>
      <c r="M73" s="27"/>
      <c r="N73" s="26"/>
      <c r="O73" s="26"/>
      <c r="P73" s="26"/>
      <c r="Q73" s="26"/>
      <c r="R73" s="26"/>
      <c r="S73" s="26"/>
      <c r="T73" s="26"/>
      <c r="U73" s="26"/>
      <c r="V73" s="26"/>
      <c r="W73" s="28"/>
      <c r="X73" s="28"/>
      <c r="Y73" s="26"/>
      <c r="Z73" s="26"/>
      <c r="AA73" s="26"/>
      <c r="AB73" s="26"/>
      <c r="AC73" s="26"/>
      <c r="AD73" s="26"/>
      <c r="AE73" s="26"/>
      <c r="AF73" s="26"/>
      <c r="AG73" s="26"/>
      <c r="AH73" s="26"/>
      <c r="AI73" s="26"/>
      <c r="AJ73" s="15" t="str">
        <f>IF(COUNTA(B73,E73,H73,I73,J73,K73,L73,M73,N73,O73,P73,Q73,R73,S73,T73,U73,V73,W73,X73,Y73,Z73,AA73,AB73,AC73,AD73,AE73,AF73,AG73,AH73,AI73)=0,"",IF(OR(B73="",E73="",H73="",J73="",K73="",L73="",M73="",O73="",P73="",Q73="",R73="",S73="",T73="",U73="",W73="",X73="",Y73="",AB73="",AC73="",AE73="",AF73=""),"Incompleta: faltan campos obligatorios",IF(AND(LEFT(H73,6)="PROPIA",I73=""),"Falta el nombre de la acción propia del área",IF(AND(LEFT(H73,3)="A27",IFERROR(INDEX(Catalogos!$T$5:$T$207,MATCH(H73,Catalogos!$U$5:$U$207,0)),"x")&lt;&gt;LEFT(E73,7)),"La acción no corresponde a la meta seleccionada",IF(OR(NOT(ISNUMBER(M73)),M73&lt;10000000,M73&gt;99999999),"Código UNSPSC inválido: registre 8 dígitos",IF(MOD(M73,10000)=0,"UNSPSC a nivel de segmento o familia: use clase o producto",IF(IFERROR(MATCH(P73,L_MESES,0)&lt;MATCH(O73,L_MESES,0),TRUE()),"El mes de ofertas es anterior al de inicio del proceso",IF(OR(NOT(ISNUMBER(Q73)),Q73&lt;=0),"Duración inválida",IF(OR(NOT(ISNUMBER(W73)),NOT(ISNUMBER(X73))),"Valor inválido: registre solo números",IF(OR(W73&lt;=0,X73&lt;=0),"Valor inválido: debe ser mayor que cero",IF(X73&gt;W73,"El valor de la vigencia 2027 supera el valor total",IF(AND(X73&lt;W73,Y73="No"),"El valor total supera el de 2027: requiere vigencias futuras",IF(AND(Y73="Sí",OR(Z73="",Z73="No aplica")),"Indique el estado de la solicitud de vigencias futuras",IF(IF(AND(S73="Mínima cuantía",ISNUMBER(P_TOPE_MINIMA)),W73&gt;P_TOPE_MINIMA,FALSE()),"El valor supera el tope de mínima cuantía 2027",IF(IF(AND(S73="Selección abreviada de menor cuantía",ISNUMBER(P_TOPE_MENOR)),W73&gt;P_TOPE_MENOR,FALSE()),"El valor supera el tope de menor cuantía 2027",IF(OR(ISERROR(SEARCH("@itc.edu.co",AE73)),SUMPRODUCT(--ISNUMBER(SEARCH({"á","é","í","ó","ú","ñ"," "},AE73)))&gt;0),"El correo del responsable no es institucional válido",IF(AND(AF73="Sí",AG73=""),"Indique el N.° de registro 2026 que continúa","OK")))))))))))))))))</f>
        <v/>
      </c>
      <c r="AK73" s="15" t="str">
        <f>IF(AJ73="OK",COUNTIF($AJ$7:AJ73,"OK"),"")</f>
        <v/>
      </c>
    </row>
    <row r="74" spans="1:37" x14ac:dyDescent="0.3">
      <c r="A74" s="13" t="str">
        <f t="shared" si="1"/>
        <v>PN27-068</v>
      </c>
      <c r="B74" s="26"/>
      <c r="C74" s="13" t="str">
        <f>IF(B74="","",IFERROR(INDEX(Catalogos!$R$5:$R$51,MATCH(B74,L_AREAS,0)),""))</f>
        <v/>
      </c>
      <c r="D74" s="13" t="str">
        <f>IF(B74="","",IFERROR(INDEX(Catalogos!$O$5:$O$51,MATCH(B74,L_AREAS,0)),""))</f>
        <v/>
      </c>
      <c r="E74" s="26"/>
      <c r="F74" s="13" t="str">
        <f>IF(E74="","",IFERROR(INDEX(Catalogos!$C$5:$C$49,MATCH(E74,L_METAS,0)),""))</f>
        <v/>
      </c>
      <c r="G74" s="13" t="str">
        <f>IF(E74="","",IFERROR(INDEX(Catalogos!$E$5:$E$49,MATCH(E74,L_METAS,0)),""))</f>
        <v/>
      </c>
      <c r="H74" s="26"/>
      <c r="I74" s="26"/>
      <c r="J74" s="26"/>
      <c r="K74" s="26"/>
      <c r="L74" s="26"/>
      <c r="M74" s="27"/>
      <c r="N74" s="26"/>
      <c r="O74" s="26"/>
      <c r="P74" s="26"/>
      <c r="Q74" s="26"/>
      <c r="R74" s="26"/>
      <c r="S74" s="26"/>
      <c r="T74" s="26"/>
      <c r="U74" s="26"/>
      <c r="V74" s="26"/>
      <c r="W74" s="28"/>
      <c r="X74" s="28"/>
      <c r="Y74" s="26"/>
      <c r="Z74" s="26"/>
      <c r="AA74" s="26"/>
      <c r="AB74" s="26"/>
      <c r="AC74" s="26"/>
      <c r="AD74" s="26"/>
      <c r="AE74" s="26"/>
      <c r="AF74" s="26"/>
      <c r="AG74" s="26"/>
      <c r="AH74" s="26"/>
      <c r="AI74" s="26"/>
      <c r="AJ74" s="15" t="str">
        <f>IF(COUNTA(B74,E74,H74,I74,J74,K74,L74,M74,N74,O74,P74,Q74,R74,S74,T74,U74,V74,W74,X74,Y74,Z74,AA74,AB74,AC74,AD74,AE74,AF74,AG74,AH74,AI74)=0,"",IF(OR(B74="",E74="",H74="",J74="",K74="",L74="",M74="",O74="",P74="",Q74="",R74="",S74="",T74="",U74="",W74="",X74="",Y74="",AB74="",AC74="",AE74="",AF74=""),"Incompleta: faltan campos obligatorios",IF(AND(LEFT(H74,6)="PROPIA",I74=""),"Falta el nombre de la acción propia del área",IF(AND(LEFT(H74,3)="A27",IFERROR(INDEX(Catalogos!$T$5:$T$207,MATCH(H74,Catalogos!$U$5:$U$207,0)),"x")&lt;&gt;LEFT(E74,7)),"La acción no corresponde a la meta seleccionada",IF(OR(NOT(ISNUMBER(M74)),M74&lt;10000000,M74&gt;99999999),"Código UNSPSC inválido: registre 8 dígitos",IF(MOD(M74,10000)=0,"UNSPSC a nivel de segmento o familia: use clase o producto",IF(IFERROR(MATCH(P74,L_MESES,0)&lt;MATCH(O74,L_MESES,0),TRUE()),"El mes de ofertas es anterior al de inicio del proceso",IF(OR(NOT(ISNUMBER(Q74)),Q74&lt;=0),"Duración inválida",IF(OR(NOT(ISNUMBER(W74)),NOT(ISNUMBER(X74))),"Valor inválido: registre solo números",IF(OR(W74&lt;=0,X74&lt;=0),"Valor inválido: debe ser mayor que cero",IF(X74&gt;W74,"El valor de la vigencia 2027 supera el valor total",IF(AND(X74&lt;W74,Y74="No"),"El valor total supera el de 2027: requiere vigencias futuras",IF(AND(Y74="Sí",OR(Z74="",Z74="No aplica")),"Indique el estado de la solicitud de vigencias futuras",IF(IF(AND(S74="Mínima cuantía",ISNUMBER(P_TOPE_MINIMA)),W74&gt;P_TOPE_MINIMA,FALSE()),"El valor supera el tope de mínima cuantía 2027",IF(IF(AND(S74="Selección abreviada de menor cuantía",ISNUMBER(P_TOPE_MENOR)),W74&gt;P_TOPE_MENOR,FALSE()),"El valor supera el tope de menor cuantía 2027",IF(OR(ISERROR(SEARCH("@itc.edu.co",AE74)),SUMPRODUCT(--ISNUMBER(SEARCH({"á","é","í","ó","ú","ñ"," "},AE74)))&gt;0),"El correo del responsable no es institucional válido",IF(AND(AF74="Sí",AG74=""),"Indique el N.° de registro 2026 que continúa","OK")))))))))))))))))</f>
        <v/>
      </c>
      <c r="AK74" s="15" t="str">
        <f>IF(AJ74="OK",COUNTIF($AJ$7:AJ74,"OK"),"")</f>
        <v/>
      </c>
    </row>
    <row r="75" spans="1:37" x14ac:dyDescent="0.3">
      <c r="A75" s="13" t="str">
        <f t="shared" si="1"/>
        <v>PN27-069</v>
      </c>
      <c r="B75" s="26"/>
      <c r="C75" s="13" t="str">
        <f>IF(B75="","",IFERROR(INDEX(Catalogos!$R$5:$R$51,MATCH(B75,L_AREAS,0)),""))</f>
        <v/>
      </c>
      <c r="D75" s="13" t="str">
        <f>IF(B75="","",IFERROR(INDEX(Catalogos!$O$5:$O$51,MATCH(B75,L_AREAS,0)),""))</f>
        <v/>
      </c>
      <c r="E75" s="26"/>
      <c r="F75" s="13" t="str">
        <f>IF(E75="","",IFERROR(INDEX(Catalogos!$C$5:$C$49,MATCH(E75,L_METAS,0)),""))</f>
        <v/>
      </c>
      <c r="G75" s="13" t="str">
        <f>IF(E75="","",IFERROR(INDEX(Catalogos!$E$5:$E$49,MATCH(E75,L_METAS,0)),""))</f>
        <v/>
      </c>
      <c r="H75" s="26"/>
      <c r="I75" s="26"/>
      <c r="J75" s="26"/>
      <c r="K75" s="26"/>
      <c r="L75" s="26"/>
      <c r="M75" s="27"/>
      <c r="N75" s="26"/>
      <c r="O75" s="26"/>
      <c r="P75" s="26"/>
      <c r="Q75" s="26"/>
      <c r="R75" s="26"/>
      <c r="S75" s="26"/>
      <c r="T75" s="26"/>
      <c r="U75" s="26"/>
      <c r="V75" s="26"/>
      <c r="W75" s="28"/>
      <c r="X75" s="28"/>
      <c r="Y75" s="26"/>
      <c r="Z75" s="26"/>
      <c r="AA75" s="26"/>
      <c r="AB75" s="26"/>
      <c r="AC75" s="26"/>
      <c r="AD75" s="26"/>
      <c r="AE75" s="26"/>
      <c r="AF75" s="26"/>
      <c r="AG75" s="26"/>
      <c r="AH75" s="26"/>
      <c r="AI75" s="26"/>
      <c r="AJ75" s="15" t="str">
        <f>IF(COUNTA(B75,E75,H75,I75,J75,K75,L75,M75,N75,O75,P75,Q75,R75,S75,T75,U75,V75,W75,X75,Y75,Z75,AA75,AB75,AC75,AD75,AE75,AF75,AG75,AH75,AI75)=0,"",IF(OR(B75="",E75="",H75="",J75="",K75="",L75="",M75="",O75="",P75="",Q75="",R75="",S75="",T75="",U75="",W75="",X75="",Y75="",AB75="",AC75="",AE75="",AF75=""),"Incompleta: faltan campos obligatorios",IF(AND(LEFT(H75,6)="PROPIA",I75=""),"Falta el nombre de la acción propia del área",IF(AND(LEFT(H75,3)="A27",IFERROR(INDEX(Catalogos!$T$5:$T$207,MATCH(H75,Catalogos!$U$5:$U$207,0)),"x")&lt;&gt;LEFT(E75,7)),"La acción no corresponde a la meta seleccionada",IF(OR(NOT(ISNUMBER(M75)),M75&lt;10000000,M75&gt;99999999),"Código UNSPSC inválido: registre 8 dígitos",IF(MOD(M75,10000)=0,"UNSPSC a nivel de segmento o familia: use clase o producto",IF(IFERROR(MATCH(P75,L_MESES,0)&lt;MATCH(O75,L_MESES,0),TRUE()),"El mes de ofertas es anterior al de inicio del proceso",IF(OR(NOT(ISNUMBER(Q75)),Q75&lt;=0),"Duración inválida",IF(OR(NOT(ISNUMBER(W75)),NOT(ISNUMBER(X75))),"Valor inválido: registre solo números",IF(OR(W75&lt;=0,X75&lt;=0),"Valor inválido: debe ser mayor que cero",IF(X75&gt;W75,"El valor de la vigencia 2027 supera el valor total",IF(AND(X75&lt;W75,Y75="No"),"El valor total supera el de 2027: requiere vigencias futuras",IF(AND(Y75="Sí",OR(Z75="",Z75="No aplica")),"Indique el estado de la solicitud de vigencias futuras",IF(IF(AND(S75="Mínima cuantía",ISNUMBER(P_TOPE_MINIMA)),W75&gt;P_TOPE_MINIMA,FALSE()),"El valor supera el tope de mínima cuantía 2027",IF(IF(AND(S75="Selección abreviada de menor cuantía",ISNUMBER(P_TOPE_MENOR)),W75&gt;P_TOPE_MENOR,FALSE()),"El valor supera el tope de menor cuantía 2027",IF(OR(ISERROR(SEARCH("@itc.edu.co",AE75)),SUMPRODUCT(--ISNUMBER(SEARCH({"á","é","í","ó","ú","ñ"," "},AE75)))&gt;0),"El correo del responsable no es institucional válido",IF(AND(AF75="Sí",AG75=""),"Indique el N.° de registro 2026 que continúa","OK")))))))))))))))))</f>
        <v/>
      </c>
      <c r="AK75" s="15" t="str">
        <f>IF(AJ75="OK",COUNTIF($AJ$7:AJ75,"OK"),"")</f>
        <v/>
      </c>
    </row>
    <row r="76" spans="1:37" x14ac:dyDescent="0.3">
      <c r="A76" s="13" t="str">
        <f t="shared" si="1"/>
        <v>PN27-070</v>
      </c>
      <c r="B76" s="26"/>
      <c r="C76" s="13" t="str">
        <f>IF(B76="","",IFERROR(INDEX(Catalogos!$R$5:$R$51,MATCH(B76,L_AREAS,0)),""))</f>
        <v/>
      </c>
      <c r="D76" s="13" t="str">
        <f>IF(B76="","",IFERROR(INDEX(Catalogos!$O$5:$O$51,MATCH(B76,L_AREAS,0)),""))</f>
        <v/>
      </c>
      <c r="E76" s="26"/>
      <c r="F76" s="13" t="str">
        <f>IF(E76="","",IFERROR(INDEX(Catalogos!$C$5:$C$49,MATCH(E76,L_METAS,0)),""))</f>
        <v/>
      </c>
      <c r="G76" s="13" t="str">
        <f>IF(E76="","",IFERROR(INDEX(Catalogos!$E$5:$E$49,MATCH(E76,L_METAS,0)),""))</f>
        <v/>
      </c>
      <c r="H76" s="26"/>
      <c r="I76" s="26"/>
      <c r="J76" s="26"/>
      <c r="K76" s="26"/>
      <c r="L76" s="26"/>
      <c r="M76" s="27"/>
      <c r="N76" s="26"/>
      <c r="O76" s="26"/>
      <c r="P76" s="26"/>
      <c r="Q76" s="26"/>
      <c r="R76" s="26"/>
      <c r="S76" s="26"/>
      <c r="T76" s="26"/>
      <c r="U76" s="26"/>
      <c r="V76" s="26"/>
      <c r="W76" s="28"/>
      <c r="X76" s="28"/>
      <c r="Y76" s="26"/>
      <c r="Z76" s="26"/>
      <c r="AA76" s="26"/>
      <c r="AB76" s="26"/>
      <c r="AC76" s="26"/>
      <c r="AD76" s="26"/>
      <c r="AE76" s="26"/>
      <c r="AF76" s="26"/>
      <c r="AG76" s="26"/>
      <c r="AH76" s="26"/>
      <c r="AI76" s="26"/>
      <c r="AJ76" s="15" t="str">
        <f>IF(COUNTA(B76,E76,H76,I76,J76,K76,L76,M76,N76,O76,P76,Q76,R76,S76,T76,U76,V76,W76,X76,Y76,Z76,AA76,AB76,AC76,AD76,AE76,AF76,AG76,AH76,AI76)=0,"",IF(OR(B76="",E76="",H76="",J76="",K76="",L76="",M76="",O76="",P76="",Q76="",R76="",S76="",T76="",U76="",W76="",X76="",Y76="",AB76="",AC76="",AE76="",AF76=""),"Incompleta: faltan campos obligatorios",IF(AND(LEFT(H76,6)="PROPIA",I76=""),"Falta el nombre de la acción propia del área",IF(AND(LEFT(H76,3)="A27",IFERROR(INDEX(Catalogos!$T$5:$T$207,MATCH(H76,Catalogos!$U$5:$U$207,0)),"x")&lt;&gt;LEFT(E76,7)),"La acción no corresponde a la meta seleccionada",IF(OR(NOT(ISNUMBER(M76)),M76&lt;10000000,M76&gt;99999999),"Código UNSPSC inválido: registre 8 dígitos",IF(MOD(M76,10000)=0,"UNSPSC a nivel de segmento o familia: use clase o producto",IF(IFERROR(MATCH(P76,L_MESES,0)&lt;MATCH(O76,L_MESES,0),TRUE()),"El mes de ofertas es anterior al de inicio del proceso",IF(OR(NOT(ISNUMBER(Q76)),Q76&lt;=0),"Duración inválida",IF(OR(NOT(ISNUMBER(W76)),NOT(ISNUMBER(X76))),"Valor inválido: registre solo números",IF(OR(W76&lt;=0,X76&lt;=0),"Valor inválido: debe ser mayor que cero",IF(X76&gt;W76,"El valor de la vigencia 2027 supera el valor total",IF(AND(X76&lt;W76,Y76="No"),"El valor total supera el de 2027: requiere vigencias futuras",IF(AND(Y76="Sí",OR(Z76="",Z76="No aplica")),"Indique el estado de la solicitud de vigencias futuras",IF(IF(AND(S76="Mínima cuantía",ISNUMBER(P_TOPE_MINIMA)),W76&gt;P_TOPE_MINIMA,FALSE()),"El valor supera el tope de mínima cuantía 2027",IF(IF(AND(S76="Selección abreviada de menor cuantía",ISNUMBER(P_TOPE_MENOR)),W76&gt;P_TOPE_MENOR,FALSE()),"El valor supera el tope de menor cuantía 2027",IF(OR(ISERROR(SEARCH("@itc.edu.co",AE76)),SUMPRODUCT(--ISNUMBER(SEARCH({"á","é","í","ó","ú","ñ"," "},AE76)))&gt;0),"El correo del responsable no es institucional válido",IF(AND(AF76="Sí",AG76=""),"Indique el N.° de registro 2026 que continúa","OK")))))))))))))))))</f>
        <v/>
      </c>
      <c r="AK76" s="15" t="str">
        <f>IF(AJ76="OK",COUNTIF($AJ$7:AJ76,"OK"),"")</f>
        <v/>
      </c>
    </row>
    <row r="77" spans="1:37" x14ac:dyDescent="0.3">
      <c r="A77" s="13" t="str">
        <f t="shared" si="1"/>
        <v>PN27-071</v>
      </c>
      <c r="B77" s="26"/>
      <c r="C77" s="13" t="str">
        <f>IF(B77="","",IFERROR(INDEX(Catalogos!$R$5:$R$51,MATCH(B77,L_AREAS,0)),""))</f>
        <v/>
      </c>
      <c r="D77" s="13" t="str">
        <f>IF(B77="","",IFERROR(INDEX(Catalogos!$O$5:$O$51,MATCH(B77,L_AREAS,0)),""))</f>
        <v/>
      </c>
      <c r="E77" s="26"/>
      <c r="F77" s="13" t="str">
        <f>IF(E77="","",IFERROR(INDEX(Catalogos!$C$5:$C$49,MATCH(E77,L_METAS,0)),""))</f>
        <v/>
      </c>
      <c r="G77" s="13" t="str">
        <f>IF(E77="","",IFERROR(INDEX(Catalogos!$E$5:$E$49,MATCH(E77,L_METAS,0)),""))</f>
        <v/>
      </c>
      <c r="H77" s="26"/>
      <c r="I77" s="26"/>
      <c r="J77" s="26"/>
      <c r="K77" s="26"/>
      <c r="L77" s="26"/>
      <c r="M77" s="27"/>
      <c r="N77" s="26"/>
      <c r="O77" s="26"/>
      <c r="P77" s="26"/>
      <c r="Q77" s="26"/>
      <c r="R77" s="26"/>
      <c r="S77" s="26"/>
      <c r="T77" s="26"/>
      <c r="U77" s="26"/>
      <c r="V77" s="26"/>
      <c r="W77" s="28"/>
      <c r="X77" s="28"/>
      <c r="Y77" s="26"/>
      <c r="Z77" s="26"/>
      <c r="AA77" s="26"/>
      <c r="AB77" s="26"/>
      <c r="AC77" s="26"/>
      <c r="AD77" s="26"/>
      <c r="AE77" s="26"/>
      <c r="AF77" s="26"/>
      <c r="AG77" s="26"/>
      <c r="AH77" s="26"/>
      <c r="AI77" s="26"/>
      <c r="AJ77" s="15" t="str">
        <f>IF(COUNTA(B77,E77,H77,I77,J77,K77,L77,M77,N77,O77,P77,Q77,R77,S77,T77,U77,V77,W77,X77,Y77,Z77,AA77,AB77,AC77,AD77,AE77,AF77,AG77,AH77,AI77)=0,"",IF(OR(B77="",E77="",H77="",J77="",K77="",L77="",M77="",O77="",P77="",Q77="",R77="",S77="",T77="",U77="",W77="",X77="",Y77="",AB77="",AC77="",AE77="",AF77=""),"Incompleta: faltan campos obligatorios",IF(AND(LEFT(H77,6)="PROPIA",I77=""),"Falta el nombre de la acción propia del área",IF(AND(LEFT(H77,3)="A27",IFERROR(INDEX(Catalogos!$T$5:$T$207,MATCH(H77,Catalogos!$U$5:$U$207,0)),"x")&lt;&gt;LEFT(E77,7)),"La acción no corresponde a la meta seleccionada",IF(OR(NOT(ISNUMBER(M77)),M77&lt;10000000,M77&gt;99999999),"Código UNSPSC inválido: registre 8 dígitos",IF(MOD(M77,10000)=0,"UNSPSC a nivel de segmento o familia: use clase o producto",IF(IFERROR(MATCH(P77,L_MESES,0)&lt;MATCH(O77,L_MESES,0),TRUE()),"El mes de ofertas es anterior al de inicio del proceso",IF(OR(NOT(ISNUMBER(Q77)),Q77&lt;=0),"Duración inválida",IF(OR(NOT(ISNUMBER(W77)),NOT(ISNUMBER(X77))),"Valor inválido: registre solo números",IF(OR(W77&lt;=0,X77&lt;=0),"Valor inválido: debe ser mayor que cero",IF(X77&gt;W77,"El valor de la vigencia 2027 supera el valor total",IF(AND(X77&lt;W77,Y77="No"),"El valor total supera el de 2027: requiere vigencias futuras",IF(AND(Y77="Sí",OR(Z77="",Z77="No aplica")),"Indique el estado de la solicitud de vigencias futuras",IF(IF(AND(S77="Mínima cuantía",ISNUMBER(P_TOPE_MINIMA)),W77&gt;P_TOPE_MINIMA,FALSE()),"El valor supera el tope de mínima cuantía 2027",IF(IF(AND(S77="Selección abreviada de menor cuantía",ISNUMBER(P_TOPE_MENOR)),W77&gt;P_TOPE_MENOR,FALSE()),"El valor supera el tope de menor cuantía 2027",IF(OR(ISERROR(SEARCH("@itc.edu.co",AE77)),SUMPRODUCT(--ISNUMBER(SEARCH({"á","é","í","ó","ú","ñ"," "},AE77)))&gt;0),"El correo del responsable no es institucional válido",IF(AND(AF77="Sí",AG77=""),"Indique el N.° de registro 2026 que continúa","OK")))))))))))))))))</f>
        <v/>
      </c>
      <c r="AK77" s="15" t="str">
        <f>IF(AJ77="OK",COUNTIF($AJ$7:AJ77,"OK"),"")</f>
        <v/>
      </c>
    </row>
    <row r="78" spans="1:37" x14ac:dyDescent="0.3">
      <c r="A78" s="13" t="str">
        <f t="shared" si="1"/>
        <v>PN27-072</v>
      </c>
      <c r="B78" s="26"/>
      <c r="C78" s="13" t="str">
        <f>IF(B78="","",IFERROR(INDEX(Catalogos!$R$5:$R$51,MATCH(B78,L_AREAS,0)),""))</f>
        <v/>
      </c>
      <c r="D78" s="13" t="str">
        <f>IF(B78="","",IFERROR(INDEX(Catalogos!$O$5:$O$51,MATCH(B78,L_AREAS,0)),""))</f>
        <v/>
      </c>
      <c r="E78" s="26"/>
      <c r="F78" s="13" t="str">
        <f>IF(E78="","",IFERROR(INDEX(Catalogos!$C$5:$C$49,MATCH(E78,L_METAS,0)),""))</f>
        <v/>
      </c>
      <c r="G78" s="13" t="str">
        <f>IF(E78="","",IFERROR(INDEX(Catalogos!$E$5:$E$49,MATCH(E78,L_METAS,0)),""))</f>
        <v/>
      </c>
      <c r="H78" s="26"/>
      <c r="I78" s="26"/>
      <c r="J78" s="26"/>
      <c r="K78" s="26"/>
      <c r="L78" s="26"/>
      <c r="M78" s="27"/>
      <c r="N78" s="26"/>
      <c r="O78" s="26"/>
      <c r="P78" s="26"/>
      <c r="Q78" s="26"/>
      <c r="R78" s="26"/>
      <c r="S78" s="26"/>
      <c r="T78" s="26"/>
      <c r="U78" s="26"/>
      <c r="V78" s="26"/>
      <c r="W78" s="28"/>
      <c r="X78" s="28"/>
      <c r="Y78" s="26"/>
      <c r="Z78" s="26"/>
      <c r="AA78" s="26"/>
      <c r="AB78" s="26"/>
      <c r="AC78" s="26"/>
      <c r="AD78" s="26"/>
      <c r="AE78" s="26"/>
      <c r="AF78" s="26"/>
      <c r="AG78" s="26"/>
      <c r="AH78" s="26"/>
      <c r="AI78" s="26"/>
      <c r="AJ78" s="15" t="str">
        <f>IF(COUNTA(B78,E78,H78,I78,J78,K78,L78,M78,N78,O78,P78,Q78,R78,S78,T78,U78,V78,W78,X78,Y78,Z78,AA78,AB78,AC78,AD78,AE78,AF78,AG78,AH78,AI78)=0,"",IF(OR(B78="",E78="",H78="",J78="",K78="",L78="",M78="",O78="",P78="",Q78="",R78="",S78="",T78="",U78="",W78="",X78="",Y78="",AB78="",AC78="",AE78="",AF78=""),"Incompleta: faltan campos obligatorios",IF(AND(LEFT(H78,6)="PROPIA",I78=""),"Falta el nombre de la acción propia del área",IF(AND(LEFT(H78,3)="A27",IFERROR(INDEX(Catalogos!$T$5:$T$207,MATCH(H78,Catalogos!$U$5:$U$207,0)),"x")&lt;&gt;LEFT(E78,7)),"La acción no corresponde a la meta seleccionada",IF(OR(NOT(ISNUMBER(M78)),M78&lt;10000000,M78&gt;99999999),"Código UNSPSC inválido: registre 8 dígitos",IF(MOD(M78,10000)=0,"UNSPSC a nivel de segmento o familia: use clase o producto",IF(IFERROR(MATCH(P78,L_MESES,0)&lt;MATCH(O78,L_MESES,0),TRUE()),"El mes de ofertas es anterior al de inicio del proceso",IF(OR(NOT(ISNUMBER(Q78)),Q78&lt;=0),"Duración inválida",IF(OR(NOT(ISNUMBER(W78)),NOT(ISNUMBER(X78))),"Valor inválido: registre solo números",IF(OR(W78&lt;=0,X78&lt;=0),"Valor inválido: debe ser mayor que cero",IF(X78&gt;W78,"El valor de la vigencia 2027 supera el valor total",IF(AND(X78&lt;W78,Y78="No"),"El valor total supera el de 2027: requiere vigencias futuras",IF(AND(Y78="Sí",OR(Z78="",Z78="No aplica")),"Indique el estado de la solicitud de vigencias futuras",IF(IF(AND(S78="Mínima cuantía",ISNUMBER(P_TOPE_MINIMA)),W78&gt;P_TOPE_MINIMA,FALSE()),"El valor supera el tope de mínima cuantía 2027",IF(IF(AND(S78="Selección abreviada de menor cuantía",ISNUMBER(P_TOPE_MENOR)),W78&gt;P_TOPE_MENOR,FALSE()),"El valor supera el tope de menor cuantía 2027",IF(OR(ISERROR(SEARCH("@itc.edu.co",AE78)),SUMPRODUCT(--ISNUMBER(SEARCH({"á","é","í","ó","ú","ñ"," "},AE78)))&gt;0),"El correo del responsable no es institucional válido",IF(AND(AF78="Sí",AG78=""),"Indique el N.° de registro 2026 que continúa","OK")))))))))))))))))</f>
        <v/>
      </c>
      <c r="AK78" s="15" t="str">
        <f>IF(AJ78="OK",COUNTIF($AJ$7:AJ78,"OK"),"")</f>
        <v/>
      </c>
    </row>
    <row r="79" spans="1:37" x14ac:dyDescent="0.3">
      <c r="A79" s="13" t="str">
        <f t="shared" si="1"/>
        <v>PN27-073</v>
      </c>
      <c r="B79" s="26"/>
      <c r="C79" s="13" t="str">
        <f>IF(B79="","",IFERROR(INDEX(Catalogos!$R$5:$R$51,MATCH(B79,L_AREAS,0)),""))</f>
        <v/>
      </c>
      <c r="D79" s="13" t="str">
        <f>IF(B79="","",IFERROR(INDEX(Catalogos!$O$5:$O$51,MATCH(B79,L_AREAS,0)),""))</f>
        <v/>
      </c>
      <c r="E79" s="26"/>
      <c r="F79" s="13" t="str">
        <f>IF(E79="","",IFERROR(INDEX(Catalogos!$C$5:$C$49,MATCH(E79,L_METAS,0)),""))</f>
        <v/>
      </c>
      <c r="G79" s="13" t="str">
        <f>IF(E79="","",IFERROR(INDEX(Catalogos!$E$5:$E$49,MATCH(E79,L_METAS,0)),""))</f>
        <v/>
      </c>
      <c r="H79" s="26"/>
      <c r="I79" s="26"/>
      <c r="J79" s="26"/>
      <c r="K79" s="26"/>
      <c r="L79" s="26"/>
      <c r="M79" s="27"/>
      <c r="N79" s="26"/>
      <c r="O79" s="26"/>
      <c r="P79" s="26"/>
      <c r="Q79" s="26"/>
      <c r="R79" s="26"/>
      <c r="S79" s="26"/>
      <c r="T79" s="26"/>
      <c r="U79" s="26"/>
      <c r="V79" s="26"/>
      <c r="W79" s="28"/>
      <c r="X79" s="28"/>
      <c r="Y79" s="26"/>
      <c r="Z79" s="26"/>
      <c r="AA79" s="26"/>
      <c r="AB79" s="26"/>
      <c r="AC79" s="26"/>
      <c r="AD79" s="26"/>
      <c r="AE79" s="26"/>
      <c r="AF79" s="26"/>
      <c r="AG79" s="26"/>
      <c r="AH79" s="26"/>
      <c r="AI79" s="26"/>
      <c r="AJ79" s="15" t="str">
        <f>IF(COUNTA(B79,E79,H79,I79,J79,K79,L79,M79,N79,O79,P79,Q79,R79,S79,T79,U79,V79,W79,X79,Y79,Z79,AA79,AB79,AC79,AD79,AE79,AF79,AG79,AH79,AI79)=0,"",IF(OR(B79="",E79="",H79="",J79="",K79="",L79="",M79="",O79="",P79="",Q79="",R79="",S79="",T79="",U79="",W79="",X79="",Y79="",AB79="",AC79="",AE79="",AF79=""),"Incompleta: faltan campos obligatorios",IF(AND(LEFT(H79,6)="PROPIA",I79=""),"Falta el nombre de la acción propia del área",IF(AND(LEFT(H79,3)="A27",IFERROR(INDEX(Catalogos!$T$5:$T$207,MATCH(H79,Catalogos!$U$5:$U$207,0)),"x")&lt;&gt;LEFT(E79,7)),"La acción no corresponde a la meta seleccionada",IF(OR(NOT(ISNUMBER(M79)),M79&lt;10000000,M79&gt;99999999),"Código UNSPSC inválido: registre 8 dígitos",IF(MOD(M79,10000)=0,"UNSPSC a nivel de segmento o familia: use clase o producto",IF(IFERROR(MATCH(P79,L_MESES,0)&lt;MATCH(O79,L_MESES,0),TRUE()),"El mes de ofertas es anterior al de inicio del proceso",IF(OR(NOT(ISNUMBER(Q79)),Q79&lt;=0),"Duración inválida",IF(OR(NOT(ISNUMBER(W79)),NOT(ISNUMBER(X79))),"Valor inválido: registre solo números",IF(OR(W79&lt;=0,X79&lt;=0),"Valor inválido: debe ser mayor que cero",IF(X79&gt;W79,"El valor de la vigencia 2027 supera el valor total",IF(AND(X79&lt;W79,Y79="No"),"El valor total supera el de 2027: requiere vigencias futuras",IF(AND(Y79="Sí",OR(Z79="",Z79="No aplica")),"Indique el estado de la solicitud de vigencias futuras",IF(IF(AND(S79="Mínima cuantía",ISNUMBER(P_TOPE_MINIMA)),W79&gt;P_TOPE_MINIMA,FALSE()),"El valor supera el tope de mínima cuantía 2027",IF(IF(AND(S79="Selección abreviada de menor cuantía",ISNUMBER(P_TOPE_MENOR)),W79&gt;P_TOPE_MENOR,FALSE()),"El valor supera el tope de menor cuantía 2027",IF(OR(ISERROR(SEARCH("@itc.edu.co",AE79)),SUMPRODUCT(--ISNUMBER(SEARCH({"á","é","í","ó","ú","ñ"," "},AE79)))&gt;0),"El correo del responsable no es institucional válido",IF(AND(AF79="Sí",AG79=""),"Indique el N.° de registro 2026 que continúa","OK")))))))))))))))))</f>
        <v/>
      </c>
      <c r="AK79" s="15" t="str">
        <f>IF(AJ79="OK",COUNTIF($AJ$7:AJ79,"OK"),"")</f>
        <v/>
      </c>
    </row>
    <row r="80" spans="1:37" x14ac:dyDescent="0.3">
      <c r="A80" s="13" t="str">
        <f t="shared" si="1"/>
        <v>PN27-074</v>
      </c>
      <c r="B80" s="26"/>
      <c r="C80" s="13" t="str">
        <f>IF(B80="","",IFERROR(INDEX(Catalogos!$R$5:$R$51,MATCH(B80,L_AREAS,0)),""))</f>
        <v/>
      </c>
      <c r="D80" s="13" t="str">
        <f>IF(B80="","",IFERROR(INDEX(Catalogos!$O$5:$O$51,MATCH(B80,L_AREAS,0)),""))</f>
        <v/>
      </c>
      <c r="E80" s="26"/>
      <c r="F80" s="13" t="str">
        <f>IF(E80="","",IFERROR(INDEX(Catalogos!$C$5:$C$49,MATCH(E80,L_METAS,0)),""))</f>
        <v/>
      </c>
      <c r="G80" s="13" t="str">
        <f>IF(E80="","",IFERROR(INDEX(Catalogos!$E$5:$E$49,MATCH(E80,L_METAS,0)),""))</f>
        <v/>
      </c>
      <c r="H80" s="26"/>
      <c r="I80" s="26"/>
      <c r="J80" s="26"/>
      <c r="K80" s="26"/>
      <c r="L80" s="26"/>
      <c r="M80" s="27"/>
      <c r="N80" s="26"/>
      <c r="O80" s="26"/>
      <c r="P80" s="26"/>
      <c r="Q80" s="26"/>
      <c r="R80" s="26"/>
      <c r="S80" s="26"/>
      <c r="T80" s="26"/>
      <c r="U80" s="26"/>
      <c r="V80" s="26"/>
      <c r="W80" s="28"/>
      <c r="X80" s="28"/>
      <c r="Y80" s="26"/>
      <c r="Z80" s="26"/>
      <c r="AA80" s="26"/>
      <c r="AB80" s="26"/>
      <c r="AC80" s="26"/>
      <c r="AD80" s="26"/>
      <c r="AE80" s="26"/>
      <c r="AF80" s="26"/>
      <c r="AG80" s="26"/>
      <c r="AH80" s="26"/>
      <c r="AI80" s="26"/>
      <c r="AJ80" s="15" t="str">
        <f>IF(COUNTA(B80,E80,H80,I80,J80,K80,L80,M80,N80,O80,P80,Q80,R80,S80,T80,U80,V80,W80,X80,Y80,Z80,AA80,AB80,AC80,AD80,AE80,AF80,AG80,AH80,AI80)=0,"",IF(OR(B80="",E80="",H80="",J80="",K80="",L80="",M80="",O80="",P80="",Q80="",R80="",S80="",T80="",U80="",W80="",X80="",Y80="",AB80="",AC80="",AE80="",AF80=""),"Incompleta: faltan campos obligatorios",IF(AND(LEFT(H80,6)="PROPIA",I80=""),"Falta el nombre de la acción propia del área",IF(AND(LEFT(H80,3)="A27",IFERROR(INDEX(Catalogos!$T$5:$T$207,MATCH(H80,Catalogos!$U$5:$U$207,0)),"x")&lt;&gt;LEFT(E80,7)),"La acción no corresponde a la meta seleccionada",IF(OR(NOT(ISNUMBER(M80)),M80&lt;10000000,M80&gt;99999999),"Código UNSPSC inválido: registre 8 dígitos",IF(MOD(M80,10000)=0,"UNSPSC a nivel de segmento o familia: use clase o producto",IF(IFERROR(MATCH(P80,L_MESES,0)&lt;MATCH(O80,L_MESES,0),TRUE()),"El mes de ofertas es anterior al de inicio del proceso",IF(OR(NOT(ISNUMBER(Q80)),Q80&lt;=0),"Duración inválida",IF(OR(NOT(ISNUMBER(W80)),NOT(ISNUMBER(X80))),"Valor inválido: registre solo números",IF(OR(W80&lt;=0,X80&lt;=0),"Valor inválido: debe ser mayor que cero",IF(X80&gt;W80,"El valor de la vigencia 2027 supera el valor total",IF(AND(X80&lt;W80,Y80="No"),"El valor total supera el de 2027: requiere vigencias futuras",IF(AND(Y80="Sí",OR(Z80="",Z80="No aplica")),"Indique el estado de la solicitud de vigencias futuras",IF(IF(AND(S80="Mínima cuantía",ISNUMBER(P_TOPE_MINIMA)),W80&gt;P_TOPE_MINIMA,FALSE()),"El valor supera el tope de mínima cuantía 2027",IF(IF(AND(S80="Selección abreviada de menor cuantía",ISNUMBER(P_TOPE_MENOR)),W80&gt;P_TOPE_MENOR,FALSE()),"El valor supera el tope de menor cuantía 2027",IF(OR(ISERROR(SEARCH("@itc.edu.co",AE80)),SUMPRODUCT(--ISNUMBER(SEARCH({"á","é","í","ó","ú","ñ"," "},AE80)))&gt;0),"El correo del responsable no es institucional válido",IF(AND(AF80="Sí",AG80=""),"Indique el N.° de registro 2026 que continúa","OK")))))))))))))))))</f>
        <v/>
      </c>
      <c r="AK80" s="15" t="str">
        <f>IF(AJ80="OK",COUNTIF($AJ$7:AJ80,"OK"),"")</f>
        <v/>
      </c>
    </row>
    <row r="81" spans="1:37" x14ac:dyDescent="0.3">
      <c r="A81" s="13" t="str">
        <f t="shared" si="1"/>
        <v>PN27-075</v>
      </c>
      <c r="B81" s="26"/>
      <c r="C81" s="13" t="str">
        <f>IF(B81="","",IFERROR(INDEX(Catalogos!$R$5:$R$51,MATCH(B81,L_AREAS,0)),""))</f>
        <v/>
      </c>
      <c r="D81" s="13" t="str">
        <f>IF(B81="","",IFERROR(INDEX(Catalogos!$O$5:$O$51,MATCH(B81,L_AREAS,0)),""))</f>
        <v/>
      </c>
      <c r="E81" s="26"/>
      <c r="F81" s="13" t="str">
        <f>IF(E81="","",IFERROR(INDEX(Catalogos!$C$5:$C$49,MATCH(E81,L_METAS,0)),""))</f>
        <v/>
      </c>
      <c r="G81" s="13" t="str">
        <f>IF(E81="","",IFERROR(INDEX(Catalogos!$E$5:$E$49,MATCH(E81,L_METAS,0)),""))</f>
        <v/>
      </c>
      <c r="H81" s="26"/>
      <c r="I81" s="26"/>
      <c r="J81" s="26"/>
      <c r="K81" s="26"/>
      <c r="L81" s="26"/>
      <c r="M81" s="27"/>
      <c r="N81" s="26"/>
      <c r="O81" s="26"/>
      <c r="P81" s="26"/>
      <c r="Q81" s="26"/>
      <c r="R81" s="26"/>
      <c r="S81" s="26"/>
      <c r="T81" s="26"/>
      <c r="U81" s="26"/>
      <c r="V81" s="26"/>
      <c r="W81" s="28"/>
      <c r="X81" s="28"/>
      <c r="Y81" s="26"/>
      <c r="Z81" s="26"/>
      <c r="AA81" s="26"/>
      <c r="AB81" s="26"/>
      <c r="AC81" s="26"/>
      <c r="AD81" s="26"/>
      <c r="AE81" s="26"/>
      <c r="AF81" s="26"/>
      <c r="AG81" s="26"/>
      <c r="AH81" s="26"/>
      <c r="AI81" s="26"/>
      <c r="AJ81" s="15" t="str">
        <f>IF(COUNTA(B81,E81,H81,I81,J81,K81,L81,M81,N81,O81,P81,Q81,R81,S81,T81,U81,V81,W81,X81,Y81,Z81,AA81,AB81,AC81,AD81,AE81,AF81,AG81,AH81,AI81)=0,"",IF(OR(B81="",E81="",H81="",J81="",K81="",L81="",M81="",O81="",P81="",Q81="",R81="",S81="",T81="",U81="",W81="",X81="",Y81="",AB81="",AC81="",AE81="",AF81=""),"Incompleta: faltan campos obligatorios",IF(AND(LEFT(H81,6)="PROPIA",I81=""),"Falta el nombre de la acción propia del área",IF(AND(LEFT(H81,3)="A27",IFERROR(INDEX(Catalogos!$T$5:$T$207,MATCH(H81,Catalogos!$U$5:$U$207,0)),"x")&lt;&gt;LEFT(E81,7)),"La acción no corresponde a la meta seleccionada",IF(OR(NOT(ISNUMBER(M81)),M81&lt;10000000,M81&gt;99999999),"Código UNSPSC inválido: registre 8 dígitos",IF(MOD(M81,10000)=0,"UNSPSC a nivel de segmento o familia: use clase o producto",IF(IFERROR(MATCH(P81,L_MESES,0)&lt;MATCH(O81,L_MESES,0),TRUE()),"El mes de ofertas es anterior al de inicio del proceso",IF(OR(NOT(ISNUMBER(Q81)),Q81&lt;=0),"Duración inválida",IF(OR(NOT(ISNUMBER(W81)),NOT(ISNUMBER(X81))),"Valor inválido: registre solo números",IF(OR(W81&lt;=0,X81&lt;=0),"Valor inválido: debe ser mayor que cero",IF(X81&gt;W81,"El valor de la vigencia 2027 supera el valor total",IF(AND(X81&lt;W81,Y81="No"),"El valor total supera el de 2027: requiere vigencias futuras",IF(AND(Y81="Sí",OR(Z81="",Z81="No aplica")),"Indique el estado de la solicitud de vigencias futuras",IF(IF(AND(S81="Mínima cuantía",ISNUMBER(P_TOPE_MINIMA)),W81&gt;P_TOPE_MINIMA,FALSE()),"El valor supera el tope de mínima cuantía 2027",IF(IF(AND(S81="Selección abreviada de menor cuantía",ISNUMBER(P_TOPE_MENOR)),W81&gt;P_TOPE_MENOR,FALSE()),"El valor supera el tope de menor cuantía 2027",IF(OR(ISERROR(SEARCH("@itc.edu.co",AE81)),SUMPRODUCT(--ISNUMBER(SEARCH({"á","é","í","ó","ú","ñ"," "},AE81)))&gt;0),"El correo del responsable no es institucional válido",IF(AND(AF81="Sí",AG81=""),"Indique el N.° de registro 2026 que continúa","OK")))))))))))))))))</f>
        <v/>
      </c>
      <c r="AK81" s="15" t="str">
        <f>IF(AJ81="OK",COUNTIF($AJ$7:AJ81,"OK"),"")</f>
        <v/>
      </c>
    </row>
    <row r="82" spans="1:37" x14ac:dyDescent="0.3">
      <c r="A82" s="13" t="str">
        <f t="shared" si="1"/>
        <v>PN27-076</v>
      </c>
      <c r="B82" s="26"/>
      <c r="C82" s="13" t="str">
        <f>IF(B82="","",IFERROR(INDEX(Catalogos!$R$5:$R$51,MATCH(B82,L_AREAS,0)),""))</f>
        <v/>
      </c>
      <c r="D82" s="13" t="str">
        <f>IF(B82="","",IFERROR(INDEX(Catalogos!$O$5:$O$51,MATCH(B82,L_AREAS,0)),""))</f>
        <v/>
      </c>
      <c r="E82" s="26"/>
      <c r="F82" s="13" t="str">
        <f>IF(E82="","",IFERROR(INDEX(Catalogos!$C$5:$C$49,MATCH(E82,L_METAS,0)),""))</f>
        <v/>
      </c>
      <c r="G82" s="13" t="str">
        <f>IF(E82="","",IFERROR(INDEX(Catalogos!$E$5:$E$49,MATCH(E82,L_METAS,0)),""))</f>
        <v/>
      </c>
      <c r="H82" s="26"/>
      <c r="I82" s="26"/>
      <c r="J82" s="26"/>
      <c r="K82" s="26"/>
      <c r="L82" s="26"/>
      <c r="M82" s="27"/>
      <c r="N82" s="26"/>
      <c r="O82" s="26"/>
      <c r="P82" s="26"/>
      <c r="Q82" s="26"/>
      <c r="R82" s="26"/>
      <c r="S82" s="26"/>
      <c r="T82" s="26"/>
      <c r="U82" s="26"/>
      <c r="V82" s="26"/>
      <c r="W82" s="28"/>
      <c r="X82" s="28"/>
      <c r="Y82" s="26"/>
      <c r="Z82" s="26"/>
      <c r="AA82" s="26"/>
      <c r="AB82" s="26"/>
      <c r="AC82" s="26"/>
      <c r="AD82" s="26"/>
      <c r="AE82" s="26"/>
      <c r="AF82" s="26"/>
      <c r="AG82" s="26"/>
      <c r="AH82" s="26"/>
      <c r="AI82" s="26"/>
      <c r="AJ82" s="15" t="str">
        <f>IF(COUNTA(B82,E82,H82,I82,J82,K82,L82,M82,N82,O82,P82,Q82,R82,S82,T82,U82,V82,W82,X82,Y82,Z82,AA82,AB82,AC82,AD82,AE82,AF82,AG82,AH82,AI82)=0,"",IF(OR(B82="",E82="",H82="",J82="",K82="",L82="",M82="",O82="",P82="",Q82="",R82="",S82="",T82="",U82="",W82="",X82="",Y82="",AB82="",AC82="",AE82="",AF82=""),"Incompleta: faltan campos obligatorios",IF(AND(LEFT(H82,6)="PROPIA",I82=""),"Falta el nombre de la acción propia del área",IF(AND(LEFT(H82,3)="A27",IFERROR(INDEX(Catalogos!$T$5:$T$207,MATCH(H82,Catalogos!$U$5:$U$207,0)),"x")&lt;&gt;LEFT(E82,7)),"La acción no corresponde a la meta seleccionada",IF(OR(NOT(ISNUMBER(M82)),M82&lt;10000000,M82&gt;99999999),"Código UNSPSC inválido: registre 8 dígitos",IF(MOD(M82,10000)=0,"UNSPSC a nivel de segmento o familia: use clase o producto",IF(IFERROR(MATCH(P82,L_MESES,0)&lt;MATCH(O82,L_MESES,0),TRUE()),"El mes de ofertas es anterior al de inicio del proceso",IF(OR(NOT(ISNUMBER(Q82)),Q82&lt;=0),"Duración inválida",IF(OR(NOT(ISNUMBER(W82)),NOT(ISNUMBER(X82))),"Valor inválido: registre solo números",IF(OR(W82&lt;=0,X82&lt;=0),"Valor inválido: debe ser mayor que cero",IF(X82&gt;W82,"El valor de la vigencia 2027 supera el valor total",IF(AND(X82&lt;W82,Y82="No"),"El valor total supera el de 2027: requiere vigencias futuras",IF(AND(Y82="Sí",OR(Z82="",Z82="No aplica")),"Indique el estado de la solicitud de vigencias futuras",IF(IF(AND(S82="Mínima cuantía",ISNUMBER(P_TOPE_MINIMA)),W82&gt;P_TOPE_MINIMA,FALSE()),"El valor supera el tope de mínima cuantía 2027",IF(IF(AND(S82="Selección abreviada de menor cuantía",ISNUMBER(P_TOPE_MENOR)),W82&gt;P_TOPE_MENOR,FALSE()),"El valor supera el tope de menor cuantía 2027",IF(OR(ISERROR(SEARCH("@itc.edu.co",AE82)),SUMPRODUCT(--ISNUMBER(SEARCH({"á","é","í","ó","ú","ñ"," "},AE82)))&gt;0),"El correo del responsable no es institucional válido",IF(AND(AF82="Sí",AG82=""),"Indique el N.° de registro 2026 que continúa","OK")))))))))))))))))</f>
        <v/>
      </c>
      <c r="AK82" s="15" t="str">
        <f>IF(AJ82="OK",COUNTIF($AJ$7:AJ82,"OK"),"")</f>
        <v/>
      </c>
    </row>
    <row r="83" spans="1:37" x14ac:dyDescent="0.3">
      <c r="A83" s="13" t="str">
        <f t="shared" si="1"/>
        <v>PN27-077</v>
      </c>
      <c r="B83" s="26"/>
      <c r="C83" s="13" t="str">
        <f>IF(B83="","",IFERROR(INDEX(Catalogos!$R$5:$R$51,MATCH(B83,L_AREAS,0)),""))</f>
        <v/>
      </c>
      <c r="D83" s="13" t="str">
        <f>IF(B83="","",IFERROR(INDEX(Catalogos!$O$5:$O$51,MATCH(B83,L_AREAS,0)),""))</f>
        <v/>
      </c>
      <c r="E83" s="26"/>
      <c r="F83" s="13" t="str">
        <f>IF(E83="","",IFERROR(INDEX(Catalogos!$C$5:$C$49,MATCH(E83,L_METAS,0)),""))</f>
        <v/>
      </c>
      <c r="G83" s="13" t="str">
        <f>IF(E83="","",IFERROR(INDEX(Catalogos!$E$5:$E$49,MATCH(E83,L_METAS,0)),""))</f>
        <v/>
      </c>
      <c r="H83" s="26"/>
      <c r="I83" s="26"/>
      <c r="J83" s="26"/>
      <c r="K83" s="26"/>
      <c r="L83" s="26"/>
      <c r="M83" s="27"/>
      <c r="N83" s="26"/>
      <c r="O83" s="26"/>
      <c r="P83" s="26"/>
      <c r="Q83" s="26"/>
      <c r="R83" s="26"/>
      <c r="S83" s="26"/>
      <c r="T83" s="26"/>
      <c r="U83" s="26"/>
      <c r="V83" s="26"/>
      <c r="W83" s="28"/>
      <c r="X83" s="28"/>
      <c r="Y83" s="26"/>
      <c r="Z83" s="26"/>
      <c r="AA83" s="26"/>
      <c r="AB83" s="26"/>
      <c r="AC83" s="26"/>
      <c r="AD83" s="26"/>
      <c r="AE83" s="26"/>
      <c r="AF83" s="26"/>
      <c r="AG83" s="26"/>
      <c r="AH83" s="26"/>
      <c r="AI83" s="26"/>
      <c r="AJ83" s="15" t="str">
        <f>IF(COUNTA(B83,E83,H83,I83,J83,K83,L83,M83,N83,O83,P83,Q83,R83,S83,T83,U83,V83,W83,X83,Y83,Z83,AA83,AB83,AC83,AD83,AE83,AF83,AG83,AH83,AI83)=0,"",IF(OR(B83="",E83="",H83="",J83="",K83="",L83="",M83="",O83="",P83="",Q83="",R83="",S83="",T83="",U83="",W83="",X83="",Y83="",AB83="",AC83="",AE83="",AF83=""),"Incompleta: faltan campos obligatorios",IF(AND(LEFT(H83,6)="PROPIA",I83=""),"Falta el nombre de la acción propia del área",IF(AND(LEFT(H83,3)="A27",IFERROR(INDEX(Catalogos!$T$5:$T$207,MATCH(H83,Catalogos!$U$5:$U$207,0)),"x")&lt;&gt;LEFT(E83,7)),"La acción no corresponde a la meta seleccionada",IF(OR(NOT(ISNUMBER(M83)),M83&lt;10000000,M83&gt;99999999),"Código UNSPSC inválido: registre 8 dígitos",IF(MOD(M83,10000)=0,"UNSPSC a nivel de segmento o familia: use clase o producto",IF(IFERROR(MATCH(P83,L_MESES,0)&lt;MATCH(O83,L_MESES,0),TRUE()),"El mes de ofertas es anterior al de inicio del proceso",IF(OR(NOT(ISNUMBER(Q83)),Q83&lt;=0),"Duración inválida",IF(OR(NOT(ISNUMBER(W83)),NOT(ISNUMBER(X83))),"Valor inválido: registre solo números",IF(OR(W83&lt;=0,X83&lt;=0),"Valor inválido: debe ser mayor que cero",IF(X83&gt;W83,"El valor de la vigencia 2027 supera el valor total",IF(AND(X83&lt;W83,Y83="No"),"El valor total supera el de 2027: requiere vigencias futuras",IF(AND(Y83="Sí",OR(Z83="",Z83="No aplica")),"Indique el estado de la solicitud de vigencias futuras",IF(IF(AND(S83="Mínima cuantía",ISNUMBER(P_TOPE_MINIMA)),W83&gt;P_TOPE_MINIMA,FALSE()),"El valor supera el tope de mínima cuantía 2027",IF(IF(AND(S83="Selección abreviada de menor cuantía",ISNUMBER(P_TOPE_MENOR)),W83&gt;P_TOPE_MENOR,FALSE()),"El valor supera el tope de menor cuantía 2027",IF(OR(ISERROR(SEARCH("@itc.edu.co",AE83)),SUMPRODUCT(--ISNUMBER(SEARCH({"á","é","í","ó","ú","ñ"," "},AE83)))&gt;0),"El correo del responsable no es institucional válido",IF(AND(AF83="Sí",AG83=""),"Indique el N.° de registro 2026 que continúa","OK")))))))))))))))))</f>
        <v/>
      </c>
      <c r="AK83" s="15" t="str">
        <f>IF(AJ83="OK",COUNTIF($AJ$7:AJ83,"OK"),"")</f>
        <v/>
      </c>
    </row>
    <row r="84" spans="1:37" x14ac:dyDescent="0.3">
      <c r="A84" s="13" t="str">
        <f t="shared" si="1"/>
        <v>PN27-078</v>
      </c>
      <c r="B84" s="26"/>
      <c r="C84" s="13" t="str">
        <f>IF(B84="","",IFERROR(INDEX(Catalogos!$R$5:$R$51,MATCH(B84,L_AREAS,0)),""))</f>
        <v/>
      </c>
      <c r="D84" s="13" t="str">
        <f>IF(B84="","",IFERROR(INDEX(Catalogos!$O$5:$O$51,MATCH(B84,L_AREAS,0)),""))</f>
        <v/>
      </c>
      <c r="E84" s="26"/>
      <c r="F84" s="13" t="str">
        <f>IF(E84="","",IFERROR(INDEX(Catalogos!$C$5:$C$49,MATCH(E84,L_METAS,0)),""))</f>
        <v/>
      </c>
      <c r="G84" s="13" t="str">
        <f>IF(E84="","",IFERROR(INDEX(Catalogos!$E$5:$E$49,MATCH(E84,L_METAS,0)),""))</f>
        <v/>
      </c>
      <c r="H84" s="26"/>
      <c r="I84" s="26"/>
      <c r="J84" s="26"/>
      <c r="K84" s="26"/>
      <c r="L84" s="26"/>
      <c r="M84" s="27"/>
      <c r="N84" s="26"/>
      <c r="O84" s="26"/>
      <c r="P84" s="26"/>
      <c r="Q84" s="26"/>
      <c r="R84" s="26"/>
      <c r="S84" s="26"/>
      <c r="T84" s="26"/>
      <c r="U84" s="26"/>
      <c r="V84" s="26"/>
      <c r="W84" s="28"/>
      <c r="X84" s="28"/>
      <c r="Y84" s="26"/>
      <c r="Z84" s="26"/>
      <c r="AA84" s="26"/>
      <c r="AB84" s="26"/>
      <c r="AC84" s="26"/>
      <c r="AD84" s="26"/>
      <c r="AE84" s="26"/>
      <c r="AF84" s="26"/>
      <c r="AG84" s="26"/>
      <c r="AH84" s="26"/>
      <c r="AI84" s="26"/>
      <c r="AJ84" s="15" t="str">
        <f>IF(COUNTA(B84,E84,H84,I84,J84,K84,L84,M84,N84,O84,P84,Q84,R84,S84,T84,U84,V84,W84,X84,Y84,Z84,AA84,AB84,AC84,AD84,AE84,AF84,AG84,AH84,AI84)=0,"",IF(OR(B84="",E84="",H84="",J84="",K84="",L84="",M84="",O84="",P84="",Q84="",R84="",S84="",T84="",U84="",W84="",X84="",Y84="",AB84="",AC84="",AE84="",AF84=""),"Incompleta: faltan campos obligatorios",IF(AND(LEFT(H84,6)="PROPIA",I84=""),"Falta el nombre de la acción propia del área",IF(AND(LEFT(H84,3)="A27",IFERROR(INDEX(Catalogos!$T$5:$T$207,MATCH(H84,Catalogos!$U$5:$U$207,0)),"x")&lt;&gt;LEFT(E84,7)),"La acción no corresponde a la meta seleccionada",IF(OR(NOT(ISNUMBER(M84)),M84&lt;10000000,M84&gt;99999999),"Código UNSPSC inválido: registre 8 dígitos",IF(MOD(M84,10000)=0,"UNSPSC a nivel de segmento o familia: use clase o producto",IF(IFERROR(MATCH(P84,L_MESES,0)&lt;MATCH(O84,L_MESES,0),TRUE()),"El mes de ofertas es anterior al de inicio del proceso",IF(OR(NOT(ISNUMBER(Q84)),Q84&lt;=0),"Duración inválida",IF(OR(NOT(ISNUMBER(W84)),NOT(ISNUMBER(X84))),"Valor inválido: registre solo números",IF(OR(W84&lt;=0,X84&lt;=0),"Valor inválido: debe ser mayor que cero",IF(X84&gt;W84,"El valor de la vigencia 2027 supera el valor total",IF(AND(X84&lt;W84,Y84="No"),"El valor total supera el de 2027: requiere vigencias futuras",IF(AND(Y84="Sí",OR(Z84="",Z84="No aplica")),"Indique el estado de la solicitud de vigencias futuras",IF(IF(AND(S84="Mínima cuantía",ISNUMBER(P_TOPE_MINIMA)),W84&gt;P_TOPE_MINIMA,FALSE()),"El valor supera el tope de mínima cuantía 2027",IF(IF(AND(S84="Selección abreviada de menor cuantía",ISNUMBER(P_TOPE_MENOR)),W84&gt;P_TOPE_MENOR,FALSE()),"El valor supera el tope de menor cuantía 2027",IF(OR(ISERROR(SEARCH("@itc.edu.co",AE84)),SUMPRODUCT(--ISNUMBER(SEARCH({"á","é","í","ó","ú","ñ"," "},AE84)))&gt;0),"El correo del responsable no es institucional válido",IF(AND(AF84="Sí",AG84=""),"Indique el N.° de registro 2026 que continúa","OK")))))))))))))))))</f>
        <v/>
      </c>
      <c r="AK84" s="15" t="str">
        <f>IF(AJ84="OK",COUNTIF($AJ$7:AJ84,"OK"),"")</f>
        <v/>
      </c>
    </row>
    <row r="85" spans="1:37" x14ac:dyDescent="0.3">
      <c r="A85" s="13" t="str">
        <f t="shared" si="1"/>
        <v>PN27-079</v>
      </c>
      <c r="B85" s="26"/>
      <c r="C85" s="13" t="str">
        <f>IF(B85="","",IFERROR(INDEX(Catalogos!$R$5:$R$51,MATCH(B85,L_AREAS,0)),""))</f>
        <v/>
      </c>
      <c r="D85" s="13" t="str">
        <f>IF(B85="","",IFERROR(INDEX(Catalogos!$O$5:$O$51,MATCH(B85,L_AREAS,0)),""))</f>
        <v/>
      </c>
      <c r="E85" s="26"/>
      <c r="F85" s="13" t="str">
        <f>IF(E85="","",IFERROR(INDEX(Catalogos!$C$5:$C$49,MATCH(E85,L_METAS,0)),""))</f>
        <v/>
      </c>
      <c r="G85" s="13" t="str">
        <f>IF(E85="","",IFERROR(INDEX(Catalogos!$E$5:$E$49,MATCH(E85,L_METAS,0)),""))</f>
        <v/>
      </c>
      <c r="H85" s="26"/>
      <c r="I85" s="26"/>
      <c r="J85" s="26"/>
      <c r="K85" s="26"/>
      <c r="L85" s="26"/>
      <c r="M85" s="27"/>
      <c r="N85" s="26"/>
      <c r="O85" s="26"/>
      <c r="P85" s="26"/>
      <c r="Q85" s="26"/>
      <c r="R85" s="26"/>
      <c r="S85" s="26"/>
      <c r="T85" s="26"/>
      <c r="U85" s="26"/>
      <c r="V85" s="26"/>
      <c r="W85" s="28"/>
      <c r="X85" s="28"/>
      <c r="Y85" s="26"/>
      <c r="Z85" s="26"/>
      <c r="AA85" s="26"/>
      <c r="AB85" s="26"/>
      <c r="AC85" s="26"/>
      <c r="AD85" s="26"/>
      <c r="AE85" s="26"/>
      <c r="AF85" s="26"/>
      <c r="AG85" s="26"/>
      <c r="AH85" s="26"/>
      <c r="AI85" s="26"/>
      <c r="AJ85" s="15" t="str">
        <f>IF(COUNTA(B85,E85,H85,I85,J85,K85,L85,M85,N85,O85,P85,Q85,R85,S85,T85,U85,V85,W85,X85,Y85,Z85,AA85,AB85,AC85,AD85,AE85,AF85,AG85,AH85,AI85)=0,"",IF(OR(B85="",E85="",H85="",J85="",K85="",L85="",M85="",O85="",P85="",Q85="",R85="",S85="",T85="",U85="",W85="",X85="",Y85="",AB85="",AC85="",AE85="",AF85=""),"Incompleta: faltan campos obligatorios",IF(AND(LEFT(H85,6)="PROPIA",I85=""),"Falta el nombre de la acción propia del área",IF(AND(LEFT(H85,3)="A27",IFERROR(INDEX(Catalogos!$T$5:$T$207,MATCH(H85,Catalogos!$U$5:$U$207,0)),"x")&lt;&gt;LEFT(E85,7)),"La acción no corresponde a la meta seleccionada",IF(OR(NOT(ISNUMBER(M85)),M85&lt;10000000,M85&gt;99999999),"Código UNSPSC inválido: registre 8 dígitos",IF(MOD(M85,10000)=0,"UNSPSC a nivel de segmento o familia: use clase o producto",IF(IFERROR(MATCH(P85,L_MESES,0)&lt;MATCH(O85,L_MESES,0),TRUE()),"El mes de ofertas es anterior al de inicio del proceso",IF(OR(NOT(ISNUMBER(Q85)),Q85&lt;=0),"Duración inválida",IF(OR(NOT(ISNUMBER(W85)),NOT(ISNUMBER(X85))),"Valor inválido: registre solo números",IF(OR(W85&lt;=0,X85&lt;=0),"Valor inválido: debe ser mayor que cero",IF(X85&gt;W85,"El valor de la vigencia 2027 supera el valor total",IF(AND(X85&lt;W85,Y85="No"),"El valor total supera el de 2027: requiere vigencias futuras",IF(AND(Y85="Sí",OR(Z85="",Z85="No aplica")),"Indique el estado de la solicitud de vigencias futuras",IF(IF(AND(S85="Mínima cuantía",ISNUMBER(P_TOPE_MINIMA)),W85&gt;P_TOPE_MINIMA,FALSE()),"El valor supera el tope de mínima cuantía 2027",IF(IF(AND(S85="Selección abreviada de menor cuantía",ISNUMBER(P_TOPE_MENOR)),W85&gt;P_TOPE_MENOR,FALSE()),"El valor supera el tope de menor cuantía 2027",IF(OR(ISERROR(SEARCH("@itc.edu.co",AE85)),SUMPRODUCT(--ISNUMBER(SEARCH({"á","é","í","ó","ú","ñ"," "},AE85)))&gt;0),"El correo del responsable no es institucional válido",IF(AND(AF85="Sí",AG85=""),"Indique el N.° de registro 2026 que continúa","OK")))))))))))))))))</f>
        <v/>
      </c>
      <c r="AK85" s="15" t="str">
        <f>IF(AJ85="OK",COUNTIF($AJ$7:AJ85,"OK"),"")</f>
        <v/>
      </c>
    </row>
    <row r="86" spans="1:37" x14ac:dyDescent="0.3">
      <c r="A86" s="13" t="str">
        <f t="shared" si="1"/>
        <v>PN27-080</v>
      </c>
      <c r="B86" s="26"/>
      <c r="C86" s="13" t="str">
        <f>IF(B86="","",IFERROR(INDEX(Catalogos!$R$5:$R$51,MATCH(B86,L_AREAS,0)),""))</f>
        <v/>
      </c>
      <c r="D86" s="13" t="str">
        <f>IF(B86="","",IFERROR(INDEX(Catalogos!$O$5:$O$51,MATCH(B86,L_AREAS,0)),""))</f>
        <v/>
      </c>
      <c r="E86" s="26"/>
      <c r="F86" s="13" t="str">
        <f>IF(E86="","",IFERROR(INDEX(Catalogos!$C$5:$C$49,MATCH(E86,L_METAS,0)),""))</f>
        <v/>
      </c>
      <c r="G86" s="13" t="str">
        <f>IF(E86="","",IFERROR(INDEX(Catalogos!$E$5:$E$49,MATCH(E86,L_METAS,0)),""))</f>
        <v/>
      </c>
      <c r="H86" s="26"/>
      <c r="I86" s="26"/>
      <c r="J86" s="26"/>
      <c r="K86" s="26"/>
      <c r="L86" s="26"/>
      <c r="M86" s="27"/>
      <c r="N86" s="26"/>
      <c r="O86" s="26"/>
      <c r="P86" s="26"/>
      <c r="Q86" s="26"/>
      <c r="R86" s="26"/>
      <c r="S86" s="26"/>
      <c r="T86" s="26"/>
      <c r="U86" s="26"/>
      <c r="V86" s="26"/>
      <c r="W86" s="28"/>
      <c r="X86" s="28"/>
      <c r="Y86" s="26"/>
      <c r="Z86" s="26"/>
      <c r="AA86" s="26"/>
      <c r="AB86" s="26"/>
      <c r="AC86" s="26"/>
      <c r="AD86" s="26"/>
      <c r="AE86" s="26"/>
      <c r="AF86" s="26"/>
      <c r="AG86" s="26"/>
      <c r="AH86" s="26"/>
      <c r="AI86" s="26"/>
      <c r="AJ86" s="15" t="str">
        <f>IF(COUNTA(B86,E86,H86,I86,J86,K86,L86,M86,N86,O86,P86,Q86,R86,S86,T86,U86,V86,W86,X86,Y86,Z86,AA86,AB86,AC86,AD86,AE86,AF86,AG86,AH86,AI86)=0,"",IF(OR(B86="",E86="",H86="",J86="",K86="",L86="",M86="",O86="",P86="",Q86="",R86="",S86="",T86="",U86="",W86="",X86="",Y86="",AB86="",AC86="",AE86="",AF86=""),"Incompleta: faltan campos obligatorios",IF(AND(LEFT(H86,6)="PROPIA",I86=""),"Falta el nombre de la acción propia del área",IF(AND(LEFT(H86,3)="A27",IFERROR(INDEX(Catalogos!$T$5:$T$207,MATCH(H86,Catalogos!$U$5:$U$207,0)),"x")&lt;&gt;LEFT(E86,7)),"La acción no corresponde a la meta seleccionada",IF(OR(NOT(ISNUMBER(M86)),M86&lt;10000000,M86&gt;99999999),"Código UNSPSC inválido: registre 8 dígitos",IF(MOD(M86,10000)=0,"UNSPSC a nivel de segmento o familia: use clase o producto",IF(IFERROR(MATCH(P86,L_MESES,0)&lt;MATCH(O86,L_MESES,0),TRUE()),"El mes de ofertas es anterior al de inicio del proceso",IF(OR(NOT(ISNUMBER(Q86)),Q86&lt;=0),"Duración inválida",IF(OR(NOT(ISNUMBER(W86)),NOT(ISNUMBER(X86))),"Valor inválido: registre solo números",IF(OR(W86&lt;=0,X86&lt;=0),"Valor inválido: debe ser mayor que cero",IF(X86&gt;W86,"El valor de la vigencia 2027 supera el valor total",IF(AND(X86&lt;W86,Y86="No"),"El valor total supera el de 2027: requiere vigencias futuras",IF(AND(Y86="Sí",OR(Z86="",Z86="No aplica")),"Indique el estado de la solicitud de vigencias futuras",IF(IF(AND(S86="Mínima cuantía",ISNUMBER(P_TOPE_MINIMA)),W86&gt;P_TOPE_MINIMA,FALSE()),"El valor supera el tope de mínima cuantía 2027",IF(IF(AND(S86="Selección abreviada de menor cuantía",ISNUMBER(P_TOPE_MENOR)),W86&gt;P_TOPE_MENOR,FALSE()),"El valor supera el tope de menor cuantía 2027",IF(OR(ISERROR(SEARCH("@itc.edu.co",AE86)),SUMPRODUCT(--ISNUMBER(SEARCH({"á","é","í","ó","ú","ñ"," "},AE86)))&gt;0),"El correo del responsable no es institucional válido",IF(AND(AF86="Sí",AG86=""),"Indique el N.° de registro 2026 que continúa","OK")))))))))))))))))</f>
        <v/>
      </c>
      <c r="AK86" s="15" t="str">
        <f>IF(AJ86="OK",COUNTIF($AJ$7:AJ86,"OK"),"")</f>
        <v/>
      </c>
    </row>
    <row r="87" spans="1:37" x14ac:dyDescent="0.3">
      <c r="A87" s="13" t="str">
        <f t="shared" si="1"/>
        <v>PN27-081</v>
      </c>
      <c r="B87" s="26"/>
      <c r="C87" s="13" t="str">
        <f>IF(B87="","",IFERROR(INDEX(Catalogos!$R$5:$R$51,MATCH(B87,L_AREAS,0)),""))</f>
        <v/>
      </c>
      <c r="D87" s="13" t="str">
        <f>IF(B87="","",IFERROR(INDEX(Catalogos!$O$5:$O$51,MATCH(B87,L_AREAS,0)),""))</f>
        <v/>
      </c>
      <c r="E87" s="26"/>
      <c r="F87" s="13" t="str">
        <f>IF(E87="","",IFERROR(INDEX(Catalogos!$C$5:$C$49,MATCH(E87,L_METAS,0)),""))</f>
        <v/>
      </c>
      <c r="G87" s="13" t="str">
        <f>IF(E87="","",IFERROR(INDEX(Catalogos!$E$5:$E$49,MATCH(E87,L_METAS,0)),""))</f>
        <v/>
      </c>
      <c r="H87" s="26"/>
      <c r="I87" s="26"/>
      <c r="J87" s="26"/>
      <c r="K87" s="26"/>
      <c r="L87" s="26"/>
      <c r="M87" s="27"/>
      <c r="N87" s="26"/>
      <c r="O87" s="26"/>
      <c r="P87" s="26"/>
      <c r="Q87" s="26"/>
      <c r="R87" s="26"/>
      <c r="S87" s="26"/>
      <c r="T87" s="26"/>
      <c r="U87" s="26"/>
      <c r="V87" s="26"/>
      <c r="W87" s="28"/>
      <c r="X87" s="28"/>
      <c r="Y87" s="26"/>
      <c r="Z87" s="26"/>
      <c r="AA87" s="26"/>
      <c r="AB87" s="26"/>
      <c r="AC87" s="26"/>
      <c r="AD87" s="26"/>
      <c r="AE87" s="26"/>
      <c r="AF87" s="26"/>
      <c r="AG87" s="26"/>
      <c r="AH87" s="26"/>
      <c r="AI87" s="26"/>
      <c r="AJ87" s="15" t="str">
        <f>IF(COUNTA(B87,E87,H87,I87,J87,K87,L87,M87,N87,O87,P87,Q87,R87,S87,T87,U87,V87,W87,X87,Y87,Z87,AA87,AB87,AC87,AD87,AE87,AF87,AG87,AH87,AI87)=0,"",IF(OR(B87="",E87="",H87="",J87="",K87="",L87="",M87="",O87="",P87="",Q87="",R87="",S87="",T87="",U87="",W87="",X87="",Y87="",AB87="",AC87="",AE87="",AF87=""),"Incompleta: faltan campos obligatorios",IF(AND(LEFT(H87,6)="PROPIA",I87=""),"Falta el nombre de la acción propia del área",IF(AND(LEFT(H87,3)="A27",IFERROR(INDEX(Catalogos!$T$5:$T$207,MATCH(H87,Catalogos!$U$5:$U$207,0)),"x")&lt;&gt;LEFT(E87,7)),"La acción no corresponde a la meta seleccionada",IF(OR(NOT(ISNUMBER(M87)),M87&lt;10000000,M87&gt;99999999),"Código UNSPSC inválido: registre 8 dígitos",IF(MOD(M87,10000)=0,"UNSPSC a nivel de segmento o familia: use clase o producto",IF(IFERROR(MATCH(P87,L_MESES,0)&lt;MATCH(O87,L_MESES,0),TRUE()),"El mes de ofertas es anterior al de inicio del proceso",IF(OR(NOT(ISNUMBER(Q87)),Q87&lt;=0),"Duración inválida",IF(OR(NOT(ISNUMBER(W87)),NOT(ISNUMBER(X87))),"Valor inválido: registre solo números",IF(OR(W87&lt;=0,X87&lt;=0),"Valor inválido: debe ser mayor que cero",IF(X87&gt;W87,"El valor de la vigencia 2027 supera el valor total",IF(AND(X87&lt;W87,Y87="No"),"El valor total supera el de 2027: requiere vigencias futuras",IF(AND(Y87="Sí",OR(Z87="",Z87="No aplica")),"Indique el estado de la solicitud de vigencias futuras",IF(IF(AND(S87="Mínima cuantía",ISNUMBER(P_TOPE_MINIMA)),W87&gt;P_TOPE_MINIMA,FALSE()),"El valor supera el tope de mínima cuantía 2027",IF(IF(AND(S87="Selección abreviada de menor cuantía",ISNUMBER(P_TOPE_MENOR)),W87&gt;P_TOPE_MENOR,FALSE()),"El valor supera el tope de menor cuantía 2027",IF(OR(ISERROR(SEARCH("@itc.edu.co",AE87)),SUMPRODUCT(--ISNUMBER(SEARCH({"á","é","í","ó","ú","ñ"," "},AE87)))&gt;0),"El correo del responsable no es institucional válido",IF(AND(AF87="Sí",AG87=""),"Indique el N.° de registro 2026 que continúa","OK")))))))))))))))))</f>
        <v/>
      </c>
      <c r="AK87" s="15" t="str">
        <f>IF(AJ87="OK",COUNTIF($AJ$7:AJ87,"OK"),"")</f>
        <v/>
      </c>
    </row>
    <row r="88" spans="1:37" x14ac:dyDescent="0.3">
      <c r="A88" s="13" t="str">
        <f t="shared" si="1"/>
        <v>PN27-082</v>
      </c>
      <c r="B88" s="26"/>
      <c r="C88" s="13" t="str">
        <f>IF(B88="","",IFERROR(INDEX(Catalogos!$R$5:$R$51,MATCH(B88,L_AREAS,0)),""))</f>
        <v/>
      </c>
      <c r="D88" s="13" t="str">
        <f>IF(B88="","",IFERROR(INDEX(Catalogos!$O$5:$O$51,MATCH(B88,L_AREAS,0)),""))</f>
        <v/>
      </c>
      <c r="E88" s="26"/>
      <c r="F88" s="13" t="str">
        <f>IF(E88="","",IFERROR(INDEX(Catalogos!$C$5:$C$49,MATCH(E88,L_METAS,0)),""))</f>
        <v/>
      </c>
      <c r="G88" s="13" t="str">
        <f>IF(E88="","",IFERROR(INDEX(Catalogos!$E$5:$E$49,MATCH(E88,L_METAS,0)),""))</f>
        <v/>
      </c>
      <c r="H88" s="26"/>
      <c r="I88" s="26"/>
      <c r="J88" s="26"/>
      <c r="K88" s="26"/>
      <c r="L88" s="26"/>
      <c r="M88" s="27"/>
      <c r="N88" s="26"/>
      <c r="O88" s="26"/>
      <c r="P88" s="26"/>
      <c r="Q88" s="26"/>
      <c r="R88" s="26"/>
      <c r="S88" s="26"/>
      <c r="T88" s="26"/>
      <c r="U88" s="26"/>
      <c r="V88" s="26"/>
      <c r="W88" s="28"/>
      <c r="X88" s="28"/>
      <c r="Y88" s="26"/>
      <c r="Z88" s="26"/>
      <c r="AA88" s="26"/>
      <c r="AB88" s="26"/>
      <c r="AC88" s="26"/>
      <c r="AD88" s="26"/>
      <c r="AE88" s="26"/>
      <c r="AF88" s="26"/>
      <c r="AG88" s="26"/>
      <c r="AH88" s="26"/>
      <c r="AI88" s="26"/>
      <c r="AJ88" s="15" t="str">
        <f>IF(COUNTA(B88,E88,H88,I88,J88,K88,L88,M88,N88,O88,P88,Q88,R88,S88,T88,U88,V88,W88,X88,Y88,Z88,AA88,AB88,AC88,AD88,AE88,AF88,AG88,AH88,AI88)=0,"",IF(OR(B88="",E88="",H88="",J88="",K88="",L88="",M88="",O88="",P88="",Q88="",R88="",S88="",T88="",U88="",W88="",X88="",Y88="",AB88="",AC88="",AE88="",AF88=""),"Incompleta: faltan campos obligatorios",IF(AND(LEFT(H88,6)="PROPIA",I88=""),"Falta el nombre de la acción propia del área",IF(AND(LEFT(H88,3)="A27",IFERROR(INDEX(Catalogos!$T$5:$T$207,MATCH(H88,Catalogos!$U$5:$U$207,0)),"x")&lt;&gt;LEFT(E88,7)),"La acción no corresponde a la meta seleccionada",IF(OR(NOT(ISNUMBER(M88)),M88&lt;10000000,M88&gt;99999999),"Código UNSPSC inválido: registre 8 dígitos",IF(MOD(M88,10000)=0,"UNSPSC a nivel de segmento o familia: use clase o producto",IF(IFERROR(MATCH(P88,L_MESES,0)&lt;MATCH(O88,L_MESES,0),TRUE()),"El mes de ofertas es anterior al de inicio del proceso",IF(OR(NOT(ISNUMBER(Q88)),Q88&lt;=0),"Duración inválida",IF(OR(NOT(ISNUMBER(W88)),NOT(ISNUMBER(X88))),"Valor inválido: registre solo números",IF(OR(W88&lt;=0,X88&lt;=0),"Valor inválido: debe ser mayor que cero",IF(X88&gt;W88,"El valor de la vigencia 2027 supera el valor total",IF(AND(X88&lt;W88,Y88="No"),"El valor total supera el de 2027: requiere vigencias futuras",IF(AND(Y88="Sí",OR(Z88="",Z88="No aplica")),"Indique el estado de la solicitud de vigencias futuras",IF(IF(AND(S88="Mínima cuantía",ISNUMBER(P_TOPE_MINIMA)),W88&gt;P_TOPE_MINIMA,FALSE()),"El valor supera el tope de mínima cuantía 2027",IF(IF(AND(S88="Selección abreviada de menor cuantía",ISNUMBER(P_TOPE_MENOR)),W88&gt;P_TOPE_MENOR,FALSE()),"El valor supera el tope de menor cuantía 2027",IF(OR(ISERROR(SEARCH("@itc.edu.co",AE88)),SUMPRODUCT(--ISNUMBER(SEARCH({"á","é","í","ó","ú","ñ"," "},AE88)))&gt;0),"El correo del responsable no es institucional válido",IF(AND(AF88="Sí",AG88=""),"Indique el N.° de registro 2026 que continúa","OK")))))))))))))))))</f>
        <v/>
      </c>
      <c r="AK88" s="15" t="str">
        <f>IF(AJ88="OK",COUNTIF($AJ$7:AJ88,"OK"),"")</f>
        <v/>
      </c>
    </row>
    <row r="89" spans="1:37" x14ac:dyDescent="0.3">
      <c r="A89" s="13" t="str">
        <f t="shared" si="1"/>
        <v>PN27-083</v>
      </c>
      <c r="B89" s="26"/>
      <c r="C89" s="13" t="str">
        <f>IF(B89="","",IFERROR(INDEX(Catalogos!$R$5:$R$51,MATCH(B89,L_AREAS,0)),""))</f>
        <v/>
      </c>
      <c r="D89" s="13" t="str">
        <f>IF(B89="","",IFERROR(INDEX(Catalogos!$O$5:$O$51,MATCH(B89,L_AREAS,0)),""))</f>
        <v/>
      </c>
      <c r="E89" s="26"/>
      <c r="F89" s="13" t="str">
        <f>IF(E89="","",IFERROR(INDEX(Catalogos!$C$5:$C$49,MATCH(E89,L_METAS,0)),""))</f>
        <v/>
      </c>
      <c r="G89" s="13" t="str">
        <f>IF(E89="","",IFERROR(INDEX(Catalogos!$E$5:$E$49,MATCH(E89,L_METAS,0)),""))</f>
        <v/>
      </c>
      <c r="H89" s="26"/>
      <c r="I89" s="26"/>
      <c r="J89" s="26"/>
      <c r="K89" s="26"/>
      <c r="L89" s="26"/>
      <c r="M89" s="27"/>
      <c r="N89" s="26"/>
      <c r="O89" s="26"/>
      <c r="P89" s="26"/>
      <c r="Q89" s="26"/>
      <c r="R89" s="26"/>
      <c r="S89" s="26"/>
      <c r="T89" s="26"/>
      <c r="U89" s="26"/>
      <c r="V89" s="26"/>
      <c r="W89" s="28"/>
      <c r="X89" s="28"/>
      <c r="Y89" s="26"/>
      <c r="Z89" s="26"/>
      <c r="AA89" s="26"/>
      <c r="AB89" s="26"/>
      <c r="AC89" s="26"/>
      <c r="AD89" s="26"/>
      <c r="AE89" s="26"/>
      <c r="AF89" s="26"/>
      <c r="AG89" s="26"/>
      <c r="AH89" s="26"/>
      <c r="AI89" s="26"/>
      <c r="AJ89" s="15" t="str">
        <f>IF(COUNTA(B89,E89,H89,I89,J89,K89,L89,M89,N89,O89,P89,Q89,R89,S89,T89,U89,V89,W89,X89,Y89,Z89,AA89,AB89,AC89,AD89,AE89,AF89,AG89,AH89,AI89)=0,"",IF(OR(B89="",E89="",H89="",J89="",K89="",L89="",M89="",O89="",P89="",Q89="",R89="",S89="",T89="",U89="",W89="",X89="",Y89="",AB89="",AC89="",AE89="",AF89=""),"Incompleta: faltan campos obligatorios",IF(AND(LEFT(H89,6)="PROPIA",I89=""),"Falta el nombre de la acción propia del área",IF(AND(LEFT(H89,3)="A27",IFERROR(INDEX(Catalogos!$T$5:$T$207,MATCH(H89,Catalogos!$U$5:$U$207,0)),"x")&lt;&gt;LEFT(E89,7)),"La acción no corresponde a la meta seleccionada",IF(OR(NOT(ISNUMBER(M89)),M89&lt;10000000,M89&gt;99999999),"Código UNSPSC inválido: registre 8 dígitos",IF(MOD(M89,10000)=0,"UNSPSC a nivel de segmento o familia: use clase o producto",IF(IFERROR(MATCH(P89,L_MESES,0)&lt;MATCH(O89,L_MESES,0),TRUE()),"El mes de ofertas es anterior al de inicio del proceso",IF(OR(NOT(ISNUMBER(Q89)),Q89&lt;=0),"Duración inválida",IF(OR(NOT(ISNUMBER(W89)),NOT(ISNUMBER(X89))),"Valor inválido: registre solo números",IF(OR(W89&lt;=0,X89&lt;=0),"Valor inválido: debe ser mayor que cero",IF(X89&gt;W89,"El valor de la vigencia 2027 supera el valor total",IF(AND(X89&lt;W89,Y89="No"),"El valor total supera el de 2027: requiere vigencias futuras",IF(AND(Y89="Sí",OR(Z89="",Z89="No aplica")),"Indique el estado de la solicitud de vigencias futuras",IF(IF(AND(S89="Mínima cuantía",ISNUMBER(P_TOPE_MINIMA)),W89&gt;P_TOPE_MINIMA,FALSE()),"El valor supera el tope de mínima cuantía 2027",IF(IF(AND(S89="Selección abreviada de menor cuantía",ISNUMBER(P_TOPE_MENOR)),W89&gt;P_TOPE_MENOR,FALSE()),"El valor supera el tope de menor cuantía 2027",IF(OR(ISERROR(SEARCH("@itc.edu.co",AE89)),SUMPRODUCT(--ISNUMBER(SEARCH({"á","é","í","ó","ú","ñ"," "},AE89)))&gt;0),"El correo del responsable no es institucional válido",IF(AND(AF89="Sí",AG89=""),"Indique el N.° de registro 2026 que continúa","OK")))))))))))))))))</f>
        <v/>
      </c>
      <c r="AK89" s="15" t="str">
        <f>IF(AJ89="OK",COUNTIF($AJ$7:AJ89,"OK"),"")</f>
        <v/>
      </c>
    </row>
    <row r="90" spans="1:37" x14ac:dyDescent="0.3">
      <c r="A90" s="13" t="str">
        <f t="shared" si="1"/>
        <v>PN27-084</v>
      </c>
      <c r="B90" s="26"/>
      <c r="C90" s="13" t="str">
        <f>IF(B90="","",IFERROR(INDEX(Catalogos!$R$5:$R$51,MATCH(B90,L_AREAS,0)),""))</f>
        <v/>
      </c>
      <c r="D90" s="13" t="str">
        <f>IF(B90="","",IFERROR(INDEX(Catalogos!$O$5:$O$51,MATCH(B90,L_AREAS,0)),""))</f>
        <v/>
      </c>
      <c r="E90" s="26"/>
      <c r="F90" s="13" t="str">
        <f>IF(E90="","",IFERROR(INDEX(Catalogos!$C$5:$C$49,MATCH(E90,L_METAS,0)),""))</f>
        <v/>
      </c>
      <c r="G90" s="13" t="str">
        <f>IF(E90="","",IFERROR(INDEX(Catalogos!$E$5:$E$49,MATCH(E90,L_METAS,0)),""))</f>
        <v/>
      </c>
      <c r="H90" s="26"/>
      <c r="I90" s="26"/>
      <c r="J90" s="26"/>
      <c r="K90" s="26"/>
      <c r="L90" s="26"/>
      <c r="M90" s="27"/>
      <c r="N90" s="26"/>
      <c r="O90" s="26"/>
      <c r="P90" s="26"/>
      <c r="Q90" s="26"/>
      <c r="R90" s="26"/>
      <c r="S90" s="26"/>
      <c r="T90" s="26"/>
      <c r="U90" s="26"/>
      <c r="V90" s="26"/>
      <c r="W90" s="28"/>
      <c r="X90" s="28"/>
      <c r="Y90" s="26"/>
      <c r="Z90" s="26"/>
      <c r="AA90" s="26"/>
      <c r="AB90" s="26"/>
      <c r="AC90" s="26"/>
      <c r="AD90" s="26"/>
      <c r="AE90" s="26"/>
      <c r="AF90" s="26"/>
      <c r="AG90" s="26"/>
      <c r="AH90" s="26"/>
      <c r="AI90" s="26"/>
      <c r="AJ90" s="15" t="str">
        <f>IF(COUNTA(B90,E90,H90,I90,J90,K90,L90,M90,N90,O90,P90,Q90,R90,S90,T90,U90,V90,W90,X90,Y90,Z90,AA90,AB90,AC90,AD90,AE90,AF90,AG90,AH90,AI90)=0,"",IF(OR(B90="",E90="",H90="",J90="",K90="",L90="",M90="",O90="",P90="",Q90="",R90="",S90="",T90="",U90="",W90="",X90="",Y90="",AB90="",AC90="",AE90="",AF90=""),"Incompleta: faltan campos obligatorios",IF(AND(LEFT(H90,6)="PROPIA",I90=""),"Falta el nombre de la acción propia del área",IF(AND(LEFT(H90,3)="A27",IFERROR(INDEX(Catalogos!$T$5:$T$207,MATCH(H90,Catalogos!$U$5:$U$207,0)),"x")&lt;&gt;LEFT(E90,7)),"La acción no corresponde a la meta seleccionada",IF(OR(NOT(ISNUMBER(M90)),M90&lt;10000000,M90&gt;99999999),"Código UNSPSC inválido: registre 8 dígitos",IF(MOD(M90,10000)=0,"UNSPSC a nivel de segmento o familia: use clase o producto",IF(IFERROR(MATCH(P90,L_MESES,0)&lt;MATCH(O90,L_MESES,0),TRUE()),"El mes de ofertas es anterior al de inicio del proceso",IF(OR(NOT(ISNUMBER(Q90)),Q90&lt;=0),"Duración inválida",IF(OR(NOT(ISNUMBER(W90)),NOT(ISNUMBER(X90))),"Valor inválido: registre solo números",IF(OR(W90&lt;=0,X90&lt;=0),"Valor inválido: debe ser mayor que cero",IF(X90&gt;W90,"El valor de la vigencia 2027 supera el valor total",IF(AND(X90&lt;W90,Y90="No"),"El valor total supera el de 2027: requiere vigencias futuras",IF(AND(Y90="Sí",OR(Z90="",Z90="No aplica")),"Indique el estado de la solicitud de vigencias futuras",IF(IF(AND(S90="Mínima cuantía",ISNUMBER(P_TOPE_MINIMA)),W90&gt;P_TOPE_MINIMA,FALSE()),"El valor supera el tope de mínima cuantía 2027",IF(IF(AND(S90="Selección abreviada de menor cuantía",ISNUMBER(P_TOPE_MENOR)),W90&gt;P_TOPE_MENOR,FALSE()),"El valor supera el tope de menor cuantía 2027",IF(OR(ISERROR(SEARCH("@itc.edu.co",AE90)),SUMPRODUCT(--ISNUMBER(SEARCH({"á","é","í","ó","ú","ñ"," "},AE90)))&gt;0),"El correo del responsable no es institucional válido",IF(AND(AF90="Sí",AG90=""),"Indique el N.° de registro 2026 que continúa","OK")))))))))))))))))</f>
        <v/>
      </c>
      <c r="AK90" s="15" t="str">
        <f>IF(AJ90="OK",COUNTIF($AJ$7:AJ90,"OK"),"")</f>
        <v/>
      </c>
    </row>
    <row r="91" spans="1:37" x14ac:dyDescent="0.3">
      <c r="A91" s="13" t="str">
        <f t="shared" si="1"/>
        <v>PN27-085</v>
      </c>
      <c r="B91" s="26"/>
      <c r="C91" s="13" t="str">
        <f>IF(B91="","",IFERROR(INDEX(Catalogos!$R$5:$R$51,MATCH(B91,L_AREAS,0)),""))</f>
        <v/>
      </c>
      <c r="D91" s="13" t="str">
        <f>IF(B91="","",IFERROR(INDEX(Catalogos!$O$5:$O$51,MATCH(B91,L_AREAS,0)),""))</f>
        <v/>
      </c>
      <c r="E91" s="26"/>
      <c r="F91" s="13" t="str">
        <f>IF(E91="","",IFERROR(INDEX(Catalogos!$C$5:$C$49,MATCH(E91,L_METAS,0)),""))</f>
        <v/>
      </c>
      <c r="G91" s="13" t="str">
        <f>IF(E91="","",IFERROR(INDEX(Catalogos!$E$5:$E$49,MATCH(E91,L_METAS,0)),""))</f>
        <v/>
      </c>
      <c r="H91" s="26"/>
      <c r="I91" s="26"/>
      <c r="J91" s="26"/>
      <c r="K91" s="26"/>
      <c r="L91" s="26"/>
      <c r="M91" s="27"/>
      <c r="N91" s="26"/>
      <c r="O91" s="26"/>
      <c r="P91" s="26"/>
      <c r="Q91" s="26"/>
      <c r="R91" s="26"/>
      <c r="S91" s="26"/>
      <c r="T91" s="26"/>
      <c r="U91" s="26"/>
      <c r="V91" s="26"/>
      <c r="W91" s="28"/>
      <c r="X91" s="28"/>
      <c r="Y91" s="26"/>
      <c r="Z91" s="26"/>
      <c r="AA91" s="26"/>
      <c r="AB91" s="26"/>
      <c r="AC91" s="26"/>
      <c r="AD91" s="26"/>
      <c r="AE91" s="26"/>
      <c r="AF91" s="26"/>
      <c r="AG91" s="26"/>
      <c r="AH91" s="26"/>
      <c r="AI91" s="26"/>
      <c r="AJ91" s="15" t="str">
        <f>IF(COUNTA(B91,E91,H91,I91,J91,K91,L91,M91,N91,O91,P91,Q91,R91,S91,T91,U91,V91,W91,X91,Y91,Z91,AA91,AB91,AC91,AD91,AE91,AF91,AG91,AH91,AI91)=0,"",IF(OR(B91="",E91="",H91="",J91="",K91="",L91="",M91="",O91="",P91="",Q91="",R91="",S91="",T91="",U91="",W91="",X91="",Y91="",AB91="",AC91="",AE91="",AF91=""),"Incompleta: faltan campos obligatorios",IF(AND(LEFT(H91,6)="PROPIA",I91=""),"Falta el nombre de la acción propia del área",IF(AND(LEFT(H91,3)="A27",IFERROR(INDEX(Catalogos!$T$5:$T$207,MATCH(H91,Catalogos!$U$5:$U$207,0)),"x")&lt;&gt;LEFT(E91,7)),"La acción no corresponde a la meta seleccionada",IF(OR(NOT(ISNUMBER(M91)),M91&lt;10000000,M91&gt;99999999),"Código UNSPSC inválido: registre 8 dígitos",IF(MOD(M91,10000)=0,"UNSPSC a nivel de segmento o familia: use clase o producto",IF(IFERROR(MATCH(P91,L_MESES,0)&lt;MATCH(O91,L_MESES,0),TRUE()),"El mes de ofertas es anterior al de inicio del proceso",IF(OR(NOT(ISNUMBER(Q91)),Q91&lt;=0),"Duración inválida",IF(OR(NOT(ISNUMBER(W91)),NOT(ISNUMBER(X91))),"Valor inválido: registre solo números",IF(OR(W91&lt;=0,X91&lt;=0),"Valor inválido: debe ser mayor que cero",IF(X91&gt;W91,"El valor de la vigencia 2027 supera el valor total",IF(AND(X91&lt;W91,Y91="No"),"El valor total supera el de 2027: requiere vigencias futuras",IF(AND(Y91="Sí",OR(Z91="",Z91="No aplica")),"Indique el estado de la solicitud de vigencias futuras",IF(IF(AND(S91="Mínima cuantía",ISNUMBER(P_TOPE_MINIMA)),W91&gt;P_TOPE_MINIMA,FALSE()),"El valor supera el tope de mínima cuantía 2027",IF(IF(AND(S91="Selección abreviada de menor cuantía",ISNUMBER(P_TOPE_MENOR)),W91&gt;P_TOPE_MENOR,FALSE()),"El valor supera el tope de menor cuantía 2027",IF(OR(ISERROR(SEARCH("@itc.edu.co",AE91)),SUMPRODUCT(--ISNUMBER(SEARCH({"á","é","í","ó","ú","ñ"," "},AE91)))&gt;0),"El correo del responsable no es institucional válido",IF(AND(AF91="Sí",AG91=""),"Indique el N.° de registro 2026 que continúa","OK")))))))))))))))))</f>
        <v/>
      </c>
      <c r="AK91" s="15" t="str">
        <f>IF(AJ91="OK",COUNTIF($AJ$7:AJ91,"OK"),"")</f>
        <v/>
      </c>
    </row>
    <row r="92" spans="1:37" x14ac:dyDescent="0.3">
      <c r="A92" s="13" t="str">
        <f t="shared" si="1"/>
        <v>PN27-086</v>
      </c>
      <c r="B92" s="26"/>
      <c r="C92" s="13" t="str">
        <f>IF(B92="","",IFERROR(INDEX(Catalogos!$R$5:$R$51,MATCH(B92,L_AREAS,0)),""))</f>
        <v/>
      </c>
      <c r="D92" s="13" t="str">
        <f>IF(B92="","",IFERROR(INDEX(Catalogos!$O$5:$O$51,MATCH(B92,L_AREAS,0)),""))</f>
        <v/>
      </c>
      <c r="E92" s="26"/>
      <c r="F92" s="13" t="str">
        <f>IF(E92="","",IFERROR(INDEX(Catalogos!$C$5:$C$49,MATCH(E92,L_METAS,0)),""))</f>
        <v/>
      </c>
      <c r="G92" s="13" t="str">
        <f>IF(E92="","",IFERROR(INDEX(Catalogos!$E$5:$E$49,MATCH(E92,L_METAS,0)),""))</f>
        <v/>
      </c>
      <c r="H92" s="26"/>
      <c r="I92" s="26"/>
      <c r="J92" s="26"/>
      <c r="K92" s="26"/>
      <c r="L92" s="26"/>
      <c r="M92" s="27"/>
      <c r="N92" s="26"/>
      <c r="O92" s="26"/>
      <c r="P92" s="26"/>
      <c r="Q92" s="26"/>
      <c r="R92" s="26"/>
      <c r="S92" s="26"/>
      <c r="T92" s="26"/>
      <c r="U92" s="26"/>
      <c r="V92" s="26"/>
      <c r="W92" s="28"/>
      <c r="X92" s="28"/>
      <c r="Y92" s="26"/>
      <c r="Z92" s="26"/>
      <c r="AA92" s="26"/>
      <c r="AB92" s="26"/>
      <c r="AC92" s="26"/>
      <c r="AD92" s="26"/>
      <c r="AE92" s="26"/>
      <c r="AF92" s="26"/>
      <c r="AG92" s="26"/>
      <c r="AH92" s="26"/>
      <c r="AI92" s="26"/>
      <c r="AJ92" s="15" t="str">
        <f>IF(COUNTA(B92,E92,H92,I92,J92,K92,L92,M92,N92,O92,P92,Q92,R92,S92,T92,U92,V92,W92,X92,Y92,Z92,AA92,AB92,AC92,AD92,AE92,AF92,AG92,AH92,AI92)=0,"",IF(OR(B92="",E92="",H92="",J92="",K92="",L92="",M92="",O92="",P92="",Q92="",R92="",S92="",T92="",U92="",W92="",X92="",Y92="",AB92="",AC92="",AE92="",AF92=""),"Incompleta: faltan campos obligatorios",IF(AND(LEFT(H92,6)="PROPIA",I92=""),"Falta el nombre de la acción propia del área",IF(AND(LEFT(H92,3)="A27",IFERROR(INDEX(Catalogos!$T$5:$T$207,MATCH(H92,Catalogos!$U$5:$U$207,0)),"x")&lt;&gt;LEFT(E92,7)),"La acción no corresponde a la meta seleccionada",IF(OR(NOT(ISNUMBER(M92)),M92&lt;10000000,M92&gt;99999999),"Código UNSPSC inválido: registre 8 dígitos",IF(MOD(M92,10000)=0,"UNSPSC a nivel de segmento o familia: use clase o producto",IF(IFERROR(MATCH(P92,L_MESES,0)&lt;MATCH(O92,L_MESES,0),TRUE()),"El mes de ofertas es anterior al de inicio del proceso",IF(OR(NOT(ISNUMBER(Q92)),Q92&lt;=0),"Duración inválida",IF(OR(NOT(ISNUMBER(W92)),NOT(ISNUMBER(X92))),"Valor inválido: registre solo números",IF(OR(W92&lt;=0,X92&lt;=0),"Valor inválido: debe ser mayor que cero",IF(X92&gt;W92,"El valor de la vigencia 2027 supera el valor total",IF(AND(X92&lt;W92,Y92="No"),"El valor total supera el de 2027: requiere vigencias futuras",IF(AND(Y92="Sí",OR(Z92="",Z92="No aplica")),"Indique el estado de la solicitud de vigencias futuras",IF(IF(AND(S92="Mínima cuantía",ISNUMBER(P_TOPE_MINIMA)),W92&gt;P_TOPE_MINIMA,FALSE()),"El valor supera el tope de mínima cuantía 2027",IF(IF(AND(S92="Selección abreviada de menor cuantía",ISNUMBER(P_TOPE_MENOR)),W92&gt;P_TOPE_MENOR,FALSE()),"El valor supera el tope de menor cuantía 2027",IF(OR(ISERROR(SEARCH("@itc.edu.co",AE92)),SUMPRODUCT(--ISNUMBER(SEARCH({"á","é","í","ó","ú","ñ"," "},AE92)))&gt;0),"El correo del responsable no es institucional válido",IF(AND(AF92="Sí",AG92=""),"Indique el N.° de registro 2026 que continúa","OK")))))))))))))))))</f>
        <v/>
      </c>
      <c r="AK92" s="15" t="str">
        <f>IF(AJ92="OK",COUNTIF($AJ$7:AJ92,"OK"),"")</f>
        <v/>
      </c>
    </row>
    <row r="93" spans="1:37" x14ac:dyDescent="0.3">
      <c r="A93" s="13" t="str">
        <f t="shared" si="1"/>
        <v>PN27-087</v>
      </c>
      <c r="B93" s="26"/>
      <c r="C93" s="13" t="str">
        <f>IF(B93="","",IFERROR(INDEX(Catalogos!$R$5:$R$51,MATCH(B93,L_AREAS,0)),""))</f>
        <v/>
      </c>
      <c r="D93" s="13" t="str">
        <f>IF(B93="","",IFERROR(INDEX(Catalogos!$O$5:$O$51,MATCH(B93,L_AREAS,0)),""))</f>
        <v/>
      </c>
      <c r="E93" s="26"/>
      <c r="F93" s="13" t="str">
        <f>IF(E93="","",IFERROR(INDEX(Catalogos!$C$5:$C$49,MATCH(E93,L_METAS,0)),""))</f>
        <v/>
      </c>
      <c r="G93" s="13" t="str">
        <f>IF(E93="","",IFERROR(INDEX(Catalogos!$E$5:$E$49,MATCH(E93,L_METAS,0)),""))</f>
        <v/>
      </c>
      <c r="H93" s="26"/>
      <c r="I93" s="26"/>
      <c r="J93" s="26"/>
      <c r="K93" s="26"/>
      <c r="L93" s="26"/>
      <c r="M93" s="27"/>
      <c r="N93" s="26"/>
      <c r="O93" s="26"/>
      <c r="P93" s="26"/>
      <c r="Q93" s="26"/>
      <c r="R93" s="26"/>
      <c r="S93" s="26"/>
      <c r="T93" s="26"/>
      <c r="U93" s="26"/>
      <c r="V93" s="26"/>
      <c r="W93" s="28"/>
      <c r="X93" s="28"/>
      <c r="Y93" s="26"/>
      <c r="Z93" s="26"/>
      <c r="AA93" s="26"/>
      <c r="AB93" s="26"/>
      <c r="AC93" s="26"/>
      <c r="AD93" s="26"/>
      <c r="AE93" s="26"/>
      <c r="AF93" s="26"/>
      <c r="AG93" s="26"/>
      <c r="AH93" s="26"/>
      <c r="AI93" s="26"/>
      <c r="AJ93" s="15" t="str">
        <f>IF(COUNTA(B93,E93,H93,I93,J93,K93,L93,M93,N93,O93,P93,Q93,R93,S93,T93,U93,V93,W93,X93,Y93,Z93,AA93,AB93,AC93,AD93,AE93,AF93,AG93,AH93,AI93)=0,"",IF(OR(B93="",E93="",H93="",J93="",K93="",L93="",M93="",O93="",P93="",Q93="",R93="",S93="",T93="",U93="",W93="",X93="",Y93="",AB93="",AC93="",AE93="",AF93=""),"Incompleta: faltan campos obligatorios",IF(AND(LEFT(H93,6)="PROPIA",I93=""),"Falta el nombre de la acción propia del área",IF(AND(LEFT(H93,3)="A27",IFERROR(INDEX(Catalogos!$T$5:$T$207,MATCH(H93,Catalogos!$U$5:$U$207,0)),"x")&lt;&gt;LEFT(E93,7)),"La acción no corresponde a la meta seleccionada",IF(OR(NOT(ISNUMBER(M93)),M93&lt;10000000,M93&gt;99999999),"Código UNSPSC inválido: registre 8 dígitos",IF(MOD(M93,10000)=0,"UNSPSC a nivel de segmento o familia: use clase o producto",IF(IFERROR(MATCH(P93,L_MESES,0)&lt;MATCH(O93,L_MESES,0),TRUE()),"El mes de ofertas es anterior al de inicio del proceso",IF(OR(NOT(ISNUMBER(Q93)),Q93&lt;=0),"Duración inválida",IF(OR(NOT(ISNUMBER(W93)),NOT(ISNUMBER(X93))),"Valor inválido: registre solo números",IF(OR(W93&lt;=0,X93&lt;=0),"Valor inválido: debe ser mayor que cero",IF(X93&gt;W93,"El valor de la vigencia 2027 supera el valor total",IF(AND(X93&lt;W93,Y93="No"),"El valor total supera el de 2027: requiere vigencias futuras",IF(AND(Y93="Sí",OR(Z93="",Z93="No aplica")),"Indique el estado de la solicitud de vigencias futuras",IF(IF(AND(S93="Mínima cuantía",ISNUMBER(P_TOPE_MINIMA)),W93&gt;P_TOPE_MINIMA,FALSE()),"El valor supera el tope de mínima cuantía 2027",IF(IF(AND(S93="Selección abreviada de menor cuantía",ISNUMBER(P_TOPE_MENOR)),W93&gt;P_TOPE_MENOR,FALSE()),"El valor supera el tope de menor cuantía 2027",IF(OR(ISERROR(SEARCH("@itc.edu.co",AE93)),SUMPRODUCT(--ISNUMBER(SEARCH({"á","é","í","ó","ú","ñ"," "},AE93)))&gt;0),"El correo del responsable no es institucional válido",IF(AND(AF93="Sí",AG93=""),"Indique el N.° de registro 2026 que continúa","OK")))))))))))))))))</f>
        <v/>
      </c>
      <c r="AK93" s="15" t="str">
        <f>IF(AJ93="OK",COUNTIF($AJ$7:AJ93,"OK"),"")</f>
        <v/>
      </c>
    </row>
    <row r="94" spans="1:37" x14ac:dyDescent="0.3">
      <c r="A94" s="13" t="str">
        <f t="shared" si="1"/>
        <v>PN27-088</v>
      </c>
      <c r="B94" s="26"/>
      <c r="C94" s="13" t="str">
        <f>IF(B94="","",IFERROR(INDEX(Catalogos!$R$5:$R$51,MATCH(B94,L_AREAS,0)),""))</f>
        <v/>
      </c>
      <c r="D94" s="13" t="str">
        <f>IF(B94="","",IFERROR(INDEX(Catalogos!$O$5:$O$51,MATCH(B94,L_AREAS,0)),""))</f>
        <v/>
      </c>
      <c r="E94" s="26"/>
      <c r="F94" s="13" t="str">
        <f>IF(E94="","",IFERROR(INDEX(Catalogos!$C$5:$C$49,MATCH(E94,L_METAS,0)),""))</f>
        <v/>
      </c>
      <c r="G94" s="13" t="str">
        <f>IF(E94="","",IFERROR(INDEX(Catalogos!$E$5:$E$49,MATCH(E94,L_METAS,0)),""))</f>
        <v/>
      </c>
      <c r="H94" s="26"/>
      <c r="I94" s="26"/>
      <c r="J94" s="26"/>
      <c r="K94" s="26"/>
      <c r="L94" s="26"/>
      <c r="M94" s="27"/>
      <c r="N94" s="26"/>
      <c r="O94" s="26"/>
      <c r="P94" s="26"/>
      <c r="Q94" s="26"/>
      <c r="R94" s="26"/>
      <c r="S94" s="26"/>
      <c r="T94" s="26"/>
      <c r="U94" s="26"/>
      <c r="V94" s="26"/>
      <c r="W94" s="28"/>
      <c r="X94" s="28"/>
      <c r="Y94" s="26"/>
      <c r="Z94" s="26"/>
      <c r="AA94" s="26"/>
      <c r="AB94" s="26"/>
      <c r="AC94" s="26"/>
      <c r="AD94" s="26"/>
      <c r="AE94" s="26"/>
      <c r="AF94" s="26"/>
      <c r="AG94" s="26"/>
      <c r="AH94" s="26"/>
      <c r="AI94" s="26"/>
      <c r="AJ94" s="15" t="str">
        <f>IF(COUNTA(B94,E94,H94,I94,J94,K94,L94,M94,N94,O94,P94,Q94,R94,S94,T94,U94,V94,W94,X94,Y94,Z94,AA94,AB94,AC94,AD94,AE94,AF94,AG94,AH94,AI94)=0,"",IF(OR(B94="",E94="",H94="",J94="",K94="",L94="",M94="",O94="",P94="",Q94="",R94="",S94="",T94="",U94="",W94="",X94="",Y94="",AB94="",AC94="",AE94="",AF94=""),"Incompleta: faltan campos obligatorios",IF(AND(LEFT(H94,6)="PROPIA",I94=""),"Falta el nombre de la acción propia del área",IF(AND(LEFT(H94,3)="A27",IFERROR(INDEX(Catalogos!$T$5:$T$207,MATCH(H94,Catalogos!$U$5:$U$207,0)),"x")&lt;&gt;LEFT(E94,7)),"La acción no corresponde a la meta seleccionada",IF(OR(NOT(ISNUMBER(M94)),M94&lt;10000000,M94&gt;99999999),"Código UNSPSC inválido: registre 8 dígitos",IF(MOD(M94,10000)=0,"UNSPSC a nivel de segmento o familia: use clase o producto",IF(IFERROR(MATCH(P94,L_MESES,0)&lt;MATCH(O94,L_MESES,0),TRUE()),"El mes de ofertas es anterior al de inicio del proceso",IF(OR(NOT(ISNUMBER(Q94)),Q94&lt;=0),"Duración inválida",IF(OR(NOT(ISNUMBER(W94)),NOT(ISNUMBER(X94))),"Valor inválido: registre solo números",IF(OR(W94&lt;=0,X94&lt;=0),"Valor inválido: debe ser mayor que cero",IF(X94&gt;W94,"El valor de la vigencia 2027 supera el valor total",IF(AND(X94&lt;W94,Y94="No"),"El valor total supera el de 2027: requiere vigencias futuras",IF(AND(Y94="Sí",OR(Z94="",Z94="No aplica")),"Indique el estado de la solicitud de vigencias futuras",IF(IF(AND(S94="Mínima cuantía",ISNUMBER(P_TOPE_MINIMA)),W94&gt;P_TOPE_MINIMA,FALSE()),"El valor supera el tope de mínima cuantía 2027",IF(IF(AND(S94="Selección abreviada de menor cuantía",ISNUMBER(P_TOPE_MENOR)),W94&gt;P_TOPE_MENOR,FALSE()),"El valor supera el tope de menor cuantía 2027",IF(OR(ISERROR(SEARCH("@itc.edu.co",AE94)),SUMPRODUCT(--ISNUMBER(SEARCH({"á","é","í","ó","ú","ñ"," "},AE94)))&gt;0),"El correo del responsable no es institucional válido",IF(AND(AF94="Sí",AG94=""),"Indique el N.° de registro 2026 que continúa","OK")))))))))))))))))</f>
        <v/>
      </c>
      <c r="AK94" s="15" t="str">
        <f>IF(AJ94="OK",COUNTIF($AJ$7:AJ94,"OK"),"")</f>
        <v/>
      </c>
    </row>
    <row r="95" spans="1:37" x14ac:dyDescent="0.3">
      <c r="A95" s="13" t="str">
        <f t="shared" si="1"/>
        <v>PN27-089</v>
      </c>
      <c r="B95" s="26"/>
      <c r="C95" s="13" t="str">
        <f>IF(B95="","",IFERROR(INDEX(Catalogos!$R$5:$R$51,MATCH(B95,L_AREAS,0)),""))</f>
        <v/>
      </c>
      <c r="D95" s="13" t="str">
        <f>IF(B95="","",IFERROR(INDEX(Catalogos!$O$5:$O$51,MATCH(B95,L_AREAS,0)),""))</f>
        <v/>
      </c>
      <c r="E95" s="26"/>
      <c r="F95" s="13" t="str">
        <f>IF(E95="","",IFERROR(INDEX(Catalogos!$C$5:$C$49,MATCH(E95,L_METAS,0)),""))</f>
        <v/>
      </c>
      <c r="G95" s="13" t="str">
        <f>IF(E95="","",IFERROR(INDEX(Catalogos!$E$5:$E$49,MATCH(E95,L_METAS,0)),""))</f>
        <v/>
      </c>
      <c r="H95" s="26"/>
      <c r="I95" s="26"/>
      <c r="J95" s="26"/>
      <c r="K95" s="26"/>
      <c r="L95" s="26"/>
      <c r="M95" s="27"/>
      <c r="N95" s="26"/>
      <c r="O95" s="26"/>
      <c r="P95" s="26"/>
      <c r="Q95" s="26"/>
      <c r="R95" s="26"/>
      <c r="S95" s="26"/>
      <c r="T95" s="26"/>
      <c r="U95" s="26"/>
      <c r="V95" s="26"/>
      <c r="W95" s="28"/>
      <c r="X95" s="28"/>
      <c r="Y95" s="26"/>
      <c r="Z95" s="26"/>
      <c r="AA95" s="26"/>
      <c r="AB95" s="26"/>
      <c r="AC95" s="26"/>
      <c r="AD95" s="26"/>
      <c r="AE95" s="26"/>
      <c r="AF95" s="26"/>
      <c r="AG95" s="26"/>
      <c r="AH95" s="26"/>
      <c r="AI95" s="26"/>
      <c r="AJ95" s="15" t="str">
        <f>IF(COUNTA(B95,E95,H95,I95,J95,K95,L95,M95,N95,O95,P95,Q95,R95,S95,T95,U95,V95,W95,X95,Y95,Z95,AA95,AB95,AC95,AD95,AE95,AF95,AG95,AH95,AI95)=0,"",IF(OR(B95="",E95="",H95="",J95="",K95="",L95="",M95="",O95="",P95="",Q95="",R95="",S95="",T95="",U95="",W95="",X95="",Y95="",AB95="",AC95="",AE95="",AF95=""),"Incompleta: faltan campos obligatorios",IF(AND(LEFT(H95,6)="PROPIA",I95=""),"Falta el nombre de la acción propia del área",IF(AND(LEFT(H95,3)="A27",IFERROR(INDEX(Catalogos!$T$5:$T$207,MATCH(H95,Catalogos!$U$5:$U$207,0)),"x")&lt;&gt;LEFT(E95,7)),"La acción no corresponde a la meta seleccionada",IF(OR(NOT(ISNUMBER(M95)),M95&lt;10000000,M95&gt;99999999),"Código UNSPSC inválido: registre 8 dígitos",IF(MOD(M95,10000)=0,"UNSPSC a nivel de segmento o familia: use clase o producto",IF(IFERROR(MATCH(P95,L_MESES,0)&lt;MATCH(O95,L_MESES,0),TRUE()),"El mes de ofertas es anterior al de inicio del proceso",IF(OR(NOT(ISNUMBER(Q95)),Q95&lt;=0),"Duración inválida",IF(OR(NOT(ISNUMBER(W95)),NOT(ISNUMBER(X95))),"Valor inválido: registre solo números",IF(OR(W95&lt;=0,X95&lt;=0),"Valor inválido: debe ser mayor que cero",IF(X95&gt;W95,"El valor de la vigencia 2027 supera el valor total",IF(AND(X95&lt;W95,Y95="No"),"El valor total supera el de 2027: requiere vigencias futuras",IF(AND(Y95="Sí",OR(Z95="",Z95="No aplica")),"Indique el estado de la solicitud de vigencias futuras",IF(IF(AND(S95="Mínima cuantía",ISNUMBER(P_TOPE_MINIMA)),W95&gt;P_TOPE_MINIMA,FALSE()),"El valor supera el tope de mínima cuantía 2027",IF(IF(AND(S95="Selección abreviada de menor cuantía",ISNUMBER(P_TOPE_MENOR)),W95&gt;P_TOPE_MENOR,FALSE()),"El valor supera el tope de menor cuantía 2027",IF(OR(ISERROR(SEARCH("@itc.edu.co",AE95)),SUMPRODUCT(--ISNUMBER(SEARCH({"á","é","í","ó","ú","ñ"," "},AE95)))&gt;0),"El correo del responsable no es institucional válido",IF(AND(AF95="Sí",AG95=""),"Indique el N.° de registro 2026 que continúa","OK")))))))))))))))))</f>
        <v/>
      </c>
      <c r="AK95" s="15" t="str">
        <f>IF(AJ95="OK",COUNTIF($AJ$7:AJ95,"OK"),"")</f>
        <v/>
      </c>
    </row>
    <row r="96" spans="1:37" x14ac:dyDescent="0.3">
      <c r="A96" s="13" t="str">
        <f t="shared" si="1"/>
        <v>PN27-090</v>
      </c>
      <c r="B96" s="26"/>
      <c r="C96" s="13" t="str">
        <f>IF(B96="","",IFERROR(INDEX(Catalogos!$R$5:$R$51,MATCH(B96,L_AREAS,0)),""))</f>
        <v/>
      </c>
      <c r="D96" s="13" t="str">
        <f>IF(B96="","",IFERROR(INDEX(Catalogos!$O$5:$O$51,MATCH(B96,L_AREAS,0)),""))</f>
        <v/>
      </c>
      <c r="E96" s="26"/>
      <c r="F96" s="13" t="str">
        <f>IF(E96="","",IFERROR(INDEX(Catalogos!$C$5:$C$49,MATCH(E96,L_METAS,0)),""))</f>
        <v/>
      </c>
      <c r="G96" s="13" t="str">
        <f>IF(E96="","",IFERROR(INDEX(Catalogos!$E$5:$E$49,MATCH(E96,L_METAS,0)),""))</f>
        <v/>
      </c>
      <c r="H96" s="26"/>
      <c r="I96" s="26"/>
      <c r="J96" s="26"/>
      <c r="K96" s="26"/>
      <c r="L96" s="26"/>
      <c r="M96" s="27"/>
      <c r="N96" s="26"/>
      <c r="O96" s="26"/>
      <c r="P96" s="26"/>
      <c r="Q96" s="26"/>
      <c r="R96" s="26"/>
      <c r="S96" s="26"/>
      <c r="T96" s="26"/>
      <c r="U96" s="26"/>
      <c r="V96" s="26"/>
      <c r="W96" s="28"/>
      <c r="X96" s="28"/>
      <c r="Y96" s="26"/>
      <c r="Z96" s="26"/>
      <c r="AA96" s="26"/>
      <c r="AB96" s="26"/>
      <c r="AC96" s="26"/>
      <c r="AD96" s="26"/>
      <c r="AE96" s="26"/>
      <c r="AF96" s="26"/>
      <c r="AG96" s="26"/>
      <c r="AH96" s="26"/>
      <c r="AI96" s="26"/>
      <c r="AJ96" s="15" t="str">
        <f>IF(COUNTA(B96,E96,H96,I96,J96,K96,L96,M96,N96,O96,P96,Q96,R96,S96,T96,U96,V96,W96,X96,Y96,Z96,AA96,AB96,AC96,AD96,AE96,AF96,AG96,AH96,AI96)=0,"",IF(OR(B96="",E96="",H96="",J96="",K96="",L96="",M96="",O96="",P96="",Q96="",R96="",S96="",T96="",U96="",W96="",X96="",Y96="",AB96="",AC96="",AE96="",AF96=""),"Incompleta: faltan campos obligatorios",IF(AND(LEFT(H96,6)="PROPIA",I96=""),"Falta el nombre de la acción propia del área",IF(AND(LEFT(H96,3)="A27",IFERROR(INDEX(Catalogos!$T$5:$T$207,MATCH(H96,Catalogos!$U$5:$U$207,0)),"x")&lt;&gt;LEFT(E96,7)),"La acción no corresponde a la meta seleccionada",IF(OR(NOT(ISNUMBER(M96)),M96&lt;10000000,M96&gt;99999999),"Código UNSPSC inválido: registre 8 dígitos",IF(MOD(M96,10000)=0,"UNSPSC a nivel de segmento o familia: use clase o producto",IF(IFERROR(MATCH(P96,L_MESES,0)&lt;MATCH(O96,L_MESES,0),TRUE()),"El mes de ofertas es anterior al de inicio del proceso",IF(OR(NOT(ISNUMBER(Q96)),Q96&lt;=0),"Duración inválida",IF(OR(NOT(ISNUMBER(W96)),NOT(ISNUMBER(X96))),"Valor inválido: registre solo números",IF(OR(W96&lt;=0,X96&lt;=0),"Valor inválido: debe ser mayor que cero",IF(X96&gt;W96,"El valor de la vigencia 2027 supera el valor total",IF(AND(X96&lt;W96,Y96="No"),"El valor total supera el de 2027: requiere vigencias futuras",IF(AND(Y96="Sí",OR(Z96="",Z96="No aplica")),"Indique el estado de la solicitud de vigencias futuras",IF(IF(AND(S96="Mínima cuantía",ISNUMBER(P_TOPE_MINIMA)),W96&gt;P_TOPE_MINIMA,FALSE()),"El valor supera el tope de mínima cuantía 2027",IF(IF(AND(S96="Selección abreviada de menor cuantía",ISNUMBER(P_TOPE_MENOR)),W96&gt;P_TOPE_MENOR,FALSE()),"El valor supera el tope de menor cuantía 2027",IF(OR(ISERROR(SEARCH("@itc.edu.co",AE96)),SUMPRODUCT(--ISNUMBER(SEARCH({"á","é","í","ó","ú","ñ"," "},AE96)))&gt;0),"El correo del responsable no es institucional válido",IF(AND(AF96="Sí",AG96=""),"Indique el N.° de registro 2026 que continúa","OK")))))))))))))))))</f>
        <v/>
      </c>
      <c r="AK96" s="15" t="str">
        <f>IF(AJ96="OK",COUNTIF($AJ$7:AJ96,"OK"),"")</f>
        <v/>
      </c>
    </row>
    <row r="97" spans="1:37" x14ac:dyDescent="0.3">
      <c r="A97" s="13" t="str">
        <f t="shared" si="1"/>
        <v>PN27-091</v>
      </c>
      <c r="B97" s="26"/>
      <c r="C97" s="13" t="str">
        <f>IF(B97="","",IFERROR(INDEX(Catalogos!$R$5:$R$51,MATCH(B97,L_AREAS,0)),""))</f>
        <v/>
      </c>
      <c r="D97" s="13" t="str">
        <f>IF(B97="","",IFERROR(INDEX(Catalogos!$O$5:$O$51,MATCH(B97,L_AREAS,0)),""))</f>
        <v/>
      </c>
      <c r="E97" s="26"/>
      <c r="F97" s="13" t="str">
        <f>IF(E97="","",IFERROR(INDEX(Catalogos!$C$5:$C$49,MATCH(E97,L_METAS,0)),""))</f>
        <v/>
      </c>
      <c r="G97" s="13" t="str">
        <f>IF(E97="","",IFERROR(INDEX(Catalogos!$E$5:$E$49,MATCH(E97,L_METAS,0)),""))</f>
        <v/>
      </c>
      <c r="H97" s="26"/>
      <c r="I97" s="26"/>
      <c r="J97" s="26"/>
      <c r="K97" s="26"/>
      <c r="L97" s="26"/>
      <c r="M97" s="27"/>
      <c r="N97" s="26"/>
      <c r="O97" s="26"/>
      <c r="P97" s="26"/>
      <c r="Q97" s="26"/>
      <c r="R97" s="26"/>
      <c r="S97" s="26"/>
      <c r="T97" s="26"/>
      <c r="U97" s="26"/>
      <c r="V97" s="26"/>
      <c r="W97" s="28"/>
      <c r="X97" s="28"/>
      <c r="Y97" s="26"/>
      <c r="Z97" s="26"/>
      <c r="AA97" s="26"/>
      <c r="AB97" s="26"/>
      <c r="AC97" s="26"/>
      <c r="AD97" s="26"/>
      <c r="AE97" s="26"/>
      <c r="AF97" s="26"/>
      <c r="AG97" s="26"/>
      <c r="AH97" s="26"/>
      <c r="AI97" s="26"/>
      <c r="AJ97" s="15" t="str">
        <f>IF(COUNTA(B97,E97,H97,I97,J97,K97,L97,M97,N97,O97,P97,Q97,R97,S97,T97,U97,V97,W97,X97,Y97,Z97,AA97,AB97,AC97,AD97,AE97,AF97,AG97,AH97,AI97)=0,"",IF(OR(B97="",E97="",H97="",J97="",K97="",L97="",M97="",O97="",P97="",Q97="",R97="",S97="",T97="",U97="",W97="",X97="",Y97="",AB97="",AC97="",AE97="",AF97=""),"Incompleta: faltan campos obligatorios",IF(AND(LEFT(H97,6)="PROPIA",I97=""),"Falta el nombre de la acción propia del área",IF(AND(LEFT(H97,3)="A27",IFERROR(INDEX(Catalogos!$T$5:$T$207,MATCH(H97,Catalogos!$U$5:$U$207,0)),"x")&lt;&gt;LEFT(E97,7)),"La acción no corresponde a la meta seleccionada",IF(OR(NOT(ISNUMBER(M97)),M97&lt;10000000,M97&gt;99999999),"Código UNSPSC inválido: registre 8 dígitos",IF(MOD(M97,10000)=0,"UNSPSC a nivel de segmento o familia: use clase o producto",IF(IFERROR(MATCH(P97,L_MESES,0)&lt;MATCH(O97,L_MESES,0),TRUE()),"El mes de ofertas es anterior al de inicio del proceso",IF(OR(NOT(ISNUMBER(Q97)),Q97&lt;=0),"Duración inválida",IF(OR(NOT(ISNUMBER(W97)),NOT(ISNUMBER(X97))),"Valor inválido: registre solo números",IF(OR(W97&lt;=0,X97&lt;=0),"Valor inválido: debe ser mayor que cero",IF(X97&gt;W97,"El valor de la vigencia 2027 supera el valor total",IF(AND(X97&lt;W97,Y97="No"),"El valor total supera el de 2027: requiere vigencias futuras",IF(AND(Y97="Sí",OR(Z97="",Z97="No aplica")),"Indique el estado de la solicitud de vigencias futuras",IF(IF(AND(S97="Mínima cuantía",ISNUMBER(P_TOPE_MINIMA)),W97&gt;P_TOPE_MINIMA,FALSE()),"El valor supera el tope de mínima cuantía 2027",IF(IF(AND(S97="Selección abreviada de menor cuantía",ISNUMBER(P_TOPE_MENOR)),W97&gt;P_TOPE_MENOR,FALSE()),"El valor supera el tope de menor cuantía 2027",IF(OR(ISERROR(SEARCH("@itc.edu.co",AE97)),SUMPRODUCT(--ISNUMBER(SEARCH({"á","é","í","ó","ú","ñ"," "},AE97)))&gt;0),"El correo del responsable no es institucional válido",IF(AND(AF97="Sí",AG97=""),"Indique el N.° de registro 2026 que continúa","OK")))))))))))))))))</f>
        <v/>
      </c>
      <c r="AK97" s="15" t="str">
        <f>IF(AJ97="OK",COUNTIF($AJ$7:AJ97,"OK"),"")</f>
        <v/>
      </c>
    </row>
    <row r="98" spans="1:37" x14ac:dyDescent="0.3">
      <c r="A98" s="13" t="str">
        <f t="shared" si="1"/>
        <v>PN27-092</v>
      </c>
      <c r="B98" s="26"/>
      <c r="C98" s="13" t="str">
        <f>IF(B98="","",IFERROR(INDEX(Catalogos!$R$5:$R$51,MATCH(B98,L_AREAS,0)),""))</f>
        <v/>
      </c>
      <c r="D98" s="13" t="str">
        <f>IF(B98="","",IFERROR(INDEX(Catalogos!$O$5:$O$51,MATCH(B98,L_AREAS,0)),""))</f>
        <v/>
      </c>
      <c r="E98" s="26"/>
      <c r="F98" s="13" t="str">
        <f>IF(E98="","",IFERROR(INDEX(Catalogos!$C$5:$C$49,MATCH(E98,L_METAS,0)),""))</f>
        <v/>
      </c>
      <c r="G98" s="13" t="str">
        <f>IF(E98="","",IFERROR(INDEX(Catalogos!$E$5:$E$49,MATCH(E98,L_METAS,0)),""))</f>
        <v/>
      </c>
      <c r="H98" s="26"/>
      <c r="I98" s="26"/>
      <c r="J98" s="26"/>
      <c r="K98" s="26"/>
      <c r="L98" s="26"/>
      <c r="M98" s="27"/>
      <c r="N98" s="26"/>
      <c r="O98" s="26"/>
      <c r="P98" s="26"/>
      <c r="Q98" s="26"/>
      <c r="R98" s="26"/>
      <c r="S98" s="26"/>
      <c r="T98" s="26"/>
      <c r="U98" s="26"/>
      <c r="V98" s="26"/>
      <c r="W98" s="28"/>
      <c r="X98" s="28"/>
      <c r="Y98" s="26"/>
      <c r="Z98" s="26"/>
      <c r="AA98" s="26"/>
      <c r="AB98" s="26"/>
      <c r="AC98" s="26"/>
      <c r="AD98" s="26"/>
      <c r="AE98" s="26"/>
      <c r="AF98" s="26"/>
      <c r="AG98" s="26"/>
      <c r="AH98" s="26"/>
      <c r="AI98" s="26"/>
      <c r="AJ98" s="15" t="str">
        <f>IF(COUNTA(B98,E98,H98,I98,J98,K98,L98,M98,N98,O98,P98,Q98,R98,S98,T98,U98,V98,W98,X98,Y98,Z98,AA98,AB98,AC98,AD98,AE98,AF98,AG98,AH98,AI98)=0,"",IF(OR(B98="",E98="",H98="",J98="",K98="",L98="",M98="",O98="",P98="",Q98="",R98="",S98="",T98="",U98="",W98="",X98="",Y98="",AB98="",AC98="",AE98="",AF98=""),"Incompleta: faltan campos obligatorios",IF(AND(LEFT(H98,6)="PROPIA",I98=""),"Falta el nombre de la acción propia del área",IF(AND(LEFT(H98,3)="A27",IFERROR(INDEX(Catalogos!$T$5:$T$207,MATCH(H98,Catalogos!$U$5:$U$207,0)),"x")&lt;&gt;LEFT(E98,7)),"La acción no corresponde a la meta seleccionada",IF(OR(NOT(ISNUMBER(M98)),M98&lt;10000000,M98&gt;99999999),"Código UNSPSC inválido: registre 8 dígitos",IF(MOD(M98,10000)=0,"UNSPSC a nivel de segmento o familia: use clase o producto",IF(IFERROR(MATCH(P98,L_MESES,0)&lt;MATCH(O98,L_MESES,0),TRUE()),"El mes de ofertas es anterior al de inicio del proceso",IF(OR(NOT(ISNUMBER(Q98)),Q98&lt;=0),"Duración inválida",IF(OR(NOT(ISNUMBER(W98)),NOT(ISNUMBER(X98))),"Valor inválido: registre solo números",IF(OR(W98&lt;=0,X98&lt;=0),"Valor inválido: debe ser mayor que cero",IF(X98&gt;W98,"El valor de la vigencia 2027 supera el valor total",IF(AND(X98&lt;W98,Y98="No"),"El valor total supera el de 2027: requiere vigencias futuras",IF(AND(Y98="Sí",OR(Z98="",Z98="No aplica")),"Indique el estado de la solicitud de vigencias futuras",IF(IF(AND(S98="Mínima cuantía",ISNUMBER(P_TOPE_MINIMA)),W98&gt;P_TOPE_MINIMA,FALSE()),"El valor supera el tope de mínima cuantía 2027",IF(IF(AND(S98="Selección abreviada de menor cuantía",ISNUMBER(P_TOPE_MENOR)),W98&gt;P_TOPE_MENOR,FALSE()),"El valor supera el tope de menor cuantía 2027",IF(OR(ISERROR(SEARCH("@itc.edu.co",AE98)),SUMPRODUCT(--ISNUMBER(SEARCH({"á","é","í","ó","ú","ñ"," "},AE98)))&gt;0),"El correo del responsable no es institucional válido",IF(AND(AF98="Sí",AG98=""),"Indique el N.° de registro 2026 que continúa","OK")))))))))))))))))</f>
        <v/>
      </c>
      <c r="AK98" s="15" t="str">
        <f>IF(AJ98="OK",COUNTIF($AJ$7:AJ98,"OK"),"")</f>
        <v/>
      </c>
    </row>
    <row r="99" spans="1:37" x14ac:dyDescent="0.3">
      <c r="A99" s="13" t="str">
        <f t="shared" si="1"/>
        <v>PN27-093</v>
      </c>
      <c r="B99" s="26"/>
      <c r="C99" s="13" t="str">
        <f>IF(B99="","",IFERROR(INDEX(Catalogos!$R$5:$R$51,MATCH(B99,L_AREAS,0)),""))</f>
        <v/>
      </c>
      <c r="D99" s="13" t="str">
        <f>IF(B99="","",IFERROR(INDEX(Catalogos!$O$5:$O$51,MATCH(B99,L_AREAS,0)),""))</f>
        <v/>
      </c>
      <c r="E99" s="26"/>
      <c r="F99" s="13" t="str">
        <f>IF(E99="","",IFERROR(INDEX(Catalogos!$C$5:$C$49,MATCH(E99,L_METAS,0)),""))</f>
        <v/>
      </c>
      <c r="G99" s="13" t="str">
        <f>IF(E99="","",IFERROR(INDEX(Catalogos!$E$5:$E$49,MATCH(E99,L_METAS,0)),""))</f>
        <v/>
      </c>
      <c r="H99" s="26"/>
      <c r="I99" s="26"/>
      <c r="J99" s="26"/>
      <c r="K99" s="26"/>
      <c r="L99" s="26"/>
      <c r="M99" s="27"/>
      <c r="N99" s="26"/>
      <c r="O99" s="26"/>
      <c r="P99" s="26"/>
      <c r="Q99" s="26"/>
      <c r="R99" s="26"/>
      <c r="S99" s="26"/>
      <c r="T99" s="26"/>
      <c r="U99" s="26"/>
      <c r="V99" s="26"/>
      <c r="W99" s="28"/>
      <c r="X99" s="28"/>
      <c r="Y99" s="26"/>
      <c r="Z99" s="26"/>
      <c r="AA99" s="26"/>
      <c r="AB99" s="26"/>
      <c r="AC99" s="26"/>
      <c r="AD99" s="26"/>
      <c r="AE99" s="26"/>
      <c r="AF99" s="26"/>
      <c r="AG99" s="26"/>
      <c r="AH99" s="26"/>
      <c r="AI99" s="26"/>
      <c r="AJ99" s="15" t="str">
        <f>IF(COUNTA(B99,E99,H99,I99,J99,K99,L99,M99,N99,O99,P99,Q99,R99,S99,T99,U99,V99,W99,X99,Y99,Z99,AA99,AB99,AC99,AD99,AE99,AF99,AG99,AH99,AI99)=0,"",IF(OR(B99="",E99="",H99="",J99="",K99="",L99="",M99="",O99="",P99="",Q99="",R99="",S99="",T99="",U99="",W99="",X99="",Y99="",AB99="",AC99="",AE99="",AF99=""),"Incompleta: faltan campos obligatorios",IF(AND(LEFT(H99,6)="PROPIA",I99=""),"Falta el nombre de la acción propia del área",IF(AND(LEFT(H99,3)="A27",IFERROR(INDEX(Catalogos!$T$5:$T$207,MATCH(H99,Catalogos!$U$5:$U$207,0)),"x")&lt;&gt;LEFT(E99,7)),"La acción no corresponde a la meta seleccionada",IF(OR(NOT(ISNUMBER(M99)),M99&lt;10000000,M99&gt;99999999),"Código UNSPSC inválido: registre 8 dígitos",IF(MOD(M99,10000)=0,"UNSPSC a nivel de segmento o familia: use clase o producto",IF(IFERROR(MATCH(P99,L_MESES,0)&lt;MATCH(O99,L_MESES,0),TRUE()),"El mes de ofertas es anterior al de inicio del proceso",IF(OR(NOT(ISNUMBER(Q99)),Q99&lt;=0),"Duración inválida",IF(OR(NOT(ISNUMBER(W99)),NOT(ISNUMBER(X99))),"Valor inválido: registre solo números",IF(OR(W99&lt;=0,X99&lt;=0),"Valor inválido: debe ser mayor que cero",IF(X99&gt;W99,"El valor de la vigencia 2027 supera el valor total",IF(AND(X99&lt;W99,Y99="No"),"El valor total supera el de 2027: requiere vigencias futuras",IF(AND(Y99="Sí",OR(Z99="",Z99="No aplica")),"Indique el estado de la solicitud de vigencias futuras",IF(IF(AND(S99="Mínima cuantía",ISNUMBER(P_TOPE_MINIMA)),W99&gt;P_TOPE_MINIMA,FALSE()),"El valor supera el tope de mínima cuantía 2027",IF(IF(AND(S99="Selección abreviada de menor cuantía",ISNUMBER(P_TOPE_MENOR)),W99&gt;P_TOPE_MENOR,FALSE()),"El valor supera el tope de menor cuantía 2027",IF(OR(ISERROR(SEARCH("@itc.edu.co",AE99)),SUMPRODUCT(--ISNUMBER(SEARCH({"á","é","í","ó","ú","ñ"," "},AE99)))&gt;0),"El correo del responsable no es institucional válido",IF(AND(AF99="Sí",AG99=""),"Indique el N.° de registro 2026 que continúa","OK")))))))))))))))))</f>
        <v/>
      </c>
      <c r="AK99" s="15" t="str">
        <f>IF(AJ99="OK",COUNTIF($AJ$7:AJ99,"OK"),"")</f>
        <v/>
      </c>
    </row>
    <row r="100" spans="1:37" x14ac:dyDescent="0.3">
      <c r="A100" s="13" t="str">
        <f t="shared" si="1"/>
        <v>PN27-094</v>
      </c>
      <c r="B100" s="26"/>
      <c r="C100" s="13" t="str">
        <f>IF(B100="","",IFERROR(INDEX(Catalogos!$R$5:$R$51,MATCH(B100,L_AREAS,0)),""))</f>
        <v/>
      </c>
      <c r="D100" s="13" t="str">
        <f>IF(B100="","",IFERROR(INDEX(Catalogos!$O$5:$O$51,MATCH(B100,L_AREAS,0)),""))</f>
        <v/>
      </c>
      <c r="E100" s="26"/>
      <c r="F100" s="13" t="str">
        <f>IF(E100="","",IFERROR(INDEX(Catalogos!$C$5:$C$49,MATCH(E100,L_METAS,0)),""))</f>
        <v/>
      </c>
      <c r="G100" s="13" t="str">
        <f>IF(E100="","",IFERROR(INDEX(Catalogos!$E$5:$E$49,MATCH(E100,L_METAS,0)),""))</f>
        <v/>
      </c>
      <c r="H100" s="26"/>
      <c r="I100" s="26"/>
      <c r="J100" s="26"/>
      <c r="K100" s="26"/>
      <c r="L100" s="26"/>
      <c r="M100" s="27"/>
      <c r="N100" s="26"/>
      <c r="O100" s="26"/>
      <c r="P100" s="26"/>
      <c r="Q100" s="26"/>
      <c r="R100" s="26"/>
      <c r="S100" s="26"/>
      <c r="T100" s="26"/>
      <c r="U100" s="26"/>
      <c r="V100" s="26"/>
      <c r="W100" s="28"/>
      <c r="X100" s="28"/>
      <c r="Y100" s="26"/>
      <c r="Z100" s="26"/>
      <c r="AA100" s="26"/>
      <c r="AB100" s="26"/>
      <c r="AC100" s="26"/>
      <c r="AD100" s="26"/>
      <c r="AE100" s="26"/>
      <c r="AF100" s="26"/>
      <c r="AG100" s="26"/>
      <c r="AH100" s="26"/>
      <c r="AI100" s="26"/>
      <c r="AJ100" s="15" t="str">
        <f>IF(COUNTA(B100,E100,H100,I100,J100,K100,L100,M100,N100,O100,P100,Q100,R100,S100,T100,U100,V100,W100,X100,Y100,Z100,AA100,AB100,AC100,AD100,AE100,AF100,AG100,AH100,AI100)=0,"",IF(OR(B100="",E100="",H100="",J100="",K100="",L100="",M100="",O100="",P100="",Q100="",R100="",S100="",T100="",U100="",W100="",X100="",Y100="",AB100="",AC100="",AE100="",AF100=""),"Incompleta: faltan campos obligatorios",IF(AND(LEFT(H100,6)="PROPIA",I100=""),"Falta el nombre de la acción propia del área",IF(AND(LEFT(H100,3)="A27",IFERROR(INDEX(Catalogos!$T$5:$T$207,MATCH(H100,Catalogos!$U$5:$U$207,0)),"x")&lt;&gt;LEFT(E100,7)),"La acción no corresponde a la meta seleccionada",IF(OR(NOT(ISNUMBER(M100)),M100&lt;10000000,M100&gt;99999999),"Código UNSPSC inválido: registre 8 dígitos",IF(MOD(M100,10000)=0,"UNSPSC a nivel de segmento o familia: use clase o producto",IF(IFERROR(MATCH(P100,L_MESES,0)&lt;MATCH(O100,L_MESES,0),TRUE()),"El mes de ofertas es anterior al de inicio del proceso",IF(OR(NOT(ISNUMBER(Q100)),Q100&lt;=0),"Duración inválida",IF(OR(NOT(ISNUMBER(W100)),NOT(ISNUMBER(X100))),"Valor inválido: registre solo números",IF(OR(W100&lt;=0,X100&lt;=0),"Valor inválido: debe ser mayor que cero",IF(X100&gt;W100,"El valor de la vigencia 2027 supera el valor total",IF(AND(X100&lt;W100,Y100="No"),"El valor total supera el de 2027: requiere vigencias futuras",IF(AND(Y100="Sí",OR(Z100="",Z100="No aplica")),"Indique el estado de la solicitud de vigencias futuras",IF(IF(AND(S100="Mínima cuantía",ISNUMBER(P_TOPE_MINIMA)),W100&gt;P_TOPE_MINIMA,FALSE()),"El valor supera el tope de mínima cuantía 2027",IF(IF(AND(S100="Selección abreviada de menor cuantía",ISNUMBER(P_TOPE_MENOR)),W100&gt;P_TOPE_MENOR,FALSE()),"El valor supera el tope de menor cuantía 2027",IF(OR(ISERROR(SEARCH("@itc.edu.co",AE100)),SUMPRODUCT(--ISNUMBER(SEARCH({"á","é","í","ó","ú","ñ"," "},AE100)))&gt;0),"El correo del responsable no es institucional válido",IF(AND(AF100="Sí",AG100=""),"Indique el N.° de registro 2026 que continúa","OK")))))))))))))))))</f>
        <v/>
      </c>
      <c r="AK100" s="15" t="str">
        <f>IF(AJ100="OK",COUNTIF($AJ$7:AJ100,"OK"),"")</f>
        <v/>
      </c>
    </row>
    <row r="101" spans="1:37" x14ac:dyDescent="0.3">
      <c r="A101" s="13" t="str">
        <f t="shared" si="1"/>
        <v>PN27-095</v>
      </c>
      <c r="B101" s="26"/>
      <c r="C101" s="13" t="str">
        <f>IF(B101="","",IFERROR(INDEX(Catalogos!$R$5:$R$51,MATCH(B101,L_AREAS,0)),""))</f>
        <v/>
      </c>
      <c r="D101" s="13" t="str">
        <f>IF(B101="","",IFERROR(INDEX(Catalogos!$O$5:$O$51,MATCH(B101,L_AREAS,0)),""))</f>
        <v/>
      </c>
      <c r="E101" s="26"/>
      <c r="F101" s="13" t="str">
        <f>IF(E101="","",IFERROR(INDEX(Catalogos!$C$5:$C$49,MATCH(E101,L_METAS,0)),""))</f>
        <v/>
      </c>
      <c r="G101" s="13" t="str">
        <f>IF(E101="","",IFERROR(INDEX(Catalogos!$E$5:$E$49,MATCH(E101,L_METAS,0)),""))</f>
        <v/>
      </c>
      <c r="H101" s="26"/>
      <c r="I101" s="26"/>
      <c r="J101" s="26"/>
      <c r="K101" s="26"/>
      <c r="L101" s="26"/>
      <c r="M101" s="27"/>
      <c r="N101" s="26"/>
      <c r="O101" s="26"/>
      <c r="P101" s="26"/>
      <c r="Q101" s="26"/>
      <c r="R101" s="26"/>
      <c r="S101" s="26"/>
      <c r="T101" s="26"/>
      <c r="U101" s="26"/>
      <c r="V101" s="26"/>
      <c r="W101" s="28"/>
      <c r="X101" s="28"/>
      <c r="Y101" s="26"/>
      <c r="Z101" s="26"/>
      <c r="AA101" s="26"/>
      <c r="AB101" s="26"/>
      <c r="AC101" s="26"/>
      <c r="AD101" s="26"/>
      <c r="AE101" s="26"/>
      <c r="AF101" s="26"/>
      <c r="AG101" s="26"/>
      <c r="AH101" s="26"/>
      <c r="AI101" s="26"/>
      <c r="AJ101" s="15" t="str">
        <f>IF(COUNTA(B101,E101,H101,I101,J101,K101,L101,M101,N101,O101,P101,Q101,R101,S101,T101,U101,V101,W101,X101,Y101,Z101,AA101,AB101,AC101,AD101,AE101,AF101,AG101,AH101,AI101)=0,"",IF(OR(B101="",E101="",H101="",J101="",K101="",L101="",M101="",O101="",P101="",Q101="",R101="",S101="",T101="",U101="",W101="",X101="",Y101="",AB101="",AC101="",AE101="",AF101=""),"Incompleta: faltan campos obligatorios",IF(AND(LEFT(H101,6)="PROPIA",I101=""),"Falta el nombre de la acción propia del área",IF(AND(LEFT(H101,3)="A27",IFERROR(INDEX(Catalogos!$T$5:$T$207,MATCH(H101,Catalogos!$U$5:$U$207,0)),"x")&lt;&gt;LEFT(E101,7)),"La acción no corresponde a la meta seleccionada",IF(OR(NOT(ISNUMBER(M101)),M101&lt;10000000,M101&gt;99999999),"Código UNSPSC inválido: registre 8 dígitos",IF(MOD(M101,10000)=0,"UNSPSC a nivel de segmento o familia: use clase o producto",IF(IFERROR(MATCH(P101,L_MESES,0)&lt;MATCH(O101,L_MESES,0),TRUE()),"El mes de ofertas es anterior al de inicio del proceso",IF(OR(NOT(ISNUMBER(Q101)),Q101&lt;=0),"Duración inválida",IF(OR(NOT(ISNUMBER(W101)),NOT(ISNUMBER(X101))),"Valor inválido: registre solo números",IF(OR(W101&lt;=0,X101&lt;=0),"Valor inválido: debe ser mayor que cero",IF(X101&gt;W101,"El valor de la vigencia 2027 supera el valor total",IF(AND(X101&lt;W101,Y101="No"),"El valor total supera el de 2027: requiere vigencias futuras",IF(AND(Y101="Sí",OR(Z101="",Z101="No aplica")),"Indique el estado de la solicitud de vigencias futuras",IF(IF(AND(S101="Mínima cuantía",ISNUMBER(P_TOPE_MINIMA)),W101&gt;P_TOPE_MINIMA,FALSE()),"El valor supera el tope de mínima cuantía 2027",IF(IF(AND(S101="Selección abreviada de menor cuantía",ISNUMBER(P_TOPE_MENOR)),W101&gt;P_TOPE_MENOR,FALSE()),"El valor supera el tope de menor cuantía 2027",IF(OR(ISERROR(SEARCH("@itc.edu.co",AE101)),SUMPRODUCT(--ISNUMBER(SEARCH({"á","é","í","ó","ú","ñ"," "},AE101)))&gt;0),"El correo del responsable no es institucional válido",IF(AND(AF101="Sí",AG101=""),"Indique el N.° de registro 2026 que continúa","OK")))))))))))))))))</f>
        <v/>
      </c>
      <c r="AK101" s="15" t="str">
        <f>IF(AJ101="OK",COUNTIF($AJ$7:AJ101,"OK"),"")</f>
        <v/>
      </c>
    </row>
    <row r="102" spans="1:37" x14ac:dyDescent="0.3">
      <c r="A102" s="13" t="str">
        <f t="shared" si="1"/>
        <v>PN27-096</v>
      </c>
      <c r="B102" s="26"/>
      <c r="C102" s="13" t="str">
        <f>IF(B102="","",IFERROR(INDEX(Catalogos!$R$5:$R$51,MATCH(B102,L_AREAS,0)),""))</f>
        <v/>
      </c>
      <c r="D102" s="13" t="str">
        <f>IF(B102="","",IFERROR(INDEX(Catalogos!$O$5:$O$51,MATCH(B102,L_AREAS,0)),""))</f>
        <v/>
      </c>
      <c r="E102" s="26"/>
      <c r="F102" s="13" t="str">
        <f>IF(E102="","",IFERROR(INDEX(Catalogos!$C$5:$C$49,MATCH(E102,L_METAS,0)),""))</f>
        <v/>
      </c>
      <c r="G102" s="13" t="str">
        <f>IF(E102="","",IFERROR(INDEX(Catalogos!$E$5:$E$49,MATCH(E102,L_METAS,0)),""))</f>
        <v/>
      </c>
      <c r="H102" s="26"/>
      <c r="I102" s="26"/>
      <c r="J102" s="26"/>
      <c r="K102" s="26"/>
      <c r="L102" s="26"/>
      <c r="M102" s="27"/>
      <c r="N102" s="26"/>
      <c r="O102" s="26"/>
      <c r="P102" s="26"/>
      <c r="Q102" s="26"/>
      <c r="R102" s="26"/>
      <c r="S102" s="26"/>
      <c r="T102" s="26"/>
      <c r="U102" s="26"/>
      <c r="V102" s="26"/>
      <c r="W102" s="28"/>
      <c r="X102" s="28"/>
      <c r="Y102" s="26"/>
      <c r="Z102" s="26"/>
      <c r="AA102" s="26"/>
      <c r="AB102" s="26"/>
      <c r="AC102" s="26"/>
      <c r="AD102" s="26"/>
      <c r="AE102" s="26"/>
      <c r="AF102" s="26"/>
      <c r="AG102" s="26"/>
      <c r="AH102" s="26"/>
      <c r="AI102" s="26"/>
      <c r="AJ102" s="15" t="str">
        <f>IF(COUNTA(B102,E102,H102,I102,J102,K102,L102,M102,N102,O102,P102,Q102,R102,S102,T102,U102,V102,W102,X102,Y102,Z102,AA102,AB102,AC102,AD102,AE102,AF102,AG102,AH102,AI102)=0,"",IF(OR(B102="",E102="",H102="",J102="",K102="",L102="",M102="",O102="",P102="",Q102="",R102="",S102="",T102="",U102="",W102="",X102="",Y102="",AB102="",AC102="",AE102="",AF102=""),"Incompleta: faltan campos obligatorios",IF(AND(LEFT(H102,6)="PROPIA",I102=""),"Falta el nombre de la acción propia del área",IF(AND(LEFT(H102,3)="A27",IFERROR(INDEX(Catalogos!$T$5:$T$207,MATCH(H102,Catalogos!$U$5:$U$207,0)),"x")&lt;&gt;LEFT(E102,7)),"La acción no corresponde a la meta seleccionada",IF(OR(NOT(ISNUMBER(M102)),M102&lt;10000000,M102&gt;99999999),"Código UNSPSC inválido: registre 8 dígitos",IF(MOD(M102,10000)=0,"UNSPSC a nivel de segmento o familia: use clase o producto",IF(IFERROR(MATCH(P102,L_MESES,0)&lt;MATCH(O102,L_MESES,0),TRUE()),"El mes de ofertas es anterior al de inicio del proceso",IF(OR(NOT(ISNUMBER(Q102)),Q102&lt;=0),"Duración inválida",IF(OR(NOT(ISNUMBER(W102)),NOT(ISNUMBER(X102))),"Valor inválido: registre solo números",IF(OR(W102&lt;=0,X102&lt;=0),"Valor inválido: debe ser mayor que cero",IF(X102&gt;W102,"El valor de la vigencia 2027 supera el valor total",IF(AND(X102&lt;W102,Y102="No"),"El valor total supera el de 2027: requiere vigencias futuras",IF(AND(Y102="Sí",OR(Z102="",Z102="No aplica")),"Indique el estado de la solicitud de vigencias futuras",IF(IF(AND(S102="Mínima cuantía",ISNUMBER(P_TOPE_MINIMA)),W102&gt;P_TOPE_MINIMA,FALSE()),"El valor supera el tope de mínima cuantía 2027",IF(IF(AND(S102="Selección abreviada de menor cuantía",ISNUMBER(P_TOPE_MENOR)),W102&gt;P_TOPE_MENOR,FALSE()),"El valor supera el tope de menor cuantía 2027",IF(OR(ISERROR(SEARCH("@itc.edu.co",AE102)),SUMPRODUCT(--ISNUMBER(SEARCH({"á","é","í","ó","ú","ñ"," "},AE102)))&gt;0),"El correo del responsable no es institucional válido",IF(AND(AF102="Sí",AG102=""),"Indique el N.° de registro 2026 que continúa","OK")))))))))))))))))</f>
        <v/>
      </c>
      <c r="AK102" s="15" t="str">
        <f>IF(AJ102="OK",COUNTIF($AJ$7:AJ102,"OK"),"")</f>
        <v/>
      </c>
    </row>
    <row r="103" spans="1:37" x14ac:dyDescent="0.3">
      <c r="A103" s="13" t="str">
        <f t="shared" si="1"/>
        <v>PN27-097</v>
      </c>
      <c r="B103" s="26"/>
      <c r="C103" s="13" t="str">
        <f>IF(B103="","",IFERROR(INDEX(Catalogos!$R$5:$R$51,MATCH(B103,L_AREAS,0)),""))</f>
        <v/>
      </c>
      <c r="D103" s="13" t="str">
        <f>IF(B103="","",IFERROR(INDEX(Catalogos!$O$5:$O$51,MATCH(B103,L_AREAS,0)),""))</f>
        <v/>
      </c>
      <c r="E103" s="26"/>
      <c r="F103" s="13" t="str">
        <f>IF(E103="","",IFERROR(INDEX(Catalogos!$C$5:$C$49,MATCH(E103,L_METAS,0)),""))</f>
        <v/>
      </c>
      <c r="G103" s="13" t="str">
        <f>IF(E103="","",IFERROR(INDEX(Catalogos!$E$5:$E$49,MATCH(E103,L_METAS,0)),""))</f>
        <v/>
      </c>
      <c r="H103" s="26"/>
      <c r="I103" s="26"/>
      <c r="J103" s="26"/>
      <c r="K103" s="26"/>
      <c r="L103" s="26"/>
      <c r="M103" s="27"/>
      <c r="N103" s="26"/>
      <c r="O103" s="26"/>
      <c r="P103" s="26"/>
      <c r="Q103" s="26"/>
      <c r="R103" s="26"/>
      <c r="S103" s="26"/>
      <c r="T103" s="26"/>
      <c r="U103" s="26"/>
      <c r="V103" s="26"/>
      <c r="W103" s="28"/>
      <c r="X103" s="28"/>
      <c r="Y103" s="26"/>
      <c r="Z103" s="26"/>
      <c r="AA103" s="26"/>
      <c r="AB103" s="26"/>
      <c r="AC103" s="26"/>
      <c r="AD103" s="26"/>
      <c r="AE103" s="26"/>
      <c r="AF103" s="26"/>
      <c r="AG103" s="26"/>
      <c r="AH103" s="26"/>
      <c r="AI103" s="26"/>
      <c r="AJ103" s="15" t="str">
        <f>IF(COUNTA(B103,E103,H103,I103,J103,K103,L103,M103,N103,O103,P103,Q103,R103,S103,T103,U103,V103,W103,X103,Y103,Z103,AA103,AB103,AC103,AD103,AE103,AF103,AG103,AH103,AI103)=0,"",IF(OR(B103="",E103="",H103="",J103="",K103="",L103="",M103="",O103="",P103="",Q103="",R103="",S103="",T103="",U103="",W103="",X103="",Y103="",AB103="",AC103="",AE103="",AF103=""),"Incompleta: faltan campos obligatorios",IF(AND(LEFT(H103,6)="PROPIA",I103=""),"Falta el nombre de la acción propia del área",IF(AND(LEFT(H103,3)="A27",IFERROR(INDEX(Catalogos!$T$5:$T$207,MATCH(H103,Catalogos!$U$5:$U$207,0)),"x")&lt;&gt;LEFT(E103,7)),"La acción no corresponde a la meta seleccionada",IF(OR(NOT(ISNUMBER(M103)),M103&lt;10000000,M103&gt;99999999),"Código UNSPSC inválido: registre 8 dígitos",IF(MOD(M103,10000)=0,"UNSPSC a nivel de segmento o familia: use clase o producto",IF(IFERROR(MATCH(P103,L_MESES,0)&lt;MATCH(O103,L_MESES,0),TRUE()),"El mes de ofertas es anterior al de inicio del proceso",IF(OR(NOT(ISNUMBER(Q103)),Q103&lt;=0),"Duración inválida",IF(OR(NOT(ISNUMBER(W103)),NOT(ISNUMBER(X103))),"Valor inválido: registre solo números",IF(OR(W103&lt;=0,X103&lt;=0),"Valor inválido: debe ser mayor que cero",IF(X103&gt;W103,"El valor de la vigencia 2027 supera el valor total",IF(AND(X103&lt;W103,Y103="No"),"El valor total supera el de 2027: requiere vigencias futuras",IF(AND(Y103="Sí",OR(Z103="",Z103="No aplica")),"Indique el estado de la solicitud de vigencias futuras",IF(IF(AND(S103="Mínima cuantía",ISNUMBER(P_TOPE_MINIMA)),W103&gt;P_TOPE_MINIMA,FALSE()),"El valor supera el tope de mínima cuantía 2027",IF(IF(AND(S103="Selección abreviada de menor cuantía",ISNUMBER(P_TOPE_MENOR)),W103&gt;P_TOPE_MENOR,FALSE()),"El valor supera el tope de menor cuantía 2027",IF(OR(ISERROR(SEARCH("@itc.edu.co",AE103)),SUMPRODUCT(--ISNUMBER(SEARCH({"á","é","í","ó","ú","ñ"," "},AE103)))&gt;0),"El correo del responsable no es institucional válido",IF(AND(AF103="Sí",AG103=""),"Indique el N.° de registro 2026 que continúa","OK")))))))))))))))))</f>
        <v/>
      </c>
      <c r="AK103" s="15" t="str">
        <f>IF(AJ103="OK",COUNTIF($AJ$7:AJ103,"OK"),"")</f>
        <v/>
      </c>
    </row>
    <row r="104" spans="1:37" x14ac:dyDescent="0.3">
      <c r="A104" s="13" t="str">
        <f t="shared" si="1"/>
        <v>PN27-098</v>
      </c>
      <c r="B104" s="26"/>
      <c r="C104" s="13" t="str">
        <f>IF(B104="","",IFERROR(INDEX(Catalogos!$R$5:$R$51,MATCH(B104,L_AREAS,0)),""))</f>
        <v/>
      </c>
      <c r="D104" s="13" t="str">
        <f>IF(B104="","",IFERROR(INDEX(Catalogos!$O$5:$O$51,MATCH(B104,L_AREAS,0)),""))</f>
        <v/>
      </c>
      <c r="E104" s="26"/>
      <c r="F104" s="13" t="str">
        <f>IF(E104="","",IFERROR(INDEX(Catalogos!$C$5:$C$49,MATCH(E104,L_METAS,0)),""))</f>
        <v/>
      </c>
      <c r="G104" s="13" t="str">
        <f>IF(E104="","",IFERROR(INDEX(Catalogos!$E$5:$E$49,MATCH(E104,L_METAS,0)),""))</f>
        <v/>
      </c>
      <c r="H104" s="26"/>
      <c r="I104" s="26"/>
      <c r="J104" s="26"/>
      <c r="K104" s="26"/>
      <c r="L104" s="26"/>
      <c r="M104" s="27"/>
      <c r="N104" s="26"/>
      <c r="O104" s="26"/>
      <c r="P104" s="26"/>
      <c r="Q104" s="26"/>
      <c r="R104" s="26"/>
      <c r="S104" s="26"/>
      <c r="T104" s="26"/>
      <c r="U104" s="26"/>
      <c r="V104" s="26"/>
      <c r="W104" s="28"/>
      <c r="X104" s="28"/>
      <c r="Y104" s="26"/>
      <c r="Z104" s="26"/>
      <c r="AA104" s="26"/>
      <c r="AB104" s="26"/>
      <c r="AC104" s="26"/>
      <c r="AD104" s="26"/>
      <c r="AE104" s="26"/>
      <c r="AF104" s="26"/>
      <c r="AG104" s="26"/>
      <c r="AH104" s="26"/>
      <c r="AI104" s="26"/>
      <c r="AJ104" s="15" t="str">
        <f>IF(COUNTA(B104,E104,H104,I104,J104,K104,L104,M104,N104,O104,P104,Q104,R104,S104,T104,U104,V104,W104,X104,Y104,Z104,AA104,AB104,AC104,AD104,AE104,AF104,AG104,AH104,AI104)=0,"",IF(OR(B104="",E104="",H104="",J104="",K104="",L104="",M104="",O104="",P104="",Q104="",R104="",S104="",T104="",U104="",W104="",X104="",Y104="",AB104="",AC104="",AE104="",AF104=""),"Incompleta: faltan campos obligatorios",IF(AND(LEFT(H104,6)="PROPIA",I104=""),"Falta el nombre de la acción propia del área",IF(AND(LEFT(H104,3)="A27",IFERROR(INDEX(Catalogos!$T$5:$T$207,MATCH(H104,Catalogos!$U$5:$U$207,0)),"x")&lt;&gt;LEFT(E104,7)),"La acción no corresponde a la meta seleccionada",IF(OR(NOT(ISNUMBER(M104)),M104&lt;10000000,M104&gt;99999999),"Código UNSPSC inválido: registre 8 dígitos",IF(MOD(M104,10000)=0,"UNSPSC a nivel de segmento o familia: use clase o producto",IF(IFERROR(MATCH(P104,L_MESES,0)&lt;MATCH(O104,L_MESES,0),TRUE()),"El mes de ofertas es anterior al de inicio del proceso",IF(OR(NOT(ISNUMBER(Q104)),Q104&lt;=0),"Duración inválida",IF(OR(NOT(ISNUMBER(W104)),NOT(ISNUMBER(X104))),"Valor inválido: registre solo números",IF(OR(W104&lt;=0,X104&lt;=0),"Valor inválido: debe ser mayor que cero",IF(X104&gt;W104,"El valor de la vigencia 2027 supera el valor total",IF(AND(X104&lt;W104,Y104="No"),"El valor total supera el de 2027: requiere vigencias futuras",IF(AND(Y104="Sí",OR(Z104="",Z104="No aplica")),"Indique el estado de la solicitud de vigencias futuras",IF(IF(AND(S104="Mínima cuantía",ISNUMBER(P_TOPE_MINIMA)),W104&gt;P_TOPE_MINIMA,FALSE()),"El valor supera el tope de mínima cuantía 2027",IF(IF(AND(S104="Selección abreviada de menor cuantía",ISNUMBER(P_TOPE_MENOR)),W104&gt;P_TOPE_MENOR,FALSE()),"El valor supera el tope de menor cuantía 2027",IF(OR(ISERROR(SEARCH("@itc.edu.co",AE104)),SUMPRODUCT(--ISNUMBER(SEARCH({"á","é","í","ó","ú","ñ"," "},AE104)))&gt;0),"El correo del responsable no es institucional válido",IF(AND(AF104="Sí",AG104=""),"Indique el N.° de registro 2026 que continúa","OK")))))))))))))))))</f>
        <v/>
      </c>
      <c r="AK104" s="15" t="str">
        <f>IF(AJ104="OK",COUNTIF($AJ$7:AJ104,"OK"),"")</f>
        <v/>
      </c>
    </row>
    <row r="105" spans="1:37" x14ac:dyDescent="0.3">
      <c r="A105" s="13" t="str">
        <f t="shared" si="1"/>
        <v>PN27-099</v>
      </c>
      <c r="B105" s="26"/>
      <c r="C105" s="13" t="str">
        <f>IF(B105="","",IFERROR(INDEX(Catalogos!$R$5:$R$51,MATCH(B105,L_AREAS,0)),""))</f>
        <v/>
      </c>
      <c r="D105" s="13" t="str">
        <f>IF(B105="","",IFERROR(INDEX(Catalogos!$O$5:$O$51,MATCH(B105,L_AREAS,0)),""))</f>
        <v/>
      </c>
      <c r="E105" s="26"/>
      <c r="F105" s="13" t="str">
        <f>IF(E105="","",IFERROR(INDEX(Catalogos!$C$5:$C$49,MATCH(E105,L_METAS,0)),""))</f>
        <v/>
      </c>
      <c r="G105" s="13" t="str">
        <f>IF(E105="","",IFERROR(INDEX(Catalogos!$E$5:$E$49,MATCH(E105,L_METAS,0)),""))</f>
        <v/>
      </c>
      <c r="H105" s="26"/>
      <c r="I105" s="26"/>
      <c r="J105" s="26"/>
      <c r="K105" s="26"/>
      <c r="L105" s="26"/>
      <c r="M105" s="27"/>
      <c r="N105" s="26"/>
      <c r="O105" s="26"/>
      <c r="P105" s="26"/>
      <c r="Q105" s="26"/>
      <c r="R105" s="26"/>
      <c r="S105" s="26"/>
      <c r="T105" s="26"/>
      <c r="U105" s="26"/>
      <c r="V105" s="26"/>
      <c r="W105" s="28"/>
      <c r="X105" s="28"/>
      <c r="Y105" s="26"/>
      <c r="Z105" s="26"/>
      <c r="AA105" s="26"/>
      <c r="AB105" s="26"/>
      <c r="AC105" s="26"/>
      <c r="AD105" s="26"/>
      <c r="AE105" s="26"/>
      <c r="AF105" s="26"/>
      <c r="AG105" s="26"/>
      <c r="AH105" s="26"/>
      <c r="AI105" s="26"/>
      <c r="AJ105" s="15" t="str">
        <f>IF(COUNTA(B105,E105,H105,I105,J105,K105,L105,M105,N105,O105,P105,Q105,R105,S105,T105,U105,V105,W105,X105,Y105,Z105,AA105,AB105,AC105,AD105,AE105,AF105,AG105,AH105,AI105)=0,"",IF(OR(B105="",E105="",H105="",J105="",K105="",L105="",M105="",O105="",P105="",Q105="",R105="",S105="",T105="",U105="",W105="",X105="",Y105="",AB105="",AC105="",AE105="",AF105=""),"Incompleta: faltan campos obligatorios",IF(AND(LEFT(H105,6)="PROPIA",I105=""),"Falta el nombre de la acción propia del área",IF(AND(LEFT(H105,3)="A27",IFERROR(INDEX(Catalogos!$T$5:$T$207,MATCH(H105,Catalogos!$U$5:$U$207,0)),"x")&lt;&gt;LEFT(E105,7)),"La acción no corresponde a la meta seleccionada",IF(OR(NOT(ISNUMBER(M105)),M105&lt;10000000,M105&gt;99999999),"Código UNSPSC inválido: registre 8 dígitos",IF(MOD(M105,10000)=0,"UNSPSC a nivel de segmento o familia: use clase o producto",IF(IFERROR(MATCH(P105,L_MESES,0)&lt;MATCH(O105,L_MESES,0),TRUE()),"El mes de ofertas es anterior al de inicio del proceso",IF(OR(NOT(ISNUMBER(Q105)),Q105&lt;=0),"Duración inválida",IF(OR(NOT(ISNUMBER(W105)),NOT(ISNUMBER(X105))),"Valor inválido: registre solo números",IF(OR(W105&lt;=0,X105&lt;=0),"Valor inválido: debe ser mayor que cero",IF(X105&gt;W105,"El valor de la vigencia 2027 supera el valor total",IF(AND(X105&lt;W105,Y105="No"),"El valor total supera el de 2027: requiere vigencias futuras",IF(AND(Y105="Sí",OR(Z105="",Z105="No aplica")),"Indique el estado de la solicitud de vigencias futuras",IF(IF(AND(S105="Mínima cuantía",ISNUMBER(P_TOPE_MINIMA)),W105&gt;P_TOPE_MINIMA,FALSE()),"El valor supera el tope de mínima cuantía 2027",IF(IF(AND(S105="Selección abreviada de menor cuantía",ISNUMBER(P_TOPE_MENOR)),W105&gt;P_TOPE_MENOR,FALSE()),"El valor supera el tope de menor cuantía 2027",IF(OR(ISERROR(SEARCH("@itc.edu.co",AE105)),SUMPRODUCT(--ISNUMBER(SEARCH({"á","é","í","ó","ú","ñ"," "},AE105)))&gt;0),"El correo del responsable no es institucional válido",IF(AND(AF105="Sí",AG105=""),"Indique el N.° de registro 2026 que continúa","OK")))))))))))))))))</f>
        <v/>
      </c>
      <c r="AK105" s="15" t="str">
        <f>IF(AJ105="OK",COUNTIF($AJ$7:AJ105,"OK"),"")</f>
        <v/>
      </c>
    </row>
    <row r="106" spans="1:37" x14ac:dyDescent="0.3">
      <c r="A106" s="13" t="str">
        <f t="shared" si="1"/>
        <v>PN27-100</v>
      </c>
      <c r="B106" s="26"/>
      <c r="C106" s="13" t="str">
        <f>IF(B106="","",IFERROR(INDEX(Catalogos!$R$5:$R$51,MATCH(B106,L_AREAS,0)),""))</f>
        <v/>
      </c>
      <c r="D106" s="13" t="str">
        <f>IF(B106="","",IFERROR(INDEX(Catalogos!$O$5:$O$51,MATCH(B106,L_AREAS,0)),""))</f>
        <v/>
      </c>
      <c r="E106" s="26"/>
      <c r="F106" s="13" t="str">
        <f>IF(E106="","",IFERROR(INDEX(Catalogos!$C$5:$C$49,MATCH(E106,L_METAS,0)),""))</f>
        <v/>
      </c>
      <c r="G106" s="13" t="str">
        <f>IF(E106="","",IFERROR(INDEX(Catalogos!$E$5:$E$49,MATCH(E106,L_METAS,0)),""))</f>
        <v/>
      </c>
      <c r="H106" s="26"/>
      <c r="I106" s="26"/>
      <c r="J106" s="26"/>
      <c r="K106" s="26"/>
      <c r="L106" s="26"/>
      <c r="M106" s="27"/>
      <c r="N106" s="26"/>
      <c r="O106" s="26"/>
      <c r="P106" s="26"/>
      <c r="Q106" s="26"/>
      <c r="R106" s="26"/>
      <c r="S106" s="26"/>
      <c r="T106" s="26"/>
      <c r="U106" s="26"/>
      <c r="V106" s="26"/>
      <c r="W106" s="28"/>
      <c r="X106" s="28"/>
      <c r="Y106" s="26"/>
      <c r="Z106" s="26"/>
      <c r="AA106" s="26"/>
      <c r="AB106" s="26"/>
      <c r="AC106" s="26"/>
      <c r="AD106" s="26"/>
      <c r="AE106" s="26"/>
      <c r="AF106" s="26"/>
      <c r="AG106" s="26"/>
      <c r="AH106" s="26"/>
      <c r="AI106" s="26"/>
      <c r="AJ106" s="15" t="str">
        <f>IF(COUNTA(B106,E106,H106,I106,J106,K106,L106,M106,N106,O106,P106,Q106,R106,S106,T106,U106,V106,W106,X106,Y106,Z106,AA106,AB106,AC106,AD106,AE106,AF106,AG106,AH106,AI106)=0,"",IF(OR(B106="",E106="",H106="",J106="",K106="",L106="",M106="",O106="",P106="",Q106="",R106="",S106="",T106="",U106="",W106="",X106="",Y106="",AB106="",AC106="",AE106="",AF106=""),"Incompleta: faltan campos obligatorios",IF(AND(LEFT(H106,6)="PROPIA",I106=""),"Falta el nombre de la acción propia del área",IF(AND(LEFT(H106,3)="A27",IFERROR(INDEX(Catalogos!$T$5:$T$207,MATCH(H106,Catalogos!$U$5:$U$207,0)),"x")&lt;&gt;LEFT(E106,7)),"La acción no corresponde a la meta seleccionada",IF(OR(NOT(ISNUMBER(M106)),M106&lt;10000000,M106&gt;99999999),"Código UNSPSC inválido: registre 8 dígitos",IF(MOD(M106,10000)=0,"UNSPSC a nivel de segmento o familia: use clase o producto",IF(IFERROR(MATCH(P106,L_MESES,0)&lt;MATCH(O106,L_MESES,0),TRUE()),"El mes de ofertas es anterior al de inicio del proceso",IF(OR(NOT(ISNUMBER(Q106)),Q106&lt;=0),"Duración inválida",IF(OR(NOT(ISNUMBER(W106)),NOT(ISNUMBER(X106))),"Valor inválido: registre solo números",IF(OR(W106&lt;=0,X106&lt;=0),"Valor inválido: debe ser mayor que cero",IF(X106&gt;W106,"El valor de la vigencia 2027 supera el valor total",IF(AND(X106&lt;W106,Y106="No"),"El valor total supera el de 2027: requiere vigencias futuras",IF(AND(Y106="Sí",OR(Z106="",Z106="No aplica")),"Indique el estado de la solicitud de vigencias futuras",IF(IF(AND(S106="Mínima cuantía",ISNUMBER(P_TOPE_MINIMA)),W106&gt;P_TOPE_MINIMA,FALSE()),"El valor supera el tope de mínima cuantía 2027",IF(IF(AND(S106="Selección abreviada de menor cuantía",ISNUMBER(P_TOPE_MENOR)),W106&gt;P_TOPE_MENOR,FALSE()),"El valor supera el tope de menor cuantía 2027",IF(OR(ISERROR(SEARCH("@itc.edu.co",AE106)),SUMPRODUCT(--ISNUMBER(SEARCH({"á","é","í","ó","ú","ñ"," "},AE106)))&gt;0),"El correo del responsable no es institucional válido",IF(AND(AF106="Sí",AG106=""),"Indique el N.° de registro 2026 que continúa","OK")))))))))))))))))</f>
        <v/>
      </c>
      <c r="AK106" s="15" t="str">
        <f>IF(AJ106="OK",COUNTIF($AJ$7:AJ106,"OK"),"")</f>
        <v/>
      </c>
    </row>
    <row r="107" spans="1:37" x14ac:dyDescent="0.3">
      <c r="A107" s="13" t="str">
        <f t="shared" si="1"/>
        <v>PN27-101</v>
      </c>
      <c r="B107" s="26"/>
      <c r="C107" s="13" t="str">
        <f>IF(B107="","",IFERROR(INDEX(Catalogos!$R$5:$R$51,MATCH(B107,L_AREAS,0)),""))</f>
        <v/>
      </c>
      <c r="D107" s="13" t="str">
        <f>IF(B107="","",IFERROR(INDEX(Catalogos!$O$5:$O$51,MATCH(B107,L_AREAS,0)),""))</f>
        <v/>
      </c>
      <c r="E107" s="26"/>
      <c r="F107" s="13" t="str">
        <f>IF(E107="","",IFERROR(INDEX(Catalogos!$C$5:$C$49,MATCH(E107,L_METAS,0)),""))</f>
        <v/>
      </c>
      <c r="G107" s="13" t="str">
        <f>IF(E107="","",IFERROR(INDEX(Catalogos!$E$5:$E$49,MATCH(E107,L_METAS,0)),""))</f>
        <v/>
      </c>
      <c r="H107" s="26"/>
      <c r="I107" s="26"/>
      <c r="J107" s="26"/>
      <c r="K107" s="26"/>
      <c r="L107" s="26"/>
      <c r="M107" s="27"/>
      <c r="N107" s="26"/>
      <c r="O107" s="26"/>
      <c r="P107" s="26"/>
      <c r="Q107" s="26"/>
      <c r="R107" s="26"/>
      <c r="S107" s="26"/>
      <c r="T107" s="26"/>
      <c r="U107" s="26"/>
      <c r="V107" s="26"/>
      <c r="W107" s="28"/>
      <c r="X107" s="28"/>
      <c r="Y107" s="26"/>
      <c r="Z107" s="26"/>
      <c r="AA107" s="26"/>
      <c r="AB107" s="26"/>
      <c r="AC107" s="26"/>
      <c r="AD107" s="26"/>
      <c r="AE107" s="26"/>
      <c r="AF107" s="26"/>
      <c r="AG107" s="26"/>
      <c r="AH107" s="26"/>
      <c r="AI107" s="26"/>
      <c r="AJ107" s="15" t="str">
        <f>IF(COUNTA(B107,E107,H107,I107,J107,K107,L107,M107,N107,O107,P107,Q107,R107,S107,T107,U107,V107,W107,X107,Y107,Z107,AA107,AB107,AC107,AD107,AE107,AF107,AG107,AH107,AI107)=0,"",IF(OR(B107="",E107="",H107="",J107="",K107="",L107="",M107="",O107="",P107="",Q107="",R107="",S107="",T107="",U107="",W107="",X107="",Y107="",AB107="",AC107="",AE107="",AF107=""),"Incompleta: faltan campos obligatorios",IF(AND(LEFT(H107,6)="PROPIA",I107=""),"Falta el nombre de la acción propia del área",IF(AND(LEFT(H107,3)="A27",IFERROR(INDEX(Catalogos!$T$5:$T$207,MATCH(H107,Catalogos!$U$5:$U$207,0)),"x")&lt;&gt;LEFT(E107,7)),"La acción no corresponde a la meta seleccionada",IF(OR(NOT(ISNUMBER(M107)),M107&lt;10000000,M107&gt;99999999),"Código UNSPSC inválido: registre 8 dígitos",IF(MOD(M107,10000)=0,"UNSPSC a nivel de segmento o familia: use clase o producto",IF(IFERROR(MATCH(P107,L_MESES,0)&lt;MATCH(O107,L_MESES,0),TRUE()),"El mes de ofertas es anterior al de inicio del proceso",IF(OR(NOT(ISNUMBER(Q107)),Q107&lt;=0),"Duración inválida",IF(OR(NOT(ISNUMBER(W107)),NOT(ISNUMBER(X107))),"Valor inválido: registre solo números",IF(OR(W107&lt;=0,X107&lt;=0),"Valor inválido: debe ser mayor que cero",IF(X107&gt;W107,"El valor de la vigencia 2027 supera el valor total",IF(AND(X107&lt;W107,Y107="No"),"El valor total supera el de 2027: requiere vigencias futuras",IF(AND(Y107="Sí",OR(Z107="",Z107="No aplica")),"Indique el estado de la solicitud de vigencias futuras",IF(IF(AND(S107="Mínima cuantía",ISNUMBER(P_TOPE_MINIMA)),W107&gt;P_TOPE_MINIMA,FALSE()),"El valor supera el tope de mínima cuantía 2027",IF(IF(AND(S107="Selección abreviada de menor cuantía",ISNUMBER(P_TOPE_MENOR)),W107&gt;P_TOPE_MENOR,FALSE()),"El valor supera el tope de menor cuantía 2027",IF(OR(ISERROR(SEARCH("@itc.edu.co",AE107)),SUMPRODUCT(--ISNUMBER(SEARCH({"á","é","í","ó","ú","ñ"," "},AE107)))&gt;0),"El correo del responsable no es institucional válido",IF(AND(AF107="Sí",AG107=""),"Indique el N.° de registro 2026 que continúa","OK")))))))))))))))))</f>
        <v/>
      </c>
      <c r="AK107" s="15" t="str">
        <f>IF(AJ107="OK",COUNTIF($AJ$7:AJ107,"OK"),"")</f>
        <v/>
      </c>
    </row>
    <row r="108" spans="1:37" x14ac:dyDescent="0.3">
      <c r="A108" s="13" t="str">
        <f t="shared" si="1"/>
        <v>PN27-102</v>
      </c>
      <c r="B108" s="26"/>
      <c r="C108" s="13" t="str">
        <f>IF(B108="","",IFERROR(INDEX(Catalogos!$R$5:$R$51,MATCH(B108,L_AREAS,0)),""))</f>
        <v/>
      </c>
      <c r="D108" s="13" t="str">
        <f>IF(B108="","",IFERROR(INDEX(Catalogos!$O$5:$O$51,MATCH(B108,L_AREAS,0)),""))</f>
        <v/>
      </c>
      <c r="E108" s="26"/>
      <c r="F108" s="13" t="str">
        <f>IF(E108="","",IFERROR(INDEX(Catalogos!$C$5:$C$49,MATCH(E108,L_METAS,0)),""))</f>
        <v/>
      </c>
      <c r="G108" s="13" t="str">
        <f>IF(E108="","",IFERROR(INDEX(Catalogos!$E$5:$E$49,MATCH(E108,L_METAS,0)),""))</f>
        <v/>
      </c>
      <c r="H108" s="26"/>
      <c r="I108" s="26"/>
      <c r="J108" s="26"/>
      <c r="K108" s="26"/>
      <c r="L108" s="26"/>
      <c r="M108" s="27"/>
      <c r="N108" s="26"/>
      <c r="O108" s="26"/>
      <c r="P108" s="26"/>
      <c r="Q108" s="26"/>
      <c r="R108" s="26"/>
      <c r="S108" s="26"/>
      <c r="T108" s="26"/>
      <c r="U108" s="26"/>
      <c r="V108" s="26"/>
      <c r="W108" s="28"/>
      <c r="X108" s="28"/>
      <c r="Y108" s="26"/>
      <c r="Z108" s="26"/>
      <c r="AA108" s="26"/>
      <c r="AB108" s="26"/>
      <c r="AC108" s="26"/>
      <c r="AD108" s="26"/>
      <c r="AE108" s="26"/>
      <c r="AF108" s="26"/>
      <c r="AG108" s="26"/>
      <c r="AH108" s="26"/>
      <c r="AI108" s="26"/>
      <c r="AJ108" s="15" t="str">
        <f>IF(COUNTA(B108,E108,H108,I108,J108,K108,L108,M108,N108,O108,P108,Q108,R108,S108,T108,U108,V108,W108,X108,Y108,Z108,AA108,AB108,AC108,AD108,AE108,AF108,AG108,AH108,AI108)=0,"",IF(OR(B108="",E108="",H108="",J108="",K108="",L108="",M108="",O108="",P108="",Q108="",R108="",S108="",T108="",U108="",W108="",X108="",Y108="",AB108="",AC108="",AE108="",AF108=""),"Incompleta: faltan campos obligatorios",IF(AND(LEFT(H108,6)="PROPIA",I108=""),"Falta el nombre de la acción propia del área",IF(AND(LEFT(H108,3)="A27",IFERROR(INDEX(Catalogos!$T$5:$T$207,MATCH(H108,Catalogos!$U$5:$U$207,0)),"x")&lt;&gt;LEFT(E108,7)),"La acción no corresponde a la meta seleccionada",IF(OR(NOT(ISNUMBER(M108)),M108&lt;10000000,M108&gt;99999999),"Código UNSPSC inválido: registre 8 dígitos",IF(MOD(M108,10000)=0,"UNSPSC a nivel de segmento o familia: use clase o producto",IF(IFERROR(MATCH(P108,L_MESES,0)&lt;MATCH(O108,L_MESES,0),TRUE()),"El mes de ofertas es anterior al de inicio del proceso",IF(OR(NOT(ISNUMBER(Q108)),Q108&lt;=0),"Duración inválida",IF(OR(NOT(ISNUMBER(W108)),NOT(ISNUMBER(X108))),"Valor inválido: registre solo números",IF(OR(W108&lt;=0,X108&lt;=0),"Valor inválido: debe ser mayor que cero",IF(X108&gt;W108,"El valor de la vigencia 2027 supera el valor total",IF(AND(X108&lt;W108,Y108="No"),"El valor total supera el de 2027: requiere vigencias futuras",IF(AND(Y108="Sí",OR(Z108="",Z108="No aplica")),"Indique el estado de la solicitud de vigencias futuras",IF(IF(AND(S108="Mínima cuantía",ISNUMBER(P_TOPE_MINIMA)),W108&gt;P_TOPE_MINIMA,FALSE()),"El valor supera el tope de mínima cuantía 2027",IF(IF(AND(S108="Selección abreviada de menor cuantía",ISNUMBER(P_TOPE_MENOR)),W108&gt;P_TOPE_MENOR,FALSE()),"El valor supera el tope de menor cuantía 2027",IF(OR(ISERROR(SEARCH("@itc.edu.co",AE108)),SUMPRODUCT(--ISNUMBER(SEARCH({"á","é","í","ó","ú","ñ"," "},AE108)))&gt;0),"El correo del responsable no es institucional válido",IF(AND(AF108="Sí",AG108=""),"Indique el N.° de registro 2026 que continúa","OK")))))))))))))))))</f>
        <v/>
      </c>
      <c r="AK108" s="15" t="str">
        <f>IF(AJ108="OK",COUNTIF($AJ$7:AJ108,"OK"),"")</f>
        <v/>
      </c>
    </row>
    <row r="109" spans="1:37" x14ac:dyDescent="0.3">
      <c r="A109" s="13" t="str">
        <f t="shared" si="1"/>
        <v>PN27-103</v>
      </c>
      <c r="B109" s="26"/>
      <c r="C109" s="13" t="str">
        <f>IF(B109="","",IFERROR(INDEX(Catalogos!$R$5:$R$51,MATCH(B109,L_AREAS,0)),""))</f>
        <v/>
      </c>
      <c r="D109" s="13" t="str">
        <f>IF(B109="","",IFERROR(INDEX(Catalogos!$O$5:$O$51,MATCH(B109,L_AREAS,0)),""))</f>
        <v/>
      </c>
      <c r="E109" s="26"/>
      <c r="F109" s="13" t="str">
        <f>IF(E109="","",IFERROR(INDEX(Catalogos!$C$5:$C$49,MATCH(E109,L_METAS,0)),""))</f>
        <v/>
      </c>
      <c r="G109" s="13" t="str">
        <f>IF(E109="","",IFERROR(INDEX(Catalogos!$E$5:$E$49,MATCH(E109,L_METAS,0)),""))</f>
        <v/>
      </c>
      <c r="H109" s="26"/>
      <c r="I109" s="26"/>
      <c r="J109" s="26"/>
      <c r="K109" s="26"/>
      <c r="L109" s="26"/>
      <c r="M109" s="27"/>
      <c r="N109" s="26"/>
      <c r="O109" s="26"/>
      <c r="P109" s="26"/>
      <c r="Q109" s="26"/>
      <c r="R109" s="26"/>
      <c r="S109" s="26"/>
      <c r="T109" s="26"/>
      <c r="U109" s="26"/>
      <c r="V109" s="26"/>
      <c r="W109" s="28"/>
      <c r="X109" s="28"/>
      <c r="Y109" s="26"/>
      <c r="Z109" s="26"/>
      <c r="AA109" s="26"/>
      <c r="AB109" s="26"/>
      <c r="AC109" s="26"/>
      <c r="AD109" s="26"/>
      <c r="AE109" s="26"/>
      <c r="AF109" s="26"/>
      <c r="AG109" s="26"/>
      <c r="AH109" s="26"/>
      <c r="AI109" s="26"/>
      <c r="AJ109" s="15" t="str">
        <f>IF(COUNTA(B109,E109,H109,I109,J109,K109,L109,M109,N109,O109,P109,Q109,R109,S109,T109,U109,V109,W109,X109,Y109,Z109,AA109,AB109,AC109,AD109,AE109,AF109,AG109,AH109,AI109)=0,"",IF(OR(B109="",E109="",H109="",J109="",K109="",L109="",M109="",O109="",P109="",Q109="",R109="",S109="",T109="",U109="",W109="",X109="",Y109="",AB109="",AC109="",AE109="",AF109=""),"Incompleta: faltan campos obligatorios",IF(AND(LEFT(H109,6)="PROPIA",I109=""),"Falta el nombre de la acción propia del área",IF(AND(LEFT(H109,3)="A27",IFERROR(INDEX(Catalogos!$T$5:$T$207,MATCH(H109,Catalogos!$U$5:$U$207,0)),"x")&lt;&gt;LEFT(E109,7)),"La acción no corresponde a la meta seleccionada",IF(OR(NOT(ISNUMBER(M109)),M109&lt;10000000,M109&gt;99999999),"Código UNSPSC inválido: registre 8 dígitos",IF(MOD(M109,10000)=0,"UNSPSC a nivel de segmento o familia: use clase o producto",IF(IFERROR(MATCH(P109,L_MESES,0)&lt;MATCH(O109,L_MESES,0),TRUE()),"El mes de ofertas es anterior al de inicio del proceso",IF(OR(NOT(ISNUMBER(Q109)),Q109&lt;=0),"Duración inválida",IF(OR(NOT(ISNUMBER(W109)),NOT(ISNUMBER(X109))),"Valor inválido: registre solo números",IF(OR(W109&lt;=0,X109&lt;=0),"Valor inválido: debe ser mayor que cero",IF(X109&gt;W109,"El valor de la vigencia 2027 supera el valor total",IF(AND(X109&lt;W109,Y109="No"),"El valor total supera el de 2027: requiere vigencias futuras",IF(AND(Y109="Sí",OR(Z109="",Z109="No aplica")),"Indique el estado de la solicitud de vigencias futuras",IF(IF(AND(S109="Mínima cuantía",ISNUMBER(P_TOPE_MINIMA)),W109&gt;P_TOPE_MINIMA,FALSE()),"El valor supera el tope de mínima cuantía 2027",IF(IF(AND(S109="Selección abreviada de menor cuantía",ISNUMBER(P_TOPE_MENOR)),W109&gt;P_TOPE_MENOR,FALSE()),"El valor supera el tope de menor cuantía 2027",IF(OR(ISERROR(SEARCH("@itc.edu.co",AE109)),SUMPRODUCT(--ISNUMBER(SEARCH({"á","é","í","ó","ú","ñ"," "},AE109)))&gt;0),"El correo del responsable no es institucional válido",IF(AND(AF109="Sí",AG109=""),"Indique el N.° de registro 2026 que continúa","OK")))))))))))))))))</f>
        <v/>
      </c>
      <c r="AK109" s="15" t="str">
        <f>IF(AJ109="OK",COUNTIF($AJ$7:AJ109,"OK"),"")</f>
        <v/>
      </c>
    </row>
    <row r="110" spans="1:37" x14ac:dyDescent="0.3">
      <c r="A110" s="13" t="str">
        <f t="shared" si="1"/>
        <v>PN27-104</v>
      </c>
      <c r="B110" s="26"/>
      <c r="C110" s="13" t="str">
        <f>IF(B110="","",IFERROR(INDEX(Catalogos!$R$5:$R$51,MATCH(B110,L_AREAS,0)),""))</f>
        <v/>
      </c>
      <c r="D110" s="13" t="str">
        <f>IF(B110="","",IFERROR(INDEX(Catalogos!$O$5:$O$51,MATCH(B110,L_AREAS,0)),""))</f>
        <v/>
      </c>
      <c r="E110" s="26"/>
      <c r="F110" s="13" t="str">
        <f>IF(E110="","",IFERROR(INDEX(Catalogos!$C$5:$C$49,MATCH(E110,L_METAS,0)),""))</f>
        <v/>
      </c>
      <c r="G110" s="13" t="str">
        <f>IF(E110="","",IFERROR(INDEX(Catalogos!$E$5:$E$49,MATCH(E110,L_METAS,0)),""))</f>
        <v/>
      </c>
      <c r="H110" s="26"/>
      <c r="I110" s="26"/>
      <c r="J110" s="26"/>
      <c r="K110" s="26"/>
      <c r="L110" s="26"/>
      <c r="M110" s="27"/>
      <c r="N110" s="26"/>
      <c r="O110" s="26"/>
      <c r="P110" s="26"/>
      <c r="Q110" s="26"/>
      <c r="R110" s="26"/>
      <c r="S110" s="26"/>
      <c r="T110" s="26"/>
      <c r="U110" s="26"/>
      <c r="V110" s="26"/>
      <c r="W110" s="28"/>
      <c r="X110" s="28"/>
      <c r="Y110" s="26"/>
      <c r="Z110" s="26"/>
      <c r="AA110" s="26"/>
      <c r="AB110" s="26"/>
      <c r="AC110" s="26"/>
      <c r="AD110" s="26"/>
      <c r="AE110" s="26"/>
      <c r="AF110" s="26"/>
      <c r="AG110" s="26"/>
      <c r="AH110" s="26"/>
      <c r="AI110" s="26"/>
      <c r="AJ110" s="15" t="str">
        <f>IF(COUNTA(B110,E110,H110,I110,J110,K110,L110,M110,N110,O110,P110,Q110,R110,S110,T110,U110,V110,W110,X110,Y110,Z110,AA110,AB110,AC110,AD110,AE110,AF110,AG110,AH110,AI110)=0,"",IF(OR(B110="",E110="",H110="",J110="",K110="",L110="",M110="",O110="",P110="",Q110="",R110="",S110="",T110="",U110="",W110="",X110="",Y110="",AB110="",AC110="",AE110="",AF110=""),"Incompleta: faltan campos obligatorios",IF(AND(LEFT(H110,6)="PROPIA",I110=""),"Falta el nombre de la acción propia del área",IF(AND(LEFT(H110,3)="A27",IFERROR(INDEX(Catalogos!$T$5:$T$207,MATCH(H110,Catalogos!$U$5:$U$207,0)),"x")&lt;&gt;LEFT(E110,7)),"La acción no corresponde a la meta seleccionada",IF(OR(NOT(ISNUMBER(M110)),M110&lt;10000000,M110&gt;99999999),"Código UNSPSC inválido: registre 8 dígitos",IF(MOD(M110,10000)=0,"UNSPSC a nivel de segmento o familia: use clase o producto",IF(IFERROR(MATCH(P110,L_MESES,0)&lt;MATCH(O110,L_MESES,0),TRUE()),"El mes de ofertas es anterior al de inicio del proceso",IF(OR(NOT(ISNUMBER(Q110)),Q110&lt;=0),"Duración inválida",IF(OR(NOT(ISNUMBER(W110)),NOT(ISNUMBER(X110))),"Valor inválido: registre solo números",IF(OR(W110&lt;=0,X110&lt;=0),"Valor inválido: debe ser mayor que cero",IF(X110&gt;W110,"El valor de la vigencia 2027 supera el valor total",IF(AND(X110&lt;W110,Y110="No"),"El valor total supera el de 2027: requiere vigencias futuras",IF(AND(Y110="Sí",OR(Z110="",Z110="No aplica")),"Indique el estado de la solicitud de vigencias futuras",IF(IF(AND(S110="Mínima cuantía",ISNUMBER(P_TOPE_MINIMA)),W110&gt;P_TOPE_MINIMA,FALSE()),"El valor supera el tope de mínima cuantía 2027",IF(IF(AND(S110="Selección abreviada de menor cuantía",ISNUMBER(P_TOPE_MENOR)),W110&gt;P_TOPE_MENOR,FALSE()),"El valor supera el tope de menor cuantía 2027",IF(OR(ISERROR(SEARCH("@itc.edu.co",AE110)),SUMPRODUCT(--ISNUMBER(SEARCH({"á","é","í","ó","ú","ñ"," "},AE110)))&gt;0),"El correo del responsable no es institucional válido",IF(AND(AF110="Sí",AG110=""),"Indique el N.° de registro 2026 que continúa","OK")))))))))))))))))</f>
        <v/>
      </c>
      <c r="AK110" s="15" t="str">
        <f>IF(AJ110="OK",COUNTIF($AJ$7:AJ110,"OK"),"")</f>
        <v/>
      </c>
    </row>
    <row r="111" spans="1:37" x14ac:dyDescent="0.3">
      <c r="A111" s="13" t="str">
        <f t="shared" si="1"/>
        <v>PN27-105</v>
      </c>
      <c r="B111" s="26"/>
      <c r="C111" s="13" t="str">
        <f>IF(B111="","",IFERROR(INDEX(Catalogos!$R$5:$R$51,MATCH(B111,L_AREAS,0)),""))</f>
        <v/>
      </c>
      <c r="D111" s="13" t="str">
        <f>IF(B111="","",IFERROR(INDEX(Catalogos!$O$5:$O$51,MATCH(B111,L_AREAS,0)),""))</f>
        <v/>
      </c>
      <c r="E111" s="26"/>
      <c r="F111" s="13" t="str">
        <f>IF(E111="","",IFERROR(INDEX(Catalogos!$C$5:$C$49,MATCH(E111,L_METAS,0)),""))</f>
        <v/>
      </c>
      <c r="G111" s="13" t="str">
        <f>IF(E111="","",IFERROR(INDEX(Catalogos!$E$5:$E$49,MATCH(E111,L_METAS,0)),""))</f>
        <v/>
      </c>
      <c r="H111" s="26"/>
      <c r="I111" s="26"/>
      <c r="J111" s="26"/>
      <c r="K111" s="26"/>
      <c r="L111" s="26"/>
      <c r="M111" s="27"/>
      <c r="N111" s="26"/>
      <c r="O111" s="26"/>
      <c r="P111" s="26"/>
      <c r="Q111" s="26"/>
      <c r="R111" s="26"/>
      <c r="S111" s="26"/>
      <c r="T111" s="26"/>
      <c r="U111" s="26"/>
      <c r="V111" s="26"/>
      <c r="W111" s="28"/>
      <c r="X111" s="28"/>
      <c r="Y111" s="26"/>
      <c r="Z111" s="26"/>
      <c r="AA111" s="26"/>
      <c r="AB111" s="26"/>
      <c r="AC111" s="26"/>
      <c r="AD111" s="26"/>
      <c r="AE111" s="26"/>
      <c r="AF111" s="26"/>
      <c r="AG111" s="26"/>
      <c r="AH111" s="26"/>
      <c r="AI111" s="26"/>
      <c r="AJ111" s="15" t="str">
        <f>IF(COUNTA(B111,E111,H111,I111,J111,K111,L111,M111,N111,O111,P111,Q111,R111,S111,T111,U111,V111,W111,X111,Y111,Z111,AA111,AB111,AC111,AD111,AE111,AF111,AG111,AH111,AI111)=0,"",IF(OR(B111="",E111="",H111="",J111="",K111="",L111="",M111="",O111="",P111="",Q111="",R111="",S111="",T111="",U111="",W111="",X111="",Y111="",AB111="",AC111="",AE111="",AF111=""),"Incompleta: faltan campos obligatorios",IF(AND(LEFT(H111,6)="PROPIA",I111=""),"Falta el nombre de la acción propia del área",IF(AND(LEFT(H111,3)="A27",IFERROR(INDEX(Catalogos!$T$5:$T$207,MATCH(H111,Catalogos!$U$5:$U$207,0)),"x")&lt;&gt;LEFT(E111,7)),"La acción no corresponde a la meta seleccionada",IF(OR(NOT(ISNUMBER(M111)),M111&lt;10000000,M111&gt;99999999),"Código UNSPSC inválido: registre 8 dígitos",IF(MOD(M111,10000)=0,"UNSPSC a nivel de segmento o familia: use clase o producto",IF(IFERROR(MATCH(P111,L_MESES,0)&lt;MATCH(O111,L_MESES,0),TRUE()),"El mes de ofertas es anterior al de inicio del proceso",IF(OR(NOT(ISNUMBER(Q111)),Q111&lt;=0),"Duración inválida",IF(OR(NOT(ISNUMBER(W111)),NOT(ISNUMBER(X111))),"Valor inválido: registre solo números",IF(OR(W111&lt;=0,X111&lt;=0),"Valor inválido: debe ser mayor que cero",IF(X111&gt;W111,"El valor de la vigencia 2027 supera el valor total",IF(AND(X111&lt;W111,Y111="No"),"El valor total supera el de 2027: requiere vigencias futuras",IF(AND(Y111="Sí",OR(Z111="",Z111="No aplica")),"Indique el estado de la solicitud de vigencias futuras",IF(IF(AND(S111="Mínima cuantía",ISNUMBER(P_TOPE_MINIMA)),W111&gt;P_TOPE_MINIMA,FALSE()),"El valor supera el tope de mínima cuantía 2027",IF(IF(AND(S111="Selección abreviada de menor cuantía",ISNUMBER(P_TOPE_MENOR)),W111&gt;P_TOPE_MENOR,FALSE()),"El valor supera el tope de menor cuantía 2027",IF(OR(ISERROR(SEARCH("@itc.edu.co",AE111)),SUMPRODUCT(--ISNUMBER(SEARCH({"á","é","í","ó","ú","ñ"," "},AE111)))&gt;0),"El correo del responsable no es institucional válido",IF(AND(AF111="Sí",AG111=""),"Indique el N.° de registro 2026 que continúa","OK")))))))))))))))))</f>
        <v/>
      </c>
      <c r="AK111" s="15" t="str">
        <f>IF(AJ111="OK",COUNTIF($AJ$7:AJ111,"OK"),"")</f>
        <v/>
      </c>
    </row>
    <row r="112" spans="1:37" x14ac:dyDescent="0.3">
      <c r="A112" s="13" t="str">
        <f t="shared" si="1"/>
        <v>PN27-106</v>
      </c>
      <c r="B112" s="26"/>
      <c r="C112" s="13" t="str">
        <f>IF(B112="","",IFERROR(INDEX(Catalogos!$R$5:$R$51,MATCH(B112,L_AREAS,0)),""))</f>
        <v/>
      </c>
      <c r="D112" s="13" t="str">
        <f>IF(B112="","",IFERROR(INDEX(Catalogos!$O$5:$O$51,MATCH(B112,L_AREAS,0)),""))</f>
        <v/>
      </c>
      <c r="E112" s="26"/>
      <c r="F112" s="13" t="str">
        <f>IF(E112="","",IFERROR(INDEX(Catalogos!$C$5:$C$49,MATCH(E112,L_METAS,0)),""))</f>
        <v/>
      </c>
      <c r="G112" s="13" t="str">
        <f>IF(E112="","",IFERROR(INDEX(Catalogos!$E$5:$E$49,MATCH(E112,L_METAS,0)),""))</f>
        <v/>
      </c>
      <c r="H112" s="26"/>
      <c r="I112" s="26"/>
      <c r="J112" s="26"/>
      <c r="K112" s="26"/>
      <c r="L112" s="26"/>
      <c r="M112" s="27"/>
      <c r="N112" s="26"/>
      <c r="O112" s="26"/>
      <c r="P112" s="26"/>
      <c r="Q112" s="26"/>
      <c r="R112" s="26"/>
      <c r="S112" s="26"/>
      <c r="T112" s="26"/>
      <c r="U112" s="26"/>
      <c r="V112" s="26"/>
      <c r="W112" s="28"/>
      <c r="X112" s="28"/>
      <c r="Y112" s="26"/>
      <c r="Z112" s="26"/>
      <c r="AA112" s="26"/>
      <c r="AB112" s="26"/>
      <c r="AC112" s="26"/>
      <c r="AD112" s="26"/>
      <c r="AE112" s="26"/>
      <c r="AF112" s="26"/>
      <c r="AG112" s="26"/>
      <c r="AH112" s="26"/>
      <c r="AI112" s="26"/>
      <c r="AJ112" s="15" t="str">
        <f>IF(COUNTA(B112,E112,H112,I112,J112,K112,L112,M112,N112,O112,P112,Q112,R112,S112,T112,U112,V112,W112,X112,Y112,Z112,AA112,AB112,AC112,AD112,AE112,AF112,AG112,AH112,AI112)=0,"",IF(OR(B112="",E112="",H112="",J112="",K112="",L112="",M112="",O112="",P112="",Q112="",R112="",S112="",T112="",U112="",W112="",X112="",Y112="",AB112="",AC112="",AE112="",AF112=""),"Incompleta: faltan campos obligatorios",IF(AND(LEFT(H112,6)="PROPIA",I112=""),"Falta el nombre de la acción propia del área",IF(AND(LEFT(H112,3)="A27",IFERROR(INDEX(Catalogos!$T$5:$T$207,MATCH(H112,Catalogos!$U$5:$U$207,0)),"x")&lt;&gt;LEFT(E112,7)),"La acción no corresponde a la meta seleccionada",IF(OR(NOT(ISNUMBER(M112)),M112&lt;10000000,M112&gt;99999999),"Código UNSPSC inválido: registre 8 dígitos",IF(MOD(M112,10000)=0,"UNSPSC a nivel de segmento o familia: use clase o producto",IF(IFERROR(MATCH(P112,L_MESES,0)&lt;MATCH(O112,L_MESES,0),TRUE()),"El mes de ofertas es anterior al de inicio del proceso",IF(OR(NOT(ISNUMBER(Q112)),Q112&lt;=0),"Duración inválida",IF(OR(NOT(ISNUMBER(W112)),NOT(ISNUMBER(X112))),"Valor inválido: registre solo números",IF(OR(W112&lt;=0,X112&lt;=0),"Valor inválido: debe ser mayor que cero",IF(X112&gt;W112,"El valor de la vigencia 2027 supera el valor total",IF(AND(X112&lt;W112,Y112="No"),"El valor total supera el de 2027: requiere vigencias futuras",IF(AND(Y112="Sí",OR(Z112="",Z112="No aplica")),"Indique el estado de la solicitud de vigencias futuras",IF(IF(AND(S112="Mínima cuantía",ISNUMBER(P_TOPE_MINIMA)),W112&gt;P_TOPE_MINIMA,FALSE()),"El valor supera el tope de mínima cuantía 2027",IF(IF(AND(S112="Selección abreviada de menor cuantía",ISNUMBER(P_TOPE_MENOR)),W112&gt;P_TOPE_MENOR,FALSE()),"El valor supera el tope de menor cuantía 2027",IF(OR(ISERROR(SEARCH("@itc.edu.co",AE112)),SUMPRODUCT(--ISNUMBER(SEARCH({"á","é","í","ó","ú","ñ"," "},AE112)))&gt;0),"El correo del responsable no es institucional válido",IF(AND(AF112="Sí",AG112=""),"Indique el N.° de registro 2026 que continúa","OK")))))))))))))))))</f>
        <v/>
      </c>
      <c r="AK112" s="15" t="str">
        <f>IF(AJ112="OK",COUNTIF($AJ$7:AJ112,"OK"),"")</f>
        <v/>
      </c>
    </row>
    <row r="113" spans="1:37" x14ac:dyDescent="0.3">
      <c r="A113" s="13" t="str">
        <f t="shared" si="1"/>
        <v>PN27-107</v>
      </c>
      <c r="B113" s="26"/>
      <c r="C113" s="13" t="str">
        <f>IF(B113="","",IFERROR(INDEX(Catalogos!$R$5:$R$51,MATCH(B113,L_AREAS,0)),""))</f>
        <v/>
      </c>
      <c r="D113" s="13" t="str">
        <f>IF(B113="","",IFERROR(INDEX(Catalogos!$O$5:$O$51,MATCH(B113,L_AREAS,0)),""))</f>
        <v/>
      </c>
      <c r="E113" s="26"/>
      <c r="F113" s="13" t="str">
        <f>IF(E113="","",IFERROR(INDEX(Catalogos!$C$5:$C$49,MATCH(E113,L_METAS,0)),""))</f>
        <v/>
      </c>
      <c r="G113" s="13" t="str">
        <f>IF(E113="","",IFERROR(INDEX(Catalogos!$E$5:$E$49,MATCH(E113,L_METAS,0)),""))</f>
        <v/>
      </c>
      <c r="H113" s="26"/>
      <c r="I113" s="26"/>
      <c r="J113" s="26"/>
      <c r="K113" s="26"/>
      <c r="L113" s="26"/>
      <c r="M113" s="27"/>
      <c r="N113" s="26"/>
      <c r="O113" s="26"/>
      <c r="P113" s="26"/>
      <c r="Q113" s="26"/>
      <c r="R113" s="26"/>
      <c r="S113" s="26"/>
      <c r="T113" s="26"/>
      <c r="U113" s="26"/>
      <c r="V113" s="26"/>
      <c r="W113" s="28"/>
      <c r="X113" s="28"/>
      <c r="Y113" s="26"/>
      <c r="Z113" s="26"/>
      <c r="AA113" s="26"/>
      <c r="AB113" s="26"/>
      <c r="AC113" s="26"/>
      <c r="AD113" s="26"/>
      <c r="AE113" s="26"/>
      <c r="AF113" s="26"/>
      <c r="AG113" s="26"/>
      <c r="AH113" s="26"/>
      <c r="AI113" s="26"/>
      <c r="AJ113" s="15" t="str">
        <f>IF(COUNTA(B113,E113,H113,I113,J113,K113,L113,M113,N113,O113,P113,Q113,R113,S113,T113,U113,V113,W113,X113,Y113,Z113,AA113,AB113,AC113,AD113,AE113,AF113,AG113,AH113,AI113)=0,"",IF(OR(B113="",E113="",H113="",J113="",K113="",L113="",M113="",O113="",P113="",Q113="",R113="",S113="",T113="",U113="",W113="",X113="",Y113="",AB113="",AC113="",AE113="",AF113=""),"Incompleta: faltan campos obligatorios",IF(AND(LEFT(H113,6)="PROPIA",I113=""),"Falta el nombre de la acción propia del área",IF(AND(LEFT(H113,3)="A27",IFERROR(INDEX(Catalogos!$T$5:$T$207,MATCH(H113,Catalogos!$U$5:$U$207,0)),"x")&lt;&gt;LEFT(E113,7)),"La acción no corresponde a la meta seleccionada",IF(OR(NOT(ISNUMBER(M113)),M113&lt;10000000,M113&gt;99999999),"Código UNSPSC inválido: registre 8 dígitos",IF(MOD(M113,10000)=0,"UNSPSC a nivel de segmento o familia: use clase o producto",IF(IFERROR(MATCH(P113,L_MESES,0)&lt;MATCH(O113,L_MESES,0),TRUE()),"El mes de ofertas es anterior al de inicio del proceso",IF(OR(NOT(ISNUMBER(Q113)),Q113&lt;=0),"Duración inválida",IF(OR(NOT(ISNUMBER(W113)),NOT(ISNUMBER(X113))),"Valor inválido: registre solo números",IF(OR(W113&lt;=0,X113&lt;=0),"Valor inválido: debe ser mayor que cero",IF(X113&gt;W113,"El valor de la vigencia 2027 supera el valor total",IF(AND(X113&lt;W113,Y113="No"),"El valor total supera el de 2027: requiere vigencias futuras",IF(AND(Y113="Sí",OR(Z113="",Z113="No aplica")),"Indique el estado de la solicitud de vigencias futuras",IF(IF(AND(S113="Mínima cuantía",ISNUMBER(P_TOPE_MINIMA)),W113&gt;P_TOPE_MINIMA,FALSE()),"El valor supera el tope de mínima cuantía 2027",IF(IF(AND(S113="Selección abreviada de menor cuantía",ISNUMBER(P_TOPE_MENOR)),W113&gt;P_TOPE_MENOR,FALSE()),"El valor supera el tope de menor cuantía 2027",IF(OR(ISERROR(SEARCH("@itc.edu.co",AE113)),SUMPRODUCT(--ISNUMBER(SEARCH({"á","é","í","ó","ú","ñ"," "},AE113)))&gt;0),"El correo del responsable no es institucional válido",IF(AND(AF113="Sí",AG113=""),"Indique el N.° de registro 2026 que continúa","OK")))))))))))))))))</f>
        <v/>
      </c>
      <c r="AK113" s="15" t="str">
        <f>IF(AJ113="OK",COUNTIF($AJ$7:AJ113,"OK"),"")</f>
        <v/>
      </c>
    </row>
    <row r="114" spans="1:37" x14ac:dyDescent="0.3">
      <c r="A114" s="13" t="str">
        <f t="shared" si="1"/>
        <v>PN27-108</v>
      </c>
      <c r="B114" s="26"/>
      <c r="C114" s="13" t="str">
        <f>IF(B114="","",IFERROR(INDEX(Catalogos!$R$5:$R$51,MATCH(B114,L_AREAS,0)),""))</f>
        <v/>
      </c>
      <c r="D114" s="13" t="str">
        <f>IF(B114="","",IFERROR(INDEX(Catalogos!$O$5:$O$51,MATCH(B114,L_AREAS,0)),""))</f>
        <v/>
      </c>
      <c r="E114" s="26"/>
      <c r="F114" s="13" t="str">
        <f>IF(E114="","",IFERROR(INDEX(Catalogos!$C$5:$C$49,MATCH(E114,L_METAS,0)),""))</f>
        <v/>
      </c>
      <c r="G114" s="13" t="str">
        <f>IF(E114="","",IFERROR(INDEX(Catalogos!$E$5:$E$49,MATCH(E114,L_METAS,0)),""))</f>
        <v/>
      </c>
      <c r="H114" s="26"/>
      <c r="I114" s="26"/>
      <c r="J114" s="26"/>
      <c r="K114" s="26"/>
      <c r="L114" s="26"/>
      <c r="M114" s="27"/>
      <c r="N114" s="26"/>
      <c r="O114" s="26"/>
      <c r="P114" s="26"/>
      <c r="Q114" s="26"/>
      <c r="R114" s="26"/>
      <c r="S114" s="26"/>
      <c r="T114" s="26"/>
      <c r="U114" s="26"/>
      <c r="V114" s="26"/>
      <c r="W114" s="28"/>
      <c r="X114" s="28"/>
      <c r="Y114" s="26"/>
      <c r="Z114" s="26"/>
      <c r="AA114" s="26"/>
      <c r="AB114" s="26"/>
      <c r="AC114" s="26"/>
      <c r="AD114" s="26"/>
      <c r="AE114" s="26"/>
      <c r="AF114" s="26"/>
      <c r="AG114" s="26"/>
      <c r="AH114" s="26"/>
      <c r="AI114" s="26"/>
      <c r="AJ114" s="15" t="str">
        <f>IF(COUNTA(B114,E114,H114,I114,J114,K114,L114,M114,N114,O114,P114,Q114,R114,S114,T114,U114,V114,W114,X114,Y114,Z114,AA114,AB114,AC114,AD114,AE114,AF114,AG114,AH114,AI114)=0,"",IF(OR(B114="",E114="",H114="",J114="",K114="",L114="",M114="",O114="",P114="",Q114="",R114="",S114="",T114="",U114="",W114="",X114="",Y114="",AB114="",AC114="",AE114="",AF114=""),"Incompleta: faltan campos obligatorios",IF(AND(LEFT(H114,6)="PROPIA",I114=""),"Falta el nombre de la acción propia del área",IF(AND(LEFT(H114,3)="A27",IFERROR(INDEX(Catalogos!$T$5:$T$207,MATCH(H114,Catalogos!$U$5:$U$207,0)),"x")&lt;&gt;LEFT(E114,7)),"La acción no corresponde a la meta seleccionada",IF(OR(NOT(ISNUMBER(M114)),M114&lt;10000000,M114&gt;99999999),"Código UNSPSC inválido: registre 8 dígitos",IF(MOD(M114,10000)=0,"UNSPSC a nivel de segmento o familia: use clase o producto",IF(IFERROR(MATCH(P114,L_MESES,0)&lt;MATCH(O114,L_MESES,0),TRUE()),"El mes de ofertas es anterior al de inicio del proceso",IF(OR(NOT(ISNUMBER(Q114)),Q114&lt;=0),"Duración inválida",IF(OR(NOT(ISNUMBER(W114)),NOT(ISNUMBER(X114))),"Valor inválido: registre solo números",IF(OR(W114&lt;=0,X114&lt;=0),"Valor inválido: debe ser mayor que cero",IF(X114&gt;W114,"El valor de la vigencia 2027 supera el valor total",IF(AND(X114&lt;W114,Y114="No"),"El valor total supera el de 2027: requiere vigencias futuras",IF(AND(Y114="Sí",OR(Z114="",Z114="No aplica")),"Indique el estado de la solicitud de vigencias futuras",IF(IF(AND(S114="Mínima cuantía",ISNUMBER(P_TOPE_MINIMA)),W114&gt;P_TOPE_MINIMA,FALSE()),"El valor supera el tope de mínima cuantía 2027",IF(IF(AND(S114="Selección abreviada de menor cuantía",ISNUMBER(P_TOPE_MENOR)),W114&gt;P_TOPE_MENOR,FALSE()),"El valor supera el tope de menor cuantía 2027",IF(OR(ISERROR(SEARCH("@itc.edu.co",AE114)),SUMPRODUCT(--ISNUMBER(SEARCH({"á","é","í","ó","ú","ñ"," "},AE114)))&gt;0),"El correo del responsable no es institucional válido",IF(AND(AF114="Sí",AG114=""),"Indique el N.° de registro 2026 que continúa","OK")))))))))))))))))</f>
        <v/>
      </c>
      <c r="AK114" s="15" t="str">
        <f>IF(AJ114="OK",COUNTIF($AJ$7:AJ114,"OK"),"")</f>
        <v/>
      </c>
    </row>
    <row r="115" spans="1:37" x14ac:dyDescent="0.3">
      <c r="A115" s="13" t="str">
        <f t="shared" si="1"/>
        <v>PN27-109</v>
      </c>
      <c r="B115" s="26"/>
      <c r="C115" s="13" t="str">
        <f>IF(B115="","",IFERROR(INDEX(Catalogos!$R$5:$R$51,MATCH(B115,L_AREAS,0)),""))</f>
        <v/>
      </c>
      <c r="D115" s="13" t="str">
        <f>IF(B115="","",IFERROR(INDEX(Catalogos!$O$5:$O$51,MATCH(B115,L_AREAS,0)),""))</f>
        <v/>
      </c>
      <c r="E115" s="26"/>
      <c r="F115" s="13" t="str">
        <f>IF(E115="","",IFERROR(INDEX(Catalogos!$C$5:$C$49,MATCH(E115,L_METAS,0)),""))</f>
        <v/>
      </c>
      <c r="G115" s="13" t="str">
        <f>IF(E115="","",IFERROR(INDEX(Catalogos!$E$5:$E$49,MATCH(E115,L_METAS,0)),""))</f>
        <v/>
      </c>
      <c r="H115" s="26"/>
      <c r="I115" s="26"/>
      <c r="J115" s="26"/>
      <c r="K115" s="26"/>
      <c r="L115" s="26"/>
      <c r="M115" s="27"/>
      <c r="N115" s="26"/>
      <c r="O115" s="26"/>
      <c r="P115" s="26"/>
      <c r="Q115" s="26"/>
      <c r="R115" s="26"/>
      <c r="S115" s="26"/>
      <c r="T115" s="26"/>
      <c r="U115" s="26"/>
      <c r="V115" s="26"/>
      <c r="W115" s="28"/>
      <c r="X115" s="28"/>
      <c r="Y115" s="26"/>
      <c r="Z115" s="26"/>
      <c r="AA115" s="26"/>
      <c r="AB115" s="26"/>
      <c r="AC115" s="26"/>
      <c r="AD115" s="26"/>
      <c r="AE115" s="26"/>
      <c r="AF115" s="26"/>
      <c r="AG115" s="26"/>
      <c r="AH115" s="26"/>
      <c r="AI115" s="26"/>
      <c r="AJ115" s="15" t="str">
        <f>IF(COUNTA(B115,E115,H115,I115,J115,K115,L115,M115,N115,O115,P115,Q115,R115,S115,T115,U115,V115,W115,X115,Y115,Z115,AA115,AB115,AC115,AD115,AE115,AF115,AG115,AH115,AI115)=0,"",IF(OR(B115="",E115="",H115="",J115="",K115="",L115="",M115="",O115="",P115="",Q115="",R115="",S115="",T115="",U115="",W115="",X115="",Y115="",AB115="",AC115="",AE115="",AF115=""),"Incompleta: faltan campos obligatorios",IF(AND(LEFT(H115,6)="PROPIA",I115=""),"Falta el nombre de la acción propia del área",IF(AND(LEFT(H115,3)="A27",IFERROR(INDEX(Catalogos!$T$5:$T$207,MATCH(H115,Catalogos!$U$5:$U$207,0)),"x")&lt;&gt;LEFT(E115,7)),"La acción no corresponde a la meta seleccionada",IF(OR(NOT(ISNUMBER(M115)),M115&lt;10000000,M115&gt;99999999),"Código UNSPSC inválido: registre 8 dígitos",IF(MOD(M115,10000)=0,"UNSPSC a nivel de segmento o familia: use clase o producto",IF(IFERROR(MATCH(P115,L_MESES,0)&lt;MATCH(O115,L_MESES,0),TRUE()),"El mes de ofertas es anterior al de inicio del proceso",IF(OR(NOT(ISNUMBER(Q115)),Q115&lt;=0),"Duración inválida",IF(OR(NOT(ISNUMBER(W115)),NOT(ISNUMBER(X115))),"Valor inválido: registre solo números",IF(OR(W115&lt;=0,X115&lt;=0),"Valor inválido: debe ser mayor que cero",IF(X115&gt;W115,"El valor de la vigencia 2027 supera el valor total",IF(AND(X115&lt;W115,Y115="No"),"El valor total supera el de 2027: requiere vigencias futuras",IF(AND(Y115="Sí",OR(Z115="",Z115="No aplica")),"Indique el estado de la solicitud de vigencias futuras",IF(IF(AND(S115="Mínima cuantía",ISNUMBER(P_TOPE_MINIMA)),W115&gt;P_TOPE_MINIMA,FALSE()),"El valor supera el tope de mínima cuantía 2027",IF(IF(AND(S115="Selección abreviada de menor cuantía",ISNUMBER(P_TOPE_MENOR)),W115&gt;P_TOPE_MENOR,FALSE()),"El valor supera el tope de menor cuantía 2027",IF(OR(ISERROR(SEARCH("@itc.edu.co",AE115)),SUMPRODUCT(--ISNUMBER(SEARCH({"á","é","í","ó","ú","ñ"," "},AE115)))&gt;0),"El correo del responsable no es institucional válido",IF(AND(AF115="Sí",AG115=""),"Indique el N.° de registro 2026 que continúa","OK")))))))))))))))))</f>
        <v/>
      </c>
      <c r="AK115" s="15" t="str">
        <f>IF(AJ115="OK",COUNTIF($AJ$7:AJ115,"OK"),"")</f>
        <v/>
      </c>
    </row>
    <row r="116" spans="1:37" x14ac:dyDescent="0.3">
      <c r="A116" s="13" t="str">
        <f t="shared" si="1"/>
        <v>PN27-110</v>
      </c>
      <c r="B116" s="26"/>
      <c r="C116" s="13" t="str">
        <f>IF(B116="","",IFERROR(INDEX(Catalogos!$R$5:$R$51,MATCH(B116,L_AREAS,0)),""))</f>
        <v/>
      </c>
      <c r="D116" s="13" t="str">
        <f>IF(B116="","",IFERROR(INDEX(Catalogos!$O$5:$O$51,MATCH(B116,L_AREAS,0)),""))</f>
        <v/>
      </c>
      <c r="E116" s="26"/>
      <c r="F116" s="13" t="str">
        <f>IF(E116="","",IFERROR(INDEX(Catalogos!$C$5:$C$49,MATCH(E116,L_METAS,0)),""))</f>
        <v/>
      </c>
      <c r="G116" s="13" t="str">
        <f>IF(E116="","",IFERROR(INDEX(Catalogos!$E$5:$E$49,MATCH(E116,L_METAS,0)),""))</f>
        <v/>
      </c>
      <c r="H116" s="26"/>
      <c r="I116" s="26"/>
      <c r="J116" s="26"/>
      <c r="K116" s="26"/>
      <c r="L116" s="26"/>
      <c r="M116" s="27"/>
      <c r="N116" s="26"/>
      <c r="O116" s="26"/>
      <c r="P116" s="26"/>
      <c r="Q116" s="26"/>
      <c r="R116" s="26"/>
      <c r="S116" s="26"/>
      <c r="T116" s="26"/>
      <c r="U116" s="26"/>
      <c r="V116" s="26"/>
      <c r="W116" s="28"/>
      <c r="X116" s="28"/>
      <c r="Y116" s="26"/>
      <c r="Z116" s="26"/>
      <c r="AA116" s="26"/>
      <c r="AB116" s="26"/>
      <c r="AC116" s="26"/>
      <c r="AD116" s="26"/>
      <c r="AE116" s="26"/>
      <c r="AF116" s="26"/>
      <c r="AG116" s="26"/>
      <c r="AH116" s="26"/>
      <c r="AI116" s="26"/>
      <c r="AJ116" s="15" t="str">
        <f>IF(COUNTA(B116,E116,H116,I116,J116,K116,L116,M116,N116,O116,P116,Q116,R116,S116,T116,U116,V116,W116,X116,Y116,Z116,AA116,AB116,AC116,AD116,AE116,AF116,AG116,AH116,AI116)=0,"",IF(OR(B116="",E116="",H116="",J116="",K116="",L116="",M116="",O116="",P116="",Q116="",R116="",S116="",T116="",U116="",W116="",X116="",Y116="",AB116="",AC116="",AE116="",AF116=""),"Incompleta: faltan campos obligatorios",IF(AND(LEFT(H116,6)="PROPIA",I116=""),"Falta el nombre de la acción propia del área",IF(AND(LEFT(H116,3)="A27",IFERROR(INDEX(Catalogos!$T$5:$T$207,MATCH(H116,Catalogos!$U$5:$U$207,0)),"x")&lt;&gt;LEFT(E116,7)),"La acción no corresponde a la meta seleccionada",IF(OR(NOT(ISNUMBER(M116)),M116&lt;10000000,M116&gt;99999999),"Código UNSPSC inválido: registre 8 dígitos",IF(MOD(M116,10000)=0,"UNSPSC a nivel de segmento o familia: use clase o producto",IF(IFERROR(MATCH(P116,L_MESES,0)&lt;MATCH(O116,L_MESES,0),TRUE()),"El mes de ofertas es anterior al de inicio del proceso",IF(OR(NOT(ISNUMBER(Q116)),Q116&lt;=0),"Duración inválida",IF(OR(NOT(ISNUMBER(W116)),NOT(ISNUMBER(X116))),"Valor inválido: registre solo números",IF(OR(W116&lt;=0,X116&lt;=0),"Valor inválido: debe ser mayor que cero",IF(X116&gt;W116,"El valor de la vigencia 2027 supera el valor total",IF(AND(X116&lt;W116,Y116="No"),"El valor total supera el de 2027: requiere vigencias futuras",IF(AND(Y116="Sí",OR(Z116="",Z116="No aplica")),"Indique el estado de la solicitud de vigencias futuras",IF(IF(AND(S116="Mínima cuantía",ISNUMBER(P_TOPE_MINIMA)),W116&gt;P_TOPE_MINIMA,FALSE()),"El valor supera el tope de mínima cuantía 2027",IF(IF(AND(S116="Selección abreviada de menor cuantía",ISNUMBER(P_TOPE_MENOR)),W116&gt;P_TOPE_MENOR,FALSE()),"El valor supera el tope de menor cuantía 2027",IF(OR(ISERROR(SEARCH("@itc.edu.co",AE116)),SUMPRODUCT(--ISNUMBER(SEARCH({"á","é","í","ó","ú","ñ"," "},AE116)))&gt;0),"El correo del responsable no es institucional válido",IF(AND(AF116="Sí",AG116=""),"Indique el N.° de registro 2026 que continúa","OK")))))))))))))))))</f>
        <v/>
      </c>
      <c r="AK116" s="15" t="str">
        <f>IF(AJ116="OK",COUNTIF($AJ$7:AJ116,"OK"),"")</f>
        <v/>
      </c>
    </row>
    <row r="117" spans="1:37" x14ac:dyDescent="0.3">
      <c r="A117" s="13" t="str">
        <f t="shared" si="1"/>
        <v>PN27-111</v>
      </c>
      <c r="B117" s="26"/>
      <c r="C117" s="13" t="str">
        <f>IF(B117="","",IFERROR(INDEX(Catalogos!$R$5:$R$51,MATCH(B117,L_AREAS,0)),""))</f>
        <v/>
      </c>
      <c r="D117" s="13" t="str">
        <f>IF(B117="","",IFERROR(INDEX(Catalogos!$O$5:$O$51,MATCH(B117,L_AREAS,0)),""))</f>
        <v/>
      </c>
      <c r="E117" s="26"/>
      <c r="F117" s="13" t="str">
        <f>IF(E117="","",IFERROR(INDEX(Catalogos!$C$5:$C$49,MATCH(E117,L_METAS,0)),""))</f>
        <v/>
      </c>
      <c r="G117" s="13" t="str">
        <f>IF(E117="","",IFERROR(INDEX(Catalogos!$E$5:$E$49,MATCH(E117,L_METAS,0)),""))</f>
        <v/>
      </c>
      <c r="H117" s="26"/>
      <c r="I117" s="26"/>
      <c r="J117" s="26"/>
      <c r="K117" s="26"/>
      <c r="L117" s="26"/>
      <c r="M117" s="27"/>
      <c r="N117" s="26"/>
      <c r="O117" s="26"/>
      <c r="P117" s="26"/>
      <c r="Q117" s="26"/>
      <c r="R117" s="26"/>
      <c r="S117" s="26"/>
      <c r="T117" s="26"/>
      <c r="U117" s="26"/>
      <c r="V117" s="26"/>
      <c r="W117" s="28"/>
      <c r="X117" s="28"/>
      <c r="Y117" s="26"/>
      <c r="Z117" s="26"/>
      <c r="AA117" s="26"/>
      <c r="AB117" s="26"/>
      <c r="AC117" s="26"/>
      <c r="AD117" s="26"/>
      <c r="AE117" s="26"/>
      <c r="AF117" s="26"/>
      <c r="AG117" s="26"/>
      <c r="AH117" s="26"/>
      <c r="AI117" s="26"/>
      <c r="AJ117" s="15" t="str">
        <f>IF(COUNTA(B117,E117,H117,I117,J117,K117,L117,M117,N117,O117,P117,Q117,R117,S117,T117,U117,V117,W117,X117,Y117,Z117,AA117,AB117,AC117,AD117,AE117,AF117,AG117,AH117,AI117)=0,"",IF(OR(B117="",E117="",H117="",J117="",K117="",L117="",M117="",O117="",P117="",Q117="",R117="",S117="",T117="",U117="",W117="",X117="",Y117="",AB117="",AC117="",AE117="",AF117=""),"Incompleta: faltan campos obligatorios",IF(AND(LEFT(H117,6)="PROPIA",I117=""),"Falta el nombre de la acción propia del área",IF(AND(LEFT(H117,3)="A27",IFERROR(INDEX(Catalogos!$T$5:$T$207,MATCH(H117,Catalogos!$U$5:$U$207,0)),"x")&lt;&gt;LEFT(E117,7)),"La acción no corresponde a la meta seleccionada",IF(OR(NOT(ISNUMBER(M117)),M117&lt;10000000,M117&gt;99999999),"Código UNSPSC inválido: registre 8 dígitos",IF(MOD(M117,10000)=0,"UNSPSC a nivel de segmento o familia: use clase o producto",IF(IFERROR(MATCH(P117,L_MESES,0)&lt;MATCH(O117,L_MESES,0),TRUE()),"El mes de ofertas es anterior al de inicio del proceso",IF(OR(NOT(ISNUMBER(Q117)),Q117&lt;=0),"Duración inválida",IF(OR(NOT(ISNUMBER(W117)),NOT(ISNUMBER(X117))),"Valor inválido: registre solo números",IF(OR(W117&lt;=0,X117&lt;=0),"Valor inválido: debe ser mayor que cero",IF(X117&gt;W117,"El valor de la vigencia 2027 supera el valor total",IF(AND(X117&lt;W117,Y117="No"),"El valor total supera el de 2027: requiere vigencias futuras",IF(AND(Y117="Sí",OR(Z117="",Z117="No aplica")),"Indique el estado de la solicitud de vigencias futuras",IF(IF(AND(S117="Mínima cuantía",ISNUMBER(P_TOPE_MINIMA)),W117&gt;P_TOPE_MINIMA,FALSE()),"El valor supera el tope de mínima cuantía 2027",IF(IF(AND(S117="Selección abreviada de menor cuantía",ISNUMBER(P_TOPE_MENOR)),W117&gt;P_TOPE_MENOR,FALSE()),"El valor supera el tope de menor cuantía 2027",IF(OR(ISERROR(SEARCH("@itc.edu.co",AE117)),SUMPRODUCT(--ISNUMBER(SEARCH({"á","é","í","ó","ú","ñ"," "},AE117)))&gt;0),"El correo del responsable no es institucional válido",IF(AND(AF117="Sí",AG117=""),"Indique el N.° de registro 2026 que continúa","OK")))))))))))))))))</f>
        <v/>
      </c>
      <c r="AK117" s="15" t="str">
        <f>IF(AJ117="OK",COUNTIF($AJ$7:AJ117,"OK"),"")</f>
        <v/>
      </c>
    </row>
    <row r="118" spans="1:37" x14ac:dyDescent="0.3">
      <c r="A118" s="13" t="str">
        <f t="shared" si="1"/>
        <v>PN27-112</v>
      </c>
      <c r="B118" s="26"/>
      <c r="C118" s="13" t="str">
        <f>IF(B118="","",IFERROR(INDEX(Catalogos!$R$5:$R$51,MATCH(B118,L_AREAS,0)),""))</f>
        <v/>
      </c>
      <c r="D118" s="13" t="str">
        <f>IF(B118="","",IFERROR(INDEX(Catalogos!$O$5:$O$51,MATCH(B118,L_AREAS,0)),""))</f>
        <v/>
      </c>
      <c r="E118" s="26"/>
      <c r="F118" s="13" t="str">
        <f>IF(E118="","",IFERROR(INDEX(Catalogos!$C$5:$C$49,MATCH(E118,L_METAS,0)),""))</f>
        <v/>
      </c>
      <c r="G118" s="13" t="str">
        <f>IF(E118="","",IFERROR(INDEX(Catalogos!$E$5:$E$49,MATCH(E118,L_METAS,0)),""))</f>
        <v/>
      </c>
      <c r="H118" s="26"/>
      <c r="I118" s="26"/>
      <c r="J118" s="26"/>
      <c r="K118" s="26"/>
      <c r="L118" s="26"/>
      <c r="M118" s="27"/>
      <c r="N118" s="26"/>
      <c r="O118" s="26"/>
      <c r="P118" s="26"/>
      <c r="Q118" s="26"/>
      <c r="R118" s="26"/>
      <c r="S118" s="26"/>
      <c r="T118" s="26"/>
      <c r="U118" s="26"/>
      <c r="V118" s="26"/>
      <c r="W118" s="28"/>
      <c r="X118" s="28"/>
      <c r="Y118" s="26"/>
      <c r="Z118" s="26"/>
      <c r="AA118" s="26"/>
      <c r="AB118" s="26"/>
      <c r="AC118" s="26"/>
      <c r="AD118" s="26"/>
      <c r="AE118" s="26"/>
      <c r="AF118" s="26"/>
      <c r="AG118" s="26"/>
      <c r="AH118" s="26"/>
      <c r="AI118" s="26"/>
      <c r="AJ118" s="15" t="str">
        <f>IF(COUNTA(B118,E118,H118,I118,J118,K118,L118,M118,N118,O118,P118,Q118,R118,S118,T118,U118,V118,W118,X118,Y118,Z118,AA118,AB118,AC118,AD118,AE118,AF118,AG118,AH118,AI118)=0,"",IF(OR(B118="",E118="",H118="",J118="",K118="",L118="",M118="",O118="",P118="",Q118="",R118="",S118="",T118="",U118="",W118="",X118="",Y118="",AB118="",AC118="",AE118="",AF118=""),"Incompleta: faltan campos obligatorios",IF(AND(LEFT(H118,6)="PROPIA",I118=""),"Falta el nombre de la acción propia del área",IF(AND(LEFT(H118,3)="A27",IFERROR(INDEX(Catalogos!$T$5:$T$207,MATCH(H118,Catalogos!$U$5:$U$207,0)),"x")&lt;&gt;LEFT(E118,7)),"La acción no corresponde a la meta seleccionada",IF(OR(NOT(ISNUMBER(M118)),M118&lt;10000000,M118&gt;99999999),"Código UNSPSC inválido: registre 8 dígitos",IF(MOD(M118,10000)=0,"UNSPSC a nivel de segmento o familia: use clase o producto",IF(IFERROR(MATCH(P118,L_MESES,0)&lt;MATCH(O118,L_MESES,0),TRUE()),"El mes de ofertas es anterior al de inicio del proceso",IF(OR(NOT(ISNUMBER(Q118)),Q118&lt;=0),"Duración inválida",IF(OR(NOT(ISNUMBER(W118)),NOT(ISNUMBER(X118))),"Valor inválido: registre solo números",IF(OR(W118&lt;=0,X118&lt;=0),"Valor inválido: debe ser mayor que cero",IF(X118&gt;W118,"El valor de la vigencia 2027 supera el valor total",IF(AND(X118&lt;W118,Y118="No"),"El valor total supera el de 2027: requiere vigencias futuras",IF(AND(Y118="Sí",OR(Z118="",Z118="No aplica")),"Indique el estado de la solicitud de vigencias futuras",IF(IF(AND(S118="Mínima cuantía",ISNUMBER(P_TOPE_MINIMA)),W118&gt;P_TOPE_MINIMA,FALSE()),"El valor supera el tope de mínima cuantía 2027",IF(IF(AND(S118="Selección abreviada de menor cuantía",ISNUMBER(P_TOPE_MENOR)),W118&gt;P_TOPE_MENOR,FALSE()),"El valor supera el tope de menor cuantía 2027",IF(OR(ISERROR(SEARCH("@itc.edu.co",AE118)),SUMPRODUCT(--ISNUMBER(SEARCH({"á","é","í","ó","ú","ñ"," "},AE118)))&gt;0),"El correo del responsable no es institucional válido",IF(AND(AF118="Sí",AG118=""),"Indique el N.° de registro 2026 que continúa","OK")))))))))))))))))</f>
        <v/>
      </c>
      <c r="AK118" s="15" t="str">
        <f>IF(AJ118="OK",COUNTIF($AJ$7:AJ118,"OK"),"")</f>
        <v/>
      </c>
    </row>
    <row r="119" spans="1:37" x14ac:dyDescent="0.3">
      <c r="A119" s="13" t="str">
        <f t="shared" si="1"/>
        <v>PN27-113</v>
      </c>
      <c r="B119" s="26"/>
      <c r="C119" s="13" t="str">
        <f>IF(B119="","",IFERROR(INDEX(Catalogos!$R$5:$R$51,MATCH(B119,L_AREAS,0)),""))</f>
        <v/>
      </c>
      <c r="D119" s="13" t="str">
        <f>IF(B119="","",IFERROR(INDEX(Catalogos!$O$5:$O$51,MATCH(B119,L_AREAS,0)),""))</f>
        <v/>
      </c>
      <c r="E119" s="26"/>
      <c r="F119" s="13" t="str">
        <f>IF(E119="","",IFERROR(INDEX(Catalogos!$C$5:$C$49,MATCH(E119,L_METAS,0)),""))</f>
        <v/>
      </c>
      <c r="G119" s="13" t="str">
        <f>IF(E119="","",IFERROR(INDEX(Catalogos!$E$5:$E$49,MATCH(E119,L_METAS,0)),""))</f>
        <v/>
      </c>
      <c r="H119" s="26"/>
      <c r="I119" s="26"/>
      <c r="J119" s="26"/>
      <c r="K119" s="26"/>
      <c r="L119" s="26"/>
      <c r="M119" s="27"/>
      <c r="N119" s="26"/>
      <c r="O119" s="26"/>
      <c r="P119" s="26"/>
      <c r="Q119" s="26"/>
      <c r="R119" s="26"/>
      <c r="S119" s="26"/>
      <c r="T119" s="26"/>
      <c r="U119" s="26"/>
      <c r="V119" s="26"/>
      <c r="W119" s="28"/>
      <c r="X119" s="28"/>
      <c r="Y119" s="26"/>
      <c r="Z119" s="26"/>
      <c r="AA119" s="26"/>
      <c r="AB119" s="26"/>
      <c r="AC119" s="26"/>
      <c r="AD119" s="26"/>
      <c r="AE119" s="26"/>
      <c r="AF119" s="26"/>
      <c r="AG119" s="26"/>
      <c r="AH119" s="26"/>
      <c r="AI119" s="26"/>
      <c r="AJ119" s="15" t="str">
        <f>IF(COUNTA(B119,E119,H119,I119,J119,K119,L119,M119,N119,O119,P119,Q119,R119,S119,T119,U119,V119,W119,X119,Y119,Z119,AA119,AB119,AC119,AD119,AE119,AF119,AG119,AH119,AI119)=0,"",IF(OR(B119="",E119="",H119="",J119="",K119="",L119="",M119="",O119="",P119="",Q119="",R119="",S119="",T119="",U119="",W119="",X119="",Y119="",AB119="",AC119="",AE119="",AF119=""),"Incompleta: faltan campos obligatorios",IF(AND(LEFT(H119,6)="PROPIA",I119=""),"Falta el nombre de la acción propia del área",IF(AND(LEFT(H119,3)="A27",IFERROR(INDEX(Catalogos!$T$5:$T$207,MATCH(H119,Catalogos!$U$5:$U$207,0)),"x")&lt;&gt;LEFT(E119,7)),"La acción no corresponde a la meta seleccionada",IF(OR(NOT(ISNUMBER(M119)),M119&lt;10000000,M119&gt;99999999),"Código UNSPSC inválido: registre 8 dígitos",IF(MOD(M119,10000)=0,"UNSPSC a nivel de segmento o familia: use clase o producto",IF(IFERROR(MATCH(P119,L_MESES,0)&lt;MATCH(O119,L_MESES,0),TRUE()),"El mes de ofertas es anterior al de inicio del proceso",IF(OR(NOT(ISNUMBER(Q119)),Q119&lt;=0),"Duración inválida",IF(OR(NOT(ISNUMBER(W119)),NOT(ISNUMBER(X119))),"Valor inválido: registre solo números",IF(OR(W119&lt;=0,X119&lt;=0),"Valor inválido: debe ser mayor que cero",IF(X119&gt;W119,"El valor de la vigencia 2027 supera el valor total",IF(AND(X119&lt;W119,Y119="No"),"El valor total supera el de 2027: requiere vigencias futuras",IF(AND(Y119="Sí",OR(Z119="",Z119="No aplica")),"Indique el estado de la solicitud de vigencias futuras",IF(IF(AND(S119="Mínima cuantía",ISNUMBER(P_TOPE_MINIMA)),W119&gt;P_TOPE_MINIMA,FALSE()),"El valor supera el tope de mínima cuantía 2027",IF(IF(AND(S119="Selección abreviada de menor cuantía",ISNUMBER(P_TOPE_MENOR)),W119&gt;P_TOPE_MENOR,FALSE()),"El valor supera el tope de menor cuantía 2027",IF(OR(ISERROR(SEARCH("@itc.edu.co",AE119)),SUMPRODUCT(--ISNUMBER(SEARCH({"á","é","í","ó","ú","ñ"," "},AE119)))&gt;0),"El correo del responsable no es institucional válido",IF(AND(AF119="Sí",AG119=""),"Indique el N.° de registro 2026 que continúa","OK")))))))))))))))))</f>
        <v/>
      </c>
      <c r="AK119" s="15" t="str">
        <f>IF(AJ119="OK",COUNTIF($AJ$7:AJ119,"OK"),"")</f>
        <v/>
      </c>
    </row>
    <row r="120" spans="1:37" x14ac:dyDescent="0.3">
      <c r="A120" s="13" t="str">
        <f t="shared" si="1"/>
        <v>PN27-114</v>
      </c>
      <c r="B120" s="26"/>
      <c r="C120" s="13" t="str">
        <f>IF(B120="","",IFERROR(INDEX(Catalogos!$R$5:$R$51,MATCH(B120,L_AREAS,0)),""))</f>
        <v/>
      </c>
      <c r="D120" s="13" t="str">
        <f>IF(B120="","",IFERROR(INDEX(Catalogos!$O$5:$O$51,MATCH(B120,L_AREAS,0)),""))</f>
        <v/>
      </c>
      <c r="E120" s="26"/>
      <c r="F120" s="13" t="str">
        <f>IF(E120="","",IFERROR(INDEX(Catalogos!$C$5:$C$49,MATCH(E120,L_METAS,0)),""))</f>
        <v/>
      </c>
      <c r="G120" s="13" t="str">
        <f>IF(E120="","",IFERROR(INDEX(Catalogos!$E$5:$E$49,MATCH(E120,L_METAS,0)),""))</f>
        <v/>
      </c>
      <c r="H120" s="26"/>
      <c r="I120" s="26"/>
      <c r="J120" s="26"/>
      <c r="K120" s="26"/>
      <c r="L120" s="26"/>
      <c r="M120" s="27"/>
      <c r="N120" s="26"/>
      <c r="O120" s="26"/>
      <c r="P120" s="26"/>
      <c r="Q120" s="26"/>
      <c r="R120" s="26"/>
      <c r="S120" s="26"/>
      <c r="T120" s="26"/>
      <c r="U120" s="26"/>
      <c r="V120" s="26"/>
      <c r="W120" s="28"/>
      <c r="X120" s="28"/>
      <c r="Y120" s="26"/>
      <c r="Z120" s="26"/>
      <c r="AA120" s="26"/>
      <c r="AB120" s="26"/>
      <c r="AC120" s="26"/>
      <c r="AD120" s="26"/>
      <c r="AE120" s="26"/>
      <c r="AF120" s="26"/>
      <c r="AG120" s="26"/>
      <c r="AH120" s="26"/>
      <c r="AI120" s="26"/>
      <c r="AJ120" s="15" t="str">
        <f>IF(COUNTA(B120,E120,H120,I120,J120,K120,L120,M120,N120,O120,P120,Q120,R120,S120,T120,U120,V120,W120,X120,Y120,Z120,AA120,AB120,AC120,AD120,AE120,AF120,AG120,AH120,AI120)=0,"",IF(OR(B120="",E120="",H120="",J120="",K120="",L120="",M120="",O120="",P120="",Q120="",R120="",S120="",T120="",U120="",W120="",X120="",Y120="",AB120="",AC120="",AE120="",AF120=""),"Incompleta: faltan campos obligatorios",IF(AND(LEFT(H120,6)="PROPIA",I120=""),"Falta el nombre de la acción propia del área",IF(AND(LEFT(H120,3)="A27",IFERROR(INDEX(Catalogos!$T$5:$T$207,MATCH(H120,Catalogos!$U$5:$U$207,0)),"x")&lt;&gt;LEFT(E120,7)),"La acción no corresponde a la meta seleccionada",IF(OR(NOT(ISNUMBER(M120)),M120&lt;10000000,M120&gt;99999999),"Código UNSPSC inválido: registre 8 dígitos",IF(MOD(M120,10000)=0,"UNSPSC a nivel de segmento o familia: use clase o producto",IF(IFERROR(MATCH(P120,L_MESES,0)&lt;MATCH(O120,L_MESES,0),TRUE()),"El mes de ofertas es anterior al de inicio del proceso",IF(OR(NOT(ISNUMBER(Q120)),Q120&lt;=0),"Duración inválida",IF(OR(NOT(ISNUMBER(W120)),NOT(ISNUMBER(X120))),"Valor inválido: registre solo números",IF(OR(W120&lt;=0,X120&lt;=0),"Valor inválido: debe ser mayor que cero",IF(X120&gt;W120,"El valor de la vigencia 2027 supera el valor total",IF(AND(X120&lt;W120,Y120="No"),"El valor total supera el de 2027: requiere vigencias futuras",IF(AND(Y120="Sí",OR(Z120="",Z120="No aplica")),"Indique el estado de la solicitud de vigencias futuras",IF(IF(AND(S120="Mínima cuantía",ISNUMBER(P_TOPE_MINIMA)),W120&gt;P_TOPE_MINIMA,FALSE()),"El valor supera el tope de mínima cuantía 2027",IF(IF(AND(S120="Selección abreviada de menor cuantía",ISNUMBER(P_TOPE_MENOR)),W120&gt;P_TOPE_MENOR,FALSE()),"El valor supera el tope de menor cuantía 2027",IF(OR(ISERROR(SEARCH("@itc.edu.co",AE120)),SUMPRODUCT(--ISNUMBER(SEARCH({"á","é","í","ó","ú","ñ"," "},AE120)))&gt;0),"El correo del responsable no es institucional válido",IF(AND(AF120="Sí",AG120=""),"Indique el N.° de registro 2026 que continúa","OK")))))))))))))))))</f>
        <v/>
      </c>
      <c r="AK120" s="15" t="str">
        <f>IF(AJ120="OK",COUNTIF($AJ$7:AJ120,"OK"),"")</f>
        <v/>
      </c>
    </row>
    <row r="121" spans="1:37" x14ac:dyDescent="0.3">
      <c r="A121" s="13" t="str">
        <f t="shared" si="1"/>
        <v>PN27-115</v>
      </c>
      <c r="B121" s="26"/>
      <c r="C121" s="13" t="str">
        <f>IF(B121="","",IFERROR(INDEX(Catalogos!$R$5:$R$51,MATCH(B121,L_AREAS,0)),""))</f>
        <v/>
      </c>
      <c r="D121" s="13" t="str">
        <f>IF(B121="","",IFERROR(INDEX(Catalogos!$O$5:$O$51,MATCH(B121,L_AREAS,0)),""))</f>
        <v/>
      </c>
      <c r="E121" s="26"/>
      <c r="F121" s="13" t="str">
        <f>IF(E121="","",IFERROR(INDEX(Catalogos!$C$5:$C$49,MATCH(E121,L_METAS,0)),""))</f>
        <v/>
      </c>
      <c r="G121" s="13" t="str">
        <f>IF(E121="","",IFERROR(INDEX(Catalogos!$E$5:$E$49,MATCH(E121,L_METAS,0)),""))</f>
        <v/>
      </c>
      <c r="H121" s="26"/>
      <c r="I121" s="26"/>
      <c r="J121" s="26"/>
      <c r="K121" s="26"/>
      <c r="L121" s="26"/>
      <c r="M121" s="27"/>
      <c r="N121" s="26"/>
      <c r="O121" s="26"/>
      <c r="P121" s="26"/>
      <c r="Q121" s="26"/>
      <c r="R121" s="26"/>
      <c r="S121" s="26"/>
      <c r="T121" s="26"/>
      <c r="U121" s="26"/>
      <c r="V121" s="26"/>
      <c r="W121" s="28"/>
      <c r="X121" s="28"/>
      <c r="Y121" s="26"/>
      <c r="Z121" s="26"/>
      <c r="AA121" s="26"/>
      <c r="AB121" s="26"/>
      <c r="AC121" s="26"/>
      <c r="AD121" s="26"/>
      <c r="AE121" s="26"/>
      <c r="AF121" s="26"/>
      <c r="AG121" s="26"/>
      <c r="AH121" s="26"/>
      <c r="AI121" s="26"/>
      <c r="AJ121" s="15" t="str">
        <f>IF(COUNTA(B121,E121,H121,I121,J121,K121,L121,M121,N121,O121,P121,Q121,R121,S121,T121,U121,V121,W121,X121,Y121,Z121,AA121,AB121,AC121,AD121,AE121,AF121,AG121,AH121,AI121)=0,"",IF(OR(B121="",E121="",H121="",J121="",K121="",L121="",M121="",O121="",P121="",Q121="",R121="",S121="",T121="",U121="",W121="",X121="",Y121="",AB121="",AC121="",AE121="",AF121=""),"Incompleta: faltan campos obligatorios",IF(AND(LEFT(H121,6)="PROPIA",I121=""),"Falta el nombre de la acción propia del área",IF(AND(LEFT(H121,3)="A27",IFERROR(INDEX(Catalogos!$T$5:$T$207,MATCH(H121,Catalogos!$U$5:$U$207,0)),"x")&lt;&gt;LEFT(E121,7)),"La acción no corresponde a la meta seleccionada",IF(OR(NOT(ISNUMBER(M121)),M121&lt;10000000,M121&gt;99999999),"Código UNSPSC inválido: registre 8 dígitos",IF(MOD(M121,10000)=0,"UNSPSC a nivel de segmento o familia: use clase o producto",IF(IFERROR(MATCH(P121,L_MESES,0)&lt;MATCH(O121,L_MESES,0),TRUE()),"El mes de ofertas es anterior al de inicio del proceso",IF(OR(NOT(ISNUMBER(Q121)),Q121&lt;=0),"Duración inválida",IF(OR(NOT(ISNUMBER(W121)),NOT(ISNUMBER(X121))),"Valor inválido: registre solo números",IF(OR(W121&lt;=0,X121&lt;=0),"Valor inválido: debe ser mayor que cero",IF(X121&gt;W121,"El valor de la vigencia 2027 supera el valor total",IF(AND(X121&lt;W121,Y121="No"),"El valor total supera el de 2027: requiere vigencias futuras",IF(AND(Y121="Sí",OR(Z121="",Z121="No aplica")),"Indique el estado de la solicitud de vigencias futuras",IF(IF(AND(S121="Mínima cuantía",ISNUMBER(P_TOPE_MINIMA)),W121&gt;P_TOPE_MINIMA,FALSE()),"El valor supera el tope de mínima cuantía 2027",IF(IF(AND(S121="Selección abreviada de menor cuantía",ISNUMBER(P_TOPE_MENOR)),W121&gt;P_TOPE_MENOR,FALSE()),"El valor supera el tope de menor cuantía 2027",IF(OR(ISERROR(SEARCH("@itc.edu.co",AE121)),SUMPRODUCT(--ISNUMBER(SEARCH({"á","é","í","ó","ú","ñ"," "},AE121)))&gt;0),"El correo del responsable no es institucional válido",IF(AND(AF121="Sí",AG121=""),"Indique el N.° de registro 2026 que continúa","OK")))))))))))))))))</f>
        <v/>
      </c>
      <c r="AK121" s="15" t="str">
        <f>IF(AJ121="OK",COUNTIF($AJ$7:AJ121,"OK"),"")</f>
        <v/>
      </c>
    </row>
    <row r="122" spans="1:37" x14ac:dyDescent="0.3">
      <c r="A122" s="13" t="str">
        <f t="shared" si="1"/>
        <v>PN27-116</v>
      </c>
      <c r="B122" s="26"/>
      <c r="C122" s="13" t="str">
        <f>IF(B122="","",IFERROR(INDEX(Catalogos!$R$5:$R$51,MATCH(B122,L_AREAS,0)),""))</f>
        <v/>
      </c>
      <c r="D122" s="13" t="str">
        <f>IF(B122="","",IFERROR(INDEX(Catalogos!$O$5:$O$51,MATCH(B122,L_AREAS,0)),""))</f>
        <v/>
      </c>
      <c r="E122" s="26"/>
      <c r="F122" s="13" t="str">
        <f>IF(E122="","",IFERROR(INDEX(Catalogos!$C$5:$C$49,MATCH(E122,L_METAS,0)),""))</f>
        <v/>
      </c>
      <c r="G122" s="13" t="str">
        <f>IF(E122="","",IFERROR(INDEX(Catalogos!$E$5:$E$49,MATCH(E122,L_METAS,0)),""))</f>
        <v/>
      </c>
      <c r="H122" s="26"/>
      <c r="I122" s="26"/>
      <c r="J122" s="26"/>
      <c r="K122" s="26"/>
      <c r="L122" s="26"/>
      <c r="M122" s="27"/>
      <c r="N122" s="26"/>
      <c r="O122" s="26"/>
      <c r="P122" s="26"/>
      <c r="Q122" s="26"/>
      <c r="R122" s="26"/>
      <c r="S122" s="26"/>
      <c r="T122" s="26"/>
      <c r="U122" s="26"/>
      <c r="V122" s="26"/>
      <c r="W122" s="28"/>
      <c r="X122" s="28"/>
      <c r="Y122" s="26"/>
      <c r="Z122" s="26"/>
      <c r="AA122" s="26"/>
      <c r="AB122" s="26"/>
      <c r="AC122" s="26"/>
      <c r="AD122" s="26"/>
      <c r="AE122" s="26"/>
      <c r="AF122" s="26"/>
      <c r="AG122" s="26"/>
      <c r="AH122" s="26"/>
      <c r="AI122" s="26"/>
      <c r="AJ122" s="15" t="str">
        <f>IF(COUNTA(B122,E122,H122,I122,J122,K122,L122,M122,N122,O122,P122,Q122,R122,S122,T122,U122,V122,W122,X122,Y122,Z122,AA122,AB122,AC122,AD122,AE122,AF122,AG122,AH122,AI122)=0,"",IF(OR(B122="",E122="",H122="",J122="",K122="",L122="",M122="",O122="",P122="",Q122="",R122="",S122="",T122="",U122="",W122="",X122="",Y122="",AB122="",AC122="",AE122="",AF122=""),"Incompleta: faltan campos obligatorios",IF(AND(LEFT(H122,6)="PROPIA",I122=""),"Falta el nombre de la acción propia del área",IF(AND(LEFT(H122,3)="A27",IFERROR(INDEX(Catalogos!$T$5:$T$207,MATCH(H122,Catalogos!$U$5:$U$207,0)),"x")&lt;&gt;LEFT(E122,7)),"La acción no corresponde a la meta seleccionada",IF(OR(NOT(ISNUMBER(M122)),M122&lt;10000000,M122&gt;99999999),"Código UNSPSC inválido: registre 8 dígitos",IF(MOD(M122,10000)=0,"UNSPSC a nivel de segmento o familia: use clase o producto",IF(IFERROR(MATCH(P122,L_MESES,0)&lt;MATCH(O122,L_MESES,0),TRUE()),"El mes de ofertas es anterior al de inicio del proceso",IF(OR(NOT(ISNUMBER(Q122)),Q122&lt;=0),"Duración inválida",IF(OR(NOT(ISNUMBER(W122)),NOT(ISNUMBER(X122))),"Valor inválido: registre solo números",IF(OR(W122&lt;=0,X122&lt;=0),"Valor inválido: debe ser mayor que cero",IF(X122&gt;W122,"El valor de la vigencia 2027 supera el valor total",IF(AND(X122&lt;W122,Y122="No"),"El valor total supera el de 2027: requiere vigencias futuras",IF(AND(Y122="Sí",OR(Z122="",Z122="No aplica")),"Indique el estado de la solicitud de vigencias futuras",IF(IF(AND(S122="Mínima cuantía",ISNUMBER(P_TOPE_MINIMA)),W122&gt;P_TOPE_MINIMA,FALSE()),"El valor supera el tope de mínima cuantía 2027",IF(IF(AND(S122="Selección abreviada de menor cuantía",ISNUMBER(P_TOPE_MENOR)),W122&gt;P_TOPE_MENOR,FALSE()),"El valor supera el tope de menor cuantía 2027",IF(OR(ISERROR(SEARCH("@itc.edu.co",AE122)),SUMPRODUCT(--ISNUMBER(SEARCH({"á","é","í","ó","ú","ñ"," "},AE122)))&gt;0),"El correo del responsable no es institucional válido",IF(AND(AF122="Sí",AG122=""),"Indique el N.° de registro 2026 que continúa","OK")))))))))))))))))</f>
        <v/>
      </c>
      <c r="AK122" s="15" t="str">
        <f>IF(AJ122="OK",COUNTIF($AJ$7:AJ122,"OK"),"")</f>
        <v/>
      </c>
    </row>
    <row r="123" spans="1:37" x14ac:dyDescent="0.3">
      <c r="A123" s="13" t="str">
        <f t="shared" si="1"/>
        <v>PN27-117</v>
      </c>
      <c r="B123" s="26"/>
      <c r="C123" s="13" t="str">
        <f>IF(B123="","",IFERROR(INDEX(Catalogos!$R$5:$R$51,MATCH(B123,L_AREAS,0)),""))</f>
        <v/>
      </c>
      <c r="D123" s="13" t="str">
        <f>IF(B123="","",IFERROR(INDEX(Catalogos!$O$5:$O$51,MATCH(B123,L_AREAS,0)),""))</f>
        <v/>
      </c>
      <c r="E123" s="26"/>
      <c r="F123" s="13" t="str">
        <f>IF(E123="","",IFERROR(INDEX(Catalogos!$C$5:$C$49,MATCH(E123,L_METAS,0)),""))</f>
        <v/>
      </c>
      <c r="G123" s="13" t="str">
        <f>IF(E123="","",IFERROR(INDEX(Catalogos!$E$5:$E$49,MATCH(E123,L_METAS,0)),""))</f>
        <v/>
      </c>
      <c r="H123" s="26"/>
      <c r="I123" s="26"/>
      <c r="J123" s="26"/>
      <c r="K123" s="26"/>
      <c r="L123" s="26"/>
      <c r="M123" s="27"/>
      <c r="N123" s="26"/>
      <c r="O123" s="26"/>
      <c r="P123" s="26"/>
      <c r="Q123" s="26"/>
      <c r="R123" s="26"/>
      <c r="S123" s="26"/>
      <c r="T123" s="26"/>
      <c r="U123" s="26"/>
      <c r="V123" s="26"/>
      <c r="W123" s="28"/>
      <c r="X123" s="28"/>
      <c r="Y123" s="26"/>
      <c r="Z123" s="26"/>
      <c r="AA123" s="26"/>
      <c r="AB123" s="26"/>
      <c r="AC123" s="26"/>
      <c r="AD123" s="26"/>
      <c r="AE123" s="26"/>
      <c r="AF123" s="26"/>
      <c r="AG123" s="26"/>
      <c r="AH123" s="26"/>
      <c r="AI123" s="26"/>
      <c r="AJ123" s="15" t="str">
        <f>IF(COUNTA(B123,E123,H123,I123,J123,K123,L123,M123,N123,O123,P123,Q123,R123,S123,T123,U123,V123,W123,X123,Y123,Z123,AA123,AB123,AC123,AD123,AE123,AF123,AG123,AH123,AI123)=0,"",IF(OR(B123="",E123="",H123="",J123="",K123="",L123="",M123="",O123="",P123="",Q123="",R123="",S123="",T123="",U123="",W123="",X123="",Y123="",AB123="",AC123="",AE123="",AF123=""),"Incompleta: faltan campos obligatorios",IF(AND(LEFT(H123,6)="PROPIA",I123=""),"Falta el nombre de la acción propia del área",IF(AND(LEFT(H123,3)="A27",IFERROR(INDEX(Catalogos!$T$5:$T$207,MATCH(H123,Catalogos!$U$5:$U$207,0)),"x")&lt;&gt;LEFT(E123,7)),"La acción no corresponde a la meta seleccionada",IF(OR(NOT(ISNUMBER(M123)),M123&lt;10000000,M123&gt;99999999),"Código UNSPSC inválido: registre 8 dígitos",IF(MOD(M123,10000)=0,"UNSPSC a nivel de segmento o familia: use clase o producto",IF(IFERROR(MATCH(P123,L_MESES,0)&lt;MATCH(O123,L_MESES,0),TRUE()),"El mes de ofertas es anterior al de inicio del proceso",IF(OR(NOT(ISNUMBER(Q123)),Q123&lt;=0),"Duración inválida",IF(OR(NOT(ISNUMBER(W123)),NOT(ISNUMBER(X123))),"Valor inválido: registre solo números",IF(OR(W123&lt;=0,X123&lt;=0),"Valor inválido: debe ser mayor que cero",IF(X123&gt;W123,"El valor de la vigencia 2027 supera el valor total",IF(AND(X123&lt;W123,Y123="No"),"El valor total supera el de 2027: requiere vigencias futuras",IF(AND(Y123="Sí",OR(Z123="",Z123="No aplica")),"Indique el estado de la solicitud de vigencias futuras",IF(IF(AND(S123="Mínima cuantía",ISNUMBER(P_TOPE_MINIMA)),W123&gt;P_TOPE_MINIMA,FALSE()),"El valor supera el tope de mínima cuantía 2027",IF(IF(AND(S123="Selección abreviada de menor cuantía",ISNUMBER(P_TOPE_MENOR)),W123&gt;P_TOPE_MENOR,FALSE()),"El valor supera el tope de menor cuantía 2027",IF(OR(ISERROR(SEARCH("@itc.edu.co",AE123)),SUMPRODUCT(--ISNUMBER(SEARCH({"á","é","í","ó","ú","ñ"," "},AE123)))&gt;0),"El correo del responsable no es institucional válido",IF(AND(AF123="Sí",AG123=""),"Indique el N.° de registro 2026 que continúa","OK")))))))))))))))))</f>
        <v/>
      </c>
      <c r="AK123" s="15" t="str">
        <f>IF(AJ123="OK",COUNTIF($AJ$7:AJ123,"OK"),"")</f>
        <v/>
      </c>
    </row>
    <row r="124" spans="1:37" x14ac:dyDescent="0.3">
      <c r="A124" s="13" t="str">
        <f t="shared" si="1"/>
        <v>PN27-118</v>
      </c>
      <c r="B124" s="26"/>
      <c r="C124" s="13" t="str">
        <f>IF(B124="","",IFERROR(INDEX(Catalogos!$R$5:$R$51,MATCH(B124,L_AREAS,0)),""))</f>
        <v/>
      </c>
      <c r="D124" s="13" t="str">
        <f>IF(B124="","",IFERROR(INDEX(Catalogos!$O$5:$O$51,MATCH(B124,L_AREAS,0)),""))</f>
        <v/>
      </c>
      <c r="E124" s="26"/>
      <c r="F124" s="13" t="str">
        <f>IF(E124="","",IFERROR(INDEX(Catalogos!$C$5:$C$49,MATCH(E124,L_METAS,0)),""))</f>
        <v/>
      </c>
      <c r="G124" s="13" t="str">
        <f>IF(E124="","",IFERROR(INDEX(Catalogos!$E$5:$E$49,MATCH(E124,L_METAS,0)),""))</f>
        <v/>
      </c>
      <c r="H124" s="26"/>
      <c r="I124" s="26"/>
      <c r="J124" s="26"/>
      <c r="K124" s="26"/>
      <c r="L124" s="26"/>
      <c r="M124" s="27"/>
      <c r="N124" s="26"/>
      <c r="O124" s="26"/>
      <c r="P124" s="26"/>
      <c r="Q124" s="26"/>
      <c r="R124" s="26"/>
      <c r="S124" s="26"/>
      <c r="T124" s="26"/>
      <c r="U124" s="26"/>
      <c r="V124" s="26"/>
      <c r="W124" s="28"/>
      <c r="X124" s="28"/>
      <c r="Y124" s="26"/>
      <c r="Z124" s="26"/>
      <c r="AA124" s="26"/>
      <c r="AB124" s="26"/>
      <c r="AC124" s="26"/>
      <c r="AD124" s="26"/>
      <c r="AE124" s="26"/>
      <c r="AF124" s="26"/>
      <c r="AG124" s="26"/>
      <c r="AH124" s="26"/>
      <c r="AI124" s="26"/>
      <c r="AJ124" s="15" t="str">
        <f>IF(COUNTA(B124,E124,H124,I124,J124,K124,L124,M124,N124,O124,P124,Q124,R124,S124,T124,U124,V124,W124,X124,Y124,Z124,AA124,AB124,AC124,AD124,AE124,AF124,AG124,AH124,AI124)=0,"",IF(OR(B124="",E124="",H124="",J124="",K124="",L124="",M124="",O124="",P124="",Q124="",R124="",S124="",T124="",U124="",W124="",X124="",Y124="",AB124="",AC124="",AE124="",AF124=""),"Incompleta: faltan campos obligatorios",IF(AND(LEFT(H124,6)="PROPIA",I124=""),"Falta el nombre de la acción propia del área",IF(AND(LEFT(H124,3)="A27",IFERROR(INDEX(Catalogos!$T$5:$T$207,MATCH(H124,Catalogos!$U$5:$U$207,0)),"x")&lt;&gt;LEFT(E124,7)),"La acción no corresponde a la meta seleccionada",IF(OR(NOT(ISNUMBER(M124)),M124&lt;10000000,M124&gt;99999999),"Código UNSPSC inválido: registre 8 dígitos",IF(MOD(M124,10000)=0,"UNSPSC a nivel de segmento o familia: use clase o producto",IF(IFERROR(MATCH(P124,L_MESES,0)&lt;MATCH(O124,L_MESES,0),TRUE()),"El mes de ofertas es anterior al de inicio del proceso",IF(OR(NOT(ISNUMBER(Q124)),Q124&lt;=0),"Duración inválida",IF(OR(NOT(ISNUMBER(W124)),NOT(ISNUMBER(X124))),"Valor inválido: registre solo números",IF(OR(W124&lt;=0,X124&lt;=0),"Valor inválido: debe ser mayor que cero",IF(X124&gt;W124,"El valor de la vigencia 2027 supera el valor total",IF(AND(X124&lt;W124,Y124="No"),"El valor total supera el de 2027: requiere vigencias futuras",IF(AND(Y124="Sí",OR(Z124="",Z124="No aplica")),"Indique el estado de la solicitud de vigencias futuras",IF(IF(AND(S124="Mínima cuantía",ISNUMBER(P_TOPE_MINIMA)),W124&gt;P_TOPE_MINIMA,FALSE()),"El valor supera el tope de mínima cuantía 2027",IF(IF(AND(S124="Selección abreviada de menor cuantía",ISNUMBER(P_TOPE_MENOR)),W124&gt;P_TOPE_MENOR,FALSE()),"El valor supera el tope de menor cuantía 2027",IF(OR(ISERROR(SEARCH("@itc.edu.co",AE124)),SUMPRODUCT(--ISNUMBER(SEARCH({"á","é","í","ó","ú","ñ"," "},AE124)))&gt;0),"El correo del responsable no es institucional válido",IF(AND(AF124="Sí",AG124=""),"Indique el N.° de registro 2026 que continúa","OK")))))))))))))))))</f>
        <v/>
      </c>
      <c r="AK124" s="15" t="str">
        <f>IF(AJ124="OK",COUNTIF($AJ$7:AJ124,"OK"),"")</f>
        <v/>
      </c>
    </row>
    <row r="125" spans="1:37" x14ac:dyDescent="0.3">
      <c r="A125" s="13" t="str">
        <f t="shared" si="1"/>
        <v>PN27-119</v>
      </c>
      <c r="B125" s="26"/>
      <c r="C125" s="13" t="str">
        <f>IF(B125="","",IFERROR(INDEX(Catalogos!$R$5:$R$51,MATCH(B125,L_AREAS,0)),""))</f>
        <v/>
      </c>
      <c r="D125" s="13" t="str">
        <f>IF(B125="","",IFERROR(INDEX(Catalogos!$O$5:$O$51,MATCH(B125,L_AREAS,0)),""))</f>
        <v/>
      </c>
      <c r="E125" s="26"/>
      <c r="F125" s="13" t="str">
        <f>IF(E125="","",IFERROR(INDEX(Catalogos!$C$5:$C$49,MATCH(E125,L_METAS,0)),""))</f>
        <v/>
      </c>
      <c r="G125" s="13" t="str">
        <f>IF(E125="","",IFERROR(INDEX(Catalogos!$E$5:$E$49,MATCH(E125,L_METAS,0)),""))</f>
        <v/>
      </c>
      <c r="H125" s="26"/>
      <c r="I125" s="26"/>
      <c r="J125" s="26"/>
      <c r="K125" s="26"/>
      <c r="L125" s="26"/>
      <c r="M125" s="27"/>
      <c r="N125" s="26"/>
      <c r="O125" s="26"/>
      <c r="P125" s="26"/>
      <c r="Q125" s="26"/>
      <c r="R125" s="26"/>
      <c r="S125" s="26"/>
      <c r="T125" s="26"/>
      <c r="U125" s="26"/>
      <c r="V125" s="26"/>
      <c r="W125" s="28"/>
      <c r="X125" s="28"/>
      <c r="Y125" s="26"/>
      <c r="Z125" s="26"/>
      <c r="AA125" s="26"/>
      <c r="AB125" s="26"/>
      <c r="AC125" s="26"/>
      <c r="AD125" s="26"/>
      <c r="AE125" s="26"/>
      <c r="AF125" s="26"/>
      <c r="AG125" s="26"/>
      <c r="AH125" s="26"/>
      <c r="AI125" s="26"/>
      <c r="AJ125" s="15" t="str">
        <f>IF(COUNTA(B125,E125,H125,I125,J125,K125,L125,M125,N125,O125,P125,Q125,R125,S125,T125,U125,V125,W125,X125,Y125,Z125,AA125,AB125,AC125,AD125,AE125,AF125,AG125,AH125,AI125)=0,"",IF(OR(B125="",E125="",H125="",J125="",K125="",L125="",M125="",O125="",P125="",Q125="",R125="",S125="",T125="",U125="",W125="",X125="",Y125="",AB125="",AC125="",AE125="",AF125=""),"Incompleta: faltan campos obligatorios",IF(AND(LEFT(H125,6)="PROPIA",I125=""),"Falta el nombre de la acción propia del área",IF(AND(LEFT(H125,3)="A27",IFERROR(INDEX(Catalogos!$T$5:$T$207,MATCH(H125,Catalogos!$U$5:$U$207,0)),"x")&lt;&gt;LEFT(E125,7)),"La acción no corresponde a la meta seleccionada",IF(OR(NOT(ISNUMBER(M125)),M125&lt;10000000,M125&gt;99999999),"Código UNSPSC inválido: registre 8 dígitos",IF(MOD(M125,10000)=0,"UNSPSC a nivel de segmento o familia: use clase o producto",IF(IFERROR(MATCH(P125,L_MESES,0)&lt;MATCH(O125,L_MESES,0),TRUE()),"El mes de ofertas es anterior al de inicio del proceso",IF(OR(NOT(ISNUMBER(Q125)),Q125&lt;=0),"Duración inválida",IF(OR(NOT(ISNUMBER(W125)),NOT(ISNUMBER(X125))),"Valor inválido: registre solo números",IF(OR(W125&lt;=0,X125&lt;=0),"Valor inválido: debe ser mayor que cero",IF(X125&gt;W125,"El valor de la vigencia 2027 supera el valor total",IF(AND(X125&lt;W125,Y125="No"),"El valor total supera el de 2027: requiere vigencias futuras",IF(AND(Y125="Sí",OR(Z125="",Z125="No aplica")),"Indique el estado de la solicitud de vigencias futuras",IF(IF(AND(S125="Mínima cuantía",ISNUMBER(P_TOPE_MINIMA)),W125&gt;P_TOPE_MINIMA,FALSE()),"El valor supera el tope de mínima cuantía 2027",IF(IF(AND(S125="Selección abreviada de menor cuantía",ISNUMBER(P_TOPE_MENOR)),W125&gt;P_TOPE_MENOR,FALSE()),"El valor supera el tope de menor cuantía 2027",IF(OR(ISERROR(SEARCH("@itc.edu.co",AE125)),SUMPRODUCT(--ISNUMBER(SEARCH({"á","é","í","ó","ú","ñ"," "},AE125)))&gt;0),"El correo del responsable no es institucional válido",IF(AND(AF125="Sí",AG125=""),"Indique el N.° de registro 2026 que continúa","OK")))))))))))))))))</f>
        <v/>
      </c>
      <c r="AK125" s="15" t="str">
        <f>IF(AJ125="OK",COUNTIF($AJ$7:AJ125,"OK"),"")</f>
        <v/>
      </c>
    </row>
    <row r="126" spans="1:37" x14ac:dyDescent="0.3">
      <c r="A126" s="13" t="str">
        <f t="shared" si="1"/>
        <v>PN27-120</v>
      </c>
      <c r="B126" s="26"/>
      <c r="C126" s="13" t="str">
        <f>IF(B126="","",IFERROR(INDEX(Catalogos!$R$5:$R$51,MATCH(B126,L_AREAS,0)),""))</f>
        <v/>
      </c>
      <c r="D126" s="13" t="str">
        <f>IF(B126="","",IFERROR(INDEX(Catalogos!$O$5:$O$51,MATCH(B126,L_AREAS,0)),""))</f>
        <v/>
      </c>
      <c r="E126" s="26"/>
      <c r="F126" s="13" t="str">
        <f>IF(E126="","",IFERROR(INDEX(Catalogos!$C$5:$C$49,MATCH(E126,L_METAS,0)),""))</f>
        <v/>
      </c>
      <c r="G126" s="13" t="str">
        <f>IF(E126="","",IFERROR(INDEX(Catalogos!$E$5:$E$49,MATCH(E126,L_METAS,0)),""))</f>
        <v/>
      </c>
      <c r="H126" s="26"/>
      <c r="I126" s="26"/>
      <c r="J126" s="26"/>
      <c r="K126" s="26"/>
      <c r="L126" s="26"/>
      <c r="M126" s="27"/>
      <c r="N126" s="26"/>
      <c r="O126" s="26"/>
      <c r="P126" s="26"/>
      <c r="Q126" s="26"/>
      <c r="R126" s="26"/>
      <c r="S126" s="26"/>
      <c r="T126" s="26"/>
      <c r="U126" s="26"/>
      <c r="V126" s="26"/>
      <c r="W126" s="28"/>
      <c r="X126" s="28"/>
      <c r="Y126" s="26"/>
      <c r="Z126" s="26"/>
      <c r="AA126" s="26"/>
      <c r="AB126" s="26"/>
      <c r="AC126" s="26"/>
      <c r="AD126" s="26"/>
      <c r="AE126" s="26"/>
      <c r="AF126" s="26"/>
      <c r="AG126" s="26"/>
      <c r="AH126" s="26"/>
      <c r="AI126" s="26"/>
      <c r="AJ126" s="15" t="str">
        <f>IF(COUNTA(B126,E126,H126,I126,J126,K126,L126,M126,N126,O126,P126,Q126,R126,S126,T126,U126,V126,W126,X126,Y126,Z126,AA126,AB126,AC126,AD126,AE126,AF126,AG126,AH126,AI126)=0,"",IF(OR(B126="",E126="",H126="",J126="",K126="",L126="",M126="",O126="",P126="",Q126="",R126="",S126="",T126="",U126="",W126="",X126="",Y126="",AB126="",AC126="",AE126="",AF126=""),"Incompleta: faltan campos obligatorios",IF(AND(LEFT(H126,6)="PROPIA",I126=""),"Falta el nombre de la acción propia del área",IF(AND(LEFT(H126,3)="A27",IFERROR(INDEX(Catalogos!$T$5:$T$207,MATCH(H126,Catalogos!$U$5:$U$207,0)),"x")&lt;&gt;LEFT(E126,7)),"La acción no corresponde a la meta seleccionada",IF(OR(NOT(ISNUMBER(M126)),M126&lt;10000000,M126&gt;99999999),"Código UNSPSC inválido: registre 8 dígitos",IF(MOD(M126,10000)=0,"UNSPSC a nivel de segmento o familia: use clase o producto",IF(IFERROR(MATCH(P126,L_MESES,0)&lt;MATCH(O126,L_MESES,0),TRUE()),"El mes de ofertas es anterior al de inicio del proceso",IF(OR(NOT(ISNUMBER(Q126)),Q126&lt;=0),"Duración inválida",IF(OR(NOT(ISNUMBER(W126)),NOT(ISNUMBER(X126))),"Valor inválido: registre solo números",IF(OR(W126&lt;=0,X126&lt;=0),"Valor inválido: debe ser mayor que cero",IF(X126&gt;W126,"El valor de la vigencia 2027 supera el valor total",IF(AND(X126&lt;W126,Y126="No"),"El valor total supera el de 2027: requiere vigencias futuras",IF(AND(Y126="Sí",OR(Z126="",Z126="No aplica")),"Indique el estado de la solicitud de vigencias futuras",IF(IF(AND(S126="Mínima cuantía",ISNUMBER(P_TOPE_MINIMA)),W126&gt;P_TOPE_MINIMA,FALSE()),"El valor supera el tope de mínima cuantía 2027",IF(IF(AND(S126="Selección abreviada de menor cuantía",ISNUMBER(P_TOPE_MENOR)),W126&gt;P_TOPE_MENOR,FALSE()),"El valor supera el tope de menor cuantía 2027",IF(OR(ISERROR(SEARCH("@itc.edu.co",AE126)),SUMPRODUCT(--ISNUMBER(SEARCH({"á","é","í","ó","ú","ñ"," "},AE126)))&gt;0),"El correo del responsable no es institucional válido",IF(AND(AF126="Sí",AG126=""),"Indique el N.° de registro 2026 que continúa","OK")))))))))))))))))</f>
        <v/>
      </c>
      <c r="AK126" s="15" t="str">
        <f>IF(AJ126="OK",COUNTIF($AJ$7:AJ126,"OK"),"")</f>
        <v/>
      </c>
    </row>
    <row r="127" spans="1:37" x14ac:dyDescent="0.3">
      <c r="A127" s="13" t="str">
        <f t="shared" si="1"/>
        <v>PN27-121</v>
      </c>
      <c r="B127" s="26"/>
      <c r="C127" s="13" t="str">
        <f>IF(B127="","",IFERROR(INDEX(Catalogos!$R$5:$R$51,MATCH(B127,L_AREAS,0)),""))</f>
        <v/>
      </c>
      <c r="D127" s="13" t="str">
        <f>IF(B127="","",IFERROR(INDEX(Catalogos!$O$5:$O$51,MATCH(B127,L_AREAS,0)),""))</f>
        <v/>
      </c>
      <c r="E127" s="26"/>
      <c r="F127" s="13" t="str">
        <f>IF(E127="","",IFERROR(INDEX(Catalogos!$C$5:$C$49,MATCH(E127,L_METAS,0)),""))</f>
        <v/>
      </c>
      <c r="G127" s="13" t="str">
        <f>IF(E127="","",IFERROR(INDEX(Catalogos!$E$5:$E$49,MATCH(E127,L_METAS,0)),""))</f>
        <v/>
      </c>
      <c r="H127" s="26"/>
      <c r="I127" s="26"/>
      <c r="J127" s="26"/>
      <c r="K127" s="26"/>
      <c r="L127" s="26"/>
      <c r="M127" s="27"/>
      <c r="N127" s="26"/>
      <c r="O127" s="26"/>
      <c r="P127" s="26"/>
      <c r="Q127" s="26"/>
      <c r="R127" s="26"/>
      <c r="S127" s="26"/>
      <c r="T127" s="26"/>
      <c r="U127" s="26"/>
      <c r="V127" s="26"/>
      <c r="W127" s="28"/>
      <c r="X127" s="28"/>
      <c r="Y127" s="26"/>
      <c r="Z127" s="26"/>
      <c r="AA127" s="26"/>
      <c r="AB127" s="26"/>
      <c r="AC127" s="26"/>
      <c r="AD127" s="26"/>
      <c r="AE127" s="26"/>
      <c r="AF127" s="26"/>
      <c r="AG127" s="26"/>
      <c r="AH127" s="26"/>
      <c r="AI127" s="26"/>
      <c r="AJ127" s="15" t="str">
        <f>IF(COUNTA(B127,E127,H127,I127,J127,K127,L127,M127,N127,O127,P127,Q127,R127,S127,T127,U127,V127,W127,X127,Y127,Z127,AA127,AB127,AC127,AD127,AE127,AF127,AG127,AH127,AI127)=0,"",IF(OR(B127="",E127="",H127="",J127="",K127="",L127="",M127="",O127="",P127="",Q127="",R127="",S127="",T127="",U127="",W127="",X127="",Y127="",AB127="",AC127="",AE127="",AF127=""),"Incompleta: faltan campos obligatorios",IF(AND(LEFT(H127,6)="PROPIA",I127=""),"Falta el nombre de la acción propia del área",IF(AND(LEFT(H127,3)="A27",IFERROR(INDEX(Catalogos!$T$5:$T$207,MATCH(H127,Catalogos!$U$5:$U$207,0)),"x")&lt;&gt;LEFT(E127,7)),"La acción no corresponde a la meta seleccionada",IF(OR(NOT(ISNUMBER(M127)),M127&lt;10000000,M127&gt;99999999),"Código UNSPSC inválido: registre 8 dígitos",IF(MOD(M127,10000)=0,"UNSPSC a nivel de segmento o familia: use clase o producto",IF(IFERROR(MATCH(P127,L_MESES,0)&lt;MATCH(O127,L_MESES,0),TRUE()),"El mes de ofertas es anterior al de inicio del proceso",IF(OR(NOT(ISNUMBER(Q127)),Q127&lt;=0),"Duración inválida",IF(OR(NOT(ISNUMBER(W127)),NOT(ISNUMBER(X127))),"Valor inválido: registre solo números",IF(OR(W127&lt;=0,X127&lt;=0),"Valor inválido: debe ser mayor que cero",IF(X127&gt;W127,"El valor de la vigencia 2027 supera el valor total",IF(AND(X127&lt;W127,Y127="No"),"El valor total supera el de 2027: requiere vigencias futuras",IF(AND(Y127="Sí",OR(Z127="",Z127="No aplica")),"Indique el estado de la solicitud de vigencias futuras",IF(IF(AND(S127="Mínima cuantía",ISNUMBER(P_TOPE_MINIMA)),W127&gt;P_TOPE_MINIMA,FALSE()),"El valor supera el tope de mínima cuantía 2027",IF(IF(AND(S127="Selección abreviada de menor cuantía",ISNUMBER(P_TOPE_MENOR)),W127&gt;P_TOPE_MENOR,FALSE()),"El valor supera el tope de menor cuantía 2027",IF(OR(ISERROR(SEARCH("@itc.edu.co",AE127)),SUMPRODUCT(--ISNUMBER(SEARCH({"á","é","í","ó","ú","ñ"," "},AE127)))&gt;0),"El correo del responsable no es institucional válido",IF(AND(AF127="Sí",AG127=""),"Indique el N.° de registro 2026 que continúa","OK")))))))))))))))))</f>
        <v/>
      </c>
      <c r="AK127" s="15" t="str">
        <f>IF(AJ127="OK",COUNTIF($AJ$7:AJ127,"OK"),"")</f>
        <v/>
      </c>
    </row>
    <row r="128" spans="1:37" x14ac:dyDescent="0.3">
      <c r="A128" s="13" t="str">
        <f t="shared" si="1"/>
        <v>PN27-122</v>
      </c>
      <c r="B128" s="26"/>
      <c r="C128" s="13" t="str">
        <f>IF(B128="","",IFERROR(INDEX(Catalogos!$R$5:$R$51,MATCH(B128,L_AREAS,0)),""))</f>
        <v/>
      </c>
      <c r="D128" s="13" t="str">
        <f>IF(B128="","",IFERROR(INDEX(Catalogos!$O$5:$O$51,MATCH(B128,L_AREAS,0)),""))</f>
        <v/>
      </c>
      <c r="E128" s="26"/>
      <c r="F128" s="13" t="str">
        <f>IF(E128="","",IFERROR(INDEX(Catalogos!$C$5:$C$49,MATCH(E128,L_METAS,0)),""))</f>
        <v/>
      </c>
      <c r="G128" s="13" t="str">
        <f>IF(E128="","",IFERROR(INDEX(Catalogos!$E$5:$E$49,MATCH(E128,L_METAS,0)),""))</f>
        <v/>
      </c>
      <c r="H128" s="26"/>
      <c r="I128" s="26"/>
      <c r="J128" s="26"/>
      <c r="K128" s="26"/>
      <c r="L128" s="26"/>
      <c r="M128" s="27"/>
      <c r="N128" s="26"/>
      <c r="O128" s="26"/>
      <c r="P128" s="26"/>
      <c r="Q128" s="26"/>
      <c r="R128" s="26"/>
      <c r="S128" s="26"/>
      <c r="T128" s="26"/>
      <c r="U128" s="26"/>
      <c r="V128" s="26"/>
      <c r="W128" s="28"/>
      <c r="X128" s="28"/>
      <c r="Y128" s="26"/>
      <c r="Z128" s="26"/>
      <c r="AA128" s="26"/>
      <c r="AB128" s="26"/>
      <c r="AC128" s="26"/>
      <c r="AD128" s="26"/>
      <c r="AE128" s="26"/>
      <c r="AF128" s="26"/>
      <c r="AG128" s="26"/>
      <c r="AH128" s="26"/>
      <c r="AI128" s="26"/>
      <c r="AJ128" s="15" t="str">
        <f>IF(COUNTA(B128,E128,H128,I128,J128,K128,L128,M128,N128,O128,P128,Q128,R128,S128,T128,U128,V128,W128,X128,Y128,Z128,AA128,AB128,AC128,AD128,AE128,AF128,AG128,AH128,AI128)=0,"",IF(OR(B128="",E128="",H128="",J128="",K128="",L128="",M128="",O128="",P128="",Q128="",R128="",S128="",T128="",U128="",W128="",X128="",Y128="",AB128="",AC128="",AE128="",AF128=""),"Incompleta: faltan campos obligatorios",IF(AND(LEFT(H128,6)="PROPIA",I128=""),"Falta el nombre de la acción propia del área",IF(AND(LEFT(H128,3)="A27",IFERROR(INDEX(Catalogos!$T$5:$T$207,MATCH(H128,Catalogos!$U$5:$U$207,0)),"x")&lt;&gt;LEFT(E128,7)),"La acción no corresponde a la meta seleccionada",IF(OR(NOT(ISNUMBER(M128)),M128&lt;10000000,M128&gt;99999999),"Código UNSPSC inválido: registre 8 dígitos",IF(MOD(M128,10000)=0,"UNSPSC a nivel de segmento o familia: use clase o producto",IF(IFERROR(MATCH(P128,L_MESES,0)&lt;MATCH(O128,L_MESES,0),TRUE()),"El mes de ofertas es anterior al de inicio del proceso",IF(OR(NOT(ISNUMBER(Q128)),Q128&lt;=0),"Duración inválida",IF(OR(NOT(ISNUMBER(W128)),NOT(ISNUMBER(X128))),"Valor inválido: registre solo números",IF(OR(W128&lt;=0,X128&lt;=0),"Valor inválido: debe ser mayor que cero",IF(X128&gt;W128,"El valor de la vigencia 2027 supera el valor total",IF(AND(X128&lt;W128,Y128="No"),"El valor total supera el de 2027: requiere vigencias futuras",IF(AND(Y128="Sí",OR(Z128="",Z128="No aplica")),"Indique el estado de la solicitud de vigencias futuras",IF(IF(AND(S128="Mínima cuantía",ISNUMBER(P_TOPE_MINIMA)),W128&gt;P_TOPE_MINIMA,FALSE()),"El valor supera el tope de mínima cuantía 2027",IF(IF(AND(S128="Selección abreviada de menor cuantía",ISNUMBER(P_TOPE_MENOR)),W128&gt;P_TOPE_MENOR,FALSE()),"El valor supera el tope de menor cuantía 2027",IF(OR(ISERROR(SEARCH("@itc.edu.co",AE128)),SUMPRODUCT(--ISNUMBER(SEARCH({"á","é","í","ó","ú","ñ"," "},AE128)))&gt;0),"El correo del responsable no es institucional válido",IF(AND(AF128="Sí",AG128=""),"Indique el N.° de registro 2026 que continúa","OK")))))))))))))))))</f>
        <v/>
      </c>
      <c r="AK128" s="15" t="str">
        <f>IF(AJ128="OK",COUNTIF($AJ$7:AJ128,"OK"),"")</f>
        <v/>
      </c>
    </row>
    <row r="129" spans="1:37" x14ac:dyDescent="0.3">
      <c r="A129" s="13" t="str">
        <f t="shared" si="1"/>
        <v>PN27-123</v>
      </c>
      <c r="B129" s="26"/>
      <c r="C129" s="13" t="str">
        <f>IF(B129="","",IFERROR(INDEX(Catalogos!$R$5:$R$51,MATCH(B129,L_AREAS,0)),""))</f>
        <v/>
      </c>
      <c r="D129" s="13" t="str">
        <f>IF(B129="","",IFERROR(INDEX(Catalogos!$O$5:$O$51,MATCH(B129,L_AREAS,0)),""))</f>
        <v/>
      </c>
      <c r="E129" s="26"/>
      <c r="F129" s="13" t="str">
        <f>IF(E129="","",IFERROR(INDEX(Catalogos!$C$5:$C$49,MATCH(E129,L_METAS,0)),""))</f>
        <v/>
      </c>
      <c r="G129" s="13" t="str">
        <f>IF(E129="","",IFERROR(INDEX(Catalogos!$E$5:$E$49,MATCH(E129,L_METAS,0)),""))</f>
        <v/>
      </c>
      <c r="H129" s="26"/>
      <c r="I129" s="26"/>
      <c r="J129" s="26"/>
      <c r="K129" s="26"/>
      <c r="L129" s="26"/>
      <c r="M129" s="27"/>
      <c r="N129" s="26"/>
      <c r="O129" s="26"/>
      <c r="P129" s="26"/>
      <c r="Q129" s="26"/>
      <c r="R129" s="26"/>
      <c r="S129" s="26"/>
      <c r="T129" s="26"/>
      <c r="U129" s="26"/>
      <c r="V129" s="26"/>
      <c r="W129" s="28"/>
      <c r="X129" s="28"/>
      <c r="Y129" s="26"/>
      <c r="Z129" s="26"/>
      <c r="AA129" s="26"/>
      <c r="AB129" s="26"/>
      <c r="AC129" s="26"/>
      <c r="AD129" s="26"/>
      <c r="AE129" s="26"/>
      <c r="AF129" s="26"/>
      <c r="AG129" s="26"/>
      <c r="AH129" s="26"/>
      <c r="AI129" s="26"/>
      <c r="AJ129" s="15" t="str">
        <f>IF(COUNTA(B129,E129,H129,I129,J129,K129,L129,M129,N129,O129,P129,Q129,R129,S129,T129,U129,V129,W129,X129,Y129,Z129,AA129,AB129,AC129,AD129,AE129,AF129,AG129,AH129,AI129)=0,"",IF(OR(B129="",E129="",H129="",J129="",K129="",L129="",M129="",O129="",P129="",Q129="",R129="",S129="",T129="",U129="",W129="",X129="",Y129="",AB129="",AC129="",AE129="",AF129=""),"Incompleta: faltan campos obligatorios",IF(AND(LEFT(H129,6)="PROPIA",I129=""),"Falta el nombre de la acción propia del área",IF(AND(LEFT(H129,3)="A27",IFERROR(INDEX(Catalogos!$T$5:$T$207,MATCH(H129,Catalogos!$U$5:$U$207,0)),"x")&lt;&gt;LEFT(E129,7)),"La acción no corresponde a la meta seleccionada",IF(OR(NOT(ISNUMBER(M129)),M129&lt;10000000,M129&gt;99999999),"Código UNSPSC inválido: registre 8 dígitos",IF(MOD(M129,10000)=0,"UNSPSC a nivel de segmento o familia: use clase o producto",IF(IFERROR(MATCH(P129,L_MESES,0)&lt;MATCH(O129,L_MESES,0),TRUE()),"El mes de ofertas es anterior al de inicio del proceso",IF(OR(NOT(ISNUMBER(Q129)),Q129&lt;=0),"Duración inválida",IF(OR(NOT(ISNUMBER(W129)),NOT(ISNUMBER(X129))),"Valor inválido: registre solo números",IF(OR(W129&lt;=0,X129&lt;=0),"Valor inválido: debe ser mayor que cero",IF(X129&gt;W129,"El valor de la vigencia 2027 supera el valor total",IF(AND(X129&lt;W129,Y129="No"),"El valor total supera el de 2027: requiere vigencias futuras",IF(AND(Y129="Sí",OR(Z129="",Z129="No aplica")),"Indique el estado de la solicitud de vigencias futuras",IF(IF(AND(S129="Mínima cuantía",ISNUMBER(P_TOPE_MINIMA)),W129&gt;P_TOPE_MINIMA,FALSE()),"El valor supera el tope de mínima cuantía 2027",IF(IF(AND(S129="Selección abreviada de menor cuantía",ISNUMBER(P_TOPE_MENOR)),W129&gt;P_TOPE_MENOR,FALSE()),"El valor supera el tope de menor cuantía 2027",IF(OR(ISERROR(SEARCH("@itc.edu.co",AE129)),SUMPRODUCT(--ISNUMBER(SEARCH({"á","é","í","ó","ú","ñ"," "},AE129)))&gt;0),"El correo del responsable no es institucional válido",IF(AND(AF129="Sí",AG129=""),"Indique el N.° de registro 2026 que continúa","OK")))))))))))))))))</f>
        <v/>
      </c>
      <c r="AK129" s="15" t="str">
        <f>IF(AJ129="OK",COUNTIF($AJ$7:AJ129,"OK"),"")</f>
        <v/>
      </c>
    </row>
    <row r="130" spans="1:37" x14ac:dyDescent="0.3">
      <c r="A130" s="13" t="str">
        <f t="shared" si="1"/>
        <v>PN27-124</v>
      </c>
      <c r="B130" s="26"/>
      <c r="C130" s="13" t="str">
        <f>IF(B130="","",IFERROR(INDEX(Catalogos!$R$5:$R$51,MATCH(B130,L_AREAS,0)),""))</f>
        <v/>
      </c>
      <c r="D130" s="13" t="str">
        <f>IF(B130="","",IFERROR(INDEX(Catalogos!$O$5:$O$51,MATCH(B130,L_AREAS,0)),""))</f>
        <v/>
      </c>
      <c r="E130" s="26"/>
      <c r="F130" s="13" t="str">
        <f>IF(E130="","",IFERROR(INDEX(Catalogos!$C$5:$C$49,MATCH(E130,L_METAS,0)),""))</f>
        <v/>
      </c>
      <c r="G130" s="13" t="str">
        <f>IF(E130="","",IFERROR(INDEX(Catalogos!$E$5:$E$49,MATCH(E130,L_METAS,0)),""))</f>
        <v/>
      </c>
      <c r="H130" s="26"/>
      <c r="I130" s="26"/>
      <c r="J130" s="26"/>
      <c r="K130" s="26"/>
      <c r="L130" s="26"/>
      <c r="M130" s="27"/>
      <c r="N130" s="26"/>
      <c r="O130" s="26"/>
      <c r="P130" s="26"/>
      <c r="Q130" s="26"/>
      <c r="R130" s="26"/>
      <c r="S130" s="26"/>
      <c r="T130" s="26"/>
      <c r="U130" s="26"/>
      <c r="V130" s="26"/>
      <c r="W130" s="28"/>
      <c r="X130" s="28"/>
      <c r="Y130" s="26"/>
      <c r="Z130" s="26"/>
      <c r="AA130" s="26"/>
      <c r="AB130" s="26"/>
      <c r="AC130" s="26"/>
      <c r="AD130" s="26"/>
      <c r="AE130" s="26"/>
      <c r="AF130" s="26"/>
      <c r="AG130" s="26"/>
      <c r="AH130" s="26"/>
      <c r="AI130" s="26"/>
      <c r="AJ130" s="15" t="str">
        <f>IF(COUNTA(B130,E130,H130,I130,J130,K130,L130,M130,N130,O130,P130,Q130,R130,S130,T130,U130,V130,W130,X130,Y130,Z130,AA130,AB130,AC130,AD130,AE130,AF130,AG130,AH130,AI130)=0,"",IF(OR(B130="",E130="",H130="",J130="",K130="",L130="",M130="",O130="",P130="",Q130="",R130="",S130="",T130="",U130="",W130="",X130="",Y130="",AB130="",AC130="",AE130="",AF130=""),"Incompleta: faltan campos obligatorios",IF(AND(LEFT(H130,6)="PROPIA",I130=""),"Falta el nombre de la acción propia del área",IF(AND(LEFT(H130,3)="A27",IFERROR(INDEX(Catalogos!$T$5:$T$207,MATCH(H130,Catalogos!$U$5:$U$207,0)),"x")&lt;&gt;LEFT(E130,7)),"La acción no corresponde a la meta seleccionada",IF(OR(NOT(ISNUMBER(M130)),M130&lt;10000000,M130&gt;99999999),"Código UNSPSC inválido: registre 8 dígitos",IF(MOD(M130,10000)=0,"UNSPSC a nivel de segmento o familia: use clase o producto",IF(IFERROR(MATCH(P130,L_MESES,0)&lt;MATCH(O130,L_MESES,0),TRUE()),"El mes de ofertas es anterior al de inicio del proceso",IF(OR(NOT(ISNUMBER(Q130)),Q130&lt;=0),"Duración inválida",IF(OR(NOT(ISNUMBER(W130)),NOT(ISNUMBER(X130))),"Valor inválido: registre solo números",IF(OR(W130&lt;=0,X130&lt;=0),"Valor inválido: debe ser mayor que cero",IF(X130&gt;W130,"El valor de la vigencia 2027 supera el valor total",IF(AND(X130&lt;W130,Y130="No"),"El valor total supera el de 2027: requiere vigencias futuras",IF(AND(Y130="Sí",OR(Z130="",Z130="No aplica")),"Indique el estado de la solicitud de vigencias futuras",IF(IF(AND(S130="Mínima cuantía",ISNUMBER(P_TOPE_MINIMA)),W130&gt;P_TOPE_MINIMA,FALSE()),"El valor supera el tope de mínima cuantía 2027",IF(IF(AND(S130="Selección abreviada de menor cuantía",ISNUMBER(P_TOPE_MENOR)),W130&gt;P_TOPE_MENOR,FALSE()),"El valor supera el tope de menor cuantía 2027",IF(OR(ISERROR(SEARCH("@itc.edu.co",AE130)),SUMPRODUCT(--ISNUMBER(SEARCH({"á","é","í","ó","ú","ñ"," "},AE130)))&gt;0),"El correo del responsable no es institucional válido",IF(AND(AF130="Sí",AG130=""),"Indique el N.° de registro 2026 que continúa","OK")))))))))))))))))</f>
        <v/>
      </c>
      <c r="AK130" s="15" t="str">
        <f>IF(AJ130="OK",COUNTIF($AJ$7:AJ130,"OK"),"")</f>
        <v/>
      </c>
    </row>
    <row r="131" spans="1:37" x14ac:dyDescent="0.3">
      <c r="A131" s="13" t="str">
        <f t="shared" si="1"/>
        <v>PN27-125</v>
      </c>
      <c r="B131" s="26"/>
      <c r="C131" s="13" t="str">
        <f>IF(B131="","",IFERROR(INDEX(Catalogos!$R$5:$R$51,MATCH(B131,L_AREAS,0)),""))</f>
        <v/>
      </c>
      <c r="D131" s="13" t="str">
        <f>IF(B131="","",IFERROR(INDEX(Catalogos!$O$5:$O$51,MATCH(B131,L_AREAS,0)),""))</f>
        <v/>
      </c>
      <c r="E131" s="26"/>
      <c r="F131" s="13" t="str">
        <f>IF(E131="","",IFERROR(INDEX(Catalogos!$C$5:$C$49,MATCH(E131,L_METAS,0)),""))</f>
        <v/>
      </c>
      <c r="G131" s="13" t="str">
        <f>IF(E131="","",IFERROR(INDEX(Catalogos!$E$5:$E$49,MATCH(E131,L_METAS,0)),""))</f>
        <v/>
      </c>
      <c r="H131" s="26"/>
      <c r="I131" s="26"/>
      <c r="J131" s="26"/>
      <c r="K131" s="26"/>
      <c r="L131" s="26"/>
      <c r="M131" s="27"/>
      <c r="N131" s="26"/>
      <c r="O131" s="26"/>
      <c r="P131" s="26"/>
      <c r="Q131" s="26"/>
      <c r="R131" s="26"/>
      <c r="S131" s="26"/>
      <c r="T131" s="26"/>
      <c r="U131" s="26"/>
      <c r="V131" s="26"/>
      <c r="W131" s="28"/>
      <c r="X131" s="28"/>
      <c r="Y131" s="26"/>
      <c r="Z131" s="26"/>
      <c r="AA131" s="26"/>
      <c r="AB131" s="26"/>
      <c r="AC131" s="26"/>
      <c r="AD131" s="26"/>
      <c r="AE131" s="26"/>
      <c r="AF131" s="26"/>
      <c r="AG131" s="26"/>
      <c r="AH131" s="26"/>
      <c r="AI131" s="26"/>
      <c r="AJ131" s="15" t="str">
        <f>IF(COUNTA(B131,E131,H131,I131,J131,K131,L131,M131,N131,O131,P131,Q131,R131,S131,T131,U131,V131,W131,X131,Y131,Z131,AA131,AB131,AC131,AD131,AE131,AF131,AG131,AH131,AI131)=0,"",IF(OR(B131="",E131="",H131="",J131="",K131="",L131="",M131="",O131="",P131="",Q131="",R131="",S131="",T131="",U131="",W131="",X131="",Y131="",AB131="",AC131="",AE131="",AF131=""),"Incompleta: faltan campos obligatorios",IF(AND(LEFT(H131,6)="PROPIA",I131=""),"Falta el nombre de la acción propia del área",IF(AND(LEFT(H131,3)="A27",IFERROR(INDEX(Catalogos!$T$5:$T$207,MATCH(H131,Catalogos!$U$5:$U$207,0)),"x")&lt;&gt;LEFT(E131,7)),"La acción no corresponde a la meta seleccionada",IF(OR(NOT(ISNUMBER(M131)),M131&lt;10000000,M131&gt;99999999),"Código UNSPSC inválido: registre 8 dígitos",IF(MOD(M131,10000)=0,"UNSPSC a nivel de segmento o familia: use clase o producto",IF(IFERROR(MATCH(P131,L_MESES,0)&lt;MATCH(O131,L_MESES,0),TRUE()),"El mes de ofertas es anterior al de inicio del proceso",IF(OR(NOT(ISNUMBER(Q131)),Q131&lt;=0),"Duración inválida",IF(OR(NOT(ISNUMBER(W131)),NOT(ISNUMBER(X131))),"Valor inválido: registre solo números",IF(OR(W131&lt;=0,X131&lt;=0),"Valor inválido: debe ser mayor que cero",IF(X131&gt;W131,"El valor de la vigencia 2027 supera el valor total",IF(AND(X131&lt;W131,Y131="No"),"El valor total supera el de 2027: requiere vigencias futuras",IF(AND(Y131="Sí",OR(Z131="",Z131="No aplica")),"Indique el estado de la solicitud de vigencias futuras",IF(IF(AND(S131="Mínima cuantía",ISNUMBER(P_TOPE_MINIMA)),W131&gt;P_TOPE_MINIMA,FALSE()),"El valor supera el tope de mínima cuantía 2027",IF(IF(AND(S131="Selección abreviada de menor cuantía",ISNUMBER(P_TOPE_MENOR)),W131&gt;P_TOPE_MENOR,FALSE()),"El valor supera el tope de menor cuantía 2027",IF(OR(ISERROR(SEARCH("@itc.edu.co",AE131)),SUMPRODUCT(--ISNUMBER(SEARCH({"á","é","í","ó","ú","ñ"," "},AE131)))&gt;0),"El correo del responsable no es institucional válido",IF(AND(AF131="Sí",AG131=""),"Indique el N.° de registro 2026 que continúa","OK")))))))))))))))))</f>
        <v/>
      </c>
      <c r="AK131" s="15" t="str">
        <f>IF(AJ131="OK",COUNTIF($AJ$7:AJ131,"OK"),"")</f>
        <v/>
      </c>
    </row>
    <row r="132" spans="1:37" x14ac:dyDescent="0.3">
      <c r="A132" s="13" t="str">
        <f t="shared" si="1"/>
        <v>PN27-126</v>
      </c>
      <c r="B132" s="26"/>
      <c r="C132" s="13" t="str">
        <f>IF(B132="","",IFERROR(INDEX(Catalogos!$R$5:$R$51,MATCH(B132,L_AREAS,0)),""))</f>
        <v/>
      </c>
      <c r="D132" s="13" t="str">
        <f>IF(B132="","",IFERROR(INDEX(Catalogos!$O$5:$O$51,MATCH(B132,L_AREAS,0)),""))</f>
        <v/>
      </c>
      <c r="E132" s="26"/>
      <c r="F132" s="13" t="str">
        <f>IF(E132="","",IFERROR(INDEX(Catalogos!$C$5:$C$49,MATCH(E132,L_METAS,0)),""))</f>
        <v/>
      </c>
      <c r="G132" s="13" t="str">
        <f>IF(E132="","",IFERROR(INDEX(Catalogos!$E$5:$E$49,MATCH(E132,L_METAS,0)),""))</f>
        <v/>
      </c>
      <c r="H132" s="26"/>
      <c r="I132" s="26"/>
      <c r="J132" s="26"/>
      <c r="K132" s="26"/>
      <c r="L132" s="26"/>
      <c r="M132" s="27"/>
      <c r="N132" s="26"/>
      <c r="O132" s="26"/>
      <c r="P132" s="26"/>
      <c r="Q132" s="26"/>
      <c r="R132" s="26"/>
      <c r="S132" s="26"/>
      <c r="T132" s="26"/>
      <c r="U132" s="26"/>
      <c r="V132" s="26"/>
      <c r="W132" s="28"/>
      <c r="X132" s="28"/>
      <c r="Y132" s="26"/>
      <c r="Z132" s="26"/>
      <c r="AA132" s="26"/>
      <c r="AB132" s="26"/>
      <c r="AC132" s="26"/>
      <c r="AD132" s="26"/>
      <c r="AE132" s="26"/>
      <c r="AF132" s="26"/>
      <c r="AG132" s="26"/>
      <c r="AH132" s="26"/>
      <c r="AI132" s="26"/>
      <c r="AJ132" s="15" t="str">
        <f>IF(COUNTA(B132,E132,H132,I132,J132,K132,L132,M132,N132,O132,P132,Q132,R132,S132,T132,U132,V132,W132,X132,Y132,Z132,AA132,AB132,AC132,AD132,AE132,AF132,AG132,AH132,AI132)=0,"",IF(OR(B132="",E132="",H132="",J132="",K132="",L132="",M132="",O132="",P132="",Q132="",R132="",S132="",T132="",U132="",W132="",X132="",Y132="",AB132="",AC132="",AE132="",AF132=""),"Incompleta: faltan campos obligatorios",IF(AND(LEFT(H132,6)="PROPIA",I132=""),"Falta el nombre de la acción propia del área",IF(AND(LEFT(H132,3)="A27",IFERROR(INDEX(Catalogos!$T$5:$T$207,MATCH(H132,Catalogos!$U$5:$U$207,0)),"x")&lt;&gt;LEFT(E132,7)),"La acción no corresponde a la meta seleccionada",IF(OR(NOT(ISNUMBER(M132)),M132&lt;10000000,M132&gt;99999999),"Código UNSPSC inválido: registre 8 dígitos",IF(MOD(M132,10000)=0,"UNSPSC a nivel de segmento o familia: use clase o producto",IF(IFERROR(MATCH(P132,L_MESES,0)&lt;MATCH(O132,L_MESES,0),TRUE()),"El mes de ofertas es anterior al de inicio del proceso",IF(OR(NOT(ISNUMBER(Q132)),Q132&lt;=0),"Duración inválida",IF(OR(NOT(ISNUMBER(W132)),NOT(ISNUMBER(X132))),"Valor inválido: registre solo números",IF(OR(W132&lt;=0,X132&lt;=0),"Valor inválido: debe ser mayor que cero",IF(X132&gt;W132,"El valor de la vigencia 2027 supera el valor total",IF(AND(X132&lt;W132,Y132="No"),"El valor total supera el de 2027: requiere vigencias futuras",IF(AND(Y132="Sí",OR(Z132="",Z132="No aplica")),"Indique el estado de la solicitud de vigencias futuras",IF(IF(AND(S132="Mínima cuantía",ISNUMBER(P_TOPE_MINIMA)),W132&gt;P_TOPE_MINIMA,FALSE()),"El valor supera el tope de mínima cuantía 2027",IF(IF(AND(S132="Selección abreviada de menor cuantía",ISNUMBER(P_TOPE_MENOR)),W132&gt;P_TOPE_MENOR,FALSE()),"El valor supera el tope de menor cuantía 2027",IF(OR(ISERROR(SEARCH("@itc.edu.co",AE132)),SUMPRODUCT(--ISNUMBER(SEARCH({"á","é","í","ó","ú","ñ"," "},AE132)))&gt;0),"El correo del responsable no es institucional válido",IF(AND(AF132="Sí",AG132=""),"Indique el N.° de registro 2026 que continúa","OK")))))))))))))))))</f>
        <v/>
      </c>
      <c r="AK132" s="15" t="str">
        <f>IF(AJ132="OK",COUNTIF($AJ$7:AJ132,"OK"),"")</f>
        <v/>
      </c>
    </row>
    <row r="133" spans="1:37" x14ac:dyDescent="0.3">
      <c r="A133" s="13" t="str">
        <f t="shared" si="1"/>
        <v>PN27-127</v>
      </c>
      <c r="B133" s="26"/>
      <c r="C133" s="13" t="str">
        <f>IF(B133="","",IFERROR(INDEX(Catalogos!$R$5:$R$51,MATCH(B133,L_AREAS,0)),""))</f>
        <v/>
      </c>
      <c r="D133" s="13" t="str">
        <f>IF(B133="","",IFERROR(INDEX(Catalogos!$O$5:$O$51,MATCH(B133,L_AREAS,0)),""))</f>
        <v/>
      </c>
      <c r="E133" s="26"/>
      <c r="F133" s="13" t="str">
        <f>IF(E133="","",IFERROR(INDEX(Catalogos!$C$5:$C$49,MATCH(E133,L_METAS,0)),""))</f>
        <v/>
      </c>
      <c r="G133" s="13" t="str">
        <f>IF(E133="","",IFERROR(INDEX(Catalogos!$E$5:$E$49,MATCH(E133,L_METAS,0)),""))</f>
        <v/>
      </c>
      <c r="H133" s="26"/>
      <c r="I133" s="26"/>
      <c r="J133" s="26"/>
      <c r="K133" s="26"/>
      <c r="L133" s="26"/>
      <c r="M133" s="27"/>
      <c r="N133" s="26"/>
      <c r="O133" s="26"/>
      <c r="P133" s="26"/>
      <c r="Q133" s="26"/>
      <c r="R133" s="26"/>
      <c r="S133" s="26"/>
      <c r="T133" s="26"/>
      <c r="U133" s="26"/>
      <c r="V133" s="26"/>
      <c r="W133" s="28"/>
      <c r="X133" s="28"/>
      <c r="Y133" s="26"/>
      <c r="Z133" s="26"/>
      <c r="AA133" s="26"/>
      <c r="AB133" s="26"/>
      <c r="AC133" s="26"/>
      <c r="AD133" s="26"/>
      <c r="AE133" s="26"/>
      <c r="AF133" s="26"/>
      <c r="AG133" s="26"/>
      <c r="AH133" s="26"/>
      <c r="AI133" s="26"/>
      <c r="AJ133" s="15" t="str">
        <f>IF(COUNTA(B133,E133,H133,I133,J133,K133,L133,M133,N133,O133,P133,Q133,R133,S133,T133,U133,V133,W133,X133,Y133,Z133,AA133,AB133,AC133,AD133,AE133,AF133,AG133,AH133,AI133)=0,"",IF(OR(B133="",E133="",H133="",J133="",K133="",L133="",M133="",O133="",P133="",Q133="",R133="",S133="",T133="",U133="",W133="",X133="",Y133="",AB133="",AC133="",AE133="",AF133=""),"Incompleta: faltan campos obligatorios",IF(AND(LEFT(H133,6)="PROPIA",I133=""),"Falta el nombre de la acción propia del área",IF(AND(LEFT(H133,3)="A27",IFERROR(INDEX(Catalogos!$T$5:$T$207,MATCH(H133,Catalogos!$U$5:$U$207,0)),"x")&lt;&gt;LEFT(E133,7)),"La acción no corresponde a la meta seleccionada",IF(OR(NOT(ISNUMBER(M133)),M133&lt;10000000,M133&gt;99999999),"Código UNSPSC inválido: registre 8 dígitos",IF(MOD(M133,10000)=0,"UNSPSC a nivel de segmento o familia: use clase o producto",IF(IFERROR(MATCH(P133,L_MESES,0)&lt;MATCH(O133,L_MESES,0),TRUE()),"El mes de ofertas es anterior al de inicio del proceso",IF(OR(NOT(ISNUMBER(Q133)),Q133&lt;=0),"Duración inválida",IF(OR(NOT(ISNUMBER(W133)),NOT(ISNUMBER(X133))),"Valor inválido: registre solo números",IF(OR(W133&lt;=0,X133&lt;=0),"Valor inválido: debe ser mayor que cero",IF(X133&gt;W133,"El valor de la vigencia 2027 supera el valor total",IF(AND(X133&lt;W133,Y133="No"),"El valor total supera el de 2027: requiere vigencias futuras",IF(AND(Y133="Sí",OR(Z133="",Z133="No aplica")),"Indique el estado de la solicitud de vigencias futuras",IF(IF(AND(S133="Mínima cuantía",ISNUMBER(P_TOPE_MINIMA)),W133&gt;P_TOPE_MINIMA,FALSE()),"El valor supera el tope de mínima cuantía 2027",IF(IF(AND(S133="Selección abreviada de menor cuantía",ISNUMBER(P_TOPE_MENOR)),W133&gt;P_TOPE_MENOR,FALSE()),"El valor supera el tope de menor cuantía 2027",IF(OR(ISERROR(SEARCH("@itc.edu.co",AE133)),SUMPRODUCT(--ISNUMBER(SEARCH({"á","é","í","ó","ú","ñ"," "},AE133)))&gt;0),"El correo del responsable no es institucional válido",IF(AND(AF133="Sí",AG133=""),"Indique el N.° de registro 2026 que continúa","OK")))))))))))))))))</f>
        <v/>
      </c>
      <c r="AK133" s="15" t="str">
        <f>IF(AJ133="OK",COUNTIF($AJ$7:AJ133,"OK"),"")</f>
        <v/>
      </c>
    </row>
    <row r="134" spans="1:37" x14ac:dyDescent="0.3">
      <c r="A134" s="13" t="str">
        <f t="shared" si="1"/>
        <v>PN27-128</v>
      </c>
      <c r="B134" s="26"/>
      <c r="C134" s="13" t="str">
        <f>IF(B134="","",IFERROR(INDEX(Catalogos!$R$5:$R$51,MATCH(B134,L_AREAS,0)),""))</f>
        <v/>
      </c>
      <c r="D134" s="13" t="str">
        <f>IF(B134="","",IFERROR(INDEX(Catalogos!$O$5:$O$51,MATCH(B134,L_AREAS,0)),""))</f>
        <v/>
      </c>
      <c r="E134" s="26"/>
      <c r="F134" s="13" t="str">
        <f>IF(E134="","",IFERROR(INDEX(Catalogos!$C$5:$C$49,MATCH(E134,L_METAS,0)),""))</f>
        <v/>
      </c>
      <c r="G134" s="13" t="str">
        <f>IF(E134="","",IFERROR(INDEX(Catalogos!$E$5:$E$49,MATCH(E134,L_METAS,0)),""))</f>
        <v/>
      </c>
      <c r="H134" s="26"/>
      <c r="I134" s="26"/>
      <c r="J134" s="26"/>
      <c r="K134" s="26"/>
      <c r="L134" s="26"/>
      <c r="M134" s="27"/>
      <c r="N134" s="26"/>
      <c r="O134" s="26"/>
      <c r="P134" s="26"/>
      <c r="Q134" s="26"/>
      <c r="R134" s="26"/>
      <c r="S134" s="26"/>
      <c r="T134" s="26"/>
      <c r="U134" s="26"/>
      <c r="V134" s="26"/>
      <c r="W134" s="28"/>
      <c r="X134" s="28"/>
      <c r="Y134" s="26"/>
      <c r="Z134" s="26"/>
      <c r="AA134" s="26"/>
      <c r="AB134" s="26"/>
      <c r="AC134" s="26"/>
      <c r="AD134" s="26"/>
      <c r="AE134" s="26"/>
      <c r="AF134" s="26"/>
      <c r="AG134" s="26"/>
      <c r="AH134" s="26"/>
      <c r="AI134" s="26"/>
      <c r="AJ134" s="15" t="str">
        <f>IF(COUNTA(B134,E134,H134,I134,J134,K134,L134,M134,N134,O134,P134,Q134,R134,S134,T134,U134,V134,W134,X134,Y134,Z134,AA134,AB134,AC134,AD134,AE134,AF134,AG134,AH134,AI134)=0,"",IF(OR(B134="",E134="",H134="",J134="",K134="",L134="",M134="",O134="",P134="",Q134="",R134="",S134="",T134="",U134="",W134="",X134="",Y134="",AB134="",AC134="",AE134="",AF134=""),"Incompleta: faltan campos obligatorios",IF(AND(LEFT(H134,6)="PROPIA",I134=""),"Falta el nombre de la acción propia del área",IF(AND(LEFT(H134,3)="A27",IFERROR(INDEX(Catalogos!$T$5:$T$207,MATCH(H134,Catalogos!$U$5:$U$207,0)),"x")&lt;&gt;LEFT(E134,7)),"La acción no corresponde a la meta seleccionada",IF(OR(NOT(ISNUMBER(M134)),M134&lt;10000000,M134&gt;99999999),"Código UNSPSC inválido: registre 8 dígitos",IF(MOD(M134,10000)=0,"UNSPSC a nivel de segmento o familia: use clase o producto",IF(IFERROR(MATCH(P134,L_MESES,0)&lt;MATCH(O134,L_MESES,0),TRUE()),"El mes de ofertas es anterior al de inicio del proceso",IF(OR(NOT(ISNUMBER(Q134)),Q134&lt;=0),"Duración inválida",IF(OR(NOT(ISNUMBER(W134)),NOT(ISNUMBER(X134))),"Valor inválido: registre solo números",IF(OR(W134&lt;=0,X134&lt;=0),"Valor inválido: debe ser mayor que cero",IF(X134&gt;W134,"El valor de la vigencia 2027 supera el valor total",IF(AND(X134&lt;W134,Y134="No"),"El valor total supera el de 2027: requiere vigencias futuras",IF(AND(Y134="Sí",OR(Z134="",Z134="No aplica")),"Indique el estado de la solicitud de vigencias futuras",IF(IF(AND(S134="Mínima cuantía",ISNUMBER(P_TOPE_MINIMA)),W134&gt;P_TOPE_MINIMA,FALSE()),"El valor supera el tope de mínima cuantía 2027",IF(IF(AND(S134="Selección abreviada de menor cuantía",ISNUMBER(P_TOPE_MENOR)),W134&gt;P_TOPE_MENOR,FALSE()),"El valor supera el tope de menor cuantía 2027",IF(OR(ISERROR(SEARCH("@itc.edu.co",AE134)),SUMPRODUCT(--ISNUMBER(SEARCH({"á","é","í","ó","ú","ñ"," "},AE134)))&gt;0),"El correo del responsable no es institucional válido",IF(AND(AF134="Sí",AG134=""),"Indique el N.° de registro 2026 que continúa","OK")))))))))))))))))</f>
        <v/>
      </c>
      <c r="AK134" s="15" t="str">
        <f>IF(AJ134="OK",COUNTIF($AJ$7:AJ134,"OK"),"")</f>
        <v/>
      </c>
    </row>
    <row r="135" spans="1:37" x14ac:dyDescent="0.3">
      <c r="A135" s="13" t="str">
        <f t="shared" ref="A135:A198" si="2">"PN27-"&amp;TEXT(ROW()-6,"000")</f>
        <v>PN27-129</v>
      </c>
      <c r="B135" s="26"/>
      <c r="C135" s="13" t="str">
        <f>IF(B135="","",IFERROR(INDEX(Catalogos!$R$5:$R$51,MATCH(B135,L_AREAS,0)),""))</f>
        <v/>
      </c>
      <c r="D135" s="13" t="str">
        <f>IF(B135="","",IFERROR(INDEX(Catalogos!$O$5:$O$51,MATCH(B135,L_AREAS,0)),""))</f>
        <v/>
      </c>
      <c r="E135" s="26"/>
      <c r="F135" s="13" t="str">
        <f>IF(E135="","",IFERROR(INDEX(Catalogos!$C$5:$C$49,MATCH(E135,L_METAS,0)),""))</f>
        <v/>
      </c>
      <c r="G135" s="13" t="str">
        <f>IF(E135="","",IFERROR(INDEX(Catalogos!$E$5:$E$49,MATCH(E135,L_METAS,0)),""))</f>
        <v/>
      </c>
      <c r="H135" s="26"/>
      <c r="I135" s="26"/>
      <c r="J135" s="26"/>
      <c r="K135" s="26"/>
      <c r="L135" s="26"/>
      <c r="M135" s="27"/>
      <c r="N135" s="26"/>
      <c r="O135" s="26"/>
      <c r="P135" s="26"/>
      <c r="Q135" s="26"/>
      <c r="R135" s="26"/>
      <c r="S135" s="26"/>
      <c r="T135" s="26"/>
      <c r="U135" s="26"/>
      <c r="V135" s="26"/>
      <c r="W135" s="28"/>
      <c r="X135" s="28"/>
      <c r="Y135" s="26"/>
      <c r="Z135" s="26"/>
      <c r="AA135" s="26"/>
      <c r="AB135" s="26"/>
      <c r="AC135" s="26"/>
      <c r="AD135" s="26"/>
      <c r="AE135" s="26"/>
      <c r="AF135" s="26"/>
      <c r="AG135" s="26"/>
      <c r="AH135" s="26"/>
      <c r="AI135" s="26"/>
      <c r="AJ135" s="15" t="str">
        <f>IF(COUNTA(B135,E135,H135,I135,J135,K135,L135,M135,N135,O135,P135,Q135,R135,S135,T135,U135,V135,W135,X135,Y135,Z135,AA135,AB135,AC135,AD135,AE135,AF135,AG135,AH135,AI135)=0,"",IF(OR(B135="",E135="",H135="",J135="",K135="",L135="",M135="",O135="",P135="",Q135="",R135="",S135="",T135="",U135="",W135="",X135="",Y135="",AB135="",AC135="",AE135="",AF135=""),"Incompleta: faltan campos obligatorios",IF(AND(LEFT(H135,6)="PROPIA",I135=""),"Falta el nombre de la acción propia del área",IF(AND(LEFT(H135,3)="A27",IFERROR(INDEX(Catalogos!$T$5:$T$207,MATCH(H135,Catalogos!$U$5:$U$207,0)),"x")&lt;&gt;LEFT(E135,7)),"La acción no corresponde a la meta seleccionada",IF(OR(NOT(ISNUMBER(M135)),M135&lt;10000000,M135&gt;99999999),"Código UNSPSC inválido: registre 8 dígitos",IF(MOD(M135,10000)=0,"UNSPSC a nivel de segmento o familia: use clase o producto",IF(IFERROR(MATCH(P135,L_MESES,0)&lt;MATCH(O135,L_MESES,0),TRUE()),"El mes de ofertas es anterior al de inicio del proceso",IF(OR(NOT(ISNUMBER(Q135)),Q135&lt;=0),"Duración inválida",IF(OR(NOT(ISNUMBER(W135)),NOT(ISNUMBER(X135))),"Valor inválido: registre solo números",IF(OR(W135&lt;=0,X135&lt;=0),"Valor inválido: debe ser mayor que cero",IF(X135&gt;W135,"El valor de la vigencia 2027 supera el valor total",IF(AND(X135&lt;W135,Y135="No"),"El valor total supera el de 2027: requiere vigencias futuras",IF(AND(Y135="Sí",OR(Z135="",Z135="No aplica")),"Indique el estado de la solicitud de vigencias futuras",IF(IF(AND(S135="Mínima cuantía",ISNUMBER(P_TOPE_MINIMA)),W135&gt;P_TOPE_MINIMA,FALSE()),"El valor supera el tope de mínima cuantía 2027",IF(IF(AND(S135="Selección abreviada de menor cuantía",ISNUMBER(P_TOPE_MENOR)),W135&gt;P_TOPE_MENOR,FALSE()),"El valor supera el tope de menor cuantía 2027",IF(OR(ISERROR(SEARCH("@itc.edu.co",AE135)),SUMPRODUCT(--ISNUMBER(SEARCH({"á","é","í","ó","ú","ñ"," "},AE135)))&gt;0),"El correo del responsable no es institucional válido",IF(AND(AF135="Sí",AG135=""),"Indique el N.° de registro 2026 que continúa","OK")))))))))))))))))</f>
        <v/>
      </c>
      <c r="AK135" s="15" t="str">
        <f>IF(AJ135="OK",COUNTIF($AJ$7:AJ135,"OK"),"")</f>
        <v/>
      </c>
    </row>
    <row r="136" spans="1:37" x14ac:dyDescent="0.3">
      <c r="A136" s="13" t="str">
        <f t="shared" si="2"/>
        <v>PN27-130</v>
      </c>
      <c r="B136" s="26"/>
      <c r="C136" s="13" t="str">
        <f>IF(B136="","",IFERROR(INDEX(Catalogos!$R$5:$R$51,MATCH(B136,L_AREAS,0)),""))</f>
        <v/>
      </c>
      <c r="D136" s="13" t="str">
        <f>IF(B136="","",IFERROR(INDEX(Catalogos!$O$5:$O$51,MATCH(B136,L_AREAS,0)),""))</f>
        <v/>
      </c>
      <c r="E136" s="26"/>
      <c r="F136" s="13" t="str">
        <f>IF(E136="","",IFERROR(INDEX(Catalogos!$C$5:$C$49,MATCH(E136,L_METAS,0)),""))</f>
        <v/>
      </c>
      <c r="G136" s="13" t="str">
        <f>IF(E136="","",IFERROR(INDEX(Catalogos!$E$5:$E$49,MATCH(E136,L_METAS,0)),""))</f>
        <v/>
      </c>
      <c r="H136" s="26"/>
      <c r="I136" s="26"/>
      <c r="J136" s="26"/>
      <c r="K136" s="26"/>
      <c r="L136" s="26"/>
      <c r="M136" s="27"/>
      <c r="N136" s="26"/>
      <c r="O136" s="26"/>
      <c r="P136" s="26"/>
      <c r="Q136" s="26"/>
      <c r="R136" s="26"/>
      <c r="S136" s="26"/>
      <c r="T136" s="26"/>
      <c r="U136" s="26"/>
      <c r="V136" s="26"/>
      <c r="W136" s="28"/>
      <c r="X136" s="28"/>
      <c r="Y136" s="26"/>
      <c r="Z136" s="26"/>
      <c r="AA136" s="26"/>
      <c r="AB136" s="26"/>
      <c r="AC136" s="26"/>
      <c r="AD136" s="26"/>
      <c r="AE136" s="26"/>
      <c r="AF136" s="26"/>
      <c r="AG136" s="26"/>
      <c r="AH136" s="26"/>
      <c r="AI136" s="26"/>
      <c r="AJ136" s="15" t="str">
        <f>IF(COUNTA(B136,E136,H136,I136,J136,K136,L136,M136,N136,O136,P136,Q136,R136,S136,T136,U136,V136,W136,X136,Y136,Z136,AA136,AB136,AC136,AD136,AE136,AF136,AG136,AH136,AI136)=0,"",IF(OR(B136="",E136="",H136="",J136="",K136="",L136="",M136="",O136="",P136="",Q136="",R136="",S136="",T136="",U136="",W136="",X136="",Y136="",AB136="",AC136="",AE136="",AF136=""),"Incompleta: faltan campos obligatorios",IF(AND(LEFT(H136,6)="PROPIA",I136=""),"Falta el nombre de la acción propia del área",IF(AND(LEFT(H136,3)="A27",IFERROR(INDEX(Catalogos!$T$5:$T$207,MATCH(H136,Catalogos!$U$5:$U$207,0)),"x")&lt;&gt;LEFT(E136,7)),"La acción no corresponde a la meta seleccionada",IF(OR(NOT(ISNUMBER(M136)),M136&lt;10000000,M136&gt;99999999),"Código UNSPSC inválido: registre 8 dígitos",IF(MOD(M136,10000)=0,"UNSPSC a nivel de segmento o familia: use clase o producto",IF(IFERROR(MATCH(P136,L_MESES,0)&lt;MATCH(O136,L_MESES,0),TRUE()),"El mes de ofertas es anterior al de inicio del proceso",IF(OR(NOT(ISNUMBER(Q136)),Q136&lt;=0),"Duración inválida",IF(OR(NOT(ISNUMBER(W136)),NOT(ISNUMBER(X136))),"Valor inválido: registre solo números",IF(OR(W136&lt;=0,X136&lt;=0),"Valor inválido: debe ser mayor que cero",IF(X136&gt;W136,"El valor de la vigencia 2027 supera el valor total",IF(AND(X136&lt;W136,Y136="No"),"El valor total supera el de 2027: requiere vigencias futuras",IF(AND(Y136="Sí",OR(Z136="",Z136="No aplica")),"Indique el estado de la solicitud de vigencias futuras",IF(IF(AND(S136="Mínima cuantía",ISNUMBER(P_TOPE_MINIMA)),W136&gt;P_TOPE_MINIMA,FALSE()),"El valor supera el tope de mínima cuantía 2027",IF(IF(AND(S136="Selección abreviada de menor cuantía",ISNUMBER(P_TOPE_MENOR)),W136&gt;P_TOPE_MENOR,FALSE()),"El valor supera el tope de menor cuantía 2027",IF(OR(ISERROR(SEARCH("@itc.edu.co",AE136)),SUMPRODUCT(--ISNUMBER(SEARCH({"á","é","í","ó","ú","ñ"," "},AE136)))&gt;0),"El correo del responsable no es institucional válido",IF(AND(AF136="Sí",AG136=""),"Indique el N.° de registro 2026 que continúa","OK")))))))))))))))))</f>
        <v/>
      </c>
      <c r="AK136" s="15" t="str">
        <f>IF(AJ136="OK",COUNTIF($AJ$7:AJ136,"OK"),"")</f>
        <v/>
      </c>
    </row>
    <row r="137" spans="1:37" x14ac:dyDescent="0.3">
      <c r="A137" s="13" t="str">
        <f t="shared" si="2"/>
        <v>PN27-131</v>
      </c>
      <c r="B137" s="26"/>
      <c r="C137" s="13" t="str">
        <f>IF(B137="","",IFERROR(INDEX(Catalogos!$R$5:$R$51,MATCH(B137,L_AREAS,0)),""))</f>
        <v/>
      </c>
      <c r="D137" s="13" t="str">
        <f>IF(B137="","",IFERROR(INDEX(Catalogos!$O$5:$O$51,MATCH(B137,L_AREAS,0)),""))</f>
        <v/>
      </c>
      <c r="E137" s="26"/>
      <c r="F137" s="13" t="str">
        <f>IF(E137="","",IFERROR(INDEX(Catalogos!$C$5:$C$49,MATCH(E137,L_METAS,0)),""))</f>
        <v/>
      </c>
      <c r="G137" s="13" t="str">
        <f>IF(E137="","",IFERROR(INDEX(Catalogos!$E$5:$E$49,MATCH(E137,L_METAS,0)),""))</f>
        <v/>
      </c>
      <c r="H137" s="26"/>
      <c r="I137" s="26"/>
      <c r="J137" s="26"/>
      <c r="K137" s="26"/>
      <c r="L137" s="26"/>
      <c r="M137" s="27"/>
      <c r="N137" s="26"/>
      <c r="O137" s="26"/>
      <c r="P137" s="26"/>
      <c r="Q137" s="26"/>
      <c r="R137" s="26"/>
      <c r="S137" s="26"/>
      <c r="T137" s="26"/>
      <c r="U137" s="26"/>
      <c r="V137" s="26"/>
      <c r="W137" s="28"/>
      <c r="X137" s="28"/>
      <c r="Y137" s="26"/>
      <c r="Z137" s="26"/>
      <c r="AA137" s="26"/>
      <c r="AB137" s="26"/>
      <c r="AC137" s="26"/>
      <c r="AD137" s="26"/>
      <c r="AE137" s="26"/>
      <c r="AF137" s="26"/>
      <c r="AG137" s="26"/>
      <c r="AH137" s="26"/>
      <c r="AI137" s="26"/>
      <c r="AJ137" s="15" t="str">
        <f>IF(COUNTA(B137,E137,H137,I137,J137,K137,L137,M137,N137,O137,P137,Q137,R137,S137,T137,U137,V137,W137,X137,Y137,Z137,AA137,AB137,AC137,AD137,AE137,AF137,AG137,AH137,AI137)=0,"",IF(OR(B137="",E137="",H137="",J137="",K137="",L137="",M137="",O137="",P137="",Q137="",R137="",S137="",T137="",U137="",W137="",X137="",Y137="",AB137="",AC137="",AE137="",AF137=""),"Incompleta: faltan campos obligatorios",IF(AND(LEFT(H137,6)="PROPIA",I137=""),"Falta el nombre de la acción propia del área",IF(AND(LEFT(H137,3)="A27",IFERROR(INDEX(Catalogos!$T$5:$T$207,MATCH(H137,Catalogos!$U$5:$U$207,0)),"x")&lt;&gt;LEFT(E137,7)),"La acción no corresponde a la meta seleccionada",IF(OR(NOT(ISNUMBER(M137)),M137&lt;10000000,M137&gt;99999999),"Código UNSPSC inválido: registre 8 dígitos",IF(MOD(M137,10000)=0,"UNSPSC a nivel de segmento o familia: use clase o producto",IF(IFERROR(MATCH(P137,L_MESES,0)&lt;MATCH(O137,L_MESES,0),TRUE()),"El mes de ofertas es anterior al de inicio del proceso",IF(OR(NOT(ISNUMBER(Q137)),Q137&lt;=0),"Duración inválida",IF(OR(NOT(ISNUMBER(W137)),NOT(ISNUMBER(X137))),"Valor inválido: registre solo números",IF(OR(W137&lt;=0,X137&lt;=0),"Valor inválido: debe ser mayor que cero",IF(X137&gt;W137,"El valor de la vigencia 2027 supera el valor total",IF(AND(X137&lt;W137,Y137="No"),"El valor total supera el de 2027: requiere vigencias futuras",IF(AND(Y137="Sí",OR(Z137="",Z137="No aplica")),"Indique el estado de la solicitud de vigencias futuras",IF(IF(AND(S137="Mínima cuantía",ISNUMBER(P_TOPE_MINIMA)),W137&gt;P_TOPE_MINIMA,FALSE()),"El valor supera el tope de mínima cuantía 2027",IF(IF(AND(S137="Selección abreviada de menor cuantía",ISNUMBER(P_TOPE_MENOR)),W137&gt;P_TOPE_MENOR,FALSE()),"El valor supera el tope de menor cuantía 2027",IF(OR(ISERROR(SEARCH("@itc.edu.co",AE137)),SUMPRODUCT(--ISNUMBER(SEARCH({"á","é","í","ó","ú","ñ"," "},AE137)))&gt;0),"El correo del responsable no es institucional válido",IF(AND(AF137="Sí",AG137=""),"Indique el N.° de registro 2026 que continúa","OK")))))))))))))))))</f>
        <v/>
      </c>
      <c r="AK137" s="15" t="str">
        <f>IF(AJ137="OK",COUNTIF($AJ$7:AJ137,"OK"),"")</f>
        <v/>
      </c>
    </row>
    <row r="138" spans="1:37" x14ac:dyDescent="0.3">
      <c r="A138" s="13" t="str">
        <f t="shared" si="2"/>
        <v>PN27-132</v>
      </c>
      <c r="B138" s="26"/>
      <c r="C138" s="13" t="str">
        <f>IF(B138="","",IFERROR(INDEX(Catalogos!$R$5:$R$51,MATCH(B138,L_AREAS,0)),""))</f>
        <v/>
      </c>
      <c r="D138" s="13" t="str">
        <f>IF(B138="","",IFERROR(INDEX(Catalogos!$O$5:$O$51,MATCH(B138,L_AREAS,0)),""))</f>
        <v/>
      </c>
      <c r="E138" s="26"/>
      <c r="F138" s="13" t="str">
        <f>IF(E138="","",IFERROR(INDEX(Catalogos!$C$5:$C$49,MATCH(E138,L_METAS,0)),""))</f>
        <v/>
      </c>
      <c r="G138" s="13" t="str">
        <f>IF(E138="","",IFERROR(INDEX(Catalogos!$E$5:$E$49,MATCH(E138,L_METAS,0)),""))</f>
        <v/>
      </c>
      <c r="H138" s="26"/>
      <c r="I138" s="26"/>
      <c r="J138" s="26"/>
      <c r="K138" s="26"/>
      <c r="L138" s="26"/>
      <c r="M138" s="27"/>
      <c r="N138" s="26"/>
      <c r="O138" s="26"/>
      <c r="P138" s="26"/>
      <c r="Q138" s="26"/>
      <c r="R138" s="26"/>
      <c r="S138" s="26"/>
      <c r="T138" s="26"/>
      <c r="U138" s="26"/>
      <c r="V138" s="26"/>
      <c r="W138" s="28"/>
      <c r="X138" s="28"/>
      <c r="Y138" s="26"/>
      <c r="Z138" s="26"/>
      <c r="AA138" s="26"/>
      <c r="AB138" s="26"/>
      <c r="AC138" s="26"/>
      <c r="AD138" s="26"/>
      <c r="AE138" s="26"/>
      <c r="AF138" s="26"/>
      <c r="AG138" s="26"/>
      <c r="AH138" s="26"/>
      <c r="AI138" s="26"/>
      <c r="AJ138" s="15" t="str">
        <f>IF(COUNTA(B138,E138,H138,I138,J138,K138,L138,M138,N138,O138,P138,Q138,R138,S138,T138,U138,V138,W138,X138,Y138,Z138,AA138,AB138,AC138,AD138,AE138,AF138,AG138,AH138,AI138)=0,"",IF(OR(B138="",E138="",H138="",J138="",K138="",L138="",M138="",O138="",P138="",Q138="",R138="",S138="",T138="",U138="",W138="",X138="",Y138="",AB138="",AC138="",AE138="",AF138=""),"Incompleta: faltan campos obligatorios",IF(AND(LEFT(H138,6)="PROPIA",I138=""),"Falta el nombre de la acción propia del área",IF(AND(LEFT(H138,3)="A27",IFERROR(INDEX(Catalogos!$T$5:$T$207,MATCH(H138,Catalogos!$U$5:$U$207,0)),"x")&lt;&gt;LEFT(E138,7)),"La acción no corresponde a la meta seleccionada",IF(OR(NOT(ISNUMBER(M138)),M138&lt;10000000,M138&gt;99999999),"Código UNSPSC inválido: registre 8 dígitos",IF(MOD(M138,10000)=0,"UNSPSC a nivel de segmento o familia: use clase o producto",IF(IFERROR(MATCH(P138,L_MESES,0)&lt;MATCH(O138,L_MESES,0),TRUE()),"El mes de ofertas es anterior al de inicio del proceso",IF(OR(NOT(ISNUMBER(Q138)),Q138&lt;=0),"Duración inválida",IF(OR(NOT(ISNUMBER(W138)),NOT(ISNUMBER(X138))),"Valor inválido: registre solo números",IF(OR(W138&lt;=0,X138&lt;=0),"Valor inválido: debe ser mayor que cero",IF(X138&gt;W138,"El valor de la vigencia 2027 supera el valor total",IF(AND(X138&lt;W138,Y138="No"),"El valor total supera el de 2027: requiere vigencias futuras",IF(AND(Y138="Sí",OR(Z138="",Z138="No aplica")),"Indique el estado de la solicitud de vigencias futuras",IF(IF(AND(S138="Mínima cuantía",ISNUMBER(P_TOPE_MINIMA)),W138&gt;P_TOPE_MINIMA,FALSE()),"El valor supera el tope de mínima cuantía 2027",IF(IF(AND(S138="Selección abreviada de menor cuantía",ISNUMBER(P_TOPE_MENOR)),W138&gt;P_TOPE_MENOR,FALSE()),"El valor supera el tope de menor cuantía 2027",IF(OR(ISERROR(SEARCH("@itc.edu.co",AE138)),SUMPRODUCT(--ISNUMBER(SEARCH({"á","é","í","ó","ú","ñ"," "},AE138)))&gt;0),"El correo del responsable no es institucional válido",IF(AND(AF138="Sí",AG138=""),"Indique el N.° de registro 2026 que continúa","OK")))))))))))))))))</f>
        <v/>
      </c>
      <c r="AK138" s="15" t="str">
        <f>IF(AJ138="OK",COUNTIF($AJ$7:AJ138,"OK"),"")</f>
        <v/>
      </c>
    </row>
    <row r="139" spans="1:37" x14ac:dyDescent="0.3">
      <c r="A139" s="13" t="str">
        <f t="shared" si="2"/>
        <v>PN27-133</v>
      </c>
      <c r="B139" s="26"/>
      <c r="C139" s="13" t="str">
        <f>IF(B139="","",IFERROR(INDEX(Catalogos!$R$5:$R$51,MATCH(B139,L_AREAS,0)),""))</f>
        <v/>
      </c>
      <c r="D139" s="13" t="str">
        <f>IF(B139="","",IFERROR(INDEX(Catalogos!$O$5:$O$51,MATCH(B139,L_AREAS,0)),""))</f>
        <v/>
      </c>
      <c r="E139" s="26"/>
      <c r="F139" s="13" t="str">
        <f>IF(E139="","",IFERROR(INDEX(Catalogos!$C$5:$C$49,MATCH(E139,L_METAS,0)),""))</f>
        <v/>
      </c>
      <c r="G139" s="13" t="str">
        <f>IF(E139="","",IFERROR(INDEX(Catalogos!$E$5:$E$49,MATCH(E139,L_METAS,0)),""))</f>
        <v/>
      </c>
      <c r="H139" s="26"/>
      <c r="I139" s="26"/>
      <c r="J139" s="26"/>
      <c r="K139" s="26"/>
      <c r="L139" s="26"/>
      <c r="M139" s="27"/>
      <c r="N139" s="26"/>
      <c r="O139" s="26"/>
      <c r="P139" s="26"/>
      <c r="Q139" s="26"/>
      <c r="R139" s="26"/>
      <c r="S139" s="26"/>
      <c r="T139" s="26"/>
      <c r="U139" s="26"/>
      <c r="V139" s="26"/>
      <c r="W139" s="28"/>
      <c r="X139" s="28"/>
      <c r="Y139" s="26"/>
      <c r="Z139" s="26"/>
      <c r="AA139" s="26"/>
      <c r="AB139" s="26"/>
      <c r="AC139" s="26"/>
      <c r="AD139" s="26"/>
      <c r="AE139" s="26"/>
      <c r="AF139" s="26"/>
      <c r="AG139" s="26"/>
      <c r="AH139" s="26"/>
      <c r="AI139" s="26"/>
      <c r="AJ139" s="15" t="str">
        <f>IF(COUNTA(B139,E139,H139,I139,J139,K139,L139,M139,N139,O139,P139,Q139,R139,S139,T139,U139,V139,W139,X139,Y139,Z139,AA139,AB139,AC139,AD139,AE139,AF139,AG139,AH139,AI139)=0,"",IF(OR(B139="",E139="",H139="",J139="",K139="",L139="",M139="",O139="",P139="",Q139="",R139="",S139="",T139="",U139="",W139="",X139="",Y139="",AB139="",AC139="",AE139="",AF139=""),"Incompleta: faltan campos obligatorios",IF(AND(LEFT(H139,6)="PROPIA",I139=""),"Falta el nombre de la acción propia del área",IF(AND(LEFT(H139,3)="A27",IFERROR(INDEX(Catalogos!$T$5:$T$207,MATCH(H139,Catalogos!$U$5:$U$207,0)),"x")&lt;&gt;LEFT(E139,7)),"La acción no corresponde a la meta seleccionada",IF(OR(NOT(ISNUMBER(M139)),M139&lt;10000000,M139&gt;99999999),"Código UNSPSC inválido: registre 8 dígitos",IF(MOD(M139,10000)=0,"UNSPSC a nivel de segmento o familia: use clase o producto",IF(IFERROR(MATCH(P139,L_MESES,0)&lt;MATCH(O139,L_MESES,0),TRUE()),"El mes de ofertas es anterior al de inicio del proceso",IF(OR(NOT(ISNUMBER(Q139)),Q139&lt;=0),"Duración inválida",IF(OR(NOT(ISNUMBER(W139)),NOT(ISNUMBER(X139))),"Valor inválido: registre solo números",IF(OR(W139&lt;=0,X139&lt;=0),"Valor inválido: debe ser mayor que cero",IF(X139&gt;W139,"El valor de la vigencia 2027 supera el valor total",IF(AND(X139&lt;W139,Y139="No"),"El valor total supera el de 2027: requiere vigencias futuras",IF(AND(Y139="Sí",OR(Z139="",Z139="No aplica")),"Indique el estado de la solicitud de vigencias futuras",IF(IF(AND(S139="Mínima cuantía",ISNUMBER(P_TOPE_MINIMA)),W139&gt;P_TOPE_MINIMA,FALSE()),"El valor supera el tope de mínima cuantía 2027",IF(IF(AND(S139="Selección abreviada de menor cuantía",ISNUMBER(P_TOPE_MENOR)),W139&gt;P_TOPE_MENOR,FALSE()),"El valor supera el tope de menor cuantía 2027",IF(OR(ISERROR(SEARCH("@itc.edu.co",AE139)),SUMPRODUCT(--ISNUMBER(SEARCH({"á","é","í","ó","ú","ñ"," "},AE139)))&gt;0),"El correo del responsable no es institucional válido",IF(AND(AF139="Sí",AG139=""),"Indique el N.° de registro 2026 que continúa","OK")))))))))))))))))</f>
        <v/>
      </c>
      <c r="AK139" s="15" t="str">
        <f>IF(AJ139="OK",COUNTIF($AJ$7:AJ139,"OK"),"")</f>
        <v/>
      </c>
    </row>
    <row r="140" spans="1:37" x14ac:dyDescent="0.3">
      <c r="A140" s="13" t="str">
        <f t="shared" si="2"/>
        <v>PN27-134</v>
      </c>
      <c r="B140" s="26"/>
      <c r="C140" s="13" t="str">
        <f>IF(B140="","",IFERROR(INDEX(Catalogos!$R$5:$R$51,MATCH(B140,L_AREAS,0)),""))</f>
        <v/>
      </c>
      <c r="D140" s="13" t="str">
        <f>IF(B140="","",IFERROR(INDEX(Catalogos!$O$5:$O$51,MATCH(B140,L_AREAS,0)),""))</f>
        <v/>
      </c>
      <c r="E140" s="26"/>
      <c r="F140" s="13" t="str">
        <f>IF(E140="","",IFERROR(INDEX(Catalogos!$C$5:$C$49,MATCH(E140,L_METAS,0)),""))</f>
        <v/>
      </c>
      <c r="G140" s="13" t="str">
        <f>IF(E140="","",IFERROR(INDEX(Catalogos!$E$5:$E$49,MATCH(E140,L_METAS,0)),""))</f>
        <v/>
      </c>
      <c r="H140" s="26"/>
      <c r="I140" s="26"/>
      <c r="J140" s="26"/>
      <c r="K140" s="26"/>
      <c r="L140" s="26"/>
      <c r="M140" s="27"/>
      <c r="N140" s="26"/>
      <c r="O140" s="26"/>
      <c r="P140" s="26"/>
      <c r="Q140" s="26"/>
      <c r="R140" s="26"/>
      <c r="S140" s="26"/>
      <c r="T140" s="26"/>
      <c r="U140" s="26"/>
      <c r="V140" s="26"/>
      <c r="W140" s="28"/>
      <c r="X140" s="28"/>
      <c r="Y140" s="26"/>
      <c r="Z140" s="26"/>
      <c r="AA140" s="26"/>
      <c r="AB140" s="26"/>
      <c r="AC140" s="26"/>
      <c r="AD140" s="26"/>
      <c r="AE140" s="26"/>
      <c r="AF140" s="26"/>
      <c r="AG140" s="26"/>
      <c r="AH140" s="26"/>
      <c r="AI140" s="26"/>
      <c r="AJ140" s="15" t="str">
        <f>IF(COUNTA(B140,E140,H140,I140,J140,K140,L140,M140,N140,O140,P140,Q140,R140,S140,T140,U140,V140,W140,X140,Y140,Z140,AA140,AB140,AC140,AD140,AE140,AF140,AG140,AH140,AI140)=0,"",IF(OR(B140="",E140="",H140="",J140="",K140="",L140="",M140="",O140="",P140="",Q140="",R140="",S140="",T140="",U140="",W140="",X140="",Y140="",AB140="",AC140="",AE140="",AF140=""),"Incompleta: faltan campos obligatorios",IF(AND(LEFT(H140,6)="PROPIA",I140=""),"Falta el nombre de la acción propia del área",IF(AND(LEFT(H140,3)="A27",IFERROR(INDEX(Catalogos!$T$5:$T$207,MATCH(H140,Catalogos!$U$5:$U$207,0)),"x")&lt;&gt;LEFT(E140,7)),"La acción no corresponde a la meta seleccionada",IF(OR(NOT(ISNUMBER(M140)),M140&lt;10000000,M140&gt;99999999),"Código UNSPSC inválido: registre 8 dígitos",IF(MOD(M140,10000)=0,"UNSPSC a nivel de segmento o familia: use clase o producto",IF(IFERROR(MATCH(P140,L_MESES,0)&lt;MATCH(O140,L_MESES,0),TRUE()),"El mes de ofertas es anterior al de inicio del proceso",IF(OR(NOT(ISNUMBER(Q140)),Q140&lt;=0),"Duración inválida",IF(OR(NOT(ISNUMBER(W140)),NOT(ISNUMBER(X140))),"Valor inválido: registre solo números",IF(OR(W140&lt;=0,X140&lt;=0),"Valor inválido: debe ser mayor que cero",IF(X140&gt;W140,"El valor de la vigencia 2027 supera el valor total",IF(AND(X140&lt;W140,Y140="No"),"El valor total supera el de 2027: requiere vigencias futuras",IF(AND(Y140="Sí",OR(Z140="",Z140="No aplica")),"Indique el estado de la solicitud de vigencias futuras",IF(IF(AND(S140="Mínima cuantía",ISNUMBER(P_TOPE_MINIMA)),W140&gt;P_TOPE_MINIMA,FALSE()),"El valor supera el tope de mínima cuantía 2027",IF(IF(AND(S140="Selección abreviada de menor cuantía",ISNUMBER(P_TOPE_MENOR)),W140&gt;P_TOPE_MENOR,FALSE()),"El valor supera el tope de menor cuantía 2027",IF(OR(ISERROR(SEARCH("@itc.edu.co",AE140)),SUMPRODUCT(--ISNUMBER(SEARCH({"á","é","í","ó","ú","ñ"," "},AE140)))&gt;0),"El correo del responsable no es institucional válido",IF(AND(AF140="Sí",AG140=""),"Indique el N.° de registro 2026 que continúa","OK")))))))))))))))))</f>
        <v/>
      </c>
      <c r="AK140" s="15" t="str">
        <f>IF(AJ140="OK",COUNTIF($AJ$7:AJ140,"OK"),"")</f>
        <v/>
      </c>
    </row>
    <row r="141" spans="1:37" x14ac:dyDescent="0.3">
      <c r="A141" s="13" t="str">
        <f t="shared" si="2"/>
        <v>PN27-135</v>
      </c>
      <c r="B141" s="26"/>
      <c r="C141" s="13" t="str">
        <f>IF(B141="","",IFERROR(INDEX(Catalogos!$R$5:$R$51,MATCH(B141,L_AREAS,0)),""))</f>
        <v/>
      </c>
      <c r="D141" s="13" t="str">
        <f>IF(B141="","",IFERROR(INDEX(Catalogos!$O$5:$O$51,MATCH(B141,L_AREAS,0)),""))</f>
        <v/>
      </c>
      <c r="E141" s="26"/>
      <c r="F141" s="13" t="str">
        <f>IF(E141="","",IFERROR(INDEX(Catalogos!$C$5:$C$49,MATCH(E141,L_METAS,0)),""))</f>
        <v/>
      </c>
      <c r="G141" s="13" t="str">
        <f>IF(E141="","",IFERROR(INDEX(Catalogos!$E$5:$E$49,MATCH(E141,L_METAS,0)),""))</f>
        <v/>
      </c>
      <c r="H141" s="26"/>
      <c r="I141" s="26"/>
      <c r="J141" s="26"/>
      <c r="K141" s="26"/>
      <c r="L141" s="26"/>
      <c r="M141" s="27"/>
      <c r="N141" s="26"/>
      <c r="O141" s="26"/>
      <c r="P141" s="26"/>
      <c r="Q141" s="26"/>
      <c r="R141" s="26"/>
      <c r="S141" s="26"/>
      <c r="T141" s="26"/>
      <c r="U141" s="26"/>
      <c r="V141" s="26"/>
      <c r="W141" s="28"/>
      <c r="X141" s="28"/>
      <c r="Y141" s="26"/>
      <c r="Z141" s="26"/>
      <c r="AA141" s="26"/>
      <c r="AB141" s="26"/>
      <c r="AC141" s="26"/>
      <c r="AD141" s="26"/>
      <c r="AE141" s="26"/>
      <c r="AF141" s="26"/>
      <c r="AG141" s="26"/>
      <c r="AH141" s="26"/>
      <c r="AI141" s="26"/>
      <c r="AJ141" s="15" t="str">
        <f>IF(COUNTA(B141,E141,H141,I141,J141,K141,L141,M141,N141,O141,P141,Q141,R141,S141,T141,U141,V141,W141,X141,Y141,Z141,AA141,AB141,AC141,AD141,AE141,AF141,AG141,AH141,AI141)=0,"",IF(OR(B141="",E141="",H141="",J141="",K141="",L141="",M141="",O141="",P141="",Q141="",R141="",S141="",T141="",U141="",W141="",X141="",Y141="",AB141="",AC141="",AE141="",AF141=""),"Incompleta: faltan campos obligatorios",IF(AND(LEFT(H141,6)="PROPIA",I141=""),"Falta el nombre de la acción propia del área",IF(AND(LEFT(H141,3)="A27",IFERROR(INDEX(Catalogos!$T$5:$T$207,MATCH(H141,Catalogos!$U$5:$U$207,0)),"x")&lt;&gt;LEFT(E141,7)),"La acción no corresponde a la meta seleccionada",IF(OR(NOT(ISNUMBER(M141)),M141&lt;10000000,M141&gt;99999999),"Código UNSPSC inválido: registre 8 dígitos",IF(MOD(M141,10000)=0,"UNSPSC a nivel de segmento o familia: use clase o producto",IF(IFERROR(MATCH(P141,L_MESES,0)&lt;MATCH(O141,L_MESES,0),TRUE()),"El mes de ofertas es anterior al de inicio del proceso",IF(OR(NOT(ISNUMBER(Q141)),Q141&lt;=0),"Duración inválida",IF(OR(NOT(ISNUMBER(W141)),NOT(ISNUMBER(X141))),"Valor inválido: registre solo números",IF(OR(W141&lt;=0,X141&lt;=0),"Valor inválido: debe ser mayor que cero",IF(X141&gt;W141,"El valor de la vigencia 2027 supera el valor total",IF(AND(X141&lt;W141,Y141="No"),"El valor total supera el de 2027: requiere vigencias futuras",IF(AND(Y141="Sí",OR(Z141="",Z141="No aplica")),"Indique el estado de la solicitud de vigencias futuras",IF(IF(AND(S141="Mínima cuantía",ISNUMBER(P_TOPE_MINIMA)),W141&gt;P_TOPE_MINIMA,FALSE()),"El valor supera el tope de mínima cuantía 2027",IF(IF(AND(S141="Selección abreviada de menor cuantía",ISNUMBER(P_TOPE_MENOR)),W141&gt;P_TOPE_MENOR,FALSE()),"El valor supera el tope de menor cuantía 2027",IF(OR(ISERROR(SEARCH("@itc.edu.co",AE141)),SUMPRODUCT(--ISNUMBER(SEARCH({"á","é","í","ó","ú","ñ"," "},AE141)))&gt;0),"El correo del responsable no es institucional válido",IF(AND(AF141="Sí",AG141=""),"Indique el N.° de registro 2026 que continúa","OK")))))))))))))))))</f>
        <v/>
      </c>
      <c r="AK141" s="15" t="str">
        <f>IF(AJ141="OK",COUNTIF($AJ$7:AJ141,"OK"),"")</f>
        <v/>
      </c>
    </row>
    <row r="142" spans="1:37" x14ac:dyDescent="0.3">
      <c r="A142" s="13" t="str">
        <f t="shared" si="2"/>
        <v>PN27-136</v>
      </c>
      <c r="B142" s="26"/>
      <c r="C142" s="13" t="str">
        <f>IF(B142="","",IFERROR(INDEX(Catalogos!$R$5:$R$51,MATCH(B142,L_AREAS,0)),""))</f>
        <v/>
      </c>
      <c r="D142" s="13" t="str">
        <f>IF(B142="","",IFERROR(INDEX(Catalogos!$O$5:$O$51,MATCH(B142,L_AREAS,0)),""))</f>
        <v/>
      </c>
      <c r="E142" s="26"/>
      <c r="F142" s="13" t="str">
        <f>IF(E142="","",IFERROR(INDEX(Catalogos!$C$5:$C$49,MATCH(E142,L_METAS,0)),""))</f>
        <v/>
      </c>
      <c r="G142" s="13" t="str">
        <f>IF(E142="","",IFERROR(INDEX(Catalogos!$E$5:$E$49,MATCH(E142,L_METAS,0)),""))</f>
        <v/>
      </c>
      <c r="H142" s="26"/>
      <c r="I142" s="26"/>
      <c r="J142" s="26"/>
      <c r="K142" s="26"/>
      <c r="L142" s="26"/>
      <c r="M142" s="27"/>
      <c r="N142" s="26"/>
      <c r="O142" s="26"/>
      <c r="P142" s="26"/>
      <c r="Q142" s="26"/>
      <c r="R142" s="26"/>
      <c r="S142" s="26"/>
      <c r="T142" s="26"/>
      <c r="U142" s="26"/>
      <c r="V142" s="26"/>
      <c r="W142" s="28"/>
      <c r="X142" s="28"/>
      <c r="Y142" s="26"/>
      <c r="Z142" s="26"/>
      <c r="AA142" s="26"/>
      <c r="AB142" s="26"/>
      <c r="AC142" s="26"/>
      <c r="AD142" s="26"/>
      <c r="AE142" s="26"/>
      <c r="AF142" s="26"/>
      <c r="AG142" s="26"/>
      <c r="AH142" s="26"/>
      <c r="AI142" s="26"/>
      <c r="AJ142" s="15" t="str">
        <f>IF(COUNTA(B142,E142,H142,I142,J142,K142,L142,M142,N142,O142,P142,Q142,R142,S142,T142,U142,V142,W142,X142,Y142,Z142,AA142,AB142,AC142,AD142,AE142,AF142,AG142,AH142,AI142)=0,"",IF(OR(B142="",E142="",H142="",J142="",K142="",L142="",M142="",O142="",P142="",Q142="",R142="",S142="",T142="",U142="",W142="",X142="",Y142="",AB142="",AC142="",AE142="",AF142=""),"Incompleta: faltan campos obligatorios",IF(AND(LEFT(H142,6)="PROPIA",I142=""),"Falta el nombre de la acción propia del área",IF(AND(LEFT(H142,3)="A27",IFERROR(INDEX(Catalogos!$T$5:$T$207,MATCH(H142,Catalogos!$U$5:$U$207,0)),"x")&lt;&gt;LEFT(E142,7)),"La acción no corresponde a la meta seleccionada",IF(OR(NOT(ISNUMBER(M142)),M142&lt;10000000,M142&gt;99999999),"Código UNSPSC inválido: registre 8 dígitos",IF(MOD(M142,10000)=0,"UNSPSC a nivel de segmento o familia: use clase o producto",IF(IFERROR(MATCH(P142,L_MESES,0)&lt;MATCH(O142,L_MESES,0),TRUE()),"El mes de ofertas es anterior al de inicio del proceso",IF(OR(NOT(ISNUMBER(Q142)),Q142&lt;=0),"Duración inválida",IF(OR(NOT(ISNUMBER(W142)),NOT(ISNUMBER(X142))),"Valor inválido: registre solo números",IF(OR(W142&lt;=0,X142&lt;=0),"Valor inválido: debe ser mayor que cero",IF(X142&gt;W142,"El valor de la vigencia 2027 supera el valor total",IF(AND(X142&lt;W142,Y142="No"),"El valor total supera el de 2027: requiere vigencias futuras",IF(AND(Y142="Sí",OR(Z142="",Z142="No aplica")),"Indique el estado de la solicitud de vigencias futuras",IF(IF(AND(S142="Mínima cuantía",ISNUMBER(P_TOPE_MINIMA)),W142&gt;P_TOPE_MINIMA,FALSE()),"El valor supera el tope de mínima cuantía 2027",IF(IF(AND(S142="Selección abreviada de menor cuantía",ISNUMBER(P_TOPE_MENOR)),W142&gt;P_TOPE_MENOR,FALSE()),"El valor supera el tope de menor cuantía 2027",IF(OR(ISERROR(SEARCH("@itc.edu.co",AE142)),SUMPRODUCT(--ISNUMBER(SEARCH({"á","é","í","ó","ú","ñ"," "},AE142)))&gt;0),"El correo del responsable no es institucional válido",IF(AND(AF142="Sí",AG142=""),"Indique el N.° de registro 2026 que continúa","OK")))))))))))))))))</f>
        <v/>
      </c>
      <c r="AK142" s="15" t="str">
        <f>IF(AJ142="OK",COUNTIF($AJ$7:AJ142,"OK"),"")</f>
        <v/>
      </c>
    </row>
    <row r="143" spans="1:37" x14ac:dyDescent="0.3">
      <c r="A143" s="13" t="str">
        <f t="shared" si="2"/>
        <v>PN27-137</v>
      </c>
      <c r="B143" s="26"/>
      <c r="C143" s="13" t="str">
        <f>IF(B143="","",IFERROR(INDEX(Catalogos!$R$5:$R$51,MATCH(B143,L_AREAS,0)),""))</f>
        <v/>
      </c>
      <c r="D143" s="13" t="str">
        <f>IF(B143="","",IFERROR(INDEX(Catalogos!$O$5:$O$51,MATCH(B143,L_AREAS,0)),""))</f>
        <v/>
      </c>
      <c r="E143" s="26"/>
      <c r="F143" s="13" t="str">
        <f>IF(E143="","",IFERROR(INDEX(Catalogos!$C$5:$C$49,MATCH(E143,L_METAS,0)),""))</f>
        <v/>
      </c>
      <c r="G143" s="13" t="str">
        <f>IF(E143="","",IFERROR(INDEX(Catalogos!$E$5:$E$49,MATCH(E143,L_METAS,0)),""))</f>
        <v/>
      </c>
      <c r="H143" s="26"/>
      <c r="I143" s="26"/>
      <c r="J143" s="26"/>
      <c r="K143" s="26"/>
      <c r="L143" s="26"/>
      <c r="M143" s="27"/>
      <c r="N143" s="26"/>
      <c r="O143" s="26"/>
      <c r="P143" s="26"/>
      <c r="Q143" s="26"/>
      <c r="R143" s="26"/>
      <c r="S143" s="26"/>
      <c r="T143" s="26"/>
      <c r="U143" s="26"/>
      <c r="V143" s="26"/>
      <c r="W143" s="28"/>
      <c r="X143" s="28"/>
      <c r="Y143" s="26"/>
      <c r="Z143" s="26"/>
      <c r="AA143" s="26"/>
      <c r="AB143" s="26"/>
      <c r="AC143" s="26"/>
      <c r="AD143" s="26"/>
      <c r="AE143" s="26"/>
      <c r="AF143" s="26"/>
      <c r="AG143" s="26"/>
      <c r="AH143" s="26"/>
      <c r="AI143" s="26"/>
      <c r="AJ143" s="15" t="str">
        <f>IF(COUNTA(B143,E143,H143,I143,J143,K143,L143,M143,N143,O143,P143,Q143,R143,S143,T143,U143,V143,W143,X143,Y143,Z143,AA143,AB143,AC143,AD143,AE143,AF143,AG143,AH143,AI143)=0,"",IF(OR(B143="",E143="",H143="",J143="",K143="",L143="",M143="",O143="",P143="",Q143="",R143="",S143="",T143="",U143="",W143="",X143="",Y143="",AB143="",AC143="",AE143="",AF143=""),"Incompleta: faltan campos obligatorios",IF(AND(LEFT(H143,6)="PROPIA",I143=""),"Falta el nombre de la acción propia del área",IF(AND(LEFT(H143,3)="A27",IFERROR(INDEX(Catalogos!$T$5:$T$207,MATCH(H143,Catalogos!$U$5:$U$207,0)),"x")&lt;&gt;LEFT(E143,7)),"La acción no corresponde a la meta seleccionada",IF(OR(NOT(ISNUMBER(M143)),M143&lt;10000000,M143&gt;99999999),"Código UNSPSC inválido: registre 8 dígitos",IF(MOD(M143,10000)=0,"UNSPSC a nivel de segmento o familia: use clase o producto",IF(IFERROR(MATCH(P143,L_MESES,0)&lt;MATCH(O143,L_MESES,0),TRUE()),"El mes de ofertas es anterior al de inicio del proceso",IF(OR(NOT(ISNUMBER(Q143)),Q143&lt;=0),"Duración inválida",IF(OR(NOT(ISNUMBER(W143)),NOT(ISNUMBER(X143))),"Valor inválido: registre solo números",IF(OR(W143&lt;=0,X143&lt;=0),"Valor inválido: debe ser mayor que cero",IF(X143&gt;W143,"El valor de la vigencia 2027 supera el valor total",IF(AND(X143&lt;W143,Y143="No"),"El valor total supera el de 2027: requiere vigencias futuras",IF(AND(Y143="Sí",OR(Z143="",Z143="No aplica")),"Indique el estado de la solicitud de vigencias futuras",IF(IF(AND(S143="Mínima cuantía",ISNUMBER(P_TOPE_MINIMA)),W143&gt;P_TOPE_MINIMA,FALSE()),"El valor supera el tope de mínima cuantía 2027",IF(IF(AND(S143="Selección abreviada de menor cuantía",ISNUMBER(P_TOPE_MENOR)),W143&gt;P_TOPE_MENOR,FALSE()),"El valor supera el tope de menor cuantía 2027",IF(OR(ISERROR(SEARCH("@itc.edu.co",AE143)),SUMPRODUCT(--ISNUMBER(SEARCH({"á","é","í","ó","ú","ñ"," "},AE143)))&gt;0),"El correo del responsable no es institucional válido",IF(AND(AF143="Sí",AG143=""),"Indique el N.° de registro 2026 que continúa","OK")))))))))))))))))</f>
        <v/>
      </c>
      <c r="AK143" s="15" t="str">
        <f>IF(AJ143="OK",COUNTIF($AJ$7:AJ143,"OK"),"")</f>
        <v/>
      </c>
    </row>
    <row r="144" spans="1:37" x14ac:dyDescent="0.3">
      <c r="A144" s="13" t="str">
        <f t="shared" si="2"/>
        <v>PN27-138</v>
      </c>
      <c r="B144" s="26"/>
      <c r="C144" s="13" t="str">
        <f>IF(B144="","",IFERROR(INDEX(Catalogos!$R$5:$R$51,MATCH(B144,L_AREAS,0)),""))</f>
        <v/>
      </c>
      <c r="D144" s="13" t="str">
        <f>IF(B144="","",IFERROR(INDEX(Catalogos!$O$5:$O$51,MATCH(B144,L_AREAS,0)),""))</f>
        <v/>
      </c>
      <c r="E144" s="26"/>
      <c r="F144" s="13" t="str">
        <f>IF(E144="","",IFERROR(INDEX(Catalogos!$C$5:$C$49,MATCH(E144,L_METAS,0)),""))</f>
        <v/>
      </c>
      <c r="G144" s="13" t="str">
        <f>IF(E144="","",IFERROR(INDEX(Catalogos!$E$5:$E$49,MATCH(E144,L_METAS,0)),""))</f>
        <v/>
      </c>
      <c r="H144" s="26"/>
      <c r="I144" s="26"/>
      <c r="J144" s="26"/>
      <c r="K144" s="26"/>
      <c r="L144" s="26"/>
      <c r="M144" s="27"/>
      <c r="N144" s="26"/>
      <c r="O144" s="26"/>
      <c r="P144" s="26"/>
      <c r="Q144" s="26"/>
      <c r="R144" s="26"/>
      <c r="S144" s="26"/>
      <c r="T144" s="26"/>
      <c r="U144" s="26"/>
      <c r="V144" s="26"/>
      <c r="W144" s="28"/>
      <c r="X144" s="28"/>
      <c r="Y144" s="26"/>
      <c r="Z144" s="26"/>
      <c r="AA144" s="26"/>
      <c r="AB144" s="26"/>
      <c r="AC144" s="26"/>
      <c r="AD144" s="26"/>
      <c r="AE144" s="26"/>
      <c r="AF144" s="26"/>
      <c r="AG144" s="26"/>
      <c r="AH144" s="26"/>
      <c r="AI144" s="26"/>
      <c r="AJ144" s="15" t="str">
        <f>IF(COUNTA(B144,E144,H144,I144,J144,K144,L144,M144,N144,O144,P144,Q144,R144,S144,T144,U144,V144,W144,X144,Y144,Z144,AA144,AB144,AC144,AD144,AE144,AF144,AG144,AH144,AI144)=0,"",IF(OR(B144="",E144="",H144="",J144="",K144="",L144="",M144="",O144="",P144="",Q144="",R144="",S144="",T144="",U144="",W144="",X144="",Y144="",AB144="",AC144="",AE144="",AF144=""),"Incompleta: faltan campos obligatorios",IF(AND(LEFT(H144,6)="PROPIA",I144=""),"Falta el nombre de la acción propia del área",IF(AND(LEFT(H144,3)="A27",IFERROR(INDEX(Catalogos!$T$5:$T$207,MATCH(H144,Catalogos!$U$5:$U$207,0)),"x")&lt;&gt;LEFT(E144,7)),"La acción no corresponde a la meta seleccionada",IF(OR(NOT(ISNUMBER(M144)),M144&lt;10000000,M144&gt;99999999),"Código UNSPSC inválido: registre 8 dígitos",IF(MOD(M144,10000)=0,"UNSPSC a nivel de segmento o familia: use clase o producto",IF(IFERROR(MATCH(P144,L_MESES,0)&lt;MATCH(O144,L_MESES,0),TRUE()),"El mes de ofertas es anterior al de inicio del proceso",IF(OR(NOT(ISNUMBER(Q144)),Q144&lt;=0),"Duración inválida",IF(OR(NOT(ISNUMBER(W144)),NOT(ISNUMBER(X144))),"Valor inválido: registre solo números",IF(OR(W144&lt;=0,X144&lt;=0),"Valor inválido: debe ser mayor que cero",IF(X144&gt;W144,"El valor de la vigencia 2027 supera el valor total",IF(AND(X144&lt;W144,Y144="No"),"El valor total supera el de 2027: requiere vigencias futuras",IF(AND(Y144="Sí",OR(Z144="",Z144="No aplica")),"Indique el estado de la solicitud de vigencias futuras",IF(IF(AND(S144="Mínima cuantía",ISNUMBER(P_TOPE_MINIMA)),W144&gt;P_TOPE_MINIMA,FALSE()),"El valor supera el tope de mínima cuantía 2027",IF(IF(AND(S144="Selección abreviada de menor cuantía",ISNUMBER(P_TOPE_MENOR)),W144&gt;P_TOPE_MENOR,FALSE()),"El valor supera el tope de menor cuantía 2027",IF(OR(ISERROR(SEARCH("@itc.edu.co",AE144)),SUMPRODUCT(--ISNUMBER(SEARCH({"á","é","í","ó","ú","ñ"," "},AE144)))&gt;0),"El correo del responsable no es institucional válido",IF(AND(AF144="Sí",AG144=""),"Indique el N.° de registro 2026 que continúa","OK")))))))))))))))))</f>
        <v/>
      </c>
      <c r="AK144" s="15" t="str">
        <f>IF(AJ144="OK",COUNTIF($AJ$7:AJ144,"OK"),"")</f>
        <v/>
      </c>
    </row>
    <row r="145" spans="1:37" x14ac:dyDescent="0.3">
      <c r="A145" s="13" t="str">
        <f t="shared" si="2"/>
        <v>PN27-139</v>
      </c>
      <c r="B145" s="26"/>
      <c r="C145" s="13" t="str">
        <f>IF(B145="","",IFERROR(INDEX(Catalogos!$R$5:$R$51,MATCH(B145,L_AREAS,0)),""))</f>
        <v/>
      </c>
      <c r="D145" s="13" t="str">
        <f>IF(B145="","",IFERROR(INDEX(Catalogos!$O$5:$O$51,MATCH(B145,L_AREAS,0)),""))</f>
        <v/>
      </c>
      <c r="E145" s="26"/>
      <c r="F145" s="13" t="str">
        <f>IF(E145="","",IFERROR(INDEX(Catalogos!$C$5:$C$49,MATCH(E145,L_METAS,0)),""))</f>
        <v/>
      </c>
      <c r="G145" s="13" t="str">
        <f>IF(E145="","",IFERROR(INDEX(Catalogos!$E$5:$E$49,MATCH(E145,L_METAS,0)),""))</f>
        <v/>
      </c>
      <c r="H145" s="26"/>
      <c r="I145" s="26"/>
      <c r="J145" s="26"/>
      <c r="K145" s="26"/>
      <c r="L145" s="26"/>
      <c r="M145" s="27"/>
      <c r="N145" s="26"/>
      <c r="O145" s="26"/>
      <c r="P145" s="26"/>
      <c r="Q145" s="26"/>
      <c r="R145" s="26"/>
      <c r="S145" s="26"/>
      <c r="T145" s="26"/>
      <c r="U145" s="26"/>
      <c r="V145" s="26"/>
      <c r="W145" s="28"/>
      <c r="X145" s="28"/>
      <c r="Y145" s="26"/>
      <c r="Z145" s="26"/>
      <c r="AA145" s="26"/>
      <c r="AB145" s="26"/>
      <c r="AC145" s="26"/>
      <c r="AD145" s="26"/>
      <c r="AE145" s="26"/>
      <c r="AF145" s="26"/>
      <c r="AG145" s="26"/>
      <c r="AH145" s="26"/>
      <c r="AI145" s="26"/>
      <c r="AJ145" s="15" t="str">
        <f>IF(COUNTA(B145,E145,H145,I145,J145,K145,L145,M145,N145,O145,P145,Q145,R145,S145,T145,U145,V145,W145,X145,Y145,Z145,AA145,AB145,AC145,AD145,AE145,AF145,AG145,AH145,AI145)=0,"",IF(OR(B145="",E145="",H145="",J145="",K145="",L145="",M145="",O145="",P145="",Q145="",R145="",S145="",T145="",U145="",W145="",X145="",Y145="",AB145="",AC145="",AE145="",AF145=""),"Incompleta: faltan campos obligatorios",IF(AND(LEFT(H145,6)="PROPIA",I145=""),"Falta el nombre de la acción propia del área",IF(AND(LEFT(H145,3)="A27",IFERROR(INDEX(Catalogos!$T$5:$T$207,MATCH(H145,Catalogos!$U$5:$U$207,0)),"x")&lt;&gt;LEFT(E145,7)),"La acción no corresponde a la meta seleccionada",IF(OR(NOT(ISNUMBER(M145)),M145&lt;10000000,M145&gt;99999999),"Código UNSPSC inválido: registre 8 dígitos",IF(MOD(M145,10000)=0,"UNSPSC a nivel de segmento o familia: use clase o producto",IF(IFERROR(MATCH(P145,L_MESES,0)&lt;MATCH(O145,L_MESES,0),TRUE()),"El mes de ofertas es anterior al de inicio del proceso",IF(OR(NOT(ISNUMBER(Q145)),Q145&lt;=0),"Duración inválida",IF(OR(NOT(ISNUMBER(W145)),NOT(ISNUMBER(X145))),"Valor inválido: registre solo números",IF(OR(W145&lt;=0,X145&lt;=0),"Valor inválido: debe ser mayor que cero",IF(X145&gt;W145,"El valor de la vigencia 2027 supera el valor total",IF(AND(X145&lt;W145,Y145="No"),"El valor total supera el de 2027: requiere vigencias futuras",IF(AND(Y145="Sí",OR(Z145="",Z145="No aplica")),"Indique el estado de la solicitud de vigencias futuras",IF(IF(AND(S145="Mínima cuantía",ISNUMBER(P_TOPE_MINIMA)),W145&gt;P_TOPE_MINIMA,FALSE()),"El valor supera el tope de mínima cuantía 2027",IF(IF(AND(S145="Selección abreviada de menor cuantía",ISNUMBER(P_TOPE_MENOR)),W145&gt;P_TOPE_MENOR,FALSE()),"El valor supera el tope de menor cuantía 2027",IF(OR(ISERROR(SEARCH("@itc.edu.co",AE145)),SUMPRODUCT(--ISNUMBER(SEARCH({"á","é","í","ó","ú","ñ"," "},AE145)))&gt;0),"El correo del responsable no es institucional válido",IF(AND(AF145="Sí",AG145=""),"Indique el N.° de registro 2026 que continúa","OK")))))))))))))))))</f>
        <v/>
      </c>
      <c r="AK145" s="15" t="str">
        <f>IF(AJ145="OK",COUNTIF($AJ$7:AJ145,"OK"),"")</f>
        <v/>
      </c>
    </row>
    <row r="146" spans="1:37" x14ac:dyDescent="0.3">
      <c r="A146" s="13" t="str">
        <f t="shared" si="2"/>
        <v>PN27-140</v>
      </c>
      <c r="B146" s="26"/>
      <c r="C146" s="13" t="str">
        <f>IF(B146="","",IFERROR(INDEX(Catalogos!$R$5:$R$51,MATCH(B146,L_AREAS,0)),""))</f>
        <v/>
      </c>
      <c r="D146" s="13" t="str">
        <f>IF(B146="","",IFERROR(INDEX(Catalogos!$O$5:$O$51,MATCH(B146,L_AREAS,0)),""))</f>
        <v/>
      </c>
      <c r="E146" s="26"/>
      <c r="F146" s="13" t="str">
        <f>IF(E146="","",IFERROR(INDEX(Catalogos!$C$5:$C$49,MATCH(E146,L_METAS,0)),""))</f>
        <v/>
      </c>
      <c r="G146" s="13" t="str">
        <f>IF(E146="","",IFERROR(INDEX(Catalogos!$E$5:$E$49,MATCH(E146,L_METAS,0)),""))</f>
        <v/>
      </c>
      <c r="H146" s="26"/>
      <c r="I146" s="26"/>
      <c r="J146" s="26"/>
      <c r="K146" s="26"/>
      <c r="L146" s="26"/>
      <c r="M146" s="27"/>
      <c r="N146" s="26"/>
      <c r="O146" s="26"/>
      <c r="P146" s="26"/>
      <c r="Q146" s="26"/>
      <c r="R146" s="26"/>
      <c r="S146" s="26"/>
      <c r="T146" s="26"/>
      <c r="U146" s="26"/>
      <c r="V146" s="26"/>
      <c r="W146" s="28"/>
      <c r="X146" s="28"/>
      <c r="Y146" s="26"/>
      <c r="Z146" s="26"/>
      <c r="AA146" s="26"/>
      <c r="AB146" s="26"/>
      <c r="AC146" s="26"/>
      <c r="AD146" s="26"/>
      <c r="AE146" s="26"/>
      <c r="AF146" s="26"/>
      <c r="AG146" s="26"/>
      <c r="AH146" s="26"/>
      <c r="AI146" s="26"/>
      <c r="AJ146" s="15" t="str">
        <f>IF(COUNTA(B146,E146,H146,I146,J146,K146,L146,M146,N146,O146,P146,Q146,R146,S146,T146,U146,V146,W146,X146,Y146,Z146,AA146,AB146,AC146,AD146,AE146,AF146,AG146,AH146,AI146)=0,"",IF(OR(B146="",E146="",H146="",J146="",K146="",L146="",M146="",O146="",P146="",Q146="",R146="",S146="",T146="",U146="",W146="",X146="",Y146="",AB146="",AC146="",AE146="",AF146=""),"Incompleta: faltan campos obligatorios",IF(AND(LEFT(H146,6)="PROPIA",I146=""),"Falta el nombre de la acción propia del área",IF(AND(LEFT(H146,3)="A27",IFERROR(INDEX(Catalogos!$T$5:$T$207,MATCH(H146,Catalogos!$U$5:$U$207,0)),"x")&lt;&gt;LEFT(E146,7)),"La acción no corresponde a la meta seleccionada",IF(OR(NOT(ISNUMBER(M146)),M146&lt;10000000,M146&gt;99999999),"Código UNSPSC inválido: registre 8 dígitos",IF(MOD(M146,10000)=0,"UNSPSC a nivel de segmento o familia: use clase o producto",IF(IFERROR(MATCH(P146,L_MESES,0)&lt;MATCH(O146,L_MESES,0),TRUE()),"El mes de ofertas es anterior al de inicio del proceso",IF(OR(NOT(ISNUMBER(Q146)),Q146&lt;=0),"Duración inválida",IF(OR(NOT(ISNUMBER(W146)),NOT(ISNUMBER(X146))),"Valor inválido: registre solo números",IF(OR(W146&lt;=0,X146&lt;=0),"Valor inválido: debe ser mayor que cero",IF(X146&gt;W146,"El valor de la vigencia 2027 supera el valor total",IF(AND(X146&lt;W146,Y146="No"),"El valor total supera el de 2027: requiere vigencias futuras",IF(AND(Y146="Sí",OR(Z146="",Z146="No aplica")),"Indique el estado de la solicitud de vigencias futuras",IF(IF(AND(S146="Mínima cuantía",ISNUMBER(P_TOPE_MINIMA)),W146&gt;P_TOPE_MINIMA,FALSE()),"El valor supera el tope de mínima cuantía 2027",IF(IF(AND(S146="Selección abreviada de menor cuantía",ISNUMBER(P_TOPE_MENOR)),W146&gt;P_TOPE_MENOR,FALSE()),"El valor supera el tope de menor cuantía 2027",IF(OR(ISERROR(SEARCH("@itc.edu.co",AE146)),SUMPRODUCT(--ISNUMBER(SEARCH({"á","é","í","ó","ú","ñ"," "},AE146)))&gt;0),"El correo del responsable no es institucional válido",IF(AND(AF146="Sí",AG146=""),"Indique el N.° de registro 2026 que continúa","OK")))))))))))))))))</f>
        <v/>
      </c>
      <c r="AK146" s="15" t="str">
        <f>IF(AJ146="OK",COUNTIF($AJ$7:AJ146,"OK"),"")</f>
        <v/>
      </c>
    </row>
    <row r="147" spans="1:37" x14ac:dyDescent="0.3">
      <c r="A147" s="13" t="str">
        <f t="shared" si="2"/>
        <v>PN27-141</v>
      </c>
      <c r="B147" s="26"/>
      <c r="C147" s="13" t="str">
        <f>IF(B147="","",IFERROR(INDEX(Catalogos!$R$5:$R$51,MATCH(B147,L_AREAS,0)),""))</f>
        <v/>
      </c>
      <c r="D147" s="13" t="str">
        <f>IF(B147="","",IFERROR(INDEX(Catalogos!$O$5:$O$51,MATCH(B147,L_AREAS,0)),""))</f>
        <v/>
      </c>
      <c r="E147" s="26"/>
      <c r="F147" s="13" t="str">
        <f>IF(E147="","",IFERROR(INDEX(Catalogos!$C$5:$C$49,MATCH(E147,L_METAS,0)),""))</f>
        <v/>
      </c>
      <c r="G147" s="13" t="str">
        <f>IF(E147="","",IFERROR(INDEX(Catalogos!$E$5:$E$49,MATCH(E147,L_METAS,0)),""))</f>
        <v/>
      </c>
      <c r="H147" s="26"/>
      <c r="I147" s="26"/>
      <c r="J147" s="26"/>
      <c r="K147" s="26"/>
      <c r="L147" s="26"/>
      <c r="M147" s="27"/>
      <c r="N147" s="26"/>
      <c r="O147" s="26"/>
      <c r="P147" s="26"/>
      <c r="Q147" s="26"/>
      <c r="R147" s="26"/>
      <c r="S147" s="26"/>
      <c r="T147" s="26"/>
      <c r="U147" s="26"/>
      <c r="V147" s="26"/>
      <c r="W147" s="28"/>
      <c r="X147" s="28"/>
      <c r="Y147" s="26"/>
      <c r="Z147" s="26"/>
      <c r="AA147" s="26"/>
      <c r="AB147" s="26"/>
      <c r="AC147" s="26"/>
      <c r="AD147" s="26"/>
      <c r="AE147" s="26"/>
      <c r="AF147" s="26"/>
      <c r="AG147" s="26"/>
      <c r="AH147" s="26"/>
      <c r="AI147" s="26"/>
      <c r="AJ147" s="15" t="str">
        <f>IF(COUNTA(B147,E147,H147,I147,J147,K147,L147,M147,N147,O147,P147,Q147,R147,S147,T147,U147,V147,W147,X147,Y147,Z147,AA147,AB147,AC147,AD147,AE147,AF147,AG147,AH147,AI147)=0,"",IF(OR(B147="",E147="",H147="",J147="",K147="",L147="",M147="",O147="",P147="",Q147="",R147="",S147="",T147="",U147="",W147="",X147="",Y147="",AB147="",AC147="",AE147="",AF147=""),"Incompleta: faltan campos obligatorios",IF(AND(LEFT(H147,6)="PROPIA",I147=""),"Falta el nombre de la acción propia del área",IF(AND(LEFT(H147,3)="A27",IFERROR(INDEX(Catalogos!$T$5:$T$207,MATCH(H147,Catalogos!$U$5:$U$207,0)),"x")&lt;&gt;LEFT(E147,7)),"La acción no corresponde a la meta seleccionada",IF(OR(NOT(ISNUMBER(M147)),M147&lt;10000000,M147&gt;99999999),"Código UNSPSC inválido: registre 8 dígitos",IF(MOD(M147,10000)=0,"UNSPSC a nivel de segmento o familia: use clase o producto",IF(IFERROR(MATCH(P147,L_MESES,0)&lt;MATCH(O147,L_MESES,0),TRUE()),"El mes de ofertas es anterior al de inicio del proceso",IF(OR(NOT(ISNUMBER(Q147)),Q147&lt;=0),"Duración inválida",IF(OR(NOT(ISNUMBER(W147)),NOT(ISNUMBER(X147))),"Valor inválido: registre solo números",IF(OR(W147&lt;=0,X147&lt;=0),"Valor inválido: debe ser mayor que cero",IF(X147&gt;W147,"El valor de la vigencia 2027 supera el valor total",IF(AND(X147&lt;W147,Y147="No"),"El valor total supera el de 2027: requiere vigencias futuras",IF(AND(Y147="Sí",OR(Z147="",Z147="No aplica")),"Indique el estado de la solicitud de vigencias futuras",IF(IF(AND(S147="Mínima cuantía",ISNUMBER(P_TOPE_MINIMA)),W147&gt;P_TOPE_MINIMA,FALSE()),"El valor supera el tope de mínima cuantía 2027",IF(IF(AND(S147="Selección abreviada de menor cuantía",ISNUMBER(P_TOPE_MENOR)),W147&gt;P_TOPE_MENOR,FALSE()),"El valor supera el tope de menor cuantía 2027",IF(OR(ISERROR(SEARCH("@itc.edu.co",AE147)),SUMPRODUCT(--ISNUMBER(SEARCH({"á","é","í","ó","ú","ñ"," "},AE147)))&gt;0),"El correo del responsable no es institucional válido",IF(AND(AF147="Sí",AG147=""),"Indique el N.° de registro 2026 que continúa","OK")))))))))))))))))</f>
        <v/>
      </c>
      <c r="AK147" s="15" t="str">
        <f>IF(AJ147="OK",COUNTIF($AJ$7:AJ147,"OK"),"")</f>
        <v/>
      </c>
    </row>
    <row r="148" spans="1:37" x14ac:dyDescent="0.3">
      <c r="A148" s="13" t="str">
        <f t="shared" si="2"/>
        <v>PN27-142</v>
      </c>
      <c r="B148" s="26"/>
      <c r="C148" s="13" t="str">
        <f>IF(B148="","",IFERROR(INDEX(Catalogos!$R$5:$R$51,MATCH(B148,L_AREAS,0)),""))</f>
        <v/>
      </c>
      <c r="D148" s="13" t="str">
        <f>IF(B148="","",IFERROR(INDEX(Catalogos!$O$5:$O$51,MATCH(B148,L_AREAS,0)),""))</f>
        <v/>
      </c>
      <c r="E148" s="26"/>
      <c r="F148" s="13" t="str">
        <f>IF(E148="","",IFERROR(INDEX(Catalogos!$C$5:$C$49,MATCH(E148,L_METAS,0)),""))</f>
        <v/>
      </c>
      <c r="G148" s="13" t="str">
        <f>IF(E148="","",IFERROR(INDEX(Catalogos!$E$5:$E$49,MATCH(E148,L_METAS,0)),""))</f>
        <v/>
      </c>
      <c r="H148" s="26"/>
      <c r="I148" s="26"/>
      <c r="J148" s="26"/>
      <c r="K148" s="26"/>
      <c r="L148" s="26"/>
      <c r="M148" s="27"/>
      <c r="N148" s="26"/>
      <c r="O148" s="26"/>
      <c r="P148" s="26"/>
      <c r="Q148" s="26"/>
      <c r="R148" s="26"/>
      <c r="S148" s="26"/>
      <c r="T148" s="26"/>
      <c r="U148" s="26"/>
      <c r="V148" s="26"/>
      <c r="W148" s="28"/>
      <c r="X148" s="28"/>
      <c r="Y148" s="26"/>
      <c r="Z148" s="26"/>
      <c r="AA148" s="26"/>
      <c r="AB148" s="26"/>
      <c r="AC148" s="26"/>
      <c r="AD148" s="26"/>
      <c r="AE148" s="26"/>
      <c r="AF148" s="26"/>
      <c r="AG148" s="26"/>
      <c r="AH148" s="26"/>
      <c r="AI148" s="26"/>
      <c r="AJ148" s="15" t="str">
        <f>IF(COUNTA(B148,E148,H148,I148,J148,K148,L148,M148,N148,O148,P148,Q148,R148,S148,T148,U148,V148,W148,X148,Y148,Z148,AA148,AB148,AC148,AD148,AE148,AF148,AG148,AH148,AI148)=0,"",IF(OR(B148="",E148="",H148="",J148="",K148="",L148="",M148="",O148="",P148="",Q148="",R148="",S148="",T148="",U148="",W148="",X148="",Y148="",AB148="",AC148="",AE148="",AF148=""),"Incompleta: faltan campos obligatorios",IF(AND(LEFT(H148,6)="PROPIA",I148=""),"Falta el nombre de la acción propia del área",IF(AND(LEFT(H148,3)="A27",IFERROR(INDEX(Catalogos!$T$5:$T$207,MATCH(H148,Catalogos!$U$5:$U$207,0)),"x")&lt;&gt;LEFT(E148,7)),"La acción no corresponde a la meta seleccionada",IF(OR(NOT(ISNUMBER(M148)),M148&lt;10000000,M148&gt;99999999),"Código UNSPSC inválido: registre 8 dígitos",IF(MOD(M148,10000)=0,"UNSPSC a nivel de segmento o familia: use clase o producto",IF(IFERROR(MATCH(P148,L_MESES,0)&lt;MATCH(O148,L_MESES,0),TRUE()),"El mes de ofertas es anterior al de inicio del proceso",IF(OR(NOT(ISNUMBER(Q148)),Q148&lt;=0),"Duración inválida",IF(OR(NOT(ISNUMBER(W148)),NOT(ISNUMBER(X148))),"Valor inválido: registre solo números",IF(OR(W148&lt;=0,X148&lt;=0),"Valor inválido: debe ser mayor que cero",IF(X148&gt;W148,"El valor de la vigencia 2027 supera el valor total",IF(AND(X148&lt;W148,Y148="No"),"El valor total supera el de 2027: requiere vigencias futuras",IF(AND(Y148="Sí",OR(Z148="",Z148="No aplica")),"Indique el estado de la solicitud de vigencias futuras",IF(IF(AND(S148="Mínima cuantía",ISNUMBER(P_TOPE_MINIMA)),W148&gt;P_TOPE_MINIMA,FALSE()),"El valor supera el tope de mínima cuantía 2027",IF(IF(AND(S148="Selección abreviada de menor cuantía",ISNUMBER(P_TOPE_MENOR)),W148&gt;P_TOPE_MENOR,FALSE()),"El valor supera el tope de menor cuantía 2027",IF(OR(ISERROR(SEARCH("@itc.edu.co",AE148)),SUMPRODUCT(--ISNUMBER(SEARCH({"á","é","í","ó","ú","ñ"," "},AE148)))&gt;0),"El correo del responsable no es institucional válido",IF(AND(AF148="Sí",AG148=""),"Indique el N.° de registro 2026 que continúa","OK")))))))))))))))))</f>
        <v/>
      </c>
      <c r="AK148" s="15" t="str">
        <f>IF(AJ148="OK",COUNTIF($AJ$7:AJ148,"OK"),"")</f>
        <v/>
      </c>
    </row>
    <row r="149" spans="1:37" x14ac:dyDescent="0.3">
      <c r="A149" s="13" t="str">
        <f t="shared" si="2"/>
        <v>PN27-143</v>
      </c>
      <c r="B149" s="26"/>
      <c r="C149" s="13" t="str">
        <f>IF(B149="","",IFERROR(INDEX(Catalogos!$R$5:$R$51,MATCH(B149,L_AREAS,0)),""))</f>
        <v/>
      </c>
      <c r="D149" s="13" t="str">
        <f>IF(B149="","",IFERROR(INDEX(Catalogos!$O$5:$O$51,MATCH(B149,L_AREAS,0)),""))</f>
        <v/>
      </c>
      <c r="E149" s="26"/>
      <c r="F149" s="13" t="str">
        <f>IF(E149="","",IFERROR(INDEX(Catalogos!$C$5:$C$49,MATCH(E149,L_METAS,0)),""))</f>
        <v/>
      </c>
      <c r="G149" s="13" t="str">
        <f>IF(E149="","",IFERROR(INDEX(Catalogos!$E$5:$E$49,MATCH(E149,L_METAS,0)),""))</f>
        <v/>
      </c>
      <c r="H149" s="26"/>
      <c r="I149" s="26"/>
      <c r="J149" s="26"/>
      <c r="K149" s="26"/>
      <c r="L149" s="26"/>
      <c r="M149" s="27"/>
      <c r="N149" s="26"/>
      <c r="O149" s="26"/>
      <c r="P149" s="26"/>
      <c r="Q149" s="26"/>
      <c r="R149" s="26"/>
      <c r="S149" s="26"/>
      <c r="T149" s="26"/>
      <c r="U149" s="26"/>
      <c r="V149" s="26"/>
      <c r="W149" s="28"/>
      <c r="X149" s="28"/>
      <c r="Y149" s="26"/>
      <c r="Z149" s="26"/>
      <c r="AA149" s="26"/>
      <c r="AB149" s="26"/>
      <c r="AC149" s="26"/>
      <c r="AD149" s="26"/>
      <c r="AE149" s="26"/>
      <c r="AF149" s="26"/>
      <c r="AG149" s="26"/>
      <c r="AH149" s="26"/>
      <c r="AI149" s="26"/>
      <c r="AJ149" s="15" t="str">
        <f>IF(COUNTA(B149,E149,H149,I149,J149,K149,L149,M149,N149,O149,P149,Q149,R149,S149,T149,U149,V149,W149,X149,Y149,Z149,AA149,AB149,AC149,AD149,AE149,AF149,AG149,AH149,AI149)=0,"",IF(OR(B149="",E149="",H149="",J149="",K149="",L149="",M149="",O149="",P149="",Q149="",R149="",S149="",T149="",U149="",W149="",X149="",Y149="",AB149="",AC149="",AE149="",AF149=""),"Incompleta: faltan campos obligatorios",IF(AND(LEFT(H149,6)="PROPIA",I149=""),"Falta el nombre de la acción propia del área",IF(AND(LEFT(H149,3)="A27",IFERROR(INDEX(Catalogos!$T$5:$T$207,MATCH(H149,Catalogos!$U$5:$U$207,0)),"x")&lt;&gt;LEFT(E149,7)),"La acción no corresponde a la meta seleccionada",IF(OR(NOT(ISNUMBER(M149)),M149&lt;10000000,M149&gt;99999999),"Código UNSPSC inválido: registre 8 dígitos",IF(MOD(M149,10000)=0,"UNSPSC a nivel de segmento o familia: use clase o producto",IF(IFERROR(MATCH(P149,L_MESES,0)&lt;MATCH(O149,L_MESES,0),TRUE()),"El mes de ofertas es anterior al de inicio del proceso",IF(OR(NOT(ISNUMBER(Q149)),Q149&lt;=0),"Duración inválida",IF(OR(NOT(ISNUMBER(W149)),NOT(ISNUMBER(X149))),"Valor inválido: registre solo números",IF(OR(W149&lt;=0,X149&lt;=0),"Valor inválido: debe ser mayor que cero",IF(X149&gt;W149,"El valor de la vigencia 2027 supera el valor total",IF(AND(X149&lt;W149,Y149="No"),"El valor total supera el de 2027: requiere vigencias futuras",IF(AND(Y149="Sí",OR(Z149="",Z149="No aplica")),"Indique el estado de la solicitud de vigencias futuras",IF(IF(AND(S149="Mínima cuantía",ISNUMBER(P_TOPE_MINIMA)),W149&gt;P_TOPE_MINIMA,FALSE()),"El valor supera el tope de mínima cuantía 2027",IF(IF(AND(S149="Selección abreviada de menor cuantía",ISNUMBER(P_TOPE_MENOR)),W149&gt;P_TOPE_MENOR,FALSE()),"El valor supera el tope de menor cuantía 2027",IF(OR(ISERROR(SEARCH("@itc.edu.co",AE149)),SUMPRODUCT(--ISNUMBER(SEARCH({"á","é","í","ó","ú","ñ"," "},AE149)))&gt;0),"El correo del responsable no es institucional válido",IF(AND(AF149="Sí",AG149=""),"Indique el N.° de registro 2026 que continúa","OK")))))))))))))))))</f>
        <v/>
      </c>
      <c r="AK149" s="15" t="str">
        <f>IF(AJ149="OK",COUNTIF($AJ$7:AJ149,"OK"),"")</f>
        <v/>
      </c>
    </row>
    <row r="150" spans="1:37" x14ac:dyDescent="0.3">
      <c r="A150" s="13" t="str">
        <f t="shared" si="2"/>
        <v>PN27-144</v>
      </c>
      <c r="B150" s="26"/>
      <c r="C150" s="13" t="str">
        <f>IF(B150="","",IFERROR(INDEX(Catalogos!$R$5:$R$51,MATCH(B150,L_AREAS,0)),""))</f>
        <v/>
      </c>
      <c r="D150" s="13" t="str">
        <f>IF(B150="","",IFERROR(INDEX(Catalogos!$O$5:$O$51,MATCH(B150,L_AREAS,0)),""))</f>
        <v/>
      </c>
      <c r="E150" s="26"/>
      <c r="F150" s="13" t="str">
        <f>IF(E150="","",IFERROR(INDEX(Catalogos!$C$5:$C$49,MATCH(E150,L_METAS,0)),""))</f>
        <v/>
      </c>
      <c r="G150" s="13" t="str">
        <f>IF(E150="","",IFERROR(INDEX(Catalogos!$E$5:$E$49,MATCH(E150,L_METAS,0)),""))</f>
        <v/>
      </c>
      <c r="H150" s="26"/>
      <c r="I150" s="26"/>
      <c r="J150" s="26"/>
      <c r="K150" s="26"/>
      <c r="L150" s="26"/>
      <c r="M150" s="27"/>
      <c r="N150" s="26"/>
      <c r="O150" s="26"/>
      <c r="P150" s="26"/>
      <c r="Q150" s="26"/>
      <c r="R150" s="26"/>
      <c r="S150" s="26"/>
      <c r="T150" s="26"/>
      <c r="U150" s="26"/>
      <c r="V150" s="26"/>
      <c r="W150" s="28"/>
      <c r="X150" s="28"/>
      <c r="Y150" s="26"/>
      <c r="Z150" s="26"/>
      <c r="AA150" s="26"/>
      <c r="AB150" s="26"/>
      <c r="AC150" s="26"/>
      <c r="AD150" s="26"/>
      <c r="AE150" s="26"/>
      <c r="AF150" s="26"/>
      <c r="AG150" s="26"/>
      <c r="AH150" s="26"/>
      <c r="AI150" s="26"/>
      <c r="AJ150" s="15" t="str">
        <f>IF(COUNTA(B150,E150,H150,I150,J150,K150,L150,M150,N150,O150,P150,Q150,R150,S150,T150,U150,V150,W150,X150,Y150,Z150,AA150,AB150,AC150,AD150,AE150,AF150,AG150,AH150,AI150)=0,"",IF(OR(B150="",E150="",H150="",J150="",K150="",L150="",M150="",O150="",P150="",Q150="",R150="",S150="",T150="",U150="",W150="",X150="",Y150="",AB150="",AC150="",AE150="",AF150=""),"Incompleta: faltan campos obligatorios",IF(AND(LEFT(H150,6)="PROPIA",I150=""),"Falta el nombre de la acción propia del área",IF(AND(LEFT(H150,3)="A27",IFERROR(INDEX(Catalogos!$T$5:$T$207,MATCH(H150,Catalogos!$U$5:$U$207,0)),"x")&lt;&gt;LEFT(E150,7)),"La acción no corresponde a la meta seleccionada",IF(OR(NOT(ISNUMBER(M150)),M150&lt;10000000,M150&gt;99999999),"Código UNSPSC inválido: registre 8 dígitos",IF(MOD(M150,10000)=0,"UNSPSC a nivel de segmento o familia: use clase o producto",IF(IFERROR(MATCH(P150,L_MESES,0)&lt;MATCH(O150,L_MESES,0),TRUE()),"El mes de ofertas es anterior al de inicio del proceso",IF(OR(NOT(ISNUMBER(Q150)),Q150&lt;=0),"Duración inválida",IF(OR(NOT(ISNUMBER(W150)),NOT(ISNUMBER(X150))),"Valor inválido: registre solo números",IF(OR(W150&lt;=0,X150&lt;=0),"Valor inválido: debe ser mayor que cero",IF(X150&gt;W150,"El valor de la vigencia 2027 supera el valor total",IF(AND(X150&lt;W150,Y150="No"),"El valor total supera el de 2027: requiere vigencias futuras",IF(AND(Y150="Sí",OR(Z150="",Z150="No aplica")),"Indique el estado de la solicitud de vigencias futuras",IF(IF(AND(S150="Mínima cuantía",ISNUMBER(P_TOPE_MINIMA)),W150&gt;P_TOPE_MINIMA,FALSE()),"El valor supera el tope de mínima cuantía 2027",IF(IF(AND(S150="Selección abreviada de menor cuantía",ISNUMBER(P_TOPE_MENOR)),W150&gt;P_TOPE_MENOR,FALSE()),"El valor supera el tope de menor cuantía 2027",IF(OR(ISERROR(SEARCH("@itc.edu.co",AE150)),SUMPRODUCT(--ISNUMBER(SEARCH({"á","é","í","ó","ú","ñ"," "},AE150)))&gt;0),"El correo del responsable no es institucional válido",IF(AND(AF150="Sí",AG150=""),"Indique el N.° de registro 2026 que continúa","OK")))))))))))))))))</f>
        <v/>
      </c>
      <c r="AK150" s="15" t="str">
        <f>IF(AJ150="OK",COUNTIF($AJ$7:AJ150,"OK"),"")</f>
        <v/>
      </c>
    </row>
    <row r="151" spans="1:37" x14ac:dyDescent="0.3">
      <c r="A151" s="13" t="str">
        <f t="shared" si="2"/>
        <v>PN27-145</v>
      </c>
      <c r="B151" s="26"/>
      <c r="C151" s="13" t="str">
        <f>IF(B151="","",IFERROR(INDEX(Catalogos!$R$5:$R$51,MATCH(B151,L_AREAS,0)),""))</f>
        <v/>
      </c>
      <c r="D151" s="13" t="str">
        <f>IF(B151="","",IFERROR(INDEX(Catalogos!$O$5:$O$51,MATCH(B151,L_AREAS,0)),""))</f>
        <v/>
      </c>
      <c r="E151" s="26"/>
      <c r="F151" s="13" t="str">
        <f>IF(E151="","",IFERROR(INDEX(Catalogos!$C$5:$C$49,MATCH(E151,L_METAS,0)),""))</f>
        <v/>
      </c>
      <c r="G151" s="13" t="str">
        <f>IF(E151="","",IFERROR(INDEX(Catalogos!$E$5:$E$49,MATCH(E151,L_METAS,0)),""))</f>
        <v/>
      </c>
      <c r="H151" s="26"/>
      <c r="I151" s="26"/>
      <c r="J151" s="26"/>
      <c r="K151" s="26"/>
      <c r="L151" s="26"/>
      <c r="M151" s="27"/>
      <c r="N151" s="26"/>
      <c r="O151" s="26"/>
      <c r="P151" s="26"/>
      <c r="Q151" s="26"/>
      <c r="R151" s="26"/>
      <c r="S151" s="26"/>
      <c r="T151" s="26"/>
      <c r="U151" s="26"/>
      <c r="V151" s="26"/>
      <c r="W151" s="28"/>
      <c r="X151" s="28"/>
      <c r="Y151" s="26"/>
      <c r="Z151" s="26"/>
      <c r="AA151" s="26"/>
      <c r="AB151" s="26"/>
      <c r="AC151" s="26"/>
      <c r="AD151" s="26"/>
      <c r="AE151" s="26"/>
      <c r="AF151" s="26"/>
      <c r="AG151" s="26"/>
      <c r="AH151" s="26"/>
      <c r="AI151" s="26"/>
      <c r="AJ151" s="15" t="str">
        <f>IF(COUNTA(B151,E151,H151,I151,J151,K151,L151,M151,N151,O151,P151,Q151,R151,S151,T151,U151,V151,W151,X151,Y151,Z151,AA151,AB151,AC151,AD151,AE151,AF151,AG151,AH151,AI151)=0,"",IF(OR(B151="",E151="",H151="",J151="",K151="",L151="",M151="",O151="",P151="",Q151="",R151="",S151="",T151="",U151="",W151="",X151="",Y151="",AB151="",AC151="",AE151="",AF151=""),"Incompleta: faltan campos obligatorios",IF(AND(LEFT(H151,6)="PROPIA",I151=""),"Falta el nombre de la acción propia del área",IF(AND(LEFT(H151,3)="A27",IFERROR(INDEX(Catalogos!$T$5:$T$207,MATCH(H151,Catalogos!$U$5:$U$207,0)),"x")&lt;&gt;LEFT(E151,7)),"La acción no corresponde a la meta seleccionada",IF(OR(NOT(ISNUMBER(M151)),M151&lt;10000000,M151&gt;99999999),"Código UNSPSC inválido: registre 8 dígitos",IF(MOD(M151,10000)=0,"UNSPSC a nivel de segmento o familia: use clase o producto",IF(IFERROR(MATCH(P151,L_MESES,0)&lt;MATCH(O151,L_MESES,0),TRUE()),"El mes de ofertas es anterior al de inicio del proceso",IF(OR(NOT(ISNUMBER(Q151)),Q151&lt;=0),"Duración inválida",IF(OR(NOT(ISNUMBER(W151)),NOT(ISNUMBER(X151))),"Valor inválido: registre solo números",IF(OR(W151&lt;=0,X151&lt;=0),"Valor inválido: debe ser mayor que cero",IF(X151&gt;W151,"El valor de la vigencia 2027 supera el valor total",IF(AND(X151&lt;W151,Y151="No"),"El valor total supera el de 2027: requiere vigencias futuras",IF(AND(Y151="Sí",OR(Z151="",Z151="No aplica")),"Indique el estado de la solicitud de vigencias futuras",IF(IF(AND(S151="Mínima cuantía",ISNUMBER(P_TOPE_MINIMA)),W151&gt;P_TOPE_MINIMA,FALSE()),"El valor supera el tope de mínima cuantía 2027",IF(IF(AND(S151="Selección abreviada de menor cuantía",ISNUMBER(P_TOPE_MENOR)),W151&gt;P_TOPE_MENOR,FALSE()),"El valor supera el tope de menor cuantía 2027",IF(OR(ISERROR(SEARCH("@itc.edu.co",AE151)),SUMPRODUCT(--ISNUMBER(SEARCH({"á","é","í","ó","ú","ñ"," "},AE151)))&gt;0),"El correo del responsable no es institucional válido",IF(AND(AF151="Sí",AG151=""),"Indique el N.° de registro 2026 que continúa","OK")))))))))))))))))</f>
        <v/>
      </c>
      <c r="AK151" s="15" t="str">
        <f>IF(AJ151="OK",COUNTIF($AJ$7:AJ151,"OK"),"")</f>
        <v/>
      </c>
    </row>
    <row r="152" spans="1:37" x14ac:dyDescent="0.3">
      <c r="A152" s="13" t="str">
        <f t="shared" si="2"/>
        <v>PN27-146</v>
      </c>
      <c r="B152" s="26"/>
      <c r="C152" s="13" t="str">
        <f>IF(B152="","",IFERROR(INDEX(Catalogos!$R$5:$R$51,MATCH(B152,L_AREAS,0)),""))</f>
        <v/>
      </c>
      <c r="D152" s="13" t="str">
        <f>IF(B152="","",IFERROR(INDEX(Catalogos!$O$5:$O$51,MATCH(B152,L_AREAS,0)),""))</f>
        <v/>
      </c>
      <c r="E152" s="26"/>
      <c r="F152" s="13" t="str">
        <f>IF(E152="","",IFERROR(INDEX(Catalogos!$C$5:$C$49,MATCH(E152,L_METAS,0)),""))</f>
        <v/>
      </c>
      <c r="G152" s="13" t="str">
        <f>IF(E152="","",IFERROR(INDEX(Catalogos!$E$5:$E$49,MATCH(E152,L_METAS,0)),""))</f>
        <v/>
      </c>
      <c r="H152" s="26"/>
      <c r="I152" s="26"/>
      <c r="J152" s="26"/>
      <c r="K152" s="26"/>
      <c r="L152" s="26"/>
      <c r="M152" s="27"/>
      <c r="N152" s="26"/>
      <c r="O152" s="26"/>
      <c r="P152" s="26"/>
      <c r="Q152" s="26"/>
      <c r="R152" s="26"/>
      <c r="S152" s="26"/>
      <c r="T152" s="26"/>
      <c r="U152" s="26"/>
      <c r="V152" s="26"/>
      <c r="W152" s="28"/>
      <c r="X152" s="28"/>
      <c r="Y152" s="26"/>
      <c r="Z152" s="26"/>
      <c r="AA152" s="26"/>
      <c r="AB152" s="26"/>
      <c r="AC152" s="26"/>
      <c r="AD152" s="26"/>
      <c r="AE152" s="26"/>
      <c r="AF152" s="26"/>
      <c r="AG152" s="26"/>
      <c r="AH152" s="26"/>
      <c r="AI152" s="26"/>
      <c r="AJ152" s="15" t="str">
        <f>IF(COUNTA(B152,E152,H152,I152,J152,K152,L152,M152,N152,O152,P152,Q152,R152,S152,T152,U152,V152,W152,X152,Y152,Z152,AA152,AB152,AC152,AD152,AE152,AF152,AG152,AH152,AI152)=0,"",IF(OR(B152="",E152="",H152="",J152="",K152="",L152="",M152="",O152="",P152="",Q152="",R152="",S152="",T152="",U152="",W152="",X152="",Y152="",AB152="",AC152="",AE152="",AF152=""),"Incompleta: faltan campos obligatorios",IF(AND(LEFT(H152,6)="PROPIA",I152=""),"Falta el nombre de la acción propia del área",IF(AND(LEFT(H152,3)="A27",IFERROR(INDEX(Catalogos!$T$5:$T$207,MATCH(H152,Catalogos!$U$5:$U$207,0)),"x")&lt;&gt;LEFT(E152,7)),"La acción no corresponde a la meta seleccionada",IF(OR(NOT(ISNUMBER(M152)),M152&lt;10000000,M152&gt;99999999),"Código UNSPSC inválido: registre 8 dígitos",IF(MOD(M152,10000)=0,"UNSPSC a nivel de segmento o familia: use clase o producto",IF(IFERROR(MATCH(P152,L_MESES,0)&lt;MATCH(O152,L_MESES,0),TRUE()),"El mes de ofertas es anterior al de inicio del proceso",IF(OR(NOT(ISNUMBER(Q152)),Q152&lt;=0),"Duración inválida",IF(OR(NOT(ISNUMBER(W152)),NOT(ISNUMBER(X152))),"Valor inválido: registre solo números",IF(OR(W152&lt;=0,X152&lt;=0),"Valor inválido: debe ser mayor que cero",IF(X152&gt;W152,"El valor de la vigencia 2027 supera el valor total",IF(AND(X152&lt;W152,Y152="No"),"El valor total supera el de 2027: requiere vigencias futuras",IF(AND(Y152="Sí",OR(Z152="",Z152="No aplica")),"Indique el estado de la solicitud de vigencias futuras",IF(IF(AND(S152="Mínima cuantía",ISNUMBER(P_TOPE_MINIMA)),W152&gt;P_TOPE_MINIMA,FALSE()),"El valor supera el tope de mínima cuantía 2027",IF(IF(AND(S152="Selección abreviada de menor cuantía",ISNUMBER(P_TOPE_MENOR)),W152&gt;P_TOPE_MENOR,FALSE()),"El valor supera el tope de menor cuantía 2027",IF(OR(ISERROR(SEARCH("@itc.edu.co",AE152)),SUMPRODUCT(--ISNUMBER(SEARCH({"á","é","í","ó","ú","ñ"," "},AE152)))&gt;0),"El correo del responsable no es institucional válido",IF(AND(AF152="Sí",AG152=""),"Indique el N.° de registro 2026 que continúa","OK")))))))))))))))))</f>
        <v/>
      </c>
      <c r="AK152" s="15" t="str">
        <f>IF(AJ152="OK",COUNTIF($AJ$7:AJ152,"OK"),"")</f>
        <v/>
      </c>
    </row>
    <row r="153" spans="1:37" x14ac:dyDescent="0.3">
      <c r="A153" s="13" t="str">
        <f t="shared" si="2"/>
        <v>PN27-147</v>
      </c>
      <c r="B153" s="26"/>
      <c r="C153" s="13" t="str">
        <f>IF(B153="","",IFERROR(INDEX(Catalogos!$R$5:$R$51,MATCH(B153,L_AREAS,0)),""))</f>
        <v/>
      </c>
      <c r="D153" s="13" t="str">
        <f>IF(B153="","",IFERROR(INDEX(Catalogos!$O$5:$O$51,MATCH(B153,L_AREAS,0)),""))</f>
        <v/>
      </c>
      <c r="E153" s="26"/>
      <c r="F153" s="13" t="str">
        <f>IF(E153="","",IFERROR(INDEX(Catalogos!$C$5:$C$49,MATCH(E153,L_METAS,0)),""))</f>
        <v/>
      </c>
      <c r="G153" s="13" t="str">
        <f>IF(E153="","",IFERROR(INDEX(Catalogos!$E$5:$E$49,MATCH(E153,L_METAS,0)),""))</f>
        <v/>
      </c>
      <c r="H153" s="26"/>
      <c r="I153" s="26"/>
      <c r="J153" s="26"/>
      <c r="K153" s="26"/>
      <c r="L153" s="26"/>
      <c r="M153" s="27"/>
      <c r="N153" s="26"/>
      <c r="O153" s="26"/>
      <c r="P153" s="26"/>
      <c r="Q153" s="26"/>
      <c r="R153" s="26"/>
      <c r="S153" s="26"/>
      <c r="T153" s="26"/>
      <c r="U153" s="26"/>
      <c r="V153" s="26"/>
      <c r="W153" s="28"/>
      <c r="X153" s="28"/>
      <c r="Y153" s="26"/>
      <c r="Z153" s="26"/>
      <c r="AA153" s="26"/>
      <c r="AB153" s="26"/>
      <c r="AC153" s="26"/>
      <c r="AD153" s="26"/>
      <c r="AE153" s="26"/>
      <c r="AF153" s="26"/>
      <c r="AG153" s="26"/>
      <c r="AH153" s="26"/>
      <c r="AI153" s="26"/>
      <c r="AJ153" s="15" t="str">
        <f>IF(COUNTA(B153,E153,H153,I153,J153,K153,L153,M153,N153,O153,P153,Q153,R153,S153,T153,U153,V153,W153,X153,Y153,Z153,AA153,AB153,AC153,AD153,AE153,AF153,AG153,AH153,AI153)=0,"",IF(OR(B153="",E153="",H153="",J153="",K153="",L153="",M153="",O153="",P153="",Q153="",R153="",S153="",T153="",U153="",W153="",X153="",Y153="",AB153="",AC153="",AE153="",AF153=""),"Incompleta: faltan campos obligatorios",IF(AND(LEFT(H153,6)="PROPIA",I153=""),"Falta el nombre de la acción propia del área",IF(AND(LEFT(H153,3)="A27",IFERROR(INDEX(Catalogos!$T$5:$T$207,MATCH(H153,Catalogos!$U$5:$U$207,0)),"x")&lt;&gt;LEFT(E153,7)),"La acción no corresponde a la meta seleccionada",IF(OR(NOT(ISNUMBER(M153)),M153&lt;10000000,M153&gt;99999999),"Código UNSPSC inválido: registre 8 dígitos",IF(MOD(M153,10000)=0,"UNSPSC a nivel de segmento o familia: use clase o producto",IF(IFERROR(MATCH(P153,L_MESES,0)&lt;MATCH(O153,L_MESES,0),TRUE()),"El mes de ofertas es anterior al de inicio del proceso",IF(OR(NOT(ISNUMBER(Q153)),Q153&lt;=0),"Duración inválida",IF(OR(NOT(ISNUMBER(W153)),NOT(ISNUMBER(X153))),"Valor inválido: registre solo números",IF(OR(W153&lt;=0,X153&lt;=0),"Valor inválido: debe ser mayor que cero",IF(X153&gt;W153,"El valor de la vigencia 2027 supera el valor total",IF(AND(X153&lt;W153,Y153="No"),"El valor total supera el de 2027: requiere vigencias futuras",IF(AND(Y153="Sí",OR(Z153="",Z153="No aplica")),"Indique el estado de la solicitud de vigencias futuras",IF(IF(AND(S153="Mínima cuantía",ISNUMBER(P_TOPE_MINIMA)),W153&gt;P_TOPE_MINIMA,FALSE()),"El valor supera el tope de mínima cuantía 2027",IF(IF(AND(S153="Selección abreviada de menor cuantía",ISNUMBER(P_TOPE_MENOR)),W153&gt;P_TOPE_MENOR,FALSE()),"El valor supera el tope de menor cuantía 2027",IF(OR(ISERROR(SEARCH("@itc.edu.co",AE153)),SUMPRODUCT(--ISNUMBER(SEARCH({"á","é","í","ó","ú","ñ"," "},AE153)))&gt;0),"El correo del responsable no es institucional válido",IF(AND(AF153="Sí",AG153=""),"Indique el N.° de registro 2026 que continúa","OK")))))))))))))))))</f>
        <v/>
      </c>
      <c r="AK153" s="15" t="str">
        <f>IF(AJ153="OK",COUNTIF($AJ$7:AJ153,"OK"),"")</f>
        <v/>
      </c>
    </row>
    <row r="154" spans="1:37" x14ac:dyDescent="0.3">
      <c r="A154" s="13" t="str">
        <f t="shared" si="2"/>
        <v>PN27-148</v>
      </c>
      <c r="B154" s="26"/>
      <c r="C154" s="13" t="str">
        <f>IF(B154="","",IFERROR(INDEX(Catalogos!$R$5:$R$51,MATCH(B154,L_AREAS,0)),""))</f>
        <v/>
      </c>
      <c r="D154" s="13" t="str">
        <f>IF(B154="","",IFERROR(INDEX(Catalogos!$O$5:$O$51,MATCH(B154,L_AREAS,0)),""))</f>
        <v/>
      </c>
      <c r="E154" s="26"/>
      <c r="F154" s="13" t="str">
        <f>IF(E154="","",IFERROR(INDEX(Catalogos!$C$5:$C$49,MATCH(E154,L_METAS,0)),""))</f>
        <v/>
      </c>
      <c r="G154" s="13" t="str">
        <f>IF(E154="","",IFERROR(INDEX(Catalogos!$E$5:$E$49,MATCH(E154,L_METAS,0)),""))</f>
        <v/>
      </c>
      <c r="H154" s="26"/>
      <c r="I154" s="26"/>
      <c r="J154" s="26"/>
      <c r="K154" s="26"/>
      <c r="L154" s="26"/>
      <c r="M154" s="27"/>
      <c r="N154" s="26"/>
      <c r="O154" s="26"/>
      <c r="P154" s="26"/>
      <c r="Q154" s="26"/>
      <c r="R154" s="26"/>
      <c r="S154" s="26"/>
      <c r="T154" s="26"/>
      <c r="U154" s="26"/>
      <c r="V154" s="26"/>
      <c r="W154" s="28"/>
      <c r="X154" s="28"/>
      <c r="Y154" s="26"/>
      <c r="Z154" s="26"/>
      <c r="AA154" s="26"/>
      <c r="AB154" s="26"/>
      <c r="AC154" s="26"/>
      <c r="AD154" s="26"/>
      <c r="AE154" s="26"/>
      <c r="AF154" s="26"/>
      <c r="AG154" s="26"/>
      <c r="AH154" s="26"/>
      <c r="AI154" s="26"/>
      <c r="AJ154" s="15" t="str">
        <f>IF(COUNTA(B154,E154,H154,I154,J154,K154,L154,M154,N154,O154,P154,Q154,R154,S154,T154,U154,V154,W154,X154,Y154,Z154,AA154,AB154,AC154,AD154,AE154,AF154,AG154,AH154,AI154)=0,"",IF(OR(B154="",E154="",H154="",J154="",K154="",L154="",M154="",O154="",P154="",Q154="",R154="",S154="",T154="",U154="",W154="",X154="",Y154="",AB154="",AC154="",AE154="",AF154=""),"Incompleta: faltan campos obligatorios",IF(AND(LEFT(H154,6)="PROPIA",I154=""),"Falta el nombre de la acción propia del área",IF(AND(LEFT(H154,3)="A27",IFERROR(INDEX(Catalogos!$T$5:$T$207,MATCH(H154,Catalogos!$U$5:$U$207,0)),"x")&lt;&gt;LEFT(E154,7)),"La acción no corresponde a la meta seleccionada",IF(OR(NOT(ISNUMBER(M154)),M154&lt;10000000,M154&gt;99999999),"Código UNSPSC inválido: registre 8 dígitos",IF(MOD(M154,10000)=0,"UNSPSC a nivel de segmento o familia: use clase o producto",IF(IFERROR(MATCH(P154,L_MESES,0)&lt;MATCH(O154,L_MESES,0),TRUE()),"El mes de ofertas es anterior al de inicio del proceso",IF(OR(NOT(ISNUMBER(Q154)),Q154&lt;=0),"Duración inválida",IF(OR(NOT(ISNUMBER(W154)),NOT(ISNUMBER(X154))),"Valor inválido: registre solo números",IF(OR(W154&lt;=0,X154&lt;=0),"Valor inválido: debe ser mayor que cero",IF(X154&gt;W154,"El valor de la vigencia 2027 supera el valor total",IF(AND(X154&lt;W154,Y154="No"),"El valor total supera el de 2027: requiere vigencias futuras",IF(AND(Y154="Sí",OR(Z154="",Z154="No aplica")),"Indique el estado de la solicitud de vigencias futuras",IF(IF(AND(S154="Mínima cuantía",ISNUMBER(P_TOPE_MINIMA)),W154&gt;P_TOPE_MINIMA,FALSE()),"El valor supera el tope de mínima cuantía 2027",IF(IF(AND(S154="Selección abreviada de menor cuantía",ISNUMBER(P_TOPE_MENOR)),W154&gt;P_TOPE_MENOR,FALSE()),"El valor supera el tope de menor cuantía 2027",IF(OR(ISERROR(SEARCH("@itc.edu.co",AE154)),SUMPRODUCT(--ISNUMBER(SEARCH({"á","é","í","ó","ú","ñ"," "},AE154)))&gt;0),"El correo del responsable no es institucional válido",IF(AND(AF154="Sí",AG154=""),"Indique el N.° de registro 2026 que continúa","OK")))))))))))))))))</f>
        <v/>
      </c>
      <c r="AK154" s="15" t="str">
        <f>IF(AJ154="OK",COUNTIF($AJ$7:AJ154,"OK"),"")</f>
        <v/>
      </c>
    </row>
    <row r="155" spans="1:37" x14ac:dyDescent="0.3">
      <c r="A155" s="13" t="str">
        <f t="shared" si="2"/>
        <v>PN27-149</v>
      </c>
      <c r="B155" s="26"/>
      <c r="C155" s="13" t="str">
        <f>IF(B155="","",IFERROR(INDEX(Catalogos!$R$5:$R$51,MATCH(B155,L_AREAS,0)),""))</f>
        <v/>
      </c>
      <c r="D155" s="13" t="str">
        <f>IF(B155="","",IFERROR(INDEX(Catalogos!$O$5:$O$51,MATCH(B155,L_AREAS,0)),""))</f>
        <v/>
      </c>
      <c r="E155" s="26"/>
      <c r="F155" s="13" t="str">
        <f>IF(E155="","",IFERROR(INDEX(Catalogos!$C$5:$C$49,MATCH(E155,L_METAS,0)),""))</f>
        <v/>
      </c>
      <c r="G155" s="13" t="str">
        <f>IF(E155="","",IFERROR(INDEX(Catalogos!$E$5:$E$49,MATCH(E155,L_METAS,0)),""))</f>
        <v/>
      </c>
      <c r="H155" s="26"/>
      <c r="I155" s="26"/>
      <c r="J155" s="26"/>
      <c r="K155" s="26"/>
      <c r="L155" s="26"/>
      <c r="M155" s="27"/>
      <c r="N155" s="26"/>
      <c r="O155" s="26"/>
      <c r="P155" s="26"/>
      <c r="Q155" s="26"/>
      <c r="R155" s="26"/>
      <c r="S155" s="26"/>
      <c r="T155" s="26"/>
      <c r="U155" s="26"/>
      <c r="V155" s="26"/>
      <c r="W155" s="28"/>
      <c r="X155" s="28"/>
      <c r="Y155" s="26"/>
      <c r="Z155" s="26"/>
      <c r="AA155" s="26"/>
      <c r="AB155" s="26"/>
      <c r="AC155" s="26"/>
      <c r="AD155" s="26"/>
      <c r="AE155" s="26"/>
      <c r="AF155" s="26"/>
      <c r="AG155" s="26"/>
      <c r="AH155" s="26"/>
      <c r="AI155" s="26"/>
      <c r="AJ155" s="15" t="str">
        <f>IF(COUNTA(B155,E155,H155,I155,J155,K155,L155,M155,N155,O155,P155,Q155,R155,S155,T155,U155,V155,W155,X155,Y155,Z155,AA155,AB155,AC155,AD155,AE155,AF155,AG155,AH155,AI155)=0,"",IF(OR(B155="",E155="",H155="",J155="",K155="",L155="",M155="",O155="",P155="",Q155="",R155="",S155="",T155="",U155="",W155="",X155="",Y155="",AB155="",AC155="",AE155="",AF155=""),"Incompleta: faltan campos obligatorios",IF(AND(LEFT(H155,6)="PROPIA",I155=""),"Falta el nombre de la acción propia del área",IF(AND(LEFT(H155,3)="A27",IFERROR(INDEX(Catalogos!$T$5:$T$207,MATCH(H155,Catalogos!$U$5:$U$207,0)),"x")&lt;&gt;LEFT(E155,7)),"La acción no corresponde a la meta seleccionada",IF(OR(NOT(ISNUMBER(M155)),M155&lt;10000000,M155&gt;99999999),"Código UNSPSC inválido: registre 8 dígitos",IF(MOD(M155,10000)=0,"UNSPSC a nivel de segmento o familia: use clase o producto",IF(IFERROR(MATCH(P155,L_MESES,0)&lt;MATCH(O155,L_MESES,0),TRUE()),"El mes de ofertas es anterior al de inicio del proceso",IF(OR(NOT(ISNUMBER(Q155)),Q155&lt;=0),"Duración inválida",IF(OR(NOT(ISNUMBER(W155)),NOT(ISNUMBER(X155))),"Valor inválido: registre solo números",IF(OR(W155&lt;=0,X155&lt;=0),"Valor inválido: debe ser mayor que cero",IF(X155&gt;W155,"El valor de la vigencia 2027 supera el valor total",IF(AND(X155&lt;W155,Y155="No"),"El valor total supera el de 2027: requiere vigencias futuras",IF(AND(Y155="Sí",OR(Z155="",Z155="No aplica")),"Indique el estado de la solicitud de vigencias futuras",IF(IF(AND(S155="Mínima cuantía",ISNUMBER(P_TOPE_MINIMA)),W155&gt;P_TOPE_MINIMA,FALSE()),"El valor supera el tope de mínima cuantía 2027",IF(IF(AND(S155="Selección abreviada de menor cuantía",ISNUMBER(P_TOPE_MENOR)),W155&gt;P_TOPE_MENOR,FALSE()),"El valor supera el tope de menor cuantía 2027",IF(OR(ISERROR(SEARCH("@itc.edu.co",AE155)),SUMPRODUCT(--ISNUMBER(SEARCH({"á","é","í","ó","ú","ñ"," "},AE155)))&gt;0),"El correo del responsable no es institucional válido",IF(AND(AF155="Sí",AG155=""),"Indique el N.° de registro 2026 que continúa","OK")))))))))))))))))</f>
        <v/>
      </c>
      <c r="AK155" s="15" t="str">
        <f>IF(AJ155="OK",COUNTIF($AJ$7:AJ155,"OK"),"")</f>
        <v/>
      </c>
    </row>
    <row r="156" spans="1:37" x14ac:dyDescent="0.3">
      <c r="A156" s="13" t="str">
        <f t="shared" si="2"/>
        <v>PN27-150</v>
      </c>
      <c r="B156" s="26"/>
      <c r="C156" s="13" t="str">
        <f>IF(B156="","",IFERROR(INDEX(Catalogos!$R$5:$R$51,MATCH(B156,L_AREAS,0)),""))</f>
        <v/>
      </c>
      <c r="D156" s="13" t="str">
        <f>IF(B156="","",IFERROR(INDEX(Catalogos!$O$5:$O$51,MATCH(B156,L_AREAS,0)),""))</f>
        <v/>
      </c>
      <c r="E156" s="26"/>
      <c r="F156" s="13" t="str">
        <f>IF(E156="","",IFERROR(INDEX(Catalogos!$C$5:$C$49,MATCH(E156,L_METAS,0)),""))</f>
        <v/>
      </c>
      <c r="G156" s="13" t="str">
        <f>IF(E156="","",IFERROR(INDEX(Catalogos!$E$5:$E$49,MATCH(E156,L_METAS,0)),""))</f>
        <v/>
      </c>
      <c r="H156" s="26"/>
      <c r="I156" s="26"/>
      <c r="J156" s="26"/>
      <c r="K156" s="26"/>
      <c r="L156" s="26"/>
      <c r="M156" s="27"/>
      <c r="N156" s="26"/>
      <c r="O156" s="26"/>
      <c r="P156" s="26"/>
      <c r="Q156" s="26"/>
      <c r="R156" s="26"/>
      <c r="S156" s="26"/>
      <c r="T156" s="26"/>
      <c r="U156" s="26"/>
      <c r="V156" s="26"/>
      <c r="W156" s="28"/>
      <c r="X156" s="28"/>
      <c r="Y156" s="26"/>
      <c r="Z156" s="26"/>
      <c r="AA156" s="26"/>
      <c r="AB156" s="26"/>
      <c r="AC156" s="26"/>
      <c r="AD156" s="26"/>
      <c r="AE156" s="26"/>
      <c r="AF156" s="26"/>
      <c r="AG156" s="26"/>
      <c r="AH156" s="26"/>
      <c r="AI156" s="26"/>
      <c r="AJ156" s="15" t="str">
        <f>IF(COUNTA(B156,E156,H156,I156,J156,K156,L156,M156,N156,O156,P156,Q156,R156,S156,T156,U156,V156,W156,X156,Y156,Z156,AA156,AB156,AC156,AD156,AE156,AF156,AG156,AH156,AI156)=0,"",IF(OR(B156="",E156="",H156="",J156="",K156="",L156="",M156="",O156="",P156="",Q156="",R156="",S156="",T156="",U156="",W156="",X156="",Y156="",AB156="",AC156="",AE156="",AF156=""),"Incompleta: faltan campos obligatorios",IF(AND(LEFT(H156,6)="PROPIA",I156=""),"Falta el nombre de la acción propia del área",IF(AND(LEFT(H156,3)="A27",IFERROR(INDEX(Catalogos!$T$5:$T$207,MATCH(H156,Catalogos!$U$5:$U$207,0)),"x")&lt;&gt;LEFT(E156,7)),"La acción no corresponde a la meta seleccionada",IF(OR(NOT(ISNUMBER(M156)),M156&lt;10000000,M156&gt;99999999),"Código UNSPSC inválido: registre 8 dígitos",IF(MOD(M156,10000)=0,"UNSPSC a nivel de segmento o familia: use clase o producto",IF(IFERROR(MATCH(P156,L_MESES,0)&lt;MATCH(O156,L_MESES,0),TRUE()),"El mes de ofertas es anterior al de inicio del proceso",IF(OR(NOT(ISNUMBER(Q156)),Q156&lt;=0),"Duración inválida",IF(OR(NOT(ISNUMBER(W156)),NOT(ISNUMBER(X156))),"Valor inválido: registre solo números",IF(OR(W156&lt;=0,X156&lt;=0),"Valor inválido: debe ser mayor que cero",IF(X156&gt;W156,"El valor de la vigencia 2027 supera el valor total",IF(AND(X156&lt;W156,Y156="No"),"El valor total supera el de 2027: requiere vigencias futuras",IF(AND(Y156="Sí",OR(Z156="",Z156="No aplica")),"Indique el estado de la solicitud de vigencias futuras",IF(IF(AND(S156="Mínima cuantía",ISNUMBER(P_TOPE_MINIMA)),W156&gt;P_TOPE_MINIMA,FALSE()),"El valor supera el tope de mínima cuantía 2027",IF(IF(AND(S156="Selección abreviada de menor cuantía",ISNUMBER(P_TOPE_MENOR)),W156&gt;P_TOPE_MENOR,FALSE()),"El valor supera el tope de menor cuantía 2027",IF(OR(ISERROR(SEARCH("@itc.edu.co",AE156)),SUMPRODUCT(--ISNUMBER(SEARCH({"á","é","í","ó","ú","ñ"," "},AE156)))&gt;0),"El correo del responsable no es institucional válido",IF(AND(AF156="Sí",AG156=""),"Indique el N.° de registro 2026 que continúa","OK")))))))))))))))))</f>
        <v/>
      </c>
      <c r="AK156" s="15" t="str">
        <f>IF(AJ156="OK",COUNTIF($AJ$7:AJ156,"OK"),"")</f>
        <v/>
      </c>
    </row>
    <row r="157" spans="1:37" x14ac:dyDescent="0.3">
      <c r="A157" s="13" t="str">
        <f t="shared" si="2"/>
        <v>PN27-151</v>
      </c>
      <c r="B157" s="26"/>
      <c r="C157" s="13" t="str">
        <f>IF(B157="","",IFERROR(INDEX(Catalogos!$R$5:$R$51,MATCH(B157,L_AREAS,0)),""))</f>
        <v/>
      </c>
      <c r="D157" s="13" t="str">
        <f>IF(B157="","",IFERROR(INDEX(Catalogos!$O$5:$O$51,MATCH(B157,L_AREAS,0)),""))</f>
        <v/>
      </c>
      <c r="E157" s="26"/>
      <c r="F157" s="13" t="str">
        <f>IF(E157="","",IFERROR(INDEX(Catalogos!$C$5:$C$49,MATCH(E157,L_METAS,0)),""))</f>
        <v/>
      </c>
      <c r="G157" s="13" t="str">
        <f>IF(E157="","",IFERROR(INDEX(Catalogos!$E$5:$E$49,MATCH(E157,L_METAS,0)),""))</f>
        <v/>
      </c>
      <c r="H157" s="26"/>
      <c r="I157" s="26"/>
      <c r="J157" s="26"/>
      <c r="K157" s="26"/>
      <c r="L157" s="26"/>
      <c r="M157" s="27"/>
      <c r="N157" s="26"/>
      <c r="O157" s="26"/>
      <c r="P157" s="26"/>
      <c r="Q157" s="26"/>
      <c r="R157" s="26"/>
      <c r="S157" s="26"/>
      <c r="T157" s="26"/>
      <c r="U157" s="26"/>
      <c r="V157" s="26"/>
      <c r="W157" s="28"/>
      <c r="X157" s="28"/>
      <c r="Y157" s="26"/>
      <c r="Z157" s="26"/>
      <c r="AA157" s="26"/>
      <c r="AB157" s="26"/>
      <c r="AC157" s="26"/>
      <c r="AD157" s="26"/>
      <c r="AE157" s="26"/>
      <c r="AF157" s="26"/>
      <c r="AG157" s="26"/>
      <c r="AH157" s="26"/>
      <c r="AI157" s="26"/>
      <c r="AJ157" s="15" t="str">
        <f>IF(COUNTA(B157,E157,H157,I157,J157,K157,L157,M157,N157,O157,P157,Q157,R157,S157,T157,U157,V157,W157,X157,Y157,Z157,AA157,AB157,AC157,AD157,AE157,AF157,AG157,AH157,AI157)=0,"",IF(OR(B157="",E157="",H157="",J157="",K157="",L157="",M157="",O157="",P157="",Q157="",R157="",S157="",T157="",U157="",W157="",X157="",Y157="",AB157="",AC157="",AE157="",AF157=""),"Incompleta: faltan campos obligatorios",IF(AND(LEFT(H157,6)="PROPIA",I157=""),"Falta el nombre de la acción propia del área",IF(AND(LEFT(H157,3)="A27",IFERROR(INDEX(Catalogos!$T$5:$T$207,MATCH(H157,Catalogos!$U$5:$U$207,0)),"x")&lt;&gt;LEFT(E157,7)),"La acción no corresponde a la meta seleccionada",IF(OR(NOT(ISNUMBER(M157)),M157&lt;10000000,M157&gt;99999999),"Código UNSPSC inválido: registre 8 dígitos",IF(MOD(M157,10000)=0,"UNSPSC a nivel de segmento o familia: use clase o producto",IF(IFERROR(MATCH(P157,L_MESES,0)&lt;MATCH(O157,L_MESES,0),TRUE()),"El mes de ofertas es anterior al de inicio del proceso",IF(OR(NOT(ISNUMBER(Q157)),Q157&lt;=0),"Duración inválida",IF(OR(NOT(ISNUMBER(W157)),NOT(ISNUMBER(X157))),"Valor inválido: registre solo números",IF(OR(W157&lt;=0,X157&lt;=0),"Valor inválido: debe ser mayor que cero",IF(X157&gt;W157,"El valor de la vigencia 2027 supera el valor total",IF(AND(X157&lt;W157,Y157="No"),"El valor total supera el de 2027: requiere vigencias futuras",IF(AND(Y157="Sí",OR(Z157="",Z157="No aplica")),"Indique el estado de la solicitud de vigencias futuras",IF(IF(AND(S157="Mínima cuantía",ISNUMBER(P_TOPE_MINIMA)),W157&gt;P_TOPE_MINIMA,FALSE()),"El valor supera el tope de mínima cuantía 2027",IF(IF(AND(S157="Selección abreviada de menor cuantía",ISNUMBER(P_TOPE_MENOR)),W157&gt;P_TOPE_MENOR,FALSE()),"El valor supera el tope de menor cuantía 2027",IF(OR(ISERROR(SEARCH("@itc.edu.co",AE157)),SUMPRODUCT(--ISNUMBER(SEARCH({"á","é","í","ó","ú","ñ"," "},AE157)))&gt;0),"El correo del responsable no es institucional válido",IF(AND(AF157="Sí",AG157=""),"Indique el N.° de registro 2026 que continúa","OK")))))))))))))))))</f>
        <v/>
      </c>
      <c r="AK157" s="15" t="str">
        <f>IF(AJ157="OK",COUNTIF($AJ$7:AJ157,"OK"),"")</f>
        <v/>
      </c>
    </row>
    <row r="158" spans="1:37" x14ac:dyDescent="0.3">
      <c r="A158" s="13" t="str">
        <f t="shared" si="2"/>
        <v>PN27-152</v>
      </c>
      <c r="B158" s="26"/>
      <c r="C158" s="13" t="str">
        <f>IF(B158="","",IFERROR(INDEX(Catalogos!$R$5:$R$51,MATCH(B158,L_AREAS,0)),""))</f>
        <v/>
      </c>
      <c r="D158" s="13" t="str">
        <f>IF(B158="","",IFERROR(INDEX(Catalogos!$O$5:$O$51,MATCH(B158,L_AREAS,0)),""))</f>
        <v/>
      </c>
      <c r="E158" s="26"/>
      <c r="F158" s="13" t="str">
        <f>IF(E158="","",IFERROR(INDEX(Catalogos!$C$5:$C$49,MATCH(E158,L_METAS,0)),""))</f>
        <v/>
      </c>
      <c r="G158" s="13" t="str">
        <f>IF(E158="","",IFERROR(INDEX(Catalogos!$E$5:$E$49,MATCH(E158,L_METAS,0)),""))</f>
        <v/>
      </c>
      <c r="H158" s="26"/>
      <c r="I158" s="26"/>
      <c r="J158" s="26"/>
      <c r="K158" s="26"/>
      <c r="L158" s="26"/>
      <c r="M158" s="27"/>
      <c r="N158" s="26"/>
      <c r="O158" s="26"/>
      <c r="P158" s="26"/>
      <c r="Q158" s="26"/>
      <c r="R158" s="26"/>
      <c r="S158" s="26"/>
      <c r="T158" s="26"/>
      <c r="U158" s="26"/>
      <c r="V158" s="26"/>
      <c r="W158" s="28"/>
      <c r="X158" s="28"/>
      <c r="Y158" s="26"/>
      <c r="Z158" s="26"/>
      <c r="AA158" s="26"/>
      <c r="AB158" s="26"/>
      <c r="AC158" s="26"/>
      <c r="AD158" s="26"/>
      <c r="AE158" s="26"/>
      <c r="AF158" s="26"/>
      <c r="AG158" s="26"/>
      <c r="AH158" s="26"/>
      <c r="AI158" s="26"/>
      <c r="AJ158" s="15" t="str">
        <f>IF(COUNTA(B158,E158,H158,I158,J158,K158,L158,M158,N158,O158,P158,Q158,R158,S158,T158,U158,V158,W158,X158,Y158,Z158,AA158,AB158,AC158,AD158,AE158,AF158,AG158,AH158,AI158)=0,"",IF(OR(B158="",E158="",H158="",J158="",K158="",L158="",M158="",O158="",P158="",Q158="",R158="",S158="",T158="",U158="",W158="",X158="",Y158="",AB158="",AC158="",AE158="",AF158=""),"Incompleta: faltan campos obligatorios",IF(AND(LEFT(H158,6)="PROPIA",I158=""),"Falta el nombre de la acción propia del área",IF(AND(LEFT(H158,3)="A27",IFERROR(INDEX(Catalogos!$T$5:$T$207,MATCH(H158,Catalogos!$U$5:$U$207,0)),"x")&lt;&gt;LEFT(E158,7)),"La acción no corresponde a la meta seleccionada",IF(OR(NOT(ISNUMBER(M158)),M158&lt;10000000,M158&gt;99999999),"Código UNSPSC inválido: registre 8 dígitos",IF(MOD(M158,10000)=0,"UNSPSC a nivel de segmento o familia: use clase o producto",IF(IFERROR(MATCH(P158,L_MESES,0)&lt;MATCH(O158,L_MESES,0),TRUE()),"El mes de ofertas es anterior al de inicio del proceso",IF(OR(NOT(ISNUMBER(Q158)),Q158&lt;=0),"Duración inválida",IF(OR(NOT(ISNUMBER(W158)),NOT(ISNUMBER(X158))),"Valor inválido: registre solo números",IF(OR(W158&lt;=0,X158&lt;=0),"Valor inválido: debe ser mayor que cero",IF(X158&gt;W158,"El valor de la vigencia 2027 supera el valor total",IF(AND(X158&lt;W158,Y158="No"),"El valor total supera el de 2027: requiere vigencias futuras",IF(AND(Y158="Sí",OR(Z158="",Z158="No aplica")),"Indique el estado de la solicitud de vigencias futuras",IF(IF(AND(S158="Mínima cuantía",ISNUMBER(P_TOPE_MINIMA)),W158&gt;P_TOPE_MINIMA,FALSE()),"El valor supera el tope de mínima cuantía 2027",IF(IF(AND(S158="Selección abreviada de menor cuantía",ISNUMBER(P_TOPE_MENOR)),W158&gt;P_TOPE_MENOR,FALSE()),"El valor supera el tope de menor cuantía 2027",IF(OR(ISERROR(SEARCH("@itc.edu.co",AE158)),SUMPRODUCT(--ISNUMBER(SEARCH({"á","é","í","ó","ú","ñ"," "},AE158)))&gt;0),"El correo del responsable no es institucional válido",IF(AND(AF158="Sí",AG158=""),"Indique el N.° de registro 2026 que continúa","OK")))))))))))))))))</f>
        <v/>
      </c>
      <c r="AK158" s="15" t="str">
        <f>IF(AJ158="OK",COUNTIF($AJ$7:AJ158,"OK"),"")</f>
        <v/>
      </c>
    </row>
    <row r="159" spans="1:37" x14ac:dyDescent="0.3">
      <c r="A159" s="13" t="str">
        <f t="shared" si="2"/>
        <v>PN27-153</v>
      </c>
      <c r="B159" s="26"/>
      <c r="C159" s="13" t="str">
        <f>IF(B159="","",IFERROR(INDEX(Catalogos!$R$5:$R$51,MATCH(B159,L_AREAS,0)),""))</f>
        <v/>
      </c>
      <c r="D159" s="13" t="str">
        <f>IF(B159="","",IFERROR(INDEX(Catalogos!$O$5:$O$51,MATCH(B159,L_AREAS,0)),""))</f>
        <v/>
      </c>
      <c r="E159" s="26"/>
      <c r="F159" s="13" t="str">
        <f>IF(E159="","",IFERROR(INDEX(Catalogos!$C$5:$C$49,MATCH(E159,L_METAS,0)),""))</f>
        <v/>
      </c>
      <c r="G159" s="13" t="str">
        <f>IF(E159="","",IFERROR(INDEX(Catalogos!$E$5:$E$49,MATCH(E159,L_METAS,0)),""))</f>
        <v/>
      </c>
      <c r="H159" s="26"/>
      <c r="I159" s="26"/>
      <c r="J159" s="26"/>
      <c r="K159" s="26"/>
      <c r="L159" s="26"/>
      <c r="M159" s="27"/>
      <c r="N159" s="26"/>
      <c r="O159" s="26"/>
      <c r="P159" s="26"/>
      <c r="Q159" s="26"/>
      <c r="R159" s="26"/>
      <c r="S159" s="26"/>
      <c r="T159" s="26"/>
      <c r="U159" s="26"/>
      <c r="V159" s="26"/>
      <c r="W159" s="28"/>
      <c r="X159" s="28"/>
      <c r="Y159" s="26"/>
      <c r="Z159" s="26"/>
      <c r="AA159" s="26"/>
      <c r="AB159" s="26"/>
      <c r="AC159" s="26"/>
      <c r="AD159" s="26"/>
      <c r="AE159" s="26"/>
      <c r="AF159" s="26"/>
      <c r="AG159" s="26"/>
      <c r="AH159" s="26"/>
      <c r="AI159" s="26"/>
      <c r="AJ159" s="15" t="str">
        <f>IF(COUNTA(B159,E159,H159,I159,J159,K159,L159,M159,N159,O159,P159,Q159,R159,S159,T159,U159,V159,W159,X159,Y159,Z159,AA159,AB159,AC159,AD159,AE159,AF159,AG159,AH159,AI159)=0,"",IF(OR(B159="",E159="",H159="",J159="",K159="",L159="",M159="",O159="",P159="",Q159="",R159="",S159="",T159="",U159="",W159="",X159="",Y159="",AB159="",AC159="",AE159="",AF159=""),"Incompleta: faltan campos obligatorios",IF(AND(LEFT(H159,6)="PROPIA",I159=""),"Falta el nombre de la acción propia del área",IF(AND(LEFT(H159,3)="A27",IFERROR(INDEX(Catalogos!$T$5:$T$207,MATCH(H159,Catalogos!$U$5:$U$207,0)),"x")&lt;&gt;LEFT(E159,7)),"La acción no corresponde a la meta seleccionada",IF(OR(NOT(ISNUMBER(M159)),M159&lt;10000000,M159&gt;99999999),"Código UNSPSC inválido: registre 8 dígitos",IF(MOD(M159,10000)=0,"UNSPSC a nivel de segmento o familia: use clase o producto",IF(IFERROR(MATCH(P159,L_MESES,0)&lt;MATCH(O159,L_MESES,0),TRUE()),"El mes de ofertas es anterior al de inicio del proceso",IF(OR(NOT(ISNUMBER(Q159)),Q159&lt;=0),"Duración inválida",IF(OR(NOT(ISNUMBER(W159)),NOT(ISNUMBER(X159))),"Valor inválido: registre solo números",IF(OR(W159&lt;=0,X159&lt;=0),"Valor inválido: debe ser mayor que cero",IF(X159&gt;W159,"El valor de la vigencia 2027 supera el valor total",IF(AND(X159&lt;W159,Y159="No"),"El valor total supera el de 2027: requiere vigencias futuras",IF(AND(Y159="Sí",OR(Z159="",Z159="No aplica")),"Indique el estado de la solicitud de vigencias futuras",IF(IF(AND(S159="Mínima cuantía",ISNUMBER(P_TOPE_MINIMA)),W159&gt;P_TOPE_MINIMA,FALSE()),"El valor supera el tope de mínima cuantía 2027",IF(IF(AND(S159="Selección abreviada de menor cuantía",ISNUMBER(P_TOPE_MENOR)),W159&gt;P_TOPE_MENOR,FALSE()),"El valor supera el tope de menor cuantía 2027",IF(OR(ISERROR(SEARCH("@itc.edu.co",AE159)),SUMPRODUCT(--ISNUMBER(SEARCH({"á","é","í","ó","ú","ñ"," "},AE159)))&gt;0),"El correo del responsable no es institucional válido",IF(AND(AF159="Sí",AG159=""),"Indique el N.° de registro 2026 que continúa","OK")))))))))))))))))</f>
        <v/>
      </c>
      <c r="AK159" s="15" t="str">
        <f>IF(AJ159="OK",COUNTIF($AJ$7:AJ159,"OK"),"")</f>
        <v/>
      </c>
    </row>
    <row r="160" spans="1:37" x14ac:dyDescent="0.3">
      <c r="A160" s="13" t="str">
        <f t="shared" si="2"/>
        <v>PN27-154</v>
      </c>
      <c r="B160" s="26"/>
      <c r="C160" s="13" t="str">
        <f>IF(B160="","",IFERROR(INDEX(Catalogos!$R$5:$R$51,MATCH(B160,L_AREAS,0)),""))</f>
        <v/>
      </c>
      <c r="D160" s="13" t="str">
        <f>IF(B160="","",IFERROR(INDEX(Catalogos!$O$5:$O$51,MATCH(B160,L_AREAS,0)),""))</f>
        <v/>
      </c>
      <c r="E160" s="26"/>
      <c r="F160" s="13" t="str">
        <f>IF(E160="","",IFERROR(INDEX(Catalogos!$C$5:$C$49,MATCH(E160,L_METAS,0)),""))</f>
        <v/>
      </c>
      <c r="G160" s="13" t="str">
        <f>IF(E160="","",IFERROR(INDEX(Catalogos!$E$5:$E$49,MATCH(E160,L_METAS,0)),""))</f>
        <v/>
      </c>
      <c r="H160" s="26"/>
      <c r="I160" s="26"/>
      <c r="J160" s="26"/>
      <c r="K160" s="26"/>
      <c r="L160" s="26"/>
      <c r="M160" s="27"/>
      <c r="N160" s="26"/>
      <c r="O160" s="26"/>
      <c r="P160" s="26"/>
      <c r="Q160" s="26"/>
      <c r="R160" s="26"/>
      <c r="S160" s="26"/>
      <c r="T160" s="26"/>
      <c r="U160" s="26"/>
      <c r="V160" s="26"/>
      <c r="W160" s="28"/>
      <c r="X160" s="28"/>
      <c r="Y160" s="26"/>
      <c r="Z160" s="26"/>
      <c r="AA160" s="26"/>
      <c r="AB160" s="26"/>
      <c r="AC160" s="26"/>
      <c r="AD160" s="26"/>
      <c r="AE160" s="26"/>
      <c r="AF160" s="26"/>
      <c r="AG160" s="26"/>
      <c r="AH160" s="26"/>
      <c r="AI160" s="26"/>
      <c r="AJ160" s="15" t="str">
        <f>IF(COUNTA(B160,E160,H160,I160,J160,K160,L160,M160,N160,O160,P160,Q160,R160,S160,T160,U160,V160,W160,X160,Y160,Z160,AA160,AB160,AC160,AD160,AE160,AF160,AG160,AH160,AI160)=0,"",IF(OR(B160="",E160="",H160="",J160="",K160="",L160="",M160="",O160="",P160="",Q160="",R160="",S160="",T160="",U160="",W160="",X160="",Y160="",AB160="",AC160="",AE160="",AF160=""),"Incompleta: faltan campos obligatorios",IF(AND(LEFT(H160,6)="PROPIA",I160=""),"Falta el nombre de la acción propia del área",IF(AND(LEFT(H160,3)="A27",IFERROR(INDEX(Catalogos!$T$5:$T$207,MATCH(H160,Catalogos!$U$5:$U$207,0)),"x")&lt;&gt;LEFT(E160,7)),"La acción no corresponde a la meta seleccionada",IF(OR(NOT(ISNUMBER(M160)),M160&lt;10000000,M160&gt;99999999),"Código UNSPSC inválido: registre 8 dígitos",IF(MOD(M160,10000)=0,"UNSPSC a nivel de segmento o familia: use clase o producto",IF(IFERROR(MATCH(P160,L_MESES,0)&lt;MATCH(O160,L_MESES,0),TRUE()),"El mes de ofertas es anterior al de inicio del proceso",IF(OR(NOT(ISNUMBER(Q160)),Q160&lt;=0),"Duración inválida",IF(OR(NOT(ISNUMBER(W160)),NOT(ISNUMBER(X160))),"Valor inválido: registre solo números",IF(OR(W160&lt;=0,X160&lt;=0),"Valor inválido: debe ser mayor que cero",IF(X160&gt;W160,"El valor de la vigencia 2027 supera el valor total",IF(AND(X160&lt;W160,Y160="No"),"El valor total supera el de 2027: requiere vigencias futuras",IF(AND(Y160="Sí",OR(Z160="",Z160="No aplica")),"Indique el estado de la solicitud de vigencias futuras",IF(IF(AND(S160="Mínima cuantía",ISNUMBER(P_TOPE_MINIMA)),W160&gt;P_TOPE_MINIMA,FALSE()),"El valor supera el tope de mínima cuantía 2027",IF(IF(AND(S160="Selección abreviada de menor cuantía",ISNUMBER(P_TOPE_MENOR)),W160&gt;P_TOPE_MENOR,FALSE()),"El valor supera el tope de menor cuantía 2027",IF(OR(ISERROR(SEARCH("@itc.edu.co",AE160)),SUMPRODUCT(--ISNUMBER(SEARCH({"á","é","í","ó","ú","ñ"," "},AE160)))&gt;0),"El correo del responsable no es institucional válido",IF(AND(AF160="Sí",AG160=""),"Indique el N.° de registro 2026 que continúa","OK")))))))))))))))))</f>
        <v/>
      </c>
      <c r="AK160" s="15" t="str">
        <f>IF(AJ160="OK",COUNTIF($AJ$7:AJ160,"OK"),"")</f>
        <v/>
      </c>
    </row>
    <row r="161" spans="1:37" x14ac:dyDescent="0.3">
      <c r="A161" s="13" t="str">
        <f t="shared" si="2"/>
        <v>PN27-155</v>
      </c>
      <c r="B161" s="26"/>
      <c r="C161" s="13" t="str">
        <f>IF(B161="","",IFERROR(INDEX(Catalogos!$R$5:$R$51,MATCH(B161,L_AREAS,0)),""))</f>
        <v/>
      </c>
      <c r="D161" s="13" t="str">
        <f>IF(B161="","",IFERROR(INDEX(Catalogos!$O$5:$O$51,MATCH(B161,L_AREAS,0)),""))</f>
        <v/>
      </c>
      <c r="E161" s="26"/>
      <c r="F161" s="13" t="str">
        <f>IF(E161="","",IFERROR(INDEX(Catalogos!$C$5:$C$49,MATCH(E161,L_METAS,0)),""))</f>
        <v/>
      </c>
      <c r="G161" s="13" t="str">
        <f>IF(E161="","",IFERROR(INDEX(Catalogos!$E$5:$E$49,MATCH(E161,L_METAS,0)),""))</f>
        <v/>
      </c>
      <c r="H161" s="26"/>
      <c r="I161" s="26"/>
      <c r="J161" s="26"/>
      <c r="K161" s="26"/>
      <c r="L161" s="26"/>
      <c r="M161" s="27"/>
      <c r="N161" s="26"/>
      <c r="O161" s="26"/>
      <c r="P161" s="26"/>
      <c r="Q161" s="26"/>
      <c r="R161" s="26"/>
      <c r="S161" s="26"/>
      <c r="T161" s="26"/>
      <c r="U161" s="26"/>
      <c r="V161" s="26"/>
      <c r="W161" s="28"/>
      <c r="X161" s="28"/>
      <c r="Y161" s="26"/>
      <c r="Z161" s="26"/>
      <c r="AA161" s="26"/>
      <c r="AB161" s="26"/>
      <c r="AC161" s="26"/>
      <c r="AD161" s="26"/>
      <c r="AE161" s="26"/>
      <c r="AF161" s="26"/>
      <c r="AG161" s="26"/>
      <c r="AH161" s="26"/>
      <c r="AI161" s="26"/>
      <c r="AJ161" s="15" t="str">
        <f>IF(COUNTA(B161,E161,H161,I161,J161,K161,L161,M161,N161,O161,P161,Q161,R161,S161,T161,U161,V161,W161,X161,Y161,Z161,AA161,AB161,AC161,AD161,AE161,AF161,AG161,AH161,AI161)=0,"",IF(OR(B161="",E161="",H161="",J161="",K161="",L161="",M161="",O161="",P161="",Q161="",R161="",S161="",T161="",U161="",W161="",X161="",Y161="",AB161="",AC161="",AE161="",AF161=""),"Incompleta: faltan campos obligatorios",IF(AND(LEFT(H161,6)="PROPIA",I161=""),"Falta el nombre de la acción propia del área",IF(AND(LEFT(H161,3)="A27",IFERROR(INDEX(Catalogos!$T$5:$T$207,MATCH(H161,Catalogos!$U$5:$U$207,0)),"x")&lt;&gt;LEFT(E161,7)),"La acción no corresponde a la meta seleccionada",IF(OR(NOT(ISNUMBER(M161)),M161&lt;10000000,M161&gt;99999999),"Código UNSPSC inválido: registre 8 dígitos",IF(MOD(M161,10000)=0,"UNSPSC a nivel de segmento o familia: use clase o producto",IF(IFERROR(MATCH(P161,L_MESES,0)&lt;MATCH(O161,L_MESES,0),TRUE()),"El mes de ofertas es anterior al de inicio del proceso",IF(OR(NOT(ISNUMBER(Q161)),Q161&lt;=0),"Duración inválida",IF(OR(NOT(ISNUMBER(W161)),NOT(ISNUMBER(X161))),"Valor inválido: registre solo números",IF(OR(W161&lt;=0,X161&lt;=0),"Valor inválido: debe ser mayor que cero",IF(X161&gt;W161,"El valor de la vigencia 2027 supera el valor total",IF(AND(X161&lt;W161,Y161="No"),"El valor total supera el de 2027: requiere vigencias futuras",IF(AND(Y161="Sí",OR(Z161="",Z161="No aplica")),"Indique el estado de la solicitud de vigencias futuras",IF(IF(AND(S161="Mínima cuantía",ISNUMBER(P_TOPE_MINIMA)),W161&gt;P_TOPE_MINIMA,FALSE()),"El valor supera el tope de mínima cuantía 2027",IF(IF(AND(S161="Selección abreviada de menor cuantía",ISNUMBER(P_TOPE_MENOR)),W161&gt;P_TOPE_MENOR,FALSE()),"El valor supera el tope de menor cuantía 2027",IF(OR(ISERROR(SEARCH("@itc.edu.co",AE161)),SUMPRODUCT(--ISNUMBER(SEARCH({"á","é","í","ó","ú","ñ"," "},AE161)))&gt;0),"El correo del responsable no es institucional válido",IF(AND(AF161="Sí",AG161=""),"Indique el N.° de registro 2026 que continúa","OK")))))))))))))))))</f>
        <v/>
      </c>
      <c r="AK161" s="15" t="str">
        <f>IF(AJ161="OK",COUNTIF($AJ$7:AJ161,"OK"),"")</f>
        <v/>
      </c>
    </row>
    <row r="162" spans="1:37" x14ac:dyDescent="0.3">
      <c r="A162" s="13" t="str">
        <f t="shared" si="2"/>
        <v>PN27-156</v>
      </c>
      <c r="B162" s="26"/>
      <c r="C162" s="13" t="str">
        <f>IF(B162="","",IFERROR(INDEX(Catalogos!$R$5:$R$51,MATCH(B162,L_AREAS,0)),""))</f>
        <v/>
      </c>
      <c r="D162" s="13" t="str">
        <f>IF(B162="","",IFERROR(INDEX(Catalogos!$O$5:$O$51,MATCH(B162,L_AREAS,0)),""))</f>
        <v/>
      </c>
      <c r="E162" s="26"/>
      <c r="F162" s="13" t="str">
        <f>IF(E162="","",IFERROR(INDEX(Catalogos!$C$5:$C$49,MATCH(E162,L_METAS,0)),""))</f>
        <v/>
      </c>
      <c r="G162" s="13" t="str">
        <f>IF(E162="","",IFERROR(INDEX(Catalogos!$E$5:$E$49,MATCH(E162,L_METAS,0)),""))</f>
        <v/>
      </c>
      <c r="H162" s="26"/>
      <c r="I162" s="26"/>
      <c r="J162" s="26"/>
      <c r="K162" s="26"/>
      <c r="L162" s="26"/>
      <c r="M162" s="27"/>
      <c r="N162" s="26"/>
      <c r="O162" s="26"/>
      <c r="P162" s="26"/>
      <c r="Q162" s="26"/>
      <c r="R162" s="26"/>
      <c r="S162" s="26"/>
      <c r="T162" s="26"/>
      <c r="U162" s="26"/>
      <c r="V162" s="26"/>
      <c r="W162" s="28"/>
      <c r="X162" s="28"/>
      <c r="Y162" s="26"/>
      <c r="Z162" s="26"/>
      <c r="AA162" s="26"/>
      <c r="AB162" s="26"/>
      <c r="AC162" s="26"/>
      <c r="AD162" s="26"/>
      <c r="AE162" s="26"/>
      <c r="AF162" s="26"/>
      <c r="AG162" s="26"/>
      <c r="AH162" s="26"/>
      <c r="AI162" s="26"/>
      <c r="AJ162" s="15" t="str">
        <f>IF(COUNTA(B162,E162,H162,I162,J162,K162,L162,M162,N162,O162,P162,Q162,R162,S162,T162,U162,V162,W162,X162,Y162,Z162,AA162,AB162,AC162,AD162,AE162,AF162,AG162,AH162,AI162)=0,"",IF(OR(B162="",E162="",H162="",J162="",K162="",L162="",M162="",O162="",P162="",Q162="",R162="",S162="",T162="",U162="",W162="",X162="",Y162="",AB162="",AC162="",AE162="",AF162=""),"Incompleta: faltan campos obligatorios",IF(AND(LEFT(H162,6)="PROPIA",I162=""),"Falta el nombre de la acción propia del área",IF(AND(LEFT(H162,3)="A27",IFERROR(INDEX(Catalogos!$T$5:$T$207,MATCH(H162,Catalogos!$U$5:$U$207,0)),"x")&lt;&gt;LEFT(E162,7)),"La acción no corresponde a la meta seleccionada",IF(OR(NOT(ISNUMBER(M162)),M162&lt;10000000,M162&gt;99999999),"Código UNSPSC inválido: registre 8 dígitos",IF(MOD(M162,10000)=0,"UNSPSC a nivel de segmento o familia: use clase o producto",IF(IFERROR(MATCH(P162,L_MESES,0)&lt;MATCH(O162,L_MESES,0),TRUE()),"El mes de ofertas es anterior al de inicio del proceso",IF(OR(NOT(ISNUMBER(Q162)),Q162&lt;=0),"Duración inválida",IF(OR(NOT(ISNUMBER(W162)),NOT(ISNUMBER(X162))),"Valor inválido: registre solo números",IF(OR(W162&lt;=0,X162&lt;=0),"Valor inválido: debe ser mayor que cero",IF(X162&gt;W162,"El valor de la vigencia 2027 supera el valor total",IF(AND(X162&lt;W162,Y162="No"),"El valor total supera el de 2027: requiere vigencias futuras",IF(AND(Y162="Sí",OR(Z162="",Z162="No aplica")),"Indique el estado de la solicitud de vigencias futuras",IF(IF(AND(S162="Mínima cuantía",ISNUMBER(P_TOPE_MINIMA)),W162&gt;P_TOPE_MINIMA,FALSE()),"El valor supera el tope de mínima cuantía 2027",IF(IF(AND(S162="Selección abreviada de menor cuantía",ISNUMBER(P_TOPE_MENOR)),W162&gt;P_TOPE_MENOR,FALSE()),"El valor supera el tope de menor cuantía 2027",IF(OR(ISERROR(SEARCH("@itc.edu.co",AE162)),SUMPRODUCT(--ISNUMBER(SEARCH({"á","é","í","ó","ú","ñ"," "},AE162)))&gt;0),"El correo del responsable no es institucional válido",IF(AND(AF162="Sí",AG162=""),"Indique el N.° de registro 2026 que continúa","OK")))))))))))))))))</f>
        <v/>
      </c>
      <c r="AK162" s="15" t="str">
        <f>IF(AJ162="OK",COUNTIF($AJ$7:AJ162,"OK"),"")</f>
        <v/>
      </c>
    </row>
    <row r="163" spans="1:37" x14ac:dyDescent="0.3">
      <c r="A163" s="13" t="str">
        <f t="shared" si="2"/>
        <v>PN27-157</v>
      </c>
      <c r="B163" s="26"/>
      <c r="C163" s="13" t="str">
        <f>IF(B163="","",IFERROR(INDEX(Catalogos!$R$5:$R$51,MATCH(B163,L_AREAS,0)),""))</f>
        <v/>
      </c>
      <c r="D163" s="13" t="str">
        <f>IF(B163="","",IFERROR(INDEX(Catalogos!$O$5:$O$51,MATCH(B163,L_AREAS,0)),""))</f>
        <v/>
      </c>
      <c r="E163" s="26"/>
      <c r="F163" s="13" t="str">
        <f>IF(E163="","",IFERROR(INDEX(Catalogos!$C$5:$C$49,MATCH(E163,L_METAS,0)),""))</f>
        <v/>
      </c>
      <c r="G163" s="13" t="str">
        <f>IF(E163="","",IFERROR(INDEX(Catalogos!$E$5:$E$49,MATCH(E163,L_METAS,0)),""))</f>
        <v/>
      </c>
      <c r="H163" s="26"/>
      <c r="I163" s="26"/>
      <c r="J163" s="26"/>
      <c r="K163" s="26"/>
      <c r="L163" s="26"/>
      <c r="M163" s="27"/>
      <c r="N163" s="26"/>
      <c r="O163" s="26"/>
      <c r="P163" s="26"/>
      <c r="Q163" s="26"/>
      <c r="R163" s="26"/>
      <c r="S163" s="26"/>
      <c r="T163" s="26"/>
      <c r="U163" s="26"/>
      <c r="V163" s="26"/>
      <c r="W163" s="28"/>
      <c r="X163" s="28"/>
      <c r="Y163" s="26"/>
      <c r="Z163" s="26"/>
      <c r="AA163" s="26"/>
      <c r="AB163" s="26"/>
      <c r="AC163" s="26"/>
      <c r="AD163" s="26"/>
      <c r="AE163" s="26"/>
      <c r="AF163" s="26"/>
      <c r="AG163" s="26"/>
      <c r="AH163" s="26"/>
      <c r="AI163" s="26"/>
      <c r="AJ163" s="15" t="str">
        <f>IF(COUNTA(B163,E163,H163,I163,J163,K163,L163,M163,N163,O163,P163,Q163,R163,S163,T163,U163,V163,W163,X163,Y163,Z163,AA163,AB163,AC163,AD163,AE163,AF163,AG163,AH163,AI163)=0,"",IF(OR(B163="",E163="",H163="",J163="",K163="",L163="",M163="",O163="",P163="",Q163="",R163="",S163="",T163="",U163="",W163="",X163="",Y163="",AB163="",AC163="",AE163="",AF163=""),"Incompleta: faltan campos obligatorios",IF(AND(LEFT(H163,6)="PROPIA",I163=""),"Falta el nombre de la acción propia del área",IF(AND(LEFT(H163,3)="A27",IFERROR(INDEX(Catalogos!$T$5:$T$207,MATCH(H163,Catalogos!$U$5:$U$207,0)),"x")&lt;&gt;LEFT(E163,7)),"La acción no corresponde a la meta seleccionada",IF(OR(NOT(ISNUMBER(M163)),M163&lt;10000000,M163&gt;99999999),"Código UNSPSC inválido: registre 8 dígitos",IF(MOD(M163,10000)=0,"UNSPSC a nivel de segmento o familia: use clase o producto",IF(IFERROR(MATCH(P163,L_MESES,0)&lt;MATCH(O163,L_MESES,0),TRUE()),"El mes de ofertas es anterior al de inicio del proceso",IF(OR(NOT(ISNUMBER(Q163)),Q163&lt;=0),"Duración inválida",IF(OR(NOT(ISNUMBER(W163)),NOT(ISNUMBER(X163))),"Valor inválido: registre solo números",IF(OR(W163&lt;=0,X163&lt;=0),"Valor inválido: debe ser mayor que cero",IF(X163&gt;W163,"El valor de la vigencia 2027 supera el valor total",IF(AND(X163&lt;W163,Y163="No"),"El valor total supera el de 2027: requiere vigencias futuras",IF(AND(Y163="Sí",OR(Z163="",Z163="No aplica")),"Indique el estado de la solicitud de vigencias futuras",IF(IF(AND(S163="Mínima cuantía",ISNUMBER(P_TOPE_MINIMA)),W163&gt;P_TOPE_MINIMA,FALSE()),"El valor supera el tope de mínima cuantía 2027",IF(IF(AND(S163="Selección abreviada de menor cuantía",ISNUMBER(P_TOPE_MENOR)),W163&gt;P_TOPE_MENOR,FALSE()),"El valor supera el tope de menor cuantía 2027",IF(OR(ISERROR(SEARCH("@itc.edu.co",AE163)),SUMPRODUCT(--ISNUMBER(SEARCH({"á","é","í","ó","ú","ñ"," "},AE163)))&gt;0),"El correo del responsable no es institucional válido",IF(AND(AF163="Sí",AG163=""),"Indique el N.° de registro 2026 que continúa","OK")))))))))))))))))</f>
        <v/>
      </c>
      <c r="AK163" s="15" t="str">
        <f>IF(AJ163="OK",COUNTIF($AJ$7:AJ163,"OK"),"")</f>
        <v/>
      </c>
    </row>
    <row r="164" spans="1:37" x14ac:dyDescent="0.3">
      <c r="A164" s="13" t="str">
        <f t="shared" si="2"/>
        <v>PN27-158</v>
      </c>
      <c r="B164" s="26"/>
      <c r="C164" s="13" t="str">
        <f>IF(B164="","",IFERROR(INDEX(Catalogos!$R$5:$R$51,MATCH(B164,L_AREAS,0)),""))</f>
        <v/>
      </c>
      <c r="D164" s="13" t="str">
        <f>IF(B164="","",IFERROR(INDEX(Catalogos!$O$5:$O$51,MATCH(B164,L_AREAS,0)),""))</f>
        <v/>
      </c>
      <c r="E164" s="26"/>
      <c r="F164" s="13" t="str">
        <f>IF(E164="","",IFERROR(INDEX(Catalogos!$C$5:$C$49,MATCH(E164,L_METAS,0)),""))</f>
        <v/>
      </c>
      <c r="G164" s="13" t="str">
        <f>IF(E164="","",IFERROR(INDEX(Catalogos!$E$5:$E$49,MATCH(E164,L_METAS,0)),""))</f>
        <v/>
      </c>
      <c r="H164" s="26"/>
      <c r="I164" s="26"/>
      <c r="J164" s="26"/>
      <c r="K164" s="26"/>
      <c r="L164" s="26"/>
      <c r="M164" s="27"/>
      <c r="N164" s="26"/>
      <c r="O164" s="26"/>
      <c r="P164" s="26"/>
      <c r="Q164" s="26"/>
      <c r="R164" s="26"/>
      <c r="S164" s="26"/>
      <c r="T164" s="26"/>
      <c r="U164" s="26"/>
      <c r="V164" s="26"/>
      <c r="W164" s="28"/>
      <c r="X164" s="28"/>
      <c r="Y164" s="26"/>
      <c r="Z164" s="26"/>
      <c r="AA164" s="26"/>
      <c r="AB164" s="26"/>
      <c r="AC164" s="26"/>
      <c r="AD164" s="26"/>
      <c r="AE164" s="26"/>
      <c r="AF164" s="26"/>
      <c r="AG164" s="26"/>
      <c r="AH164" s="26"/>
      <c r="AI164" s="26"/>
      <c r="AJ164" s="15" t="str">
        <f>IF(COUNTA(B164,E164,H164,I164,J164,K164,L164,M164,N164,O164,P164,Q164,R164,S164,T164,U164,V164,W164,X164,Y164,Z164,AA164,AB164,AC164,AD164,AE164,AF164,AG164,AH164,AI164)=0,"",IF(OR(B164="",E164="",H164="",J164="",K164="",L164="",M164="",O164="",P164="",Q164="",R164="",S164="",T164="",U164="",W164="",X164="",Y164="",AB164="",AC164="",AE164="",AF164=""),"Incompleta: faltan campos obligatorios",IF(AND(LEFT(H164,6)="PROPIA",I164=""),"Falta el nombre de la acción propia del área",IF(AND(LEFT(H164,3)="A27",IFERROR(INDEX(Catalogos!$T$5:$T$207,MATCH(H164,Catalogos!$U$5:$U$207,0)),"x")&lt;&gt;LEFT(E164,7)),"La acción no corresponde a la meta seleccionada",IF(OR(NOT(ISNUMBER(M164)),M164&lt;10000000,M164&gt;99999999),"Código UNSPSC inválido: registre 8 dígitos",IF(MOD(M164,10000)=0,"UNSPSC a nivel de segmento o familia: use clase o producto",IF(IFERROR(MATCH(P164,L_MESES,0)&lt;MATCH(O164,L_MESES,0),TRUE()),"El mes de ofertas es anterior al de inicio del proceso",IF(OR(NOT(ISNUMBER(Q164)),Q164&lt;=0),"Duración inválida",IF(OR(NOT(ISNUMBER(W164)),NOT(ISNUMBER(X164))),"Valor inválido: registre solo números",IF(OR(W164&lt;=0,X164&lt;=0),"Valor inválido: debe ser mayor que cero",IF(X164&gt;W164,"El valor de la vigencia 2027 supera el valor total",IF(AND(X164&lt;W164,Y164="No"),"El valor total supera el de 2027: requiere vigencias futuras",IF(AND(Y164="Sí",OR(Z164="",Z164="No aplica")),"Indique el estado de la solicitud de vigencias futuras",IF(IF(AND(S164="Mínima cuantía",ISNUMBER(P_TOPE_MINIMA)),W164&gt;P_TOPE_MINIMA,FALSE()),"El valor supera el tope de mínima cuantía 2027",IF(IF(AND(S164="Selección abreviada de menor cuantía",ISNUMBER(P_TOPE_MENOR)),W164&gt;P_TOPE_MENOR,FALSE()),"El valor supera el tope de menor cuantía 2027",IF(OR(ISERROR(SEARCH("@itc.edu.co",AE164)),SUMPRODUCT(--ISNUMBER(SEARCH({"á","é","í","ó","ú","ñ"," "},AE164)))&gt;0),"El correo del responsable no es institucional válido",IF(AND(AF164="Sí",AG164=""),"Indique el N.° de registro 2026 que continúa","OK")))))))))))))))))</f>
        <v/>
      </c>
      <c r="AK164" s="15" t="str">
        <f>IF(AJ164="OK",COUNTIF($AJ$7:AJ164,"OK"),"")</f>
        <v/>
      </c>
    </row>
    <row r="165" spans="1:37" x14ac:dyDescent="0.3">
      <c r="A165" s="13" t="str">
        <f t="shared" si="2"/>
        <v>PN27-159</v>
      </c>
      <c r="B165" s="26"/>
      <c r="C165" s="13" t="str">
        <f>IF(B165="","",IFERROR(INDEX(Catalogos!$R$5:$R$51,MATCH(B165,L_AREAS,0)),""))</f>
        <v/>
      </c>
      <c r="D165" s="13" t="str">
        <f>IF(B165="","",IFERROR(INDEX(Catalogos!$O$5:$O$51,MATCH(B165,L_AREAS,0)),""))</f>
        <v/>
      </c>
      <c r="E165" s="26"/>
      <c r="F165" s="13" t="str">
        <f>IF(E165="","",IFERROR(INDEX(Catalogos!$C$5:$C$49,MATCH(E165,L_METAS,0)),""))</f>
        <v/>
      </c>
      <c r="G165" s="13" t="str">
        <f>IF(E165="","",IFERROR(INDEX(Catalogos!$E$5:$E$49,MATCH(E165,L_METAS,0)),""))</f>
        <v/>
      </c>
      <c r="H165" s="26"/>
      <c r="I165" s="26"/>
      <c r="J165" s="26"/>
      <c r="K165" s="26"/>
      <c r="L165" s="26"/>
      <c r="M165" s="27"/>
      <c r="N165" s="26"/>
      <c r="O165" s="26"/>
      <c r="P165" s="26"/>
      <c r="Q165" s="26"/>
      <c r="R165" s="26"/>
      <c r="S165" s="26"/>
      <c r="T165" s="26"/>
      <c r="U165" s="26"/>
      <c r="V165" s="26"/>
      <c r="W165" s="28"/>
      <c r="X165" s="28"/>
      <c r="Y165" s="26"/>
      <c r="Z165" s="26"/>
      <c r="AA165" s="26"/>
      <c r="AB165" s="26"/>
      <c r="AC165" s="26"/>
      <c r="AD165" s="26"/>
      <c r="AE165" s="26"/>
      <c r="AF165" s="26"/>
      <c r="AG165" s="26"/>
      <c r="AH165" s="26"/>
      <c r="AI165" s="26"/>
      <c r="AJ165" s="15" t="str">
        <f>IF(COUNTA(B165,E165,H165,I165,J165,K165,L165,M165,N165,O165,P165,Q165,R165,S165,T165,U165,V165,W165,X165,Y165,Z165,AA165,AB165,AC165,AD165,AE165,AF165,AG165,AH165,AI165)=0,"",IF(OR(B165="",E165="",H165="",J165="",K165="",L165="",M165="",O165="",P165="",Q165="",R165="",S165="",T165="",U165="",W165="",X165="",Y165="",AB165="",AC165="",AE165="",AF165=""),"Incompleta: faltan campos obligatorios",IF(AND(LEFT(H165,6)="PROPIA",I165=""),"Falta el nombre de la acción propia del área",IF(AND(LEFT(H165,3)="A27",IFERROR(INDEX(Catalogos!$T$5:$T$207,MATCH(H165,Catalogos!$U$5:$U$207,0)),"x")&lt;&gt;LEFT(E165,7)),"La acción no corresponde a la meta seleccionada",IF(OR(NOT(ISNUMBER(M165)),M165&lt;10000000,M165&gt;99999999),"Código UNSPSC inválido: registre 8 dígitos",IF(MOD(M165,10000)=0,"UNSPSC a nivel de segmento o familia: use clase o producto",IF(IFERROR(MATCH(P165,L_MESES,0)&lt;MATCH(O165,L_MESES,0),TRUE()),"El mes de ofertas es anterior al de inicio del proceso",IF(OR(NOT(ISNUMBER(Q165)),Q165&lt;=0),"Duración inválida",IF(OR(NOT(ISNUMBER(W165)),NOT(ISNUMBER(X165))),"Valor inválido: registre solo números",IF(OR(W165&lt;=0,X165&lt;=0),"Valor inválido: debe ser mayor que cero",IF(X165&gt;W165,"El valor de la vigencia 2027 supera el valor total",IF(AND(X165&lt;W165,Y165="No"),"El valor total supera el de 2027: requiere vigencias futuras",IF(AND(Y165="Sí",OR(Z165="",Z165="No aplica")),"Indique el estado de la solicitud de vigencias futuras",IF(IF(AND(S165="Mínima cuantía",ISNUMBER(P_TOPE_MINIMA)),W165&gt;P_TOPE_MINIMA,FALSE()),"El valor supera el tope de mínima cuantía 2027",IF(IF(AND(S165="Selección abreviada de menor cuantía",ISNUMBER(P_TOPE_MENOR)),W165&gt;P_TOPE_MENOR,FALSE()),"El valor supera el tope de menor cuantía 2027",IF(OR(ISERROR(SEARCH("@itc.edu.co",AE165)),SUMPRODUCT(--ISNUMBER(SEARCH({"á","é","í","ó","ú","ñ"," "},AE165)))&gt;0),"El correo del responsable no es institucional válido",IF(AND(AF165="Sí",AG165=""),"Indique el N.° de registro 2026 que continúa","OK")))))))))))))))))</f>
        <v/>
      </c>
      <c r="AK165" s="15" t="str">
        <f>IF(AJ165="OK",COUNTIF($AJ$7:AJ165,"OK"),"")</f>
        <v/>
      </c>
    </row>
    <row r="166" spans="1:37" x14ac:dyDescent="0.3">
      <c r="A166" s="13" t="str">
        <f t="shared" si="2"/>
        <v>PN27-160</v>
      </c>
      <c r="B166" s="26"/>
      <c r="C166" s="13" t="str">
        <f>IF(B166="","",IFERROR(INDEX(Catalogos!$R$5:$R$51,MATCH(B166,L_AREAS,0)),""))</f>
        <v/>
      </c>
      <c r="D166" s="13" t="str">
        <f>IF(B166="","",IFERROR(INDEX(Catalogos!$O$5:$O$51,MATCH(B166,L_AREAS,0)),""))</f>
        <v/>
      </c>
      <c r="E166" s="26"/>
      <c r="F166" s="13" t="str">
        <f>IF(E166="","",IFERROR(INDEX(Catalogos!$C$5:$C$49,MATCH(E166,L_METAS,0)),""))</f>
        <v/>
      </c>
      <c r="G166" s="13" t="str">
        <f>IF(E166="","",IFERROR(INDEX(Catalogos!$E$5:$E$49,MATCH(E166,L_METAS,0)),""))</f>
        <v/>
      </c>
      <c r="H166" s="26"/>
      <c r="I166" s="26"/>
      <c r="J166" s="26"/>
      <c r="K166" s="26"/>
      <c r="L166" s="26"/>
      <c r="M166" s="27"/>
      <c r="N166" s="26"/>
      <c r="O166" s="26"/>
      <c r="P166" s="26"/>
      <c r="Q166" s="26"/>
      <c r="R166" s="26"/>
      <c r="S166" s="26"/>
      <c r="T166" s="26"/>
      <c r="U166" s="26"/>
      <c r="V166" s="26"/>
      <c r="W166" s="28"/>
      <c r="X166" s="28"/>
      <c r="Y166" s="26"/>
      <c r="Z166" s="26"/>
      <c r="AA166" s="26"/>
      <c r="AB166" s="26"/>
      <c r="AC166" s="26"/>
      <c r="AD166" s="26"/>
      <c r="AE166" s="26"/>
      <c r="AF166" s="26"/>
      <c r="AG166" s="26"/>
      <c r="AH166" s="26"/>
      <c r="AI166" s="26"/>
      <c r="AJ166" s="15" t="str">
        <f>IF(COUNTA(B166,E166,H166,I166,J166,K166,L166,M166,N166,O166,P166,Q166,R166,S166,T166,U166,V166,W166,X166,Y166,Z166,AA166,AB166,AC166,AD166,AE166,AF166,AG166,AH166,AI166)=0,"",IF(OR(B166="",E166="",H166="",J166="",K166="",L166="",M166="",O166="",P166="",Q166="",R166="",S166="",T166="",U166="",W166="",X166="",Y166="",AB166="",AC166="",AE166="",AF166=""),"Incompleta: faltan campos obligatorios",IF(AND(LEFT(H166,6)="PROPIA",I166=""),"Falta el nombre de la acción propia del área",IF(AND(LEFT(H166,3)="A27",IFERROR(INDEX(Catalogos!$T$5:$T$207,MATCH(H166,Catalogos!$U$5:$U$207,0)),"x")&lt;&gt;LEFT(E166,7)),"La acción no corresponde a la meta seleccionada",IF(OR(NOT(ISNUMBER(M166)),M166&lt;10000000,M166&gt;99999999),"Código UNSPSC inválido: registre 8 dígitos",IF(MOD(M166,10000)=0,"UNSPSC a nivel de segmento o familia: use clase o producto",IF(IFERROR(MATCH(P166,L_MESES,0)&lt;MATCH(O166,L_MESES,0),TRUE()),"El mes de ofertas es anterior al de inicio del proceso",IF(OR(NOT(ISNUMBER(Q166)),Q166&lt;=0),"Duración inválida",IF(OR(NOT(ISNUMBER(W166)),NOT(ISNUMBER(X166))),"Valor inválido: registre solo números",IF(OR(W166&lt;=0,X166&lt;=0),"Valor inválido: debe ser mayor que cero",IF(X166&gt;W166,"El valor de la vigencia 2027 supera el valor total",IF(AND(X166&lt;W166,Y166="No"),"El valor total supera el de 2027: requiere vigencias futuras",IF(AND(Y166="Sí",OR(Z166="",Z166="No aplica")),"Indique el estado de la solicitud de vigencias futuras",IF(IF(AND(S166="Mínima cuantía",ISNUMBER(P_TOPE_MINIMA)),W166&gt;P_TOPE_MINIMA,FALSE()),"El valor supera el tope de mínima cuantía 2027",IF(IF(AND(S166="Selección abreviada de menor cuantía",ISNUMBER(P_TOPE_MENOR)),W166&gt;P_TOPE_MENOR,FALSE()),"El valor supera el tope de menor cuantía 2027",IF(OR(ISERROR(SEARCH("@itc.edu.co",AE166)),SUMPRODUCT(--ISNUMBER(SEARCH({"á","é","í","ó","ú","ñ"," "},AE166)))&gt;0),"El correo del responsable no es institucional válido",IF(AND(AF166="Sí",AG166=""),"Indique el N.° de registro 2026 que continúa","OK")))))))))))))))))</f>
        <v/>
      </c>
      <c r="AK166" s="15" t="str">
        <f>IF(AJ166="OK",COUNTIF($AJ$7:AJ166,"OK"),"")</f>
        <v/>
      </c>
    </row>
    <row r="167" spans="1:37" x14ac:dyDescent="0.3">
      <c r="A167" s="13" t="str">
        <f t="shared" si="2"/>
        <v>PN27-161</v>
      </c>
      <c r="B167" s="26"/>
      <c r="C167" s="13" t="str">
        <f>IF(B167="","",IFERROR(INDEX(Catalogos!$R$5:$R$51,MATCH(B167,L_AREAS,0)),""))</f>
        <v/>
      </c>
      <c r="D167" s="13" t="str">
        <f>IF(B167="","",IFERROR(INDEX(Catalogos!$O$5:$O$51,MATCH(B167,L_AREAS,0)),""))</f>
        <v/>
      </c>
      <c r="E167" s="26"/>
      <c r="F167" s="13" t="str">
        <f>IF(E167="","",IFERROR(INDEX(Catalogos!$C$5:$C$49,MATCH(E167,L_METAS,0)),""))</f>
        <v/>
      </c>
      <c r="G167" s="13" t="str">
        <f>IF(E167="","",IFERROR(INDEX(Catalogos!$E$5:$E$49,MATCH(E167,L_METAS,0)),""))</f>
        <v/>
      </c>
      <c r="H167" s="26"/>
      <c r="I167" s="26"/>
      <c r="J167" s="26"/>
      <c r="K167" s="26"/>
      <c r="L167" s="26"/>
      <c r="M167" s="27"/>
      <c r="N167" s="26"/>
      <c r="O167" s="26"/>
      <c r="P167" s="26"/>
      <c r="Q167" s="26"/>
      <c r="R167" s="26"/>
      <c r="S167" s="26"/>
      <c r="T167" s="26"/>
      <c r="U167" s="26"/>
      <c r="V167" s="26"/>
      <c r="W167" s="28"/>
      <c r="X167" s="28"/>
      <c r="Y167" s="26"/>
      <c r="Z167" s="26"/>
      <c r="AA167" s="26"/>
      <c r="AB167" s="26"/>
      <c r="AC167" s="26"/>
      <c r="AD167" s="26"/>
      <c r="AE167" s="26"/>
      <c r="AF167" s="26"/>
      <c r="AG167" s="26"/>
      <c r="AH167" s="26"/>
      <c r="AI167" s="26"/>
      <c r="AJ167" s="15" t="str">
        <f>IF(COUNTA(B167,E167,H167,I167,J167,K167,L167,M167,N167,O167,P167,Q167,R167,S167,T167,U167,V167,W167,X167,Y167,Z167,AA167,AB167,AC167,AD167,AE167,AF167,AG167,AH167,AI167)=0,"",IF(OR(B167="",E167="",H167="",J167="",K167="",L167="",M167="",O167="",P167="",Q167="",R167="",S167="",T167="",U167="",W167="",X167="",Y167="",AB167="",AC167="",AE167="",AF167=""),"Incompleta: faltan campos obligatorios",IF(AND(LEFT(H167,6)="PROPIA",I167=""),"Falta el nombre de la acción propia del área",IF(AND(LEFT(H167,3)="A27",IFERROR(INDEX(Catalogos!$T$5:$T$207,MATCH(H167,Catalogos!$U$5:$U$207,0)),"x")&lt;&gt;LEFT(E167,7)),"La acción no corresponde a la meta seleccionada",IF(OR(NOT(ISNUMBER(M167)),M167&lt;10000000,M167&gt;99999999),"Código UNSPSC inválido: registre 8 dígitos",IF(MOD(M167,10000)=0,"UNSPSC a nivel de segmento o familia: use clase o producto",IF(IFERROR(MATCH(P167,L_MESES,0)&lt;MATCH(O167,L_MESES,0),TRUE()),"El mes de ofertas es anterior al de inicio del proceso",IF(OR(NOT(ISNUMBER(Q167)),Q167&lt;=0),"Duración inválida",IF(OR(NOT(ISNUMBER(W167)),NOT(ISNUMBER(X167))),"Valor inválido: registre solo números",IF(OR(W167&lt;=0,X167&lt;=0),"Valor inválido: debe ser mayor que cero",IF(X167&gt;W167,"El valor de la vigencia 2027 supera el valor total",IF(AND(X167&lt;W167,Y167="No"),"El valor total supera el de 2027: requiere vigencias futuras",IF(AND(Y167="Sí",OR(Z167="",Z167="No aplica")),"Indique el estado de la solicitud de vigencias futuras",IF(IF(AND(S167="Mínima cuantía",ISNUMBER(P_TOPE_MINIMA)),W167&gt;P_TOPE_MINIMA,FALSE()),"El valor supera el tope de mínima cuantía 2027",IF(IF(AND(S167="Selección abreviada de menor cuantía",ISNUMBER(P_TOPE_MENOR)),W167&gt;P_TOPE_MENOR,FALSE()),"El valor supera el tope de menor cuantía 2027",IF(OR(ISERROR(SEARCH("@itc.edu.co",AE167)),SUMPRODUCT(--ISNUMBER(SEARCH({"á","é","í","ó","ú","ñ"," "},AE167)))&gt;0),"El correo del responsable no es institucional válido",IF(AND(AF167="Sí",AG167=""),"Indique el N.° de registro 2026 que continúa","OK")))))))))))))))))</f>
        <v/>
      </c>
      <c r="AK167" s="15" t="str">
        <f>IF(AJ167="OK",COUNTIF($AJ$7:AJ167,"OK"),"")</f>
        <v/>
      </c>
    </row>
    <row r="168" spans="1:37" x14ac:dyDescent="0.3">
      <c r="A168" s="13" t="str">
        <f t="shared" si="2"/>
        <v>PN27-162</v>
      </c>
      <c r="B168" s="26"/>
      <c r="C168" s="13" t="str">
        <f>IF(B168="","",IFERROR(INDEX(Catalogos!$R$5:$R$51,MATCH(B168,L_AREAS,0)),""))</f>
        <v/>
      </c>
      <c r="D168" s="13" t="str">
        <f>IF(B168="","",IFERROR(INDEX(Catalogos!$O$5:$O$51,MATCH(B168,L_AREAS,0)),""))</f>
        <v/>
      </c>
      <c r="E168" s="26"/>
      <c r="F168" s="13" t="str">
        <f>IF(E168="","",IFERROR(INDEX(Catalogos!$C$5:$C$49,MATCH(E168,L_METAS,0)),""))</f>
        <v/>
      </c>
      <c r="G168" s="13" t="str">
        <f>IF(E168="","",IFERROR(INDEX(Catalogos!$E$5:$E$49,MATCH(E168,L_METAS,0)),""))</f>
        <v/>
      </c>
      <c r="H168" s="26"/>
      <c r="I168" s="26"/>
      <c r="J168" s="26"/>
      <c r="K168" s="26"/>
      <c r="L168" s="26"/>
      <c r="M168" s="27"/>
      <c r="N168" s="26"/>
      <c r="O168" s="26"/>
      <c r="P168" s="26"/>
      <c r="Q168" s="26"/>
      <c r="R168" s="26"/>
      <c r="S168" s="26"/>
      <c r="T168" s="26"/>
      <c r="U168" s="26"/>
      <c r="V168" s="26"/>
      <c r="W168" s="28"/>
      <c r="X168" s="28"/>
      <c r="Y168" s="26"/>
      <c r="Z168" s="26"/>
      <c r="AA168" s="26"/>
      <c r="AB168" s="26"/>
      <c r="AC168" s="26"/>
      <c r="AD168" s="26"/>
      <c r="AE168" s="26"/>
      <c r="AF168" s="26"/>
      <c r="AG168" s="26"/>
      <c r="AH168" s="26"/>
      <c r="AI168" s="26"/>
      <c r="AJ168" s="15" t="str">
        <f>IF(COUNTA(B168,E168,H168,I168,J168,K168,L168,M168,N168,O168,P168,Q168,R168,S168,T168,U168,V168,W168,X168,Y168,Z168,AA168,AB168,AC168,AD168,AE168,AF168,AG168,AH168,AI168)=0,"",IF(OR(B168="",E168="",H168="",J168="",K168="",L168="",M168="",O168="",P168="",Q168="",R168="",S168="",T168="",U168="",W168="",X168="",Y168="",AB168="",AC168="",AE168="",AF168=""),"Incompleta: faltan campos obligatorios",IF(AND(LEFT(H168,6)="PROPIA",I168=""),"Falta el nombre de la acción propia del área",IF(AND(LEFT(H168,3)="A27",IFERROR(INDEX(Catalogos!$T$5:$T$207,MATCH(H168,Catalogos!$U$5:$U$207,0)),"x")&lt;&gt;LEFT(E168,7)),"La acción no corresponde a la meta seleccionada",IF(OR(NOT(ISNUMBER(M168)),M168&lt;10000000,M168&gt;99999999),"Código UNSPSC inválido: registre 8 dígitos",IF(MOD(M168,10000)=0,"UNSPSC a nivel de segmento o familia: use clase o producto",IF(IFERROR(MATCH(P168,L_MESES,0)&lt;MATCH(O168,L_MESES,0),TRUE()),"El mes de ofertas es anterior al de inicio del proceso",IF(OR(NOT(ISNUMBER(Q168)),Q168&lt;=0),"Duración inválida",IF(OR(NOT(ISNUMBER(W168)),NOT(ISNUMBER(X168))),"Valor inválido: registre solo números",IF(OR(W168&lt;=0,X168&lt;=0),"Valor inválido: debe ser mayor que cero",IF(X168&gt;W168,"El valor de la vigencia 2027 supera el valor total",IF(AND(X168&lt;W168,Y168="No"),"El valor total supera el de 2027: requiere vigencias futuras",IF(AND(Y168="Sí",OR(Z168="",Z168="No aplica")),"Indique el estado de la solicitud de vigencias futuras",IF(IF(AND(S168="Mínima cuantía",ISNUMBER(P_TOPE_MINIMA)),W168&gt;P_TOPE_MINIMA,FALSE()),"El valor supera el tope de mínima cuantía 2027",IF(IF(AND(S168="Selección abreviada de menor cuantía",ISNUMBER(P_TOPE_MENOR)),W168&gt;P_TOPE_MENOR,FALSE()),"El valor supera el tope de menor cuantía 2027",IF(OR(ISERROR(SEARCH("@itc.edu.co",AE168)),SUMPRODUCT(--ISNUMBER(SEARCH({"á","é","í","ó","ú","ñ"," "},AE168)))&gt;0),"El correo del responsable no es institucional válido",IF(AND(AF168="Sí",AG168=""),"Indique el N.° de registro 2026 que continúa","OK")))))))))))))))))</f>
        <v/>
      </c>
      <c r="AK168" s="15" t="str">
        <f>IF(AJ168="OK",COUNTIF($AJ$7:AJ168,"OK"),"")</f>
        <v/>
      </c>
    </row>
    <row r="169" spans="1:37" x14ac:dyDescent="0.3">
      <c r="A169" s="13" t="str">
        <f t="shared" si="2"/>
        <v>PN27-163</v>
      </c>
      <c r="B169" s="26"/>
      <c r="C169" s="13" t="str">
        <f>IF(B169="","",IFERROR(INDEX(Catalogos!$R$5:$R$51,MATCH(B169,L_AREAS,0)),""))</f>
        <v/>
      </c>
      <c r="D169" s="13" t="str">
        <f>IF(B169="","",IFERROR(INDEX(Catalogos!$O$5:$O$51,MATCH(B169,L_AREAS,0)),""))</f>
        <v/>
      </c>
      <c r="E169" s="26"/>
      <c r="F169" s="13" t="str">
        <f>IF(E169="","",IFERROR(INDEX(Catalogos!$C$5:$C$49,MATCH(E169,L_METAS,0)),""))</f>
        <v/>
      </c>
      <c r="G169" s="13" t="str">
        <f>IF(E169="","",IFERROR(INDEX(Catalogos!$E$5:$E$49,MATCH(E169,L_METAS,0)),""))</f>
        <v/>
      </c>
      <c r="H169" s="26"/>
      <c r="I169" s="26"/>
      <c r="J169" s="26"/>
      <c r="K169" s="26"/>
      <c r="L169" s="26"/>
      <c r="M169" s="27"/>
      <c r="N169" s="26"/>
      <c r="O169" s="26"/>
      <c r="P169" s="26"/>
      <c r="Q169" s="26"/>
      <c r="R169" s="26"/>
      <c r="S169" s="26"/>
      <c r="T169" s="26"/>
      <c r="U169" s="26"/>
      <c r="V169" s="26"/>
      <c r="W169" s="28"/>
      <c r="X169" s="28"/>
      <c r="Y169" s="26"/>
      <c r="Z169" s="26"/>
      <c r="AA169" s="26"/>
      <c r="AB169" s="26"/>
      <c r="AC169" s="26"/>
      <c r="AD169" s="26"/>
      <c r="AE169" s="26"/>
      <c r="AF169" s="26"/>
      <c r="AG169" s="26"/>
      <c r="AH169" s="26"/>
      <c r="AI169" s="26"/>
      <c r="AJ169" s="15" t="str">
        <f>IF(COUNTA(B169,E169,H169,I169,J169,K169,L169,M169,N169,O169,P169,Q169,R169,S169,T169,U169,V169,W169,X169,Y169,Z169,AA169,AB169,AC169,AD169,AE169,AF169,AG169,AH169,AI169)=0,"",IF(OR(B169="",E169="",H169="",J169="",K169="",L169="",M169="",O169="",P169="",Q169="",R169="",S169="",T169="",U169="",W169="",X169="",Y169="",AB169="",AC169="",AE169="",AF169=""),"Incompleta: faltan campos obligatorios",IF(AND(LEFT(H169,6)="PROPIA",I169=""),"Falta el nombre de la acción propia del área",IF(AND(LEFT(H169,3)="A27",IFERROR(INDEX(Catalogos!$T$5:$T$207,MATCH(H169,Catalogos!$U$5:$U$207,0)),"x")&lt;&gt;LEFT(E169,7)),"La acción no corresponde a la meta seleccionada",IF(OR(NOT(ISNUMBER(M169)),M169&lt;10000000,M169&gt;99999999),"Código UNSPSC inválido: registre 8 dígitos",IF(MOD(M169,10000)=0,"UNSPSC a nivel de segmento o familia: use clase o producto",IF(IFERROR(MATCH(P169,L_MESES,0)&lt;MATCH(O169,L_MESES,0),TRUE()),"El mes de ofertas es anterior al de inicio del proceso",IF(OR(NOT(ISNUMBER(Q169)),Q169&lt;=0),"Duración inválida",IF(OR(NOT(ISNUMBER(W169)),NOT(ISNUMBER(X169))),"Valor inválido: registre solo números",IF(OR(W169&lt;=0,X169&lt;=0),"Valor inválido: debe ser mayor que cero",IF(X169&gt;W169,"El valor de la vigencia 2027 supera el valor total",IF(AND(X169&lt;W169,Y169="No"),"El valor total supera el de 2027: requiere vigencias futuras",IF(AND(Y169="Sí",OR(Z169="",Z169="No aplica")),"Indique el estado de la solicitud de vigencias futuras",IF(IF(AND(S169="Mínima cuantía",ISNUMBER(P_TOPE_MINIMA)),W169&gt;P_TOPE_MINIMA,FALSE()),"El valor supera el tope de mínima cuantía 2027",IF(IF(AND(S169="Selección abreviada de menor cuantía",ISNUMBER(P_TOPE_MENOR)),W169&gt;P_TOPE_MENOR,FALSE()),"El valor supera el tope de menor cuantía 2027",IF(OR(ISERROR(SEARCH("@itc.edu.co",AE169)),SUMPRODUCT(--ISNUMBER(SEARCH({"á","é","í","ó","ú","ñ"," "},AE169)))&gt;0),"El correo del responsable no es institucional válido",IF(AND(AF169="Sí",AG169=""),"Indique el N.° de registro 2026 que continúa","OK")))))))))))))))))</f>
        <v/>
      </c>
      <c r="AK169" s="15" t="str">
        <f>IF(AJ169="OK",COUNTIF($AJ$7:AJ169,"OK"),"")</f>
        <v/>
      </c>
    </row>
    <row r="170" spans="1:37" x14ac:dyDescent="0.3">
      <c r="A170" s="13" t="str">
        <f t="shared" si="2"/>
        <v>PN27-164</v>
      </c>
      <c r="B170" s="26"/>
      <c r="C170" s="13" t="str">
        <f>IF(B170="","",IFERROR(INDEX(Catalogos!$R$5:$R$51,MATCH(B170,L_AREAS,0)),""))</f>
        <v/>
      </c>
      <c r="D170" s="13" t="str">
        <f>IF(B170="","",IFERROR(INDEX(Catalogos!$O$5:$O$51,MATCH(B170,L_AREAS,0)),""))</f>
        <v/>
      </c>
      <c r="E170" s="26"/>
      <c r="F170" s="13" t="str">
        <f>IF(E170="","",IFERROR(INDEX(Catalogos!$C$5:$C$49,MATCH(E170,L_METAS,0)),""))</f>
        <v/>
      </c>
      <c r="G170" s="13" t="str">
        <f>IF(E170="","",IFERROR(INDEX(Catalogos!$E$5:$E$49,MATCH(E170,L_METAS,0)),""))</f>
        <v/>
      </c>
      <c r="H170" s="26"/>
      <c r="I170" s="26"/>
      <c r="J170" s="26"/>
      <c r="K170" s="26"/>
      <c r="L170" s="26"/>
      <c r="M170" s="27"/>
      <c r="N170" s="26"/>
      <c r="O170" s="26"/>
      <c r="P170" s="26"/>
      <c r="Q170" s="26"/>
      <c r="R170" s="26"/>
      <c r="S170" s="26"/>
      <c r="T170" s="26"/>
      <c r="U170" s="26"/>
      <c r="V170" s="26"/>
      <c r="W170" s="28"/>
      <c r="X170" s="28"/>
      <c r="Y170" s="26"/>
      <c r="Z170" s="26"/>
      <c r="AA170" s="26"/>
      <c r="AB170" s="26"/>
      <c r="AC170" s="26"/>
      <c r="AD170" s="26"/>
      <c r="AE170" s="26"/>
      <c r="AF170" s="26"/>
      <c r="AG170" s="26"/>
      <c r="AH170" s="26"/>
      <c r="AI170" s="26"/>
      <c r="AJ170" s="15" t="str">
        <f>IF(COUNTA(B170,E170,H170,I170,J170,K170,L170,M170,N170,O170,P170,Q170,R170,S170,T170,U170,V170,W170,X170,Y170,Z170,AA170,AB170,AC170,AD170,AE170,AF170,AG170,AH170,AI170)=0,"",IF(OR(B170="",E170="",H170="",J170="",K170="",L170="",M170="",O170="",P170="",Q170="",R170="",S170="",T170="",U170="",W170="",X170="",Y170="",AB170="",AC170="",AE170="",AF170=""),"Incompleta: faltan campos obligatorios",IF(AND(LEFT(H170,6)="PROPIA",I170=""),"Falta el nombre de la acción propia del área",IF(AND(LEFT(H170,3)="A27",IFERROR(INDEX(Catalogos!$T$5:$T$207,MATCH(H170,Catalogos!$U$5:$U$207,0)),"x")&lt;&gt;LEFT(E170,7)),"La acción no corresponde a la meta seleccionada",IF(OR(NOT(ISNUMBER(M170)),M170&lt;10000000,M170&gt;99999999),"Código UNSPSC inválido: registre 8 dígitos",IF(MOD(M170,10000)=0,"UNSPSC a nivel de segmento o familia: use clase o producto",IF(IFERROR(MATCH(P170,L_MESES,0)&lt;MATCH(O170,L_MESES,0),TRUE()),"El mes de ofertas es anterior al de inicio del proceso",IF(OR(NOT(ISNUMBER(Q170)),Q170&lt;=0),"Duración inválida",IF(OR(NOT(ISNUMBER(W170)),NOT(ISNUMBER(X170))),"Valor inválido: registre solo números",IF(OR(W170&lt;=0,X170&lt;=0),"Valor inválido: debe ser mayor que cero",IF(X170&gt;W170,"El valor de la vigencia 2027 supera el valor total",IF(AND(X170&lt;W170,Y170="No"),"El valor total supera el de 2027: requiere vigencias futuras",IF(AND(Y170="Sí",OR(Z170="",Z170="No aplica")),"Indique el estado de la solicitud de vigencias futuras",IF(IF(AND(S170="Mínima cuantía",ISNUMBER(P_TOPE_MINIMA)),W170&gt;P_TOPE_MINIMA,FALSE()),"El valor supera el tope de mínima cuantía 2027",IF(IF(AND(S170="Selección abreviada de menor cuantía",ISNUMBER(P_TOPE_MENOR)),W170&gt;P_TOPE_MENOR,FALSE()),"El valor supera el tope de menor cuantía 2027",IF(OR(ISERROR(SEARCH("@itc.edu.co",AE170)),SUMPRODUCT(--ISNUMBER(SEARCH({"á","é","í","ó","ú","ñ"," "},AE170)))&gt;0),"El correo del responsable no es institucional válido",IF(AND(AF170="Sí",AG170=""),"Indique el N.° de registro 2026 que continúa","OK")))))))))))))))))</f>
        <v/>
      </c>
      <c r="AK170" s="15" t="str">
        <f>IF(AJ170="OK",COUNTIF($AJ$7:AJ170,"OK"),"")</f>
        <v/>
      </c>
    </row>
    <row r="171" spans="1:37" x14ac:dyDescent="0.3">
      <c r="A171" s="13" t="str">
        <f t="shared" si="2"/>
        <v>PN27-165</v>
      </c>
      <c r="B171" s="26"/>
      <c r="C171" s="13" t="str">
        <f>IF(B171="","",IFERROR(INDEX(Catalogos!$R$5:$R$51,MATCH(B171,L_AREAS,0)),""))</f>
        <v/>
      </c>
      <c r="D171" s="13" t="str">
        <f>IF(B171="","",IFERROR(INDEX(Catalogos!$O$5:$O$51,MATCH(B171,L_AREAS,0)),""))</f>
        <v/>
      </c>
      <c r="E171" s="26"/>
      <c r="F171" s="13" t="str">
        <f>IF(E171="","",IFERROR(INDEX(Catalogos!$C$5:$C$49,MATCH(E171,L_METAS,0)),""))</f>
        <v/>
      </c>
      <c r="G171" s="13" t="str">
        <f>IF(E171="","",IFERROR(INDEX(Catalogos!$E$5:$E$49,MATCH(E171,L_METAS,0)),""))</f>
        <v/>
      </c>
      <c r="H171" s="26"/>
      <c r="I171" s="26"/>
      <c r="J171" s="26"/>
      <c r="K171" s="26"/>
      <c r="L171" s="26"/>
      <c r="M171" s="27"/>
      <c r="N171" s="26"/>
      <c r="O171" s="26"/>
      <c r="P171" s="26"/>
      <c r="Q171" s="26"/>
      <c r="R171" s="26"/>
      <c r="S171" s="26"/>
      <c r="T171" s="26"/>
      <c r="U171" s="26"/>
      <c r="V171" s="26"/>
      <c r="W171" s="28"/>
      <c r="X171" s="28"/>
      <c r="Y171" s="26"/>
      <c r="Z171" s="26"/>
      <c r="AA171" s="26"/>
      <c r="AB171" s="26"/>
      <c r="AC171" s="26"/>
      <c r="AD171" s="26"/>
      <c r="AE171" s="26"/>
      <c r="AF171" s="26"/>
      <c r="AG171" s="26"/>
      <c r="AH171" s="26"/>
      <c r="AI171" s="26"/>
      <c r="AJ171" s="15" t="str">
        <f>IF(COUNTA(B171,E171,H171,I171,J171,K171,L171,M171,N171,O171,P171,Q171,R171,S171,T171,U171,V171,W171,X171,Y171,Z171,AA171,AB171,AC171,AD171,AE171,AF171,AG171,AH171,AI171)=0,"",IF(OR(B171="",E171="",H171="",J171="",K171="",L171="",M171="",O171="",P171="",Q171="",R171="",S171="",T171="",U171="",W171="",X171="",Y171="",AB171="",AC171="",AE171="",AF171=""),"Incompleta: faltan campos obligatorios",IF(AND(LEFT(H171,6)="PROPIA",I171=""),"Falta el nombre de la acción propia del área",IF(AND(LEFT(H171,3)="A27",IFERROR(INDEX(Catalogos!$T$5:$T$207,MATCH(H171,Catalogos!$U$5:$U$207,0)),"x")&lt;&gt;LEFT(E171,7)),"La acción no corresponde a la meta seleccionada",IF(OR(NOT(ISNUMBER(M171)),M171&lt;10000000,M171&gt;99999999),"Código UNSPSC inválido: registre 8 dígitos",IF(MOD(M171,10000)=0,"UNSPSC a nivel de segmento o familia: use clase o producto",IF(IFERROR(MATCH(P171,L_MESES,0)&lt;MATCH(O171,L_MESES,0),TRUE()),"El mes de ofertas es anterior al de inicio del proceso",IF(OR(NOT(ISNUMBER(Q171)),Q171&lt;=0),"Duración inválida",IF(OR(NOT(ISNUMBER(W171)),NOT(ISNUMBER(X171))),"Valor inválido: registre solo números",IF(OR(W171&lt;=0,X171&lt;=0),"Valor inválido: debe ser mayor que cero",IF(X171&gt;W171,"El valor de la vigencia 2027 supera el valor total",IF(AND(X171&lt;W171,Y171="No"),"El valor total supera el de 2027: requiere vigencias futuras",IF(AND(Y171="Sí",OR(Z171="",Z171="No aplica")),"Indique el estado de la solicitud de vigencias futuras",IF(IF(AND(S171="Mínima cuantía",ISNUMBER(P_TOPE_MINIMA)),W171&gt;P_TOPE_MINIMA,FALSE()),"El valor supera el tope de mínima cuantía 2027",IF(IF(AND(S171="Selección abreviada de menor cuantía",ISNUMBER(P_TOPE_MENOR)),W171&gt;P_TOPE_MENOR,FALSE()),"El valor supera el tope de menor cuantía 2027",IF(OR(ISERROR(SEARCH("@itc.edu.co",AE171)),SUMPRODUCT(--ISNUMBER(SEARCH({"á","é","í","ó","ú","ñ"," "},AE171)))&gt;0),"El correo del responsable no es institucional válido",IF(AND(AF171="Sí",AG171=""),"Indique el N.° de registro 2026 que continúa","OK")))))))))))))))))</f>
        <v/>
      </c>
      <c r="AK171" s="15" t="str">
        <f>IF(AJ171="OK",COUNTIF($AJ$7:AJ171,"OK"),"")</f>
        <v/>
      </c>
    </row>
    <row r="172" spans="1:37" x14ac:dyDescent="0.3">
      <c r="A172" s="13" t="str">
        <f t="shared" si="2"/>
        <v>PN27-166</v>
      </c>
      <c r="B172" s="26"/>
      <c r="C172" s="13" t="str">
        <f>IF(B172="","",IFERROR(INDEX(Catalogos!$R$5:$R$51,MATCH(B172,L_AREAS,0)),""))</f>
        <v/>
      </c>
      <c r="D172" s="13" t="str">
        <f>IF(B172="","",IFERROR(INDEX(Catalogos!$O$5:$O$51,MATCH(B172,L_AREAS,0)),""))</f>
        <v/>
      </c>
      <c r="E172" s="26"/>
      <c r="F172" s="13" t="str">
        <f>IF(E172="","",IFERROR(INDEX(Catalogos!$C$5:$C$49,MATCH(E172,L_METAS,0)),""))</f>
        <v/>
      </c>
      <c r="G172" s="13" t="str">
        <f>IF(E172="","",IFERROR(INDEX(Catalogos!$E$5:$E$49,MATCH(E172,L_METAS,0)),""))</f>
        <v/>
      </c>
      <c r="H172" s="26"/>
      <c r="I172" s="26"/>
      <c r="J172" s="26"/>
      <c r="K172" s="26"/>
      <c r="L172" s="26"/>
      <c r="M172" s="27"/>
      <c r="N172" s="26"/>
      <c r="O172" s="26"/>
      <c r="P172" s="26"/>
      <c r="Q172" s="26"/>
      <c r="R172" s="26"/>
      <c r="S172" s="26"/>
      <c r="T172" s="26"/>
      <c r="U172" s="26"/>
      <c r="V172" s="26"/>
      <c r="W172" s="28"/>
      <c r="X172" s="28"/>
      <c r="Y172" s="26"/>
      <c r="Z172" s="26"/>
      <c r="AA172" s="26"/>
      <c r="AB172" s="26"/>
      <c r="AC172" s="26"/>
      <c r="AD172" s="26"/>
      <c r="AE172" s="26"/>
      <c r="AF172" s="26"/>
      <c r="AG172" s="26"/>
      <c r="AH172" s="26"/>
      <c r="AI172" s="26"/>
      <c r="AJ172" s="15" t="str">
        <f>IF(COUNTA(B172,E172,H172,I172,J172,K172,L172,M172,N172,O172,P172,Q172,R172,S172,T172,U172,V172,W172,X172,Y172,Z172,AA172,AB172,AC172,AD172,AE172,AF172,AG172,AH172,AI172)=0,"",IF(OR(B172="",E172="",H172="",J172="",K172="",L172="",M172="",O172="",P172="",Q172="",R172="",S172="",T172="",U172="",W172="",X172="",Y172="",AB172="",AC172="",AE172="",AF172=""),"Incompleta: faltan campos obligatorios",IF(AND(LEFT(H172,6)="PROPIA",I172=""),"Falta el nombre de la acción propia del área",IF(AND(LEFT(H172,3)="A27",IFERROR(INDEX(Catalogos!$T$5:$T$207,MATCH(H172,Catalogos!$U$5:$U$207,0)),"x")&lt;&gt;LEFT(E172,7)),"La acción no corresponde a la meta seleccionada",IF(OR(NOT(ISNUMBER(M172)),M172&lt;10000000,M172&gt;99999999),"Código UNSPSC inválido: registre 8 dígitos",IF(MOD(M172,10000)=0,"UNSPSC a nivel de segmento o familia: use clase o producto",IF(IFERROR(MATCH(P172,L_MESES,0)&lt;MATCH(O172,L_MESES,0),TRUE()),"El mes de ofertas es anterior al de inicio del proceso",IF(OR(NOT(ISNUMBER(Q172)),Q172&lt;=0),"Duración inválida",IF(OR(NOT(ISNUMBER(W172)),NOT(ISNUMBER(X172))),"Valor inválido: registre solo números",IF(OR(W172&lt;=0,X172&lt;=0),"Valor inválido: debe ser mayor que cero",IF(X172&gt;W172,"El valor de la vigencia 2027 supera el valor total",IF(AND(X172&lt;W172,Y172="No"),"El valor total supera el de 2027: requiere vigencias futuras",IF(AND(Y172="Sí",OR(Z172="",Z172="No aplica")),"Indique el estado de la solicitud de vigencias futuras",IF(IF(AND(S172="Mínima cuantía",ISNUMBER(P_TOPE_MINIMA)),W172&gt;P_TOPE_MINIMA,FALSE()),"El valor supera el tope de mínima cuantía 2027",IF(IF(AND(S172="Selección abreviada de menor cuantía",ISNUMBER(P_TOPE_MENOR)),W172&gt;P_TOPE_MENOR,FALSE()),"El valor supera el tope de menor cuantía 2027",IF(OR(ISERROR(SEARCH("@itc.edu.co",AE172)),SUMPRODUCT(--ISNUMBER(SEARCH({"á","é","í","ó","ú","ñ"," "},AE172)))&gt;0),"El correo del responsable no es institucional válido",IF(AND(AF172="Sí",AG172=""),"Indique el N.° de registro 2026 que continúa","OK")))))))))))))))))</f>
        <v/>
      </c>
      <c r="AK172" s="15" t="str">
        <f>IF(AJ172="OK",COUNTIF($AJ$7:AJ172,"OK"),"")</f>
        <v/>
      </c>
    </row>
    <row r="173" spans="1:37" x14ac:dyDescent="0.3">
      <c r="A173" s="13" t="str">
        <f t="shared" si="2"/>
        <v>PN27-167</v>
      </c>
      <c r="B173" s="26"/>
      <c r="C173" s="13" t="str">
        <f>IF(B173="","",IFERROR(INDEX(Catalogos!$R$5:$R$51,MATCH(B173,L_AREAS,0)),""))</f>
        <v/>
      </c>
      <c r="D173" s="13" t="str">
        <f>IF(B173="","",IFERROR(INDEX(Catalogos!$O$5:$O$51,MATCH(B173,L_AREAS,0)),""))</f>
        <v/>
      </c>
      <c r="E173" s="26"/>
      <c r="F173" s="13" t="str">
        <f>IF(E173="","",IFERROR(INDEX(Catalogos!$C$5:$C$49,MATCH(E173,L_METAS,0)),""))</f>
        <v/>
      </c>
      <c r="G173" s="13" t="str">
        <f>IF(E173="","",IFERROR(INDEX(Catalogos!$E$5:$E$49,MATCH(E173,L_METAS,0)),""))</f>
        <v/>
      </c>
      <c r="H173" s="26"/>
      <c r="I173" s="26"/>
      <c r="J173" s="26"/>
      <c r="K173" s="26"/>
      <c r="L173" s="26"/>
      <c r="M173" s="27"/>
      <c r="N173" s="26"/>
      <c r="O173" s="26"/>
      <c r="P173" s="26"/>
      <c r="Q173" s="26"/>
      <c r="R173" s="26"/>
      <c r="S173" s="26"/>
      <c r="T173" s="26"/>
      <c r="U173" s="26"/>
      <c r="V173" s="26"/>
      <c r="W173" s="28"/>
      <c r="X173" s="28"/>
      <c r="Y173" s="26"/>
      <c r="Z173" s="26"/>
      <c r="AA173" s="26"/>
      <c r="AB173" s="26"/>
      <c r="AC173" s="26"/>
      <c r="AD173" s="26"/>
      <c r="AE173" s="26"/>
      <c r="AF173" s="26"/>
      <c r="AG173" s="26"/>
      <c r="AH173" s="26"/>
      <c r="AI173" s="26"/>
      <c r="AJ173" s="15" t="str">
        <f>IF(COUNTA(B173,E173,H173,I173,J173,K173,L173,M173,N173,O173,P173,Q173,R173,S173,T173,U173,V173,W173,X173,Y173,Z173,AA173,AB173,AC173,AD173,AE173,AF173,AG173,AH173,AI173)=0,"",IF(OR(B173="",E173="",H173="",J173="",K173="",L173="",M173="",O173="",P173="",Q173="",R173="",S173="",T173="",U173="",W173="",X173="",Y173="",AB173="",AC173="",AE173="",AF173=""),"Incompleta: faltan campos obligatorios",IF(AND(LEFT(H173,6)="PROPIA",I173=""),"Falta el nombre de la acción propia del área",IF(AND(LEFT(H173,3)="A27",IFERROR(INDEX(Catalogos!$T$5:$T$207,MATCH(H173,Catalogos!$U$5:$U$207,0)),"x")&lt;&gt;LEFT(E173,7)),"La acción no corresponde a la meta seleccionada",IF(OR(NOT(ISNUMBER(M173)),M173&lt;10000000,M173&gt;99999999),"Código UNSPSC inválido: registre 8 dígitos",IF(MOD(M173,10000)=0,"UNSPSC a nivel de segmento o familia: use clase o producto",IF(IFERROR(MATCH(P173,L_MESES,0)&lt;MATCH(O173,L_MESES,0),TRUE()),"El mes de ofertas es anterior al de inicio del proceso",IF(OR(NOT(ISNUMBER(Q173)),Q173&lt;=0),"Duración inválida",IF(OR(NOT(ISNUMBER(W173)),NOT(ISNUMBER(X173))),"Valor inválido: registre solo números",IF(OR(W173&lt;=0,X173&lt;=0),"Valor inválido: debe ser mayor que cero",IF(X173&gt;W173,"El valor de la vigencia 2027 supera el valor total",IF(AND(X173&lt;W173,Y173="No"),"El valor total supera el de 2027: requiere vigencias futuras",IF(AND(Y173="Sí",OR(Z173="",Z173="No aplica")),"Indique el estado de la solicitud de vigencias futuras",IF(IF(AND(S173="Mínima cuantía",ISNUMBER(P_TOPE_MINIMA)),W173&gt;P_TOPE_MINIMA,FALSE()),"El valor supera el tope de mínima cuantía 2027",IF(IF(AND(S173="Selección abreviada de menor cuantía",ISNUMBER(P_TOPE_MENOR)),W173&gt;P_TOPE_MENOR,FALSE()),"El valor supera el tope de menor cuantía 2027",IF(OR(ISERROR(SEARCH("@itc.edu.co",AE173)),SUMPRODUCT(--ISNUMBER(SEARCH({"á","é","í","ó","ú","ñ"," "},AE173)))&gt;0),"El correo del responsable no es institucional válido",IF(AND(AF173="Sí",AG173=""),"Indique el N.° de registro 2026 que continúa","OK")))))))))))))))))</f>
        <v/>
      </c>
      <c r="AK173" s="15" t="str">
        <f>IF(AJ173="OK",COUNTIF($AJ$7:AJ173,"OK"),"")</f>
        <v/>
      </c>
    </row>
    <row r="174" spans="1:37" x14ac:dyDescent="0.3">
      <c r="A174" s="13" t="str">
        <f t="shared" si="2"/>
        <v>PN27-168</v>
      </c>
      <c r="B174" s="26"/>
      <c r="C174" s="13" t="str">
        <f>IF(B174="","",IFERROR(INDEX(Catalogos!$R$5:$R$51,MATCH(B174,L_AREAS,0)),""))</f>
        <v/>
      </c>
      <c r="D174" s="13" t="str">
        <f>IF(B174="","",IFERROR(INDEX(Catalogos!$O$5:$O$51,MATCH(B174,L_AREAS,0)),""))</f>
        <v/>
      </c>
      <c r="E174" s="26"/>
      <c r="F174" s="13" t="str">
        <f>IF(E174="","",IFERROR(INDEX(Catalogos!$C$5:$C$49,MATCH(E174,L_METAS,0)),""))</f>
        <v/>
      </c>
      <c r="G174" s="13" t="str">
        <f>IF(E174="","",IFERROR(INDEX(Catalogos!$E$5:$E$49,MATCH(E174,L_METAS,0)),""))</f>
        <v/>
      </c>
      <c r="H174" s="26"/>
      <c r="I174" s="26"/>
      <c r="J174" s="26"/>
      <c r="K174" s="26"/>
      <c r="L174" s="26"/>
      <c r="M174" s="27"/>
      <c r="N174" s="26"/>
      <c r="O174" s="26"/>
      <c r="P174" s="26"/>
      <c r="Q174" s="26"/>
      <c r="R174" s="26"/>
      <c r="S174" s="26"/>
      <c r="T174" s="26"/>
      <c r="U174" s="26"/>
      <c r="V174" s="26"/>
      <c r="W174" s="28"/>
      <c r="X174" s="28"/>
      <c r="Y174" s="26"/>
      <c r="Z174" s="26"/>
      <c r="AA174" s="26"/>
      <c r="AB174" s="26"/>
      <c r="AC174" s="26"/>
      <c r="AD174" s="26"/>
      <c r="AE174" s="26"/>
      <c r="AF174" s="26"/>
      <c r="AG174" s="26"/>
      <c r="AH174" s="26"/>
      <c r="AI174" s="26"/>
      <c r="AJ174" s="15" t="str">
        <f>IF(COUNTA(B174,E174,H174,I174,J174,K174,L174,M174,N174,O174,P174,Q174,R174,S174,T174,U174,V174,W174,X174,Y174,Z174,AA174,AB174,AC174,AD174,AE174,AF174,AG174,AH174,AI174)=0,"",IF(OR(B174="",E174="",H174="",J174="",K174="",L174="",M174="",O174="",P174="",Q174="",R174="",S174="",T174="",U174="",W174="",X174="",Y174="",AB174="",AC174="",AE174="",AF174=""),"Incompleta: faltan campos obligatorios",IF(AND(LEFT(H174,6)="PROPIA",I174=""),"Falta el nombre de la acción propia del área",IF(AND(LEFT(H174,3)="A27",IFERROR(INDEX(Catalogos!$T$5:$T$207,MATCH(H174,Catalogos!$U$5:$U$207,0)),"x")&lt;&gt;LEFT(E174,7)),"La acción no corresponde a la meta seleccionada",IF(OR(NOT(ISNUMBER(M174)),M174&lt;10000000,M174&gt;99999999),"Código UNSPSC inválido: registre 8 dígitos",IF(MOD(M174,10000)=0,"UNSPSC a nivel de segmento o familia: use clase o producto",IF(IFERROR(MATCH(P174,L_MESES,0)&lt;MATCH(O174,L_MESES,0),TRUE()),"El mes de ofertas es anterior al de inicio del proceso",IF(OR(NOT(ISNUMBER(Q174)),Q174&lt;=0),"Duración inválida",IF(OR(NOT(ISNUMBER(W174)),NOT(ISNUMBER(X174))),"Valor inválido: registre solo números",IF(OR(W174&lt;=0,X174&lt;=0),"Valor inválido: debe ser mayor que cero",IF(X174&gt;W174,"El valor de la vigencia 2027 supera el valor total",IF(AND(X174&lt;W174,Y174="No"),"El valor total supera el de 2027: requiere vigencias futuras",IF(AND(Y174="Sí",OR(Z174="",Z174="No aplica")),"Indique el estado de la solicitud de vigencias futuras",IF(IF(AND(S174="Mínima cuantía",ISNUMBER(P_TOPE_MINIMA)),W174&gt;P_TOPE_MINIMA,FALSE()),"El valor supera el tope de mínima cuantía 2027",IF(IF(AND(S174="Selección abreviada de menor cuantía",ISNUMBER(P_TOPE_MENOR)),W174&gt;P_TOPE_MENOR,FALSE()),"El valor supera el tope de menor cuantía 2027",IF(OR(ISERROR(SEARCH("@itc.edu.co",AE174)),SUMPRODUCT(--ISNUMBER(SEARCH({"á","é","í","ó","ú","ñ"," "},AE174)))&gt;0),"El correo del responsable no es institucional válido",IF(AND(AF174="Sí",AG174=""),"Indique el N.° de registro 2026 que continúa","OK")))))))))))))))))</f>
        <v/>
      </c>
      <c r="AK174" s="15" t="str">
        <f>IF(AJ174="OK",COUNTIF($AJ$7:AJ174,"OK"),"")</f>
        <v/>
      </c>
    </row>
    <row r="175" spans="1:37" x14ac:dyDescent="0.3">
      <c r="A175" s="13" t="str">
        <f t="shared" si="2"/>
        <v>PN27-169</v>
      </c>
      <c r="B175" s="26"/>
      <c r="C175" s="13" t="str">
        <f>IF(B175="","",IFERROR(INDEX(Catalogos!$R$5:$R$51,MATCH(B175,L_AREAS,0)),""))</f>
        <v/>
      </c>
      <c r="D175" s="13" t="str">
        <f>IF(B175="","",IFERROR(INDEX(Catalogos!$O$5:$O$51,MATCH(B175,L_AREAS,0)),""))</f>
        <v/>
      </c>
      <c r="E175" s="26"/>
      <c r="F175" s="13" t="str">
        <f>IF(E175="","",IFERROR(INDEX(Catalogos!$C$5:$C$49,MATCH(E175,L_METAS,0)),""))</f>
        <v/>
      </c>
      <c r="G175" s="13" t="str">
        <f>IF(E175="","",IFERROR(INDEX(Catalogos!$E$5:$E$49,MATCH(E175,L_METAS,0)),""))</f>
        <v/>
      </c>
      <c r="H175" s="26"/>
      <c r="I175" s="26"/>
      <c r="J175" s="26"/>
      <c r="K175" s="26"/>
      <c r="L175" s="26"/>
      <c r="M175" s="27"/>
      <c r="N175" s="26"/>
      <c r="O175" s="26"/>
      <c r="P175" s="26"/>
      <c r="Q175" s="26"/>
      <c r="R175" s="26"/>
      <c r="S175" s="26"/>
      <c r="T175" s="26"/>
      <c r="U175" s="26"/>
      <c r="V175" s="26"/>
      <c r="W175" s="28"/>
      <c r="X175" s="28"/>
      <c r="Y175" s="26"/>
      <c r="Z175" s="26"/>
      <c r="AA175" s="26"/>
      <c r="AB175" s="26"/>
      <c r="AC175" s="26"/>
      <c r="AD175" s="26"/>
      <c r="AE175" s="26"/>
      <c r="AF175" s="26"/>
      <c r="AG175" s="26"/>
      <c r="AH175" s="26"/>
      <c r="AI175" s="26"/>
      <c r="AJ175" s="15" t="str">
        <f>IF(COUNTA(B175,E175,H175,I175,J175,K175,L175,M175,N175,O175,P175,Q175,R175,S175,T175,U175,V175,W175,X175,Y175,Z175,AA175,AB175,AC175,AD175,AE175,AF175,AG175,AH175,AI175)=0,"",IF(OR(B175="",E175="",H175="",J175="",K175="",L175="",M175="",O175="",P175="",Q175="",R175="",S175="",T175="",U175="",W175="",X175="",Y175="",AB175="",AC175="",AE175="",AF175=""),"Incompleta: faltan campos obligatorios",IF(AND(LEFT(H175,6)="PROPIA",I175=""),"Falta el nombre de la acción propia del área",IF(AND(LEFT(H175,3)="A27",IFERROR(INDEX(Catalogos!$T$5:$T$207,MATCH(H175,Catalogos!$U$5:$U$207,0)),"x")&lt;&gt;LEFT(E175,7)),"La acción no corresponde a la meta seleccionada",IF(OR(NOT(ISNUMBER(M175)),M175&lt;10000000,M175&gt;99999999),"Código UNSPSC inválido: registre 8 dígitos",IF(MOD(M175,10000)=0,"UNSPSC a nivel de segmento o familia: use clase o producto",IF(IFERROR(MATCH(P175,L_MESES,0)&lt;MATCH(O175,L_MESES,0),TRUE()),"El mes de ofertas es anterior al de inicio del proceso",IF(OR(NOT(ISNUMBER(Q175)),Q175&lt;=0),"Duración inválida",IF(OR(NOT(ISNUMBER(W175)),NOT(ISNUMBER(X175))),"Valor inválido: registre solo números",IF(OR(W175&lt;=0,X175&lt;=0),"Valor inválido: debe ser mayor que cero",IF(X175&gt;W175,"El valor de la vigencia 2027 supera el valor total",IF(AND(X175&lt;W175,Y175="No"),"El valor total supera el de 2027: requiere vigencias futuras",IF(AND(Y175="Sí",OR(Z175="",Z175="No aplica")),"Indique el estado de la solicitud de vigencias futuras",IF(IF(AND(S175="Mínima cuantía",ISNUMBER(P_TOPE_MINIMA)),W175&gt;P_TOPE_MINIMA,FALSE()),"El valor supera el tope de mínima cuantía 2027",IF(IF(AND(S175="Selección abreviada de menor cuantía",ISNUMBER(P_TOPE_MENOR)),W175&gt;P_TOPE_MENOR,FALSE()),"El valor supera el tope de menor cuantía 2027",IF(OR(ISERROR(SEARCH("@itc.edu.co",AE175)),SUMPRODUCT(--ISNUMBER(SEARCH({"á","é","í","ó","ú","ñ"," "},AE175)))&gt;0),"El correo del responsable no es institucional válido",IF(AND(AF175="Sí",AG175=""),"Indique el N.° de registro 2026 que continúa","OK")))))))))))))))))</f>
        <v/>
      </c>
      <c r="AK175" s="15" t="str">
        <f>IF(AJ175="OK",COUNTIF($AJ$7:AJ175,"OK"),"")</f>
        <v/>
      </c>
    </row>
    <row r="176" spans="1:37" x14ac:dyDescent="0.3">
      <c r="A176" s="13" t="str">
        <f t="shared" si="2"/>
        <v>PN27-170</v>
      </c>
      <c r="B176" s="26"/>
      <c r="C176" s="13" t="str">
        <f>IF(B176="","",IFERROR(INDEX(Catalogos!$R$5:$R$51,MATCH(B176,L_AREAS,0)),""))</f>
        <v/>
      </c>
      <c r="D176" s="13" t="str">
        <f>IF(B176="","",IFERROR(INDEX(Catalogos!$O$5:$O$51,MATCH(B176,L_AREAS,0)),""))</f>
        <v/>
      </c>
      <c r="E176" s="26"/>
      <c r="F176" s="13" t="str">
        <f>IF(E176="","",IFERROR(INDEX(Catalogos!$C$5:$C$49,MATCH(E176,L_METAS,0)),""))</f>
        <v/>
      </c>
      <c r="G176" s="13" t="str">
        <f>IF(E176="","",IFERROR(INDEX(Catalogos!$E$5:$E$49,MATCH(E176,L_METAS,0)),""))</f>
        <v/>
      </c>
      <c r="H176" s="26"/>
      <c r="I176" s="26"/>
      <c r="J176" s="26"/>
      <c r="K176" s="26"/>
      <c r="L176" s="26"/>
      <c r="M176" s="27"/>
      <c r="N176" s="26"/>
      <c r="O176" s="26"/>
      <c r="P176" s="26"/>
      <c r="Q176" s="26"/>
      <c r="R176" s="26"/>
      <c r="S176" s="26"/>
      <c r="T176" s="26"/>
      <c r="U176" s="26"/>
      <c r="V176" s="26"/>
      <c r="W176" s="28"/>
      <c r="X176" s="28"/>
      <c r="Y176" s="26"/>
      <c r="Z176" s="26"/>
      <c r="AA176" s="26"/>
      <c r="AB176" s="26"/>
      <c r="AC176" s="26"/>
      <c r="AD176" s="26"/>
      <c r="AE176" s="26"/>
      <c r="AF176" s="26"/>
      <c r="AG176" s="26"/>
      <c r="AH176" s="26"/>
      <c r="AI176" s="26"/>
      <c r="AJ176" s="15" t="str">
        <f>IF(COUNTA(B176,E176,H176,I176,J176,K176,L176,M176,N176,O176,P176,Q176,R176,S176,T176,U176,V176,W176,X176,Y176,Z176,AA176,AB176,AC176,AD176,AE176,AF176,AG176,AH176,AI176)=0,"",IF(OR(B176="",E176="",H176="",J176="",K176="",L176="",M176="",O176="",P176="",Q176="",R176="",S176="",T176="",U176="",W176="",X176="",Y176="",AB176="",AC176="",AE176="",AF176=""),"Incompleta: faltan campos obligatorios",IF(AND(LEFT(H176,6)="PROPIA",I176=""),"Falta el nombre de la acción propia del área",IF(AND(LEFT(H176,3)="A27",IFERROR(INDEX(Catalogos!$T$5:$T$207,MATCH(H176,Catalogos!$U$5:$U$207,0)),"x")&lt;&gt;LEFT(E176,7)),"La acción no corresponde a la meta seleccionada",IF(OR(NOT(ISNUMBER(M176)),M176&lt;10000000,M176&gt;99999999),"Código UNSPSC inválido: registre 8 dígitos",IF(MOD(M176,10000)=0,"UNSPSC a nivel de segmento o familia: use clase o producto",IF(IFERROR(MATCH(P176,L_MESES,0)&lt;MATCH(O176,L_MESES,0),TRUE()),"El mes de ofertas es anterior al de inicio del proceso",IF(OR(NOT(ISNUMBER(Q176)),Q176&lt;=0),"Duración inválida",IF(OR(NOT(ISNUMBER(W176)),NOT(ISNUMBER(X176))),"Valor inválido: registre solo números",IF(OR(W176&lt;=0,X176&lt;=0),"Valor inválido: debe ser mayor que cero",IF(X176&gt;W176,"El valor de la vigencia 2027 supera el valor total",IF(AND(X176&lt;W176,Y176="No"),"El valor total supera el de 2027: requiere vigencias futuras",IF(AND(Y176="Sí",OR(Z176="",Z176="No aplica")),"Indique el estado de la solicitud de vigencias futuras",IF(IF(AND(S176="Mínima cuantía",ISNUMBER(P_TOPE_MINIMA)),W176&gt;P_TOPE_MINIMA,FALSE()),"El valor supera el tope de mínima cuantía 2027",IF(IF(AND(S176="Selección abreviada de menor cuantía",ISNUMBER(P_TOPE_MENOR)),W176&gt;P_TOPE_MENOR,FALSE()),"El valor supera el tope de menor cuantía 2027",IF(OR(ISERROR(SEARCH("@itc.edu.co",AE176)),SUMPRODUCT(--ISNUMBER(SEARCH({"á","é","í","ó","ú","ñ"," "},AE176)))&gt;0),"El correo del responsable no es institucional válido",IF(AND(AF176="Sí",AG176=""),"Indique el N.° de registro 2026 que continúa","OK")))))))))))))))))</f>
        <v/>
      </c>
      <c r="AK176" s="15" t="str">
        <f>IF(AJ176="OK",COUNTIF($AJ$7:AJ176,"OK"),"")</f>
        <v/>
      </c>
    </row>
    <row r="177" spans="1:37" x14ac:dyDescent="0.3">
      <c r="A177" s="13" t="str">
        <f t="shared" si="2"/>
        <v>PN27-171</v>
      </c>
      <c r="B177" s="26"/>
      <c r="C177" s="13" t="str">
        <f>IF(B177="","",IFERROR(INDEX(Catalogos!$R$5:$R$51,MATCH(B177,L_AREAS,0)),""))</f>
        <v/>
      </c>
      <c r="D177" s="13" t="str">
        <f>IF(B177="","",IFERROR(INDEX(Catalogos!$O$5:$O$51,MATCH(B177,L_AREAS,0)),""))</f>
        <v/>
      </c>
      <c r="E177" s="26"/>
      <c r="F177" s="13" t="str">
        <f>IF(E177="","",IFERROR(INDEX(Catalogos!$C$5:$C$49,MATCH(E177,L_METAS,0)),""))</f>
        <v/>
      </c>
      <c r="G177" s="13" t="str">
        <f>IF(E177="","",IFERROR(INDEX(Catalogos!$E$5:$E$49,MATCH(E177,L_METAS,0)),""))</f>
        <v/>
      </c>
      <c r="H177" s="26"/>
      <c r="I177" s="26"/>
      <c r="J177" s="26"/>
      <c r="K177" s="26"/>
      <c r="L177" s="26"/>
      <c r="M177" s="27"/>
      <c r="N177" s="26"/>
      <c r="O177" s="26"/>
      <c r="P177" s="26"/>
      <c r="Q177" s="26"/>
      <c r="R177" s="26"/>
      <c r="S177" s="26"/>
      <c r="T177" s="26"/>
      <c r="U177" s="26"/>
      <c r="V177" s="26"/>
      <c r="W177" s="28"/>
      <c r="X177" s="28"/>
      <c r="Y177" s="26"/>
      <c r="Z177" s="26"/>
      <c r="AA177" s="26"/>
      <c r="AB177" s="26"/>
      <c r="AC177" s="26"/>
      <c r="AD177" s="26"/>
      <c r="AE177" s="26"/>
      <c r="AF177" s="26"/>
      <c r="AG177" s="26"/>
      <c r="AH177" s="26"/>
      <c r="AI177" s="26"/>
      <c r="AJ177" s="15" t="str">
        <f>IF(COUNTA(B177,E177,H177,I177,J177,K177,L177,M177,N177,O177,P177,Q177,R177,S177,T177,U177,V177,W177,X177,Y177,Z177,AA177,AB177,AC177,AD177,AE177,AF177,AG177,AH177,AI177)=0,"",IF(OR(B177="",E177="",H177="",J177="",K177="",L177="",M177="",O177="",P177="",Q177="",R177="",S177="",T177="",U177="",W177="",X177="",Y177="",AB177="",AC177="",AE177="",AF177=""),"Incompleta: faltan campos obligatorios",IF(AND(LEFT(H177,6)="PROPIA",I177=""),"Falta el nombre de la acción propia del área",IF(AND(LEFT(H177,3)="A27",IFERROR(INDEX(Catalogos!$T$5:$T$207,MATCH(H177,Catalogos!$U$5:$U$207,0)),"x")&lt;&gt;LEFT(E177,7)),"La acción no corresponde a la meta seleccionada",IF(OR(NOT(ISNUMBER(M177)),M177&lt;10000000,M177&gt;99999999),"Código UNSPSC inválido: registre 8 dígitos",IF(MOD(M177,10000)=0,"UNSPSC a nivel de segmento o familia: use clase o producto",IF(IFERROR(MATCH(P177,L_MESES,0)&lt;MATCH(O177,L_MESES,0),TRUE()),"El mes de ofertas es anterior al de inicio del proceso",IF(OR(NOT(ISNUMBER(Q177)),Q177&lt;=0),"Duración inválida",IF(OR(NOT(ISNUMBER(W177)),NOT(ISNUMBER(X177))),"Valor inválido: registre solo números",IF(OR(W177&lt;=0,X177&lt;=0),"Valor inválido: debe ser mayor que cero",IF(X177&gt;W177,"El valor de la vigencia 2027 supera el valor total",IF(AND(X177&lt;W177,Y177="No"),"El valor total supera el de 2027: requiere vigencias futuras",IF(AND(Y177="Sí",OR(Z177="",Z177="No aplica")),"Indique el estado de la solicitud de vigencias futuras",IF(IF(AND(S177="Mínima cuantía",ISNUMBER(P_TOPE_MINIMA)),W177&gt;P_TOPE_MINIMA,FALSE()),"El valor supera el tope de mínima cuantía 2027",IF(IF(AND(S177="Selección abreviada de menor cuantía",ISNUMBER(P_TOPE_MENOR)),W177&gt;P_TOPE_MENOR,FALSE()),"El valor supera el tope de menor cuantía 2027",IF(OR(ISERROR(SEARCH("@itc.edu.co",AE177)),SUMPRODUCT(--ISNUMBER(SEARCH({"á","é","í","ó","ú","ñ"," "},AE177)))&gt;0),"El correo del responsable no es institucional válido",IF(AND(AF177="Sí",AG177=""),"Indique el N.° de registro 2026 que continúa","OK")))))))))))))))))</f>
        <v/>
      </c>
      <c r="AK177" s="15" t="str">
        <f>IF(AJ177="OK",COUNTIF($AJ$7:AJ177,"OK"),"")</f>
        <v/>
      </c>
    </row>
    <row r="178" spans="1:37" x14ac:dyDescent="0.3">
      <c r="A178" s="13" t="str">
        <f t="shared" si="2"/>
        <v>PN27-172</v>
      </c>
      <c r="B178" s="26"/>
      <c r="C178" s="13" t="str">
        <f>IF(B178="","",IFERROR(INDEX(Catalogos!$R$5:$R$51,MATCH(B178,L_AREAS,0)),""))</f>
        <v/>
      </c>
      <c r="D178" s="13" t="str">
        <f>IF(B178="","",IFERROR(INDEX(Catalogos!$O$5:$O$51,MATCH(B178,L_AREAS,0)),""))</f>
        <v/>
      </c>
      <c r="E178" s="26"/>
      <c r="F178" s="13" t="str">
        <f>IF(E178="","",IFERROR(INDEX(Catalogos!$C$5:$C$49,MATCH(E178,L_METAS,0)),""))</f>
        <v/>
      </c>
      <c r="G178" s="13" t="str">
        <f>IF(E178="","",IFERROR(INDEX(Catalogos!$E$5:$E$49,MATCH(E178,L_METAS,0)),""))</f>
        <v/>
      </c>
      <c r="H178" s="26"/>
      <c r="I178" s="26"/>
      <c r="J178" s="26"/>
      <c r="K178" s="26"/>
      <c r="L178" s="26"/>
      <c r="M178" s="27"/>
      <c r="N178" s="26"/>
      <c r="O178" s="26"/>
      <c r="P178" s="26"/>
      <c r="Q178" s="26"/>
      <c r="R178" s="26"/>
      <c r="S178" s="26"/>
      <c r="T178" s="26"/>
      <c r="U178" s="26"/>
      <c r="V178" s="26"/>
      <c r="W178" s="28"/>
      <c r="X178" s="28"/>
      <c r="Y178" s="26"/>
      <c r="Z178" s="26"/>
      <c r="AA178" s="26"/>
      <c r="AB178" s="26"/>
      <c r="AC178" s="26"/>
      <c r="AD178" s="26"/>
      <c r="AE178" s="26"/>
      <c r="AF178" s="26"/>
      <c r="AG178" s="26"/>
      <c r="AH178" s="26"/>
      <c r="AI178" s="26"/>
      <c r="AJ178" s="15" t="str">
        <f>IF(COUNTA(B178,E178,H178,I178,J178,K178,L178,M178,N178,O178,P178,Q178,R178,S178,T178,U178,V178,W178,X178,Y178,Z178,AA178,AB178,AC178,AD178,AE178,AF178,AG178,AH178,AI178)=0,"",IF(OR(B178="",E178="",H178="",J178="",K178="",L178="",M178="",O178="",P178="",Q178="",R178="",S178="",T178="",U178="",W178="",X178="",Y178="",AB178="",AC178="",AE178="",AF178=""),"Incompleta: faltan campos obligatorios",IF(AND(LEFT(H178,6)="PROPIA",I178=""),"Falta el nombre de la acción propia del área",IF(AND(LEFT(H178,3)="A27",IFERROR(INDEX(Catalogos!$T$5:$T$207,MATCH(H178,Catalogos!$U$5:$U$207,0)),"x")&lt;&gt;LEFT(E178,7)),"La acción no corresponde a la meta seleccionada",IF(OR(NOT(ISNUMBER(M178)),M178&lt;10000000,M178&gt;99999999),"Código UNSPSC inválido: registre 8 dígitos",IF(MOD(M178,10000)=0,"UNSPSC a nivel de segmento o familia: use clase o producto",IF(IFERROR(MATCH(P178,L_MESES,0)&lt;MATCH(O178,L_MESES,0),TRUE()),"El mes de ofertas es anterior al de inicio del proceso",IF(OR(NOT(ISNUMBER(Q178)),Q178&lt;=0),"Duración inválida",IF(OR(NOT(ISNUMBER(W178)),NOT(ISNUMBER(X178))),"Valor inválido: registre solo números",IF(OR(W178&lt;=0,X178&lt;=0),"Valor inválido: debe ser mayor que cero",IF(X178&gt;W178,"El valor de la vigencia 2027 supera el valor total",IF(AND(X178&lt;W178,Y178="No"),"El valor total supera el de 2027: requiere vigencias futuras",IF(AND(Y178="Sí",OR(Z178="",Z178="No aplica")),"Indique el estado de la solicitud de vigencias futuras",IF(IF(AND(S178="Mínima cuantía",ISNUMBER(P_TOPE_MINIMA)),W178&gt;P_TOPE_MINIMA,FALSE()),"El valor supera el tope de mínima cuantía 2027",IF(IF(AND(S178="Selección abreviada de menor cuantía",ISNUMBER(P_TOPE_MENOR)),W178&gt;P_TOPE_MENOR,FALSE()),"El valor supera el tope de menor cuantía 2027",IF(OR(ISERROR(SEARCH("@itc.edu.co",AE178)),SUMPRODUCT(--ISNUMBER(SEARCH({"á","é","í","ó","ú","ñ"," "},AE178)))&gt;0),"El correo del responsable no es institucional válido",IF(AND(AF178="Sí",AG178=""),"Indique el N.° de registro 2026 que continúa","OK")))))))))))))))))</f>
        <v/>
      </c>
      <c r="AK178" s="15" t="str">
        <f>IF(AJ178="OK",COUNTIF($AJ$7:AJ178,"OK"),"")</f>
        <v/>
      </c>
    </row>
    <row r="179" spans="1:37" x14ac:dyDescent="0.3">
      <c r="A179" s="13" t="str">
        <f t="shared" si="2"/>
        <v>PN27-173</v>
      </c>
      <c r="B179" s="26"/>
      <c r="C179" s="13" t="str">
        <f>IF(B179="","",IFERROR(INDEX(Catalogos!$R$5:$R$51,MATCH(B179,L_AREAS,0)),""))</f>
        <v/>
      </c>
      <c r="D179" s="13" t="str">
        <f>IF(B179="","",IFERROR(INDEX(Catalogos!$O$5:$O$51,MATCH(B179,L_AREAS,0)),""))</f>
        <v/>
      </c>
      <c r="E179" s="26"/>
      <c r="F179" s="13" t="str">
        <f>IF(E179="","",IFERROR(INDEX(Catalogos!$C$5:$C$49,MATCH(E179,L_METAS,0)),""))</f>
        <v/>
      </c>
      <c r="G179" s="13" t="str">
        <f>IF(E179="","",IFERROR(INDEX(Catalogos!$E$5:$E$49,MATCH(E179,L_METAS,0)),""))</f>
        <v/>
      </c>
      <c r="H179" s="26"/>
      <c r="I179" s="26"/>
      <c r="J179" s="26"/>
      <c r="K179" s="26"/>
      <c r="L179" s="26"/>
      <c r="M179" s="27"/>
      <c r="N179" s="26"/>
      <c r="O179" s="26"/>
      <c r="P179" s="26"/>
      <c r="Q179" s="26"/>
      <c r="R179" s="26"/>
      <c r="S179" s="26"/>
      <c r="T179" s="26"/>
      <c r="U179" s="26"/>
      <c r="V179" s="26"/>
      <c r="W179" s="28"/>
      <c r="X179" s="28"/>
      <c r="Y179" s="26"/>
      <c r="Z179" s="26"/>
      <c r="AA179" s="26"/>
      <c r="AB179" s="26"/>
      <c r="AC179" s="26"/>
      <c r="AD179" s="26"/>
      <c r="AE179" s="26"/>
      <c r="AF179" s="26"/>
      <c r="AG179" s="26"/>
      <c r="AH179" s="26"/>
      <c r="AI179" s="26"/>
      <c r="AJ179" s="15" t="str">
        <f>IF(COUNTA(B179,E179,H179,I179,J179,K179,L179,M179,N179,O179,P179,Q179,R179,S179,T179,U179,V179,W179,X179,Y179,Z179,AA179,AB179,AC179,AD179,AE179,AF179,AG179,AH179,AI179)=0,"",IF(OR(B179="",E179="",H179="",J179="",K179="",L179="",M179="",O179="",P179="",Q179="",R179="",S179="",T179="",U179="",W179="",X179="",Y179="",AB179="",AC179="",AE179="",AF179=""),"Incompleta: faltan campos obligatorios",IF(AND(LEFT(H179,6)="PROPIA",I179=""),"Falta el nombre de la acción propia del área",IF(AND(LEFT(H179,3)="A27",IFERROR(INDEX(Catalogos!$T$5:$T$207,MATCH(H179,Catalogos!$U$5:$U$207,0)),"x")&lt;&gt;LEFT(E179,7)),"La acción no corresponde a la meta seleccionada",IF(OR(NOT(ISNUMBER(M179)),M179&lt;10000000,M179&gt;99999999),"Código UNSPSC inválido: registre 8 dígitos",IF(MOD(M179,10000)=0,"UNSPSC a nivel de segmento o familia: use clase o producto",IF(IFERROR(MATCH(P179,L_MESES,0)&lt;MATCH(O179,L_MESES,0),TRUE()),"El mes de ofertas es anterior al de inicio del proceso",IF(OR(NOT(ISNUMBER(Q179)),Q179&lt;=0),"Duración inválida",IF(OR(NOT(ISNUMBER(W179)),NOT(ISNUMBER(X179))),"Valor inválido: registre solo números",IF(OR(W179&lt;=0,X179&lt;=0),"Valor inválido: debe ser mayor que cero",IF(X179&gt;W179,"El valor de la vigencia 2027 supera el valor total",IF(AND(X179&lt;W179,Y179="No"),"El valor total supera el de 2027: requiere vigencias futuras",IF(AND(Y179="Sí",OR(Z179="",Z179="No aplica")),"Indique el estado de la solicitud de vigencias futuras",IF(IF(AND(S179="Mínima cuantía",ISNUMBER(P_TOPE_MINIMA)),W179&gt;P_TOPE_MINIMA,FALSE()),"El valor supera el tope de mínima cuantía 2027",IF(IF(AND(S179="Selección abreviada de menor cuantía",ISNUMBER(P_TOPE_MENOR)),W179&gt;P_TOPE_MENOR,FALSE()),"El valor supera el tope de menor cuantía 2027",IF(OR(ISERROR(SEARCH("@itc.edu.co",AE179)),SUMPRODUCT(--ISNUMBER(SEARCH({"á","é","í","ó","ú","ñ"," "},AE179)))&gt;0),"El correo del responsable no es institucional válido",IF(AND(AF179="Sí",AG179=""),"Indique el N.° de registro 2026 que continúa","OK")))))))))))))))))</f>
        <v/>
      </c>
      <c r="AK179" s="15" t="str">
        <f>IF(AJ179="OK",COUNTIF($AJ$7:AJ179,"OK"),"")</f>
        <v/>
      </c>
    </row>
    <row r="180" spans="1:37" x14ac:dyDescent="0.3">
      <c r="A180" s="13" t="str">
        <f t="shared" si="2"/>
        <v>PN27-174</v>
      </c>
      <c r="B180" s="26"/>
      <c r="C180" s="13" t="str">
        <f>IF(B180="","",IFERROR(INDEX(Catalogos!$R$5:$R$51,MATCH(B180,L_AREAS,0)),""))</f>
        <v/>
      </c>
      <c r="D180" s="13" t="str">
        <f>IF(B180="","",IFERROR(INDEX(Catalogos!$O$5:$O$51,MATCH(B180,L_AREAS,0)),""))</f>
        <v/>
      </c>
      <c r="E180" s="26"/>
      <c r="F180" s="13" t="str">
        <f>IF(E180="","",IFERROR(INDEX(Catalogos!$C$5:$C$49,MATCH(E180,L_METAS,0)),""))</f>
        <v/>
      </c>
      <c r="G180" s="13" t="str">
        <f>IF(E180="","",IFERROR(INDEX(Catalogos!$E$5:$E$49,MATCH(E180,L_METAS,0)),""))</f>
        <v/>
      </c>
      <c r="H180" s="26"/>
      <c r="I180" s="26"/>
      <c r="J180" s="26"/>
      <c r="K180" s="26"/>
      <c r="L180" s="26"/>
      <c r="M180" s="27"/>
      <c r="N180" s="26"/>
      <c r="O180" s="26"/>
      <c r="P180" s="26"/>
      <c r="Q180" s="26"/>
      <c r="R180" s="26"/>
      <c r="S180" s="26"/>
      <c r="T180" s="26"/>
      <c r="U180" s="26"/>
      <c r="V180" s="26"/>
      <c r="W180" s="28"/>
      <c r="X180" s="28"/>
      <c r="Y180" s="26"/>
      <c r="Z180" s="26"/>
      <c r="AA180" s="26"/>
      <c r="AB180" s="26"/>
      <c r="AC180" s="26"/>
      <c r="AD180" s="26"/>
      <c r="AE180" s="26"/>
      <c r="AF180" s="26"/>
      <c r="AG180" s="26"/>
      <c r="AH180" s="26"/>
      <c r="AI180" s="26"/>
      <c r="AJ180" s="15" t="str">
        <f>IF(COUNTA(B180,E180,H180,I180,J180,K180,L180,M180,N180,O180,P180,Q180,R180,S180,T180,U180,V180,W180,X180,Y180,Z180,AA180,AB180,AC180,AD180,AE180,AF180,AG180,AH180,AI180)=0,"",IF(OR(B180="",E180="",H180="",J180="",K180="",L180="",M180="",O180="",P180="",Q180="",R180="",S180="",T180="",U180="",W180="",X180="",Y180="",AB180="",AC180="",AE180="",AF180=""),"Incompleta: faltan campos obligatorios",IF(AND(LEFT(H180,6)="PROPIA",I180=""),"Falta el nombre de la acción propia del área",IF(AND(LEFT(H180,3)="A27",IFERROR(INDEX(Catalogos!$T$5:$T$207,MATCH(H180,Catalogos!$U$5:$U$207,0)),"x")&lt;&gt;LEFT(E180,7)),"La acción no corresponde a la meta seleccionada",IF(OR(NOT(ISNUMBER(M180)),M180&lt;10000000,M180&gt;99999999),"Código UNSPSC inválido: registre 8 dígitos",IF(MOD(M180,10000)=0,"UNSPSC a nivel de segmento o familia: use clase o producto",IF(IFERROR(MATCH(P180,L_MESES,0)&lt;MATCH(O180,L_MESES,0),TRUE()),"El mes de ofertas es anterior al de inicio del proceso",IF(OR(NOT(ISNUMBER(Q180)),Q180&lt;=0),"Duración inválida",IF(OR(NOT(ISNUMBER(W180)),NOT(ISNUMBER(X180))),"Valor inválido: registre solo números",IF(OR(W180&lt;=0,X180&lt;=0),"Valor inválido: debe ser mayor que cero",IF(X180&gt;W180,"El valor de la vigencia 2027 supera el valor total",IF(AND(X180&lt;W180,Y180="No"),"El valor total supera el de 2027: requiere vigencias futuras",IF(AND(Y180="Sí",OR(Z180="",Z180="No aplica")),"Indique el estado de la solicitud de vigencias futuras",IF(IF(AND(S180="Mínima cuantía",ISNUMBER(P_TOPE_MINIMA)),W180&gt;P_TOPE_MINIMA,FALSE()),"El valor supera el tope de mínima cuantía 2027",IF(IF(AND(S180="Selección abreviada de menor cuantía",ISNUMBER(P_TOPE_MENOR)),W180&gt;P_TOPE_MENOR,FALSE()),"El valor supera el tope de menor cuantía 2027",IF(OR(ISERROR(SEARCH("@itc.edu.co",AE180)),SUMPRODUCT(--ISNUMBER(SEARCH({"á","é","í","ó","ú","ñ"," "},AE180)))&gt;0),"El correo del responsable no es institucional válido",IF(AND(AF180="Sí",AG180=""),"Indique el N.° de registro 2026 que continúa","OK")))))))))))))))))</f>
        <v/>
      </c>
      <c r="AK180" s="15" t="str">
        <f>IF(AJ180="OK",COUNTIF($AJ$7:AJ180,"OK"),"")</f>
        <v/>
      </c>
    </row>
    <row r="181" spans="1:37" x14ac:dyDescent="0.3">
      <c r="A181" s="13" t="str">
        <f t="shared" si="2"/>
        <v>PN27-175</v>
      </c>
      <c r="B181" s="26"/>
      <c r="C181" s="13" t="str">
        <f>IF(B181="","",IFERROR(INDEX(Catalogos!$R$5:$R$51,MATCH(B181,L_AREAS,0)),""))</f>
        <v/>
      </c>
      <c r="D181" s="13" t="str">
        <f>IF(B181="","",IFERROR(INDEX(Catalogos!$O$5:$O$51,MATCH(B181,L_AREAS,0)),""))</f>
        <v/>
      </c>
      <c r="E181" s="26"/>
      <c r="F181" s="13" t="str">
        <f>IF(E181="","",IFERROR(INDEX(Catalogos!$C$5:$C$49,MATCH(E181,L_METAS,0)),""))</f>
        <v/>
      </c>
      <c r="G181" s="13" t="str">
        <f>IF(E181="","",IFERROR(INDEX(Catalogos!$E$5:$E$49,MATCH(E181,L_METAS,0)),""))</f>
        <v/>
      </c>
      <c r="H181" s="26"/>
      <c r="I181" s="26"/>
      <c r="J181" s="26"/>
      <c r="K181" s="26"/>
      <c r="L181" s="26"/>
      <c r="M181" s="27"/>
      <c r="N181" s="26"/>
      <c r="O181" s="26"/>
      <c r="P181" s="26"/>
      <c r="Q181" s="26"/>
      <c r="R181" s="26"/>
      <c r="S181" s="26"/>
      <c r="T181" s="26"/>
      <c r="U181" s="26"/>
      <c r="V181" s="26"/>
      <c r="W181" s="28"/>
      <c r="X181" s="28"/>
      <c r="Y181" s="26"/>
      <c r="Z181" s="26"/>
      <c r="AA181" s="26"/>
      <c r="AB181" s="26"/>
      <c r="AC181" s="26"/>
      <c r="AD181" s="26"/>
      <c r="AE181" s="26"/>
      <c r="AF181" s="26"/>
      <c r="AG181" s="26"/>
      <c r="AH181" s="26"/>
      <c r="AI181" s="26"/>
      <c r="AJ181" s="15" t="str">
        <f>IF(COUNTA(B181,E181,H181,I181,J181,K181,L181,M181,N181,O181,P181,Q181,R181,S181,T181,U181,V181,W181,X181,Y181,Z181,AA181,AB181,AC181,AD181,AE181,AF181,AG181,AH181,AI181)=0,"",IF(OR(B181="",E181="",H181="",J181="",K181="",L181="",M181="",O181="",P181="",Q181="",R181="",S181="",T181="",U181="",W181="",X181="",Y181="",AB181="",AC181="",AE181="",AF181=""),"Incompleta: faltan campos obligatorios",IF(AND(LEFT(H181,6)="PROPIA",I181=""),"Falta el nombre de la acción propia del área",IF(AND(LEFT(H181,3)="A27",IFERROR(INDEX(Catalogos!$T$5:$T$207,MATCH(H181,Catalogos!$U$5:$U$207,0)),"x")&lt;&gt;LEFT(E181,7)),"La acción no corresponde a la meta seleccionada",IF(OR(NOT(ISNUMBER(M181)),M181&lt;10000000,M181&gt;99999999),"Código UNSPSC inválido: registre 8 dígitos",IF(MOD(M181,10000)=0,"UNSPSC a nivel de segmento o familia: use clase o producto",IF(IFERROR(MATCH(P181,L_MESES,0)&lt;MATCH(O181,L_MESES,0),TRUE()),"El mes de ofertas es anterior al de inicio del proceso",IF(OR(NOT(ISNUMBER(Q181)),Q181&lt;=0),"Duración inválida",IF(OR(NOT(ISNUMBER(W181)),NOT(ISNUMBER(X181))),"Valor inválido: registre solo números",IF(OR(W181&lt;=0,X181&lt;=0),"Valor inválido: debe ser mayor que cero",IF(X181&gt;W181,"El valor de la vigencia 2027 supera el valor total",IF(AND(X181&lt;W181,Y181="No"),"El valor total supera el de 2027: requiere vigencias futuras",IF(AND(Y181="Sí",OR(Z181="",Z181="No aplica")),"Indique el estado de la solicitud de vigencias futuras",IF(IF(AND(S181="Mínima cuantía",ISNUMBER(P_TOPE_MINIMA)),W181&gt;P_TOPE_MINIMA,FALSE()),"El valor supera el tope de mínima cuantía 2027",IF(IF(AND(S181="Selección abreviada de menor cuantía",ISNUMBER(P_TOPE_MENOR)),W181&gt;P_TOPE_MENOR,FALSE()),"El valor supera el tope de menor cuantía 2027",IF(OR(ISERROR(SEARCH("@itc.edu.co",AE181)),SUMPRODUCT(--ISNUMBER(SEARCH({"á","é","í","ó","ú","ñ"," "},AE181)))&gt;0),"El correo del responsable no es institucional válido",IF(AND(AF181="Sí",AG181=""),"Indique el N.° de registro 2026 que continúa","OK")))))))))))))))))</f>
        <v/>
      </c>
      <c r="AK181" s="15" t="str">
        <f>IF(AJ181="OK",COUNTIF($AJ$7:AJ181,"OK"),"")</f>
        <v/>
      </c>
    </row>
    <row r="182" spans="1:37" x14ac:dyDescent="0.3">
      <c r="A182" s="13" t="str">
        <f t="shared" si="2"/>
        <v>PN27-176</v>
      </c>
      <c r="B182" s="26"/>
      <c r="C182" s="13" t="str">
        <f>IF(B182="","",IFERROR(INDEX(Catalogos!$R$5:$R$51,MATCH(B182,L_AREAS,0)),""))</f>
        <v/>
      </c>
      <c r="D182" s="13" t="str">
        <f>IF(B182="","",IFERROR(INDEX(Catalogos!$O$5:$O$51,MATCH(B182,L_AREAS,0)),""))</f>
        <v/>
      </c>
      <c r="E182" s="26"/>
      <c r="F182" s="13" t="str">
        <f>IF(E182="","",IFERROR(INDEX(Catalogos!$C$5:$C$49,MATCH(E182,L_METAS,0)),""))</f>
        <v/>
      </c>
      <c r="G182" s="13" t="str">
        <f>IF(E182="","",IFERROR(INDEX(Catalogos!$E$5:$E$49,MATCH(E182,L_METAS,0)),""))</f>
        <v/>
      </c>
      <c r="H182" s="26"/>
      <c r="I182" s="26"/>
      <c r="J182" s="26"/>
      <c r="K182" s="26"/>
      <c r="L182" s="26"/>
      <c r="M182" s="27"/>
      <c r="N182" s="26"/>
      <c r="O182" s="26"/>
      <c r="P182" s="26"/>
      <c r="Q182" s="26"/>
      <c r="R182" s="26"/>
      <c r="S182" s="26"/>
      <c r="T182" s="26"/>
      <c r="U182" s="26"/>
      <c r="V182" s="26"/>
      <c r="W182" s="28"/>
      <c r="X182" s="28"/>
      <c r="Y182" s="26"/>
      <c r="Z182" s="26"/>
      <c r="AA182" s="26"/>
      <c r="AB182" s="26"/>
      <c r="AC182" s="26"/>
      <c r="AD182" s="26"/>
      <c r="AE182" s="26"/>
      <c r="AF182" s="26"/>
      <c r="AG182" s="26"/>
      <c r="AH182" s="26"/>
      <c r="AI182" s="26"/>
      <c r="AJ182" s="15" t="str">
        <f>IF(COUNTA(B182,E182,H182,I182,J182,K182,L182,M182,N182,O182,P182,Q182,R182,S182,T182,U182,V182,W182,X182,Y182,Z182,AA182,AB182,AC182,AD182,AE182,AF182,AG182,AH182,AI182)=0,"",IF(OR(B182="",E182="",H182="",J182="",K182="",L182="",M182="",O182="",P182="",Q182="",R182="",S182="",T182="",U182="",W182="",X182="",Y182="",AB182="",AC182="",AE182="",AF182=""),"Incompleta: faltan campos obligatorios",IF(AND(LEFT(H182,6)="PROPIA",I182=""),"Falta el nombre de la acción propia del área",IF(AND(LEFT(H182,3)="A27",IFERROR(INDEX(Catalogos!$T$5:$T$207,MATCH(H182,Catalogos!$U$5:$U$207,0)),"x")&lt;&gt;LEFT(E182,7)),"La acción no corresponde a la meta seleccionada",IF(OR(NOT(ISNUMBER(M182)),M182&lt;10000000,M182&gt;99999999),"Código UNSPSC inválido: registre 8 dígitos",IF(MOD(M182,10000)=0,"UNSPSC a nivel de segmento o familia: use clase o producto",IF(IFERROR(MATCH(P182,L_MESES,0)&lt;MATCH(O182,L_MESES,0),TRUE()),"El mes de ofertas es anterior al de inicio del proceso",IF(OR(NOT(ISNUMBER(Q182)),Q182&lt;=0),"Duración inválida",IF(OR(NOT(ISNUMBER(W182)),NOT(ISNUMBER(X182))),"Valor inválido: registre solo números",IF(OR(W182&lt;=0,X182&lt;=0),"Valor inválido: debe ser mayor que cero",IF(X182&gt;W182,"El valor de la vigencia 2027 supera el valor total",IF(AND(X182&lt;W182,Y182="No"),"El valor total supera el de 2027: requiere vigencias futuras",IF(AND(Y182="Sí",OR(Z182="",Z182="No aplica")),"Indique el estado de la solicitud de vigencias futuras",IF(IF(AND(S182="Mínima cuantía",ISNUMBER(P_TOPE_MINIMA)),W182&gt;P_TOPE_MINIMA,FALSE()),"El valor supera el tope de mínima cuantía 2027",IF(IF(AND(S182="Selección abreviada de menor cuantía",ISNUMBER(P_TOPE_MENOR)),W182&gt;P_TOPE_MENOR,FALSE()),"El valor supera el tope de menor cuantía 2027",IF(OR(ISERROR(SEARCH("@itc.edu.co",AE182)),SUMPRODUCT(--ISNUMBER(SEARCH({"á","é","í","ó","ú","ñ"," "},AE182)))&gt;0),"El correo del responsable no es institucional válido",IF(AND(AF182="Sí",AG182=""),"Indique el N.° de registro 2026 que continúa","OK")))))))))))))))))</f>
        <v/>
      </c>
      <c r="AK182" s="15" t="str">
        <f>IF(AJ182="OK",COUNTIF($AJ$7:AJ182,"OK"),"")</f>
        <v/>
      </c>
    </row>
    <row r="183" spans="1:37" x14ac:dyDescent="0.3">
      <c r="A183" s="13" t="str">
        <f t="shared" si="2"/>
        <v>PN27-177</v>
      </c>
      <c r="B183" s="26"/>
      <c r="C183" s="13" t="str">
        <f>IF(B183="","",IFERROR(INDEX(Catalogos!$R$5:$R$51,MATCH(B183,L_AREAS,0)),""))</f>
        <v/>
      </c>
      <c r="D183" s="13" t="str">
        <f>IF(B183="","",IFERROR(INDEX(Catalogos!$O$5:$O$51,MATCH(B183,L_AREAS,0)),""))</f>
        <v/>
      </c>
      <c r="E183" s="26"/>
      <c r="F183" s="13" t="str">
        <f>IF(E183="","",IFERROR(INDEX(Catalogos!$C$5:$C$49,MATCH(E183,L_METAS,0)),""))</f>
        <v/>
      </c>
      <c r="G183" s="13" t="str">
        <f>IF(E183="","",IFERROR(INDEX(Catalogos!$E$5:$E$49,MATCH(E183,L_METAS,0)),""))</f>
        <v/>
      </c>
      <c r="H183" s="26"/>
      <c r="I183" s="26"/>
      <c r="J183" s="26"/>
      <c r="K183" s="26"/>
      <c r="L183" s="26"/>
      <c r="M183" s="27"/>
      <c r="N183" s="26"/>
      <c r="O183" s="26"/>
      <c r="P183" s="26"/>
      <c r="Q183" s="26"/>
      <c r="R183" s="26"/>
      <c r="S183" s="26"/>
      <c r="T183" s="26"/>
      <c r="U183" s="26"/>
      <c r="V183" s="26"/>
      <c r="W183" s="28"/>
      <c r="X183" s="28"/>
      <c r="Y183" s="26"/>
      <c r="Z183" s="26"/>
      <c r="AA183" s="26"/>
      <c r="AB183" s="26"/>
      <c r="AC183" s="26"/>
      <c r="AD183" s="26"/>
      <c r="AE183" s="26"/>
      <c r="AF183" s="26"/>
      <c r="AG183" s="26"/>
      <c r="AH183" s="26"/>
      <c r="AI183" s="26"/>
      <c r="AJ183" s="15" t="str">
        <f>IF(COUNTA(B183,E183,H183,I183,J183,K183,L183,M183,N183,O183,P183,Q183,R183,S183,T183,U183,V183,W183,X183,Y183,Z183,AA183,AB183,AC183,AD183,AE183,AF183,AG183,AH183,AI183)=0,"",IF(OR(B183="",E183="",H183="",J183="",K183="",L183="",M183="",O183="",P183="",Q183="",R183="",S183="",T183="",U183="",W183="",X183="",Y183="",AB183="",AC183="",AE183="",AF183=""),"Incompleta: faltan campos obligatorios",IF(AND(LEFT(H183,6)="PROPIA",I183=""),"Falta el nombre de la acción propia del área",IF(AND(LEFT(H183,3)="A27",IFERROR(INDEX(Catalogos!$T$5:$T$207,MATCH(H183,Catalogos!$U$5:$U$207,0)),"x")&lt;&gt;LEFT(E183,7)),"La acción no corresponde a la meta seleccionada",IF(OR(NOT(ISNUMBER(M183)),M183&lt;10000000,M183&gt;99999999),"Código UNSPSC inválido: registre 8 dígitos",IF(MOD(M183,10000)=0,"UNSPSC a nivel de segmento o familia: use clase o producto",IF(IFERROR(MATCH(P183,L_MESES,0)&lt;MATCH(O183,L_MESES,0),TRUE()),"El mes de ofertas es anterior al de inicio del proceso",IF(OR(NOT(ISNUMBER(Q183)),Q183&lt;=0),"Duración inválida",IF(OR(NOT(ISNUMBER(W183)),NOT(ISNUMBER(X183))),"Valor inválido: registre solo números",IF(OR(W183&lt;=0,X183&lt;=0),"Valor inválido: debe ser mayor que cero",IF(X183&gt;W183,"El valor de la vigencia 2027 supera el valor total",IF(AND(X183&lt;W183,Y183="No"),"El valor total supera el de 2027: requiere vigencias futuras",IF(AND(Y183="Sí",OR(Z183="",Z183="No aplica")),"Indique el estado de la solicitud de vigencias futuras",IF(IF(AND(S183="Mínima cuantía",ISNUMBER(P_TOPE_MINIMA)),W183&gt;P_TOPE_MINIMA,FALSE()),"El valor supera el tope de mínima cuantía 2027",IF(IF(AND(S183="Selección abreviada de menor cuantía",ISNUMBER(P_TOPE_MENOR)),W183&gt;P_TOPE_MENOR,FALSE()),"El valor supera el tope de menor cuantía 2027",IF(OR(ISERROR(SEARCH("@itc.edu.co",AE183)),SUMPRODUCT(--ISNUMBER(SEARCH({"á","é","í","ó","ú","ñ"," "},AE183)))&gt;0),"El correo del responsable no es institucional válido",IF(AND(AF183="Sí",AG183=""),"Indique el N.° de registro 2026 que continúa","OK")))))))))))))))))</f>
        <v/>
      </c>
      <c r="AK183" s="15" t="str">
        <f>IF(AJ183="OK",COUNTIF($AJ$7:AJ183,"OK"),"")</f>
        <v/>
      </c>
    </row>
    <row r="184" spans="1:37" x14ac:dyDescent="0.3">
      <c r="A184" s="13" t="str">
        <f t="shared" si="2"/>
        <v>PN27-178</v>
      </c>
      <c r="B184" s="26"/>
      <c r="C184" s="13" t="str">
        <f>IF(B184="","",IFERROR(INDEX(Catalogos!$R$5:$R$51,MATCH(B184,L_AREAS,0)),""))</f>
        <v/>
      </c>
      <c r="D184" s="13" t="str">
        <f>IF(B184="","",IFERROR(INDEX(Catalogos!$O$5:$O$51,MATCH(B184,L_AREAS,0)),""))</f>
        <v/>
      </c>
      <c r="E184" s="26"/>
      <c r="F184" s="13" t="str">
        <f>IF(E184="","",IFERROR(INDEX(Catalogos!$C$5:$C$49,MATCH(E184,L_METAS,0)),""))</f>
        <v/>
      </c>
      <c r="G184" s="13" t="str">
        <f>IF(E184="","",IFERROR(INDEX(Catalogos!$E$5:$E$49,MATCH(E184,L_METAS,0)),""))</f>
        <v/>
      </c>
      <c r="H184" s="26"/>
      <c r="I184" s="26"/>
      <c r="J184" s="26"/>
      <c r="K184" s="26"/>
      <c r="L184" s="26"/>
      <c r="M184" s="27"/>
      <c r="N184" s="26"/>
      <c r="O184" s="26"/>
      <c r="P184" s="26"/>
      <c r="Q184" s="26"/>
      <c r="R184" s="26"/>
      <c r="S184" s="26"/>
      <c r="T184" s="26"/>
      <c r="U184" s="26"/>
      <c r="V184" s="26"/>
      <c r="W184" s="28"/>
      <c r="X184" s="28"/>
      <c r="Y184" s="26"/>
      <c r="Z184" s="26"/>
      <c r="AA184" s="26"/>
      <c r="AB184" s="26"/>
      <c r="AC184" s="26"/>
      <c r="AD184" s="26"/>
      <c r="AE184" s="26"/>
      <c r="AF184" s="26"/>
      <c r="AG184" s="26"/>
      <c r="AH184" s="26"/>
      <c r="AI184" s="26"/>
      <c r="AJ184" s="15" t="str">
        <f>IF(COUNTA(B184,E184,H184,I184,J184,K184,L184,M184,N184,O184,P184,Q184,R184,S184,T184,U184,V184,W184,X184,Y184,Z184,AA184,AB184,AC184,AD184,AE184,AF184,AG184,AH184,AI184)=0,"",IF(OR(B184="",E184="",H184="",J184="",K184="",L184="",M184="",O184="",P184="",Q184="",R184="",S184="",T184="",U184="",W184="",X184="",Y184="",AB184="",AC184="",AE184="",AF184=""),"Incompleta: faltan campos obligatorios",IF(AND(LEFT(H184,6)="PROPIA",I184=""),"Falta el nombre de la acción propia del área",IF(AND(LEFT(H184,3)="A27",IFERROR(INDEX(Catalogos!$T$5:$T$207,MATCH(H184,Catalogos!$U$5:$U$207,0)),"x")&lt;&gt;LEFT(E184,7)),"La acción no corresponde a la meta seleccionada",IF(OR(NOT(ISNUMBER(M184)),M184&lt;10000000,M184&gt;99999999),"Código UNSPSC inválido: registre 8 dígitos",IF(MOD(M184,10000)=0,"UNSPSC a nivel de segmento o familia: use clase o producto",IF(IFERROR(MATCH(P184,L_MESES,0)&lt;MATCH(O184,L_MESES,0),TRUE()),"El mes de ofertas es anterior al de inicio del proceso",IF(OR(NOT(ISNUMBER(Q184)),Q184&lt;=0),"Duración inválida",IF(OR(NOT(ISNUMBER(W184)),NOT(ISNUMBER(X184))),"Valor inválido: registre solo números",IF(OR(W184&lt;=0,X184&lt;=0),"Valor inválido: debe ser mayor que cero",IF(X184&gt;W184,"El valor de la vigencia 2027 supera el valor total",IF(AND(X184&lt;W184,Y184="No"),"El valor total supera el de 2027: requiere vigencias futuras",IF(AND(Y184="Sí",OR(Z184="",Z184="No aplica")),"Indique el estado de la solicitud de vigencias futuras",IF(IF(AND(S184="Mínima cuantía",ISNUMBER(P_TOPE_MINIMA)),W184&gt;P_TOPE_MINIMA,FALSE()),"El valor supera el tope de mínima cuantía 2027",IF(IF(AND(S184="Selección abreviada de menor cuantía",ISNUMBER(P_TOPE_MENOR)),W184&gt;P_TOPE_MENOR,FALSE()),"El valor supera el tope de menor cuantía 2027",IF(OR(ISERROR(SEARCH("@itc.edu.co",AE184)),SUMPRODUCT(--ISNUMBER(SEARCH({"á","é","í","ó","ú","ñ"," "},AE184)))&gt;0),"El correo del responsable no es institucional válido",IF(AND(AF184="Sí",AG184=""),"Indique el N.° de registro 2026 que continúa","OK")))))))))))))))))</f>
        <v/>
      </c>
      <c r="AK184" s="15" t="str">
        <f>IF(AJ184="OK",COUNTIF($AJ$7:AJ184,"OK"),"")</f>
        <v/>
      </c>
    </row>
    <row r="185" spans="1:37" x14ac:dyDescent="0.3">
      <c r="A185" s="13" t="str">
        <f t="shared" si="2"/>
        <v>PN27-179</v>
      </c>
      <c r="B185" s="26"/>
      <c r="C185" s="13" t="str">
        <f>IF(B185="","",IFERROR(INDEX(Catalogos!$R$5:$R$51,MATCH(B185,L_AREAS,0)),""))</f>
        <v/>
      </c>
      <c r="D185" s="13" t="str">
        <f>IF(B185="","",IFERROR(INDEX(Catalogos!$O$5:$O$51,MATCH(B185,L_AREAS,0)),""))</f>
        <v/>
      </c>
      <c r="E185" s="26"/>
      <c r="F185" s="13" t="str">
        <f>IF(E185="","",IFERROR(INDEX(Catalogos!$C$5:$C$49,MATCH(E185,L_METAS,0)),""))</f>
        <v/>
      </c>
      <c r="G185" s="13" t="str">
        <f>IF(E185="","",IFERROR(INDEX(Catalogos!$E$5:$E$49,MATCH(E185,L_METAS,0)),""))</f>
        <v/>
      </c>
      <c r="H185" s="26"/>
      <c r="I185" s="26"/>
      <c r="J185" s="26"/>
      <c r="K185" s="26"/>
      <c r="L185" s="26"/>
      <c r="M185" s="27"/>
      <c r="N185" s="26"/>
      <c r="O185" s="26"/>
      <c r="P185" s="26"/>
      <c r="Q185" s="26"/>
      <c r="R185" s="26"/>
      <c r="S185" s="26"/>
      <c r="T185" s="26"/>
      <c r="U185" s="26"/>
      <c r="V185" s="26"/>
      <c r="W185" s="28"/>
      <c r="X185" s="28"/>
      <c r="Y185" s="26"/>
      <c r="Z185" s="26"/>
      <c r="AA185" s="26"/>
      <c r="AB185" s="26"/>
      <c r="AC185" s="26"/>
      <c r="AD185" s="26"/>
      <c r="AE185" s="26"/>
      <c r="AF185" s="26"/>
      <c r="AG185" s="26"/>
      <c r="AH185" s="26"/>
      <c r="AI185" s="26"/>
      <c r="AJ185" s="15" t="str">
        <f>IF(COUNTA(B185,E185,H185,I185,J185,K185,L185,M185,N185,O185,P185,Q185,R185,S185,T185,U185,V185,W185,X185,Y185,Z185,AA185,AB185,AC185,AD185,AE185,AF185,AG185,AH185,AI185)=0,"",IF(OR(B185="",E185="",H185="",J185="",K185="",L185="",M185="",O185="",P185="",Q185="",R185="",S185="",T185="",U185="",W185="",X185="",Y185="",AB185="",AC185="",AE185="",AF185=""),"Incompleta: faltan campos obligatorios",IF(AND(LEFT(H185,6)="PROPIA",I185=""),"Falta el nombre de la acción propia del área",IF(AND(LEFT(H185,3)="A27",IFERROR(INDEX(Catalogos!$T$5:$T$207,MATCH(H185,Catalogos!$U$5:$U$207,0)),"x")&lt;&gt;LEFT(E185,7)),"La acción no corresponde a la meta seleccionada",IF(OR(NOT(ISNUMBER(M185)),M185&lt;10000000,M185&gt;99999999),"Código UNSPSC inválido: registre 8 dígitos",IF(MOD(M185,10000)=0,"UNSPSC a nivel de segmento o familia: use clase o producto",IF(IFERROR(MATCH(P185,L_MESES,0)&lt;MATCH(O185,L_MESES,0),TRUE()),"El mes de ofertas es anterior al de inicio del proceso",IF(OR(NOT(ISNUMBER(Q185)),Q185&lt;=0),"Duración inválida",IF(OR(NOT(ISNUMBER(W185)),NOT(ISNUMBER(X185))),"Valor inválido: registre solo números",IF(OR(W185&lt;=0,X185&lt;=0),"Valor inválido: debe ser mayor que cero",IF(X185&gt;W185,"El valor de la vigencia 2027 supera el valor total",IF(AND(X185&lt;W185,Y185="No"),"El valor total supera el de 2027: requiere vigencias futuras",IF(AND(Y185="Sí",OR(Z185="",Z185="No aplica")),"Indique el estado de la solicitud de vigencias futuras",IF(IF(AND(S185="Mínima cuantía",ISNUMBER(P_TOPE_MINIMA)),W185&gt;P_TOPE_MINIMA,FALSE()),"El valor supera el tope de mínima cuantía 2027",IF(IF(AND(S185="Selección abreviada de menor cuantía",ISNUMBER(P_TOPE_MENOR)),W185&gt;P_TOPE_MENOR,FALSE()),"El valor supera el tope de menor cuantía 2027",IF(OR(ISERROR(SEARCH("@itc.edu.co",AE185)),SUMPRODUCT(--ISNUMBER(SEARCH({"á","é","í","ó","ú","ñ"," "},AE185)))&gt;0),"El correo del responsable no es institucional válido",IF(AND(AF185="Sí",AG185=""),"Indique el N.° de registro 2026 que continúa","OK")))))))))))))))))</f>
        <v/>
      </c>
      <c r="AK185" s="15" t="str">
        <f>IF(AJ185="OK",COUNTIF($AJ$7:AJ185,"OK"),"")</f>
        <v/>
      </c>
    </row>
    <row r="186" spans="1:37" x14ac:dyDescent="0.3">
      <c r="A186" s="13" t="str">
        <f t="shared" si="2"/>
        <v>PN27-180</v>
      </c>
      <c r="B186" s="26"/>
      <c r="C186" s="13" t="str">
        <f>IF(B186="","",IFERROR(INDEX(Catalogos!$R$5:$R$51,MATCH(B186,L_AREAS,0)),""))</f>
        <v/>
      </c>
      <c r="D186" s="13" t="str">
        <f>IF(B186="","",IFERROR(INDEX(Catalogos!$O$5:$O$51,MATCH(B186,L_AREAS,0)),""))</f>
        <v/>
      </c>
      <c r="E186" s="26"/>
      <c r="F186" s="13" t="str">
        <f>IF(E186="","",IFERROR(INDEX(Catalogos!$C$5:$C$49,MATCH(E186,L_METAS,0)),""))</f>
        <v/>
      </c>
      <c r="G186" s="13" t="str">
        <f>IF(E186="","",IFERROR(INDEX(Catalogos!$E$5:$E$49,MATCH(E186,L_METAS,0)),""))</f>
        <v/>
      </c>
      <c r="H186" s="26"/>
      <c r="I186" s="26"/>
      <c r="J186" s="26"/>
      <c r="K186" s="26"/>
      <c r="L186" s="26"/>
      <c r="M186" s="27"/>
      <c r="N186" s="26"/>
      <c r="O186" s="26"/>
      <c r="P186" s="26"/>
      <c r="Q186" s="26"/>
      <c r="R186" s="26"/>
      <c r="S186" s="26"/>
      <c r="T186" s="26"/>
      <c r="U186" s="26"/>
      <c r="V186" s="26"/>
      <c r="W186" s="28"/>
      <c r="X186" s="28"/>
      <c r="Y186" s="26"/>
      <c r="Z186" s="26"/>
      <c r="AA186" s="26"/>
      <c r="AB186" s="26"/>
      <c r="AC186" s="26"/>
      <c r="AD186" s="26"/>
      <c r="AE186" s="26"/>
      <c r="AF186" s="26"/>
      <c r="AG186" s="26"/>
      <c r="AH186" s="26"/>
      <c r="AI186" s="26"/>
      <c r="AJ186" s="15" t="str">
        <f>IF(COUNTA(B186,E186,H186,I186,J186,K186,L186,M186,N186,O186,P186,Q186,R186,S186,T186,U186,V186,W186,X186,Y186,Z186,AA186,AB186,AC186,AD186,AE186,AF186,AG186,AH186,AI186)=0,"",IF(OR(B186="",E186="",H186="",J186="",K186="",L186="",M186="",O186="",P186="",Q186="",R186="",S186="",T186="",U186="",W186="",X186="",Y186="",AB186="",AC186="",AE186="",AF186=""),"Incompleta: faltan campos obligatorios",IF(AND(LEFT(H186,6)="PROPIA",I186=""),"Falta el nombre de la acción propia del área",IF(AND(LEFT(H186,3)="A27",IFERROR(INDEX(Catalogos!$T$5:$T$207,MATCH(H186,Catalogos!$U$5:$U$207,0)),"x")&lt;&gt;LEFT(E186,7)),"La acción no corresponde a la meta seleccionada",IF(OR(NOT(ISNUMBER(M186)),M186&lt;10000000,M186&gt;99999999),"Código UNSPSC inválido: registre 8 dígitos",IF(MOD(M186,10000)=0,"UNSPSC a nivel de segmento o familia: use clase o producto",IF(IFERROR(MATCH(P186,L_MESES,0)&lt;MATCH(O186,L_MESES,0),TRUE()),"El mes de ofertas es anterior al de inicio del proceso",IF(OR(NOT(ISNUMBER(Q186)),Q186&lt;=0),"Duración inválida",IF(OR(NOT(ISNUMBER(W186)),NOT(ISNUMBER(X186))),"Valor inválido: registre solo números",IF(OR(W186&lt;=0,X186&lt;=0),"Valor inválido: debe ser mayor que cero",IF(X186&gt;W186,"El valor de la vigencia 2027 supera el valor total",IF(AND(X186&lt;W186,Y186="No"),"El valor total supera el de 2027: requiere vigencias futuras",IF(AND(Y186="Sí",OR(Z186="",Z186="No aplica")),"Indique el estado de la solicitud de vigencias futuras",IF(IF(AND(S186="Mínima cuantía",ISNUMBER(P_TOPE_MINIMA)),W186&gt;P_TOPE_MINIMA,FALSE()),"El valor supera el tope de mínima cuantía 2027",IF(IF(AND(S186="Selección abreviada de menor cuantía",ISNUMBER(P_TOPE_MENOR)),W186&gt;P_TOPE_MENOR,FALSE()),"El valor supera el tope de menor cuantía 2027",IF(OR(ISERROR(SEARCH("@itc.edu.co",AE186)),SUMPRODUCT(--ISNUMBER(SEARCH({"á","é","í","ó","ú","ñ"," "},AE186)))&gt;0),"El correo del responsable no es institucional válido",IF(AND(AF186="Sí",AG186=""),"Indique el N.° de registro 2026 que continúa","OK")))))))))))))))))</f>
        <v/>
      </c>
      <c r="AK186" s="15" t="str">
        <f>IF(AJ186="OK",COUNTIF($AJ$7:AJ186,"OK"),"")</f>
        <v/>
      </c>
    </row>
    <row r="187" spans="1:37" x14ac:dyDescent="0.3">
      <c r="A187" s="13" t="str">
        <f t="shared" si="2"/>
        <v>PN27-181</v>
      </c>
      <c r="B187" s="26"/>
      <c r="C187" s="13" t="str">
        <f>IF(B187="","",IFERROR(INDEX(Catalogos!$R$5:$R$51,MATCH(B187,L_AREAS,0)),""))</f>
        <v/>
      </c>
      <c r="D187" s="13" t="str">
        <f>IF(B187="","",IFERROR(INDEX(Catalogos!$O$5:$O$51,MATCH(B187,L_AREAS,0)),""))</f>
        <v/>
      </c>
      <c r="E187" s="26"/>
      <c r="F187" s="13" t="str">
        <f>IF(E187="","",IFERROR(INDEX(Catalogos!$C$5:$C$49,MATCH(E187,L_METAS,0)),""))</f>
        <v/>
      </c>
      <c r="G187" s="13" t="str">
        <f>IF(E187="","",IFERROR(INDEX(Catalogos!$E$5:$E$49,MATCH(E187,L_METAS,0)),""))</f>
        <v/>
      </c>
      <c r="H187" s="26"/>
      <c r="I187" s="26"/>
      <c r="J187" s="26"/>
      <c r="K187" s="26"/>
      <c r="L187" s="26"/>
      <c r="M187" s="27"/>
      <c r="N187" s="26"/>
      <c r="O187" s="26"/>
      <c r="P187" s="26"/>
      <c r="Q187" s="26"/>
      <c r="R187" s="26"/>
      <c r="S187" s="26"/>
      <c r="T187" s="26"/>
      <c r="U187" s="26"/>
      <c r="V187" s="26"/>
      <c r="W187" s="28"/>
      <c r="X187" s="28"/>
      <c r="Y187" s="26"/>
      <c r="Z187" s="26"/>
      <c r="AA187" s="26"/>
      <c r="AB187" s="26"/>
      <c r="AC187" s="26"/>
      <c r="AD187" s="26"/>
      <c r="AE187" s="26"/>
      <c r="AF187" s="26"/>
      <c r="AG187" s="26"/>
      <c r="AH187" s="26"/>
      <c r="AI187" s="26"/>
      <c r="AJ187" s="15" t="str">
        <f>IF(COUNTA(B187,E187,H187,I187,J187,K187,L187,M187,N187,O187,P187,Q187,R187,S187,T187,U187,V187,W187,X187,Y187,Z187,AA187,AB187,AC187,AD187,AE187,AF187,AG187,AH187,AI187)=0,"",IF(OR(B187="",E187="",H187="",J187="",K187="",L187="",M187="",O187="",P187="",Q187="",R187="",S187="",T187="",U187="",W187="",X187="",Y187="",AB187="",AC187="",AE187="",AF187=""),"Incompleta: faltan campos obligatorios",IF(AND(LEFT(H187,6)="PROPIA",I187=""),"Falta el nombre de la acción propia del área",IF(AND(LEFT(H187,3)="A27",IFERROR(INDEX(Catalogos!$T$5:$T$207,MATCH(H187,Catalogos!$U$5:$U$207,0)),"x")&lt;&gt;LEFT(E187,7)),"La acción no corresponde a la meta seleccionada",IF(OR(NOT(ISNUMBER(M187)),M187&lt;10000000,M187&gt;99999999),"Código UNSPSC inválido: registre 8 dígitos",IF(MOD(M187,10000)=0,"UNSPSC a nivel de segmento o familia: use clase o producto",IF(IFERROR(MATCH(P187,L_MESES,0)&lt;MATCH(O187,L_MESES,0),TRUE()),"El mes de ofertas es anterior al de inicio del proceso",IF(OR(NOT(ISNUMBER(Q187)),Q187&lt;=0),"Duración inválida",IF(OR(NOT(ISNUMBER(W187)),NOT(ISNUMBER(X187))),"Valor inválido: registre solo números",IF(OR(W187&lt;=0,X187&lt;=0),"Valor inválido: debe ser mayor que cero",IF(X187&gt;W187,"El valor de la vigencia 2027 supera el valor total",IF(AND(X187&lt;W187,Y187="No"),"El valor total supera el de 2027: requiere vigencias futuras",IF(AND(Y187="Sí",OR(Z187="",Z187="No aplica")),"Indique el estado de la solicitud de vigencias futuras",IF(IF(AND(S187="Mínima cuantía",ISNUMBER(P_TOPE_MINIMA)),W187&gt;P_TOPE_MINIMA,FALSE()),"El valor supera el tope de mínima cuantía 2027",IF(IF(AND(S187="Selección abreviada de menor cuantía",ISNUMBER(P_TOPE_MENOR)),W187&gt;P_TOPE_MENOR,FALSE()),"El valor supera el tope de menor cuantía 2027",IF(OR(ISERROR(SEARCH("@itc.edu.co",AE187)),SUMPRODUCT(--ISNUMBER(SEARCH({"á","é","í","ó","ú","ñ"," "},AE187)))&gt;0),"El correo del responsable no es institucional válido",IF(AND(AF187="Sí",AG187=""),"Indique el N.° de registro 2026 que continúa","OK")))))))))))))))))</f>
        <v/>
      </c>
      <c r="AK187" s="15" t="str">
        <f>IF(AJ187="OK",COUNTIF($AJ$7:AJ187,"OK"),"")</f>
        <v/>
      </c>
    </row>
    <row r="188" spans="1:37" x14ac:dyDescent="0.3">
      <c r="A188" s="13" t="str">
        <f t="shared" si="2"/>
        <v>PN27-182</v>
      </c>
      <c r="B188" s="26"/>
      <c r="C188" s="13" t="str">
        <f>IF(B188="","",IFERROR(INDEX(Catalogos!$R$5:$R$51,MATCH(B188,L_AREAS,0)),""))</f>
        <v/>
      </c>
      <c r="D188" s="13" t="str">
        <f>IF(B188="","",IFERROR(INDEX(Catalogos!$O$5:$O$51,MATCH(B188,L_AREAS,0)),""))</f>
        <v/>
      </c>
      <c r="E188" s="26"/>
      <c r="F188" s="13" t="str">
        <f>IF(E188="","",IFERROR(INDEX(Catalogos!$C$5:$C$49,MATCH(E188,L_METAS,0)),""))</f>
        <v/>
      </c>
      <c r="G188" s="13" t="str">
        <f>IF(E188="","",IFERROR(INDEX(Catalogos!$E$5:$E$49,MATCH(E188,L_METAS,0)),""))</f>
        <v/>
      </c>
      <c r="H188" s="26"/>
      <c r="I188" s="26"/>
      <c r="J188" s="26"/>
      <c r="K188" s="26"/>
      <c r="L188" s="26"/>
      <c r="M188" s="27"/>
      <c r="N188" s="26"/>
      <c r="O188" s="26"/>
      <c r="P188" s="26"/>
      <c r="Q188" s="26"/>
      <c r="R188" s="26"/>
      <c r="S188" s="26"/>
      <c r="T188" s="26"/>
      <c r="U188" s="26"/>
      <c r="V188" s="26"/>
      <c r="W188" s="28"/>
      <c r="X188" s="28"/>
      <c r="Y188" s="26"/>
      <c r="Z188" s="26"/>
      <c r="AA188" s="26"/>
      <c r="AB188" s="26"/>
      <c r="AC188" s="26"/>
      <c r="AD188" s="26"/>
      <c r="AE188" s="26"/>
      <c r="AF188" s="26"/>
      <c r="AG188" s="26"/>
      <c r="AH188" s="26"/>
      <c r="AI188" s="26"/>
      <c r="AJ188" s="15" t="str">
        <f>IF(COUNTA(B188,E188,H188,I188,J188,K188,L188,M188,N188,O188,P188,Q188,R188,S188,T188,U188,V188,W188,X188,Y188,Z188,AA188,AB188,AC188,AD188,AE188,AF188,AG188,AH188,AI188)=0,"",IF(OR(B188="",E188="",H188="",J188="",K188="",L188="",M188="",O188="",P188="",Q188="",R188="",S188="",T188="",U188="",W188="",X188="",Y188="",AB188="",AC188="",AE188="",AF188=""),"Incompleta: faltan campos obligatorios",IF(AND(LEFT(H188,6)="PROPIA",I188=""),"Falta el nombre de la acción propia del área",IF(AND(LEFT(H188,3)="A27",IFERROR(INDEX(Catalogos!$T$5:$T$207,MATCH(H188,Catalogos!$U$5:$U$207,0)),"x")&lt;&gt;LEFT(E188,7)),"La acción no corresponde a la meta seleccionada",IF(OR(NOT(ISNUMBER(M188)),M188&lt;10000000,M188&gt;99999999),"Código UNSPSC inválido: registre 8 dígitos",IF(MOD(M188,10000)=0,"UNSPSC a nivel de segmento o familia: use clase o producto",IF(IFERROR(MATCH(P188,L_MESES,0)&lt;MATCH(O188,L_MESES,0),TRUE()),"El mes de ofertas es anterior al de inicio del proceso",IF(OR(NOT(ISNUMBER(Q188)),Q188&lt;=0),"Duración inválida",IF(OR(NOT(ISNUMBER(W188)),NOT(ISNUMBER(X188))),"Valor inválido: registre solo números",IF(OR(W188&lt;=0,X188&lt;=0),"Valor inválido: debe ser mayor que cero",IF(X188&gt;W188,"El valor de la vigencia 2027 supera el valor total",IF(AND(X188&lt;W188,Y188="No"),"El valor total supera el de 2027: requiere vigencias futuras",IF(AND(Y188="Sí",OR(Z188="",Z188="No aplica")),"Indique el estado de la solicitud de vigencias futuras",IF(IF(AND(S188="Mínima cuantía",ISNUMBER(P_TOPE_MINIMA)),W188&gt;P_TOPE_MINIMA,FALSE()),"El valor supera el tope de mínima cuantía 2027",IF(IF(AND(S188="Selección abreviada de menor cuantía",ISNUMBER(P_TOPE_MENOR)),W188&gt;P_TOPE_MENOR,FALSE()),"El valor supera el tope de menor cuantía 2027",IF(OR(ISERROR(SEARCH("@itc.edu.co",AE188)),SUMPRODUCT(--ISNUMBER(SEARCH({"á","é","í","ó","ú","ñ"," "},AE188)))&gt;0),"El correo del responsable no es institucional válido",IF(AND(AF188="Sí",AG188=""),"Indique el N.° de registro 2026 que continúa","OK")))))))))))))))))</f>
        <v/>
      </c>
      <c r="AK188" s="15" t="str">
        <f>IF(AJ188="OK",COUNTIF($AJ$7:AJ188,"OK"),"")</f>
        <v/>
      </c>
    </row>
    <row r="189" spans="1:37" x14ac:dyDescent="0.3">
      <c r="A189" s="13" t="str">
        <f t="shared" si="2"/>
        <v>PN27-183</v>
      </c>
      <c r="B189" s="26"/>
      <c r="C189" s="13" t="str">
        <f>IF(B189="","",IFERROR(INDEX(Catalogos!$R$5:$R$51,MATCH(B189,L_AREAS,0)),""))</f>
        <v/>
      </c>
      <c r="D189" s="13" t="str">
        <f>IF(B189="","",IFERROR(INDEX(Catalogos!$O$5:$O$51,MATCH(B189,L_AREAS,0)),""))</f>
        <v/>
      </c>
      <c r="E189" s="26"/>
      <c r="F189" s="13" t="str">
        <f>IF(E189="","",IFERROR(INDEX(Catalogos!$C$5:$C$49,MATCH(E189,L_METAS,0)),""))</f>
        <v/>
      </c>
      <c r="G189" s="13" t="str">
        <f>IF(E189="","",IFERROR(INDEX(Catalogos!$E$5:$E$49,MATCH(E189,L_METAS,0)),""))</f>
        <v/>
      </c>
      <c r="H189" s="26"/>
      <c r="I189" s="26"/>
      <c r="J189" s="26"/>
      <c r="K189" s="26"/>
      <c r="L189" s="26"/>
      <c r="M189" s="27"/>
      <c r="N189" s="26"/>
      <c r="O189" s="26"/>
      <c r="P189" s="26"/>
      <c r="Q189" s="26"/>
      <c r="R189" s="26"/>
      <c r="S189" s="26"/>
      <c r="T189" s="26"/>
      <c r="U189" s="26"/>
      <c r="V189" s="26"/>
      <c r="W189" s="28"/>
      <c r="X189" s="28"/>
      <c r="Y189" s="26"/>
      <c r="Z189" s="26"/>
      <c r="AA189" s="26"/>
      <c r="AB189" s="26"/>
      <c r="AC189" s="26"/>
      <c r="AD189" s="26"/>
      <c r="AE189" s="26"/>
      <c r="AF189" s="26"/>
      <c r="AG189" s="26"/>
      <c r="AH189" s="26"/>
      <c r="AI189" s="26"/>
      <c r="AJ189" s="15" t="str">
        <f>IF(COUNTA(B189,E189,H189,I189,J189,K189,L189,M189,N189,O189,P189,Q189,R189,S189,T189,U189,V189,W189,X189,Y189,Z189,AA189,AB189,AC189,AD189,AE189,AF189,AG189,AH189,AI189)=0,"",IF(OR(B189="",E189="",H189="",J189="",K189="",L189="",M189="",O189="",P189="",Q189="",R189="",S189="",T189="",U189="",W189="",X189="",Y189="",AB189="",AC189="",AE189="",AF189=""),"Incompleta: faltan campos obligatorios",IF(AND(LEFT(H189,6)="PROPIA",I189=""),"Falta el nombre de la acción propia del área",IF(AND(LEFT(H189,3)="A27",IFERROR(INDEX(Catalogos!$T$5:$T$207,MATCH(H189,Catalogos!$U$5:$U$207,0)),"x")&lt;&gt;LEFT(E189,7)),"La acción no corresponde a la meta seleccionada",IF(OR(NOT(ISNUMBER(M189)),M189&lt;10000000,M189&gt;99999999),"Código UNSPSC inválido: registre 8 dígitos",IF(MOD(M189,10000)=0,"UNSPSC a nivel de segmento o familia: use clase o producto",IF(IFERROR(MATCH(P189,L_MESES,0)&lt;MATCH(O189,L_MESES,0),TRUE()),"El mes de ofertas es anterior al de inicio del proceso",IF(OR(NOT(ISNUMBER(Q189)),Q189&lt;=0),"Duración inválida",IF(OR(NOT(ISNUMBER(W189)),NOT(ISNUMBER(X189))),"Valor inválido: registre solo números",IF(OR(W189&lt;=0,X189&lt;=0),"Valor inválido: debe ser mayor que cero",IF(X189&gt;W189,"El valor de la vigencia 2027 supera el valor total",IF(AND(X189&lt;W189,Y189="No"),"El valor total supera el de 2027: requiere vigencias futuras",IF(AND(Y189="Sí",OR(Z189="",Z189="No aplica")),"Indique el estado de la solicitud de vigencias futuras",IF(IF(AND(S189="Mínima cuantía",ISNUMBER(P_TOPE_MINIMA)),W189&gt;P_TOPE_MINIMA,FALSE()),"El valor supera el tope de mínima cuantía 2027",IF(IF(AND(S189="Selección abreviada de menor cuantía",ISNUMBER(P_TOPE_MENOR)),W189&gt;P_TOPE_MENOR,FALSE()),"El valor supera el tope de menor cuantía 2027",IF(OR(ISERROR(SEARCH("@itc.edu.co",AE189)),SUMPRODUCT(--ISNUMBER(SEARCH({"á","é","í","ó","ú","ñ"," "},AE189)))&gt;0),"El correo del responsable no es institucional válido",IF(AND(AF189="Sí",AG189=""),"Indique el N.° de registro 2026 que continúa","OK")))))))))))))))))</f>
        <v/>
      </c>
      <c r="AK189" s="15" t="str">
        <f>IF(AJ189="OK",COUNTIF($AJ$7:AJ189,"OK"),"")</f>
        <v/>
      </c>
    </row>
    <row r="190" spans="1:37" x14ac:dyDescent="0.3">
      <c r="A190" s="13" t="str">
        <f t="shared" si="2"/>
        <v>PN27-184</v>
      </c>
      <c r="B190" s="26"/>
      <c r="C190" s="13" t="str">
        <f>IF(B190="","",IFERROR(INDEX(Catalogos!$R$5:$R$51,MATCH(B190,L_AREAS,0)),""))</f>
        <v/>
      </c>
      <c r="D190" s="13" t="str">
        <f>IF(B190="","",IFERROR(INDEX(Catalogos!$O$5:$O$51,MATCH(B190,L_AREAS,0)),""))</f>
        <v/>
      </c>
      <c r="E190" s="26"/>
      <c r="F190" s="13" t="str">
        <f>IF(E190="","",IFERROR(INDEX(Catalogos!$C$5:$C$49,MATCH(E190,L_METAS,0)),""))</f>
        <v/>
      </c>
      <c r="G190" s="13" t="str">
        <f>IF(E190="","",IFERROR(INDEX(Catalogos!$E$5:$E$49,MATCH(E190,L_METAS,0)),""))</f>
        <v/>
      </c>
      <c r="H190" s="26"/>
      <c r="I190" s="26"/>
      <c r="J190" s="26"/>
      <c r="K190" s="26"/>
      <c r="L190" s="26"/>
      <c r="M190" s="27"/>
      <c r="N190" s="26"/>
      <c r="O190" s="26"/>
      <c r="P190" s="26"/>
      <c r="Q190" s="26"/>
      <c r="R190" s="26"/>
      <c r="S190" s="26"/>
      <c r="T190" s="26"/>
      <c r="U190" s="26"/>
      <c r="V190" s="26"/>
      <c r="W190" s="28"/>
      <c r="X190" s="28"/>
      <c r="Y190" s="26"/>
      <c r="Z190" s="26"/>
      <c r="AA190" s="26"/>
      <c r="AB190" s="26"/>
      <c r="AC190" s="26"/>
      <c r="AD190" s="26"/>
      <c r="AE190" s="26"/>
      <c r="AF190" s="26"/>
      <c r="AG190" s="26"/>
      <c r="AH190" s="26"/>
      <c r="AI190" s="26"/>
      <c r="AJ190" s="15" t="str">
        <f>IF(COUNTA(B190,E190,H190,I190,J190,K190,L190,M190,N190,O190,P190,Q190,R190,S190,T190,U190,V190,W190,X190,Y190,Z190,AA190,AB190,AC190,AD190,AE190,AF190,AG190,AH190,AI190)=0,"",IF(OR(B190="",E190="",H190="",J190="",K190="",L190="",M190="",O190="",P190="",Q190="",R190="",S190="",T190="",U190="",W190="",X190="",Y190="",AB190="",AC190="",AE190="",AF190=""),"Incompleta: faltan campos obligatorios",IF(AND(LEFT(H190,6)="PROPIA",I190=""),"Falta el nombre de la acción propia del área",IF(AND(LEFT(H190,3)="A27",IFERROR(INDEX(Catalogos!$T$5:$T$207,MATCH(H190,Catalogos!$U$5:$U$207,0)),"x")&lt;&gt;LEFT(E190,7)),"La acción no corresponde a la meta seleccionada",IF(OR(NOT(ISNUMBER(M190)),M190&lt;10000000,M190&gt;99999999),"Código UNSPSC inválido: registre 8 dígitos",IF(MOD(M190,10000)=0,"UNSPSC a nivel de segmento o familia: use clase o producto",IF(IFERROR(MATCH(P190,L_MESES,0)&lt;MATCH(O190,L_MESES,0),TRUE()),"El mes de ofertas es anterior al de inicio del proceso",IF(OR(NOT(ISNUMBER(Q190)),Q190&lt;=0),"Duración inválida",IF(OR(NOT(ISNUMBER(W190)),NOT(ISNUMBER(X190))),"Valor inválido: registre solo números",IF(OR(W190&lt;=0,X190&lt;=0),"Valor inválido: debe ser mayor que cero",IF(X190&gt;W190,"El valor de la vigencia 2027 supera el valor total",IF(AND(X190&lt;W190,Y190="No"),"El valor total supera el de 2027: requiere vigencias futuras",IF(AND(Y190="Sí",OR(Z190="",Z190="No aplica")),"Indique el estado de la solicitud de vigencias futuras",IF(IF(AND(S190="Mínima cuantía",ISNUMBER(P_TOPE_MINIMA)),W190&gt;P_TOPE_MINIMA,FALSE()),"El valor supera el tope de mínima cuantía 2027",IF(IF(AND(S190="Selección abreviada de menor cuantía",ISNUMBER(P_TOPE_MENOR)),W190&gt;P_TOPE_MENOR,FALSE()),"El valor supera el tope de menor cuantía 2027",IF(OR(ISERROR(SEARCH("@itc.edu.co",AE190)),SUMPRODUCT(--ISNUMBER(SEARCH({"á","é","í","ó","ú","ñ"," "},AE190)))&gt;0),"El correo del responsable no es institucional válido",IF(AND(AF190="Sí",AG190=""),"Indique el N.° de registro 2026 que continúa","OK")))))))))))))))))</f>
        <v/>
      </c>
      <c r="AK190" s="15" t="str">
        <f>IF(AJ190="OK",COUNTIF($AJ$7:AJ190,"OK"),"")</f>
        <v/>
      </c>
    </row>
    <row r="191" spans="1:37" x14ac:dyDescent="0.3">
      <c r="A191" s="13" t="str">
        <f t="shared" si="2"/>
        <v>PN27-185</v>
      </c>
      <c r="B191" s="26"/>
      <c r="C191" s="13" t="str">
        <f>IF(B191="","",IFERROR(INDEX(Catalogos!$R$5:$R$51,MATCH(B191,L_AREAS,0)),""))</f>
        <v/>
      </c>
      <c r="D191" s="13" t="str">
        <f>IF(B191="","",IFERROR(INDEX(Catalogos!$O$5:$O$51,MATCH(B191,L_AREAS,0)),""))</f>
        <v/>
      </c>
      <c r="E191" s="26"/>
      <c r="F191" s="13" t="str">
        <f>IF(E191="","",IFERROR(INDEX(Catalogos!$C$5:$C$49,MATCH(E191,L_METAS,0)),""))</f>
        <v/>
      </c>
      <c r="G191" s="13" t="str">
        <f>IF(E191="","",IFERROR(INDEX(Catalogos!$E$5:$E$49,MATCH(E191,L_METAS,0)),""))</f>
        <v/>
      </c>
      <c r="H191" s="26"/>
      <c r="I191" s="26"/>
      <c r="J191" s="26"/>
      <c r="K191" s="26"/>
      <c r="L191" s="26"/>
      <c r="M191" s="27"/>
      <c r="N191" s="26"/>
      <c r="O191" s="26"/>
      <c r="P191" s="26"/>
      <c r="Q191" s="26"/>
      <c r="R191" s="26"/>
      <c r="S191" s="26"/>
      <c r="T191" s="26"/>
      <c r="U191" s="26"/>
      <c r="V191" s="26"/>
      <c r="W191" s="28"/>
      <c r="X191" s="28"/>
      <c r="Y191" s="26"/>
      <c r="Z191" s="26"/>
      <c r="AA191" s="26"/>
      <c r="AB191" s="26"/>
      <c r="AC191" s="26"/>
      <c r="AD191" s="26"/>
      <c r="AE191" s="26"/>
      <c r="AF191" s="26"/>
      <c r="AG191" s="26"/>
      <c r="AH191" s="26"/>
      <c r="AI191" s="26"/>
      <c r="AJ191" s="15" t="str">
        <f>IF(COUNTA(B191,E191,H191,I191,J191,K191,L191,M191,N191,O191,P191,Q191,R191,S191,T191,U191,V191,W191,X191,Y191,Z191,AA191,AB191,AC191,AD191,AE191,AF191,AG191,AH191,AI191)=0,"",IF(OR(B191="",E191="",H191="",J191="",K191="",L191="",M191="",O191="",P191="",Q191="",R191="",S191="",T191="",U191="",W191="",X191="",Y191="",AB191="",AC191="",AE191="",AF191=""),"Incompleta: faltan campos obligatorios",IF(AND(LEFT(H191,6)="PROPIA",I191=""),"Falta el nombre de la acción propia del área",IF(AND(LEFT(H191,3)="A27",IFERROR(INDEX(Catalogos!$T$5:$T$207,MATCH(H191,Catalogos!$U$5:$U$207,0)),"x")&lt;&gt;LEFT(E191,7)),"La acción no corresponde a la meta seleccionada",IF(OR(NOT(ISNUMBER(M191)),M191&lt;10000000,M191&gt;99999999),"Código UNSPSC inválido: registre 8 dígitos",IF(MOD(M191,10000)=0,"UNSPSC a nivel de segmento o familia: use clase o producto",IF(IFERROR(MATCH(P191,L_MESES,0)&lt;MATCH(O191,L_MESES,0),TRUE()),"El mes de ofertas es anterior al de inicio del proceso",IF(OR(NOT(ISNUMBER(Q191)),Q191&lt;=0),"Duración inválida",IF(OR(NOT(ISNUMBER(W191)),NOT(ISNUMBER(X191))),"Valor inválido: registre solo números",IF(OR(W191&lt;=0,X191&lt;=0),"Valor inválido: debe ser mayor que cero",IF(X191&gt;W191,"El valor de la vigencia 2027 supera el valor total",IF(AND(X191&lt;W191,Y191="No"),"El valor total supera el de 2027: requiere vigencias futuras",IF(AND(Y191="Sí",OR(Z191="",Z191="No aplica")),"Indique el estado de la solicitud de vigencias futuras",IF(IF(AND(S191="Mínima cuantía",ISNUMBER(P_TOPE_MINIMA)),W191&gt;P_TOPE_MINIMA,FALSE()),"El valor supera el tope de mínima cuantía 2027",IF(IF(AND(S191="Selección abreviada de menor cuantía",ISNUMBER(P_TOPE_MENOR)),W191&gt;P_TOPE_MENOR,FALSE()),"El valor supera el tope de menor cuantía 2027",IF(OR(ISERROR(SEARCH("@itc.edu.co",AE191)),SUMPRODUCT(--ISNUMBER(SEARCH({"á","é","í","ó","ú","ñ"," "},AE191)))&gt;0),"El correo del responsable no es institucional válido",IF(AND(AF191="Sí",AG191=""),"Indique el N.° de registro 2026 que continúa","OK")))))))))))))))))</f>
        <v/>
      </c>
      <c r="AK191" s="15" t="str">
        <f>IF(AJ191="OK",COUNTIF($AJ$7:AJ191,"OK"),"")</f>
        <v/>
      </c>
    </row>
    <row r="192" spans="1:37" x14ac:dyDescent="0.3">
      <c r="A192" s="13" t="str">
        <f t="shared" si="2"/>
        <v>PN27-186</v>
      </c>
      <c r="B192" s="26"/>
      <c r="C192" s="13" t="str">
        <f>IF(B192="","",IFERROR(INDEX(Catalogos!$R$5:$R$51,MATCH(B192,L_AREAS,0)),""))</f>
        <v/>
      </c>
      <c r="D192" s="13" t="str">
        <f>IF(B192="","",IFERROR(INDEX(Catalogos!$O$5:$O$51,MATCH(B192,L_AREAS,0)),""))</f>
        <v/>
      </c>
      <c r="E192" s="26"/>
      <c r="F192" s="13" t="str">
        <f>IF(E192="","",IFERROR(INDEX(Catalogos!$C$5:$C$49,MATCH(E192,L_METAS,0)),""))</f>
        <v/>
      </c>
      <c r="G192" s="13" t="str">
        <f>IF(E192="","",IFERROR(INDEX(Catalogos!$E$5:$E$49,MATCH(E192,L_METAS,0)),""))</f>
        <v/>
      </c>
      <c r="H192" s="26"/>
      <c r="I192" s="26"/>
      <c r="J192" s="26"/>
      <c r="K192" s="26"/>
      <c r="L192" s="26"/>
      <c r="M192" s="27"/>
      <c r="N192" s="26"/>
      <c r="O192" s="26"/>
      <c r="P192" s="26"/>
      <c r="Q192" s="26"/>
      <c r="R192" s="26"/>
      <c r="S192" s="26"/>
      <c r="T192" s="26"/>
      <c r="U192" s="26"/>
      <c r="V192" s="26"/>
      <c r="W192" s="28"/>
      <c r="X192" s="28"/>
      <c r="Y192" s="26"/>
      <c r="Z192" s="26"/>
      <c r="AA192" s="26"/>
      <c r="AB192" s="26"/>
      <c r="AC192" s="26"/>
      <c r="AD192" s="26"/>
      <c r="AE192" s="26"/>
      <c r="AF192" s="26"/>
      <c r="AG192" s="26"/>
      <c r="AH192" s="26"/>
      <c r="AI192" s="26"/>
      <c r="AJ192" s="15" t="str">
        <f>IF(COUNTA(B192,E192,H192,I192,J192,K192,L192,M192,N192,O192,P192,Q192,R192,S192,T192,U192,V192,W192,X192,Y192,Z192,AA192,AB192,AC192,AD192,AE192,AF192,AG192,AH192,AI192)=0,"",IF(OR(B192="",E192="",H192="",J192="",K192="",L192="",M192="",O192="",P192="",Q192="",R192="",S192="",T192="",U192="",W192="",X192="",Y192="",AB192="",AC192="",AE192="",AF192=""),"Incompleta: faltan campos obligatorios",IF(AND(LEFT(H192,6)="PROPIA",I192=""),"Falta el nombre de la acción propia del área",IF(AND(LEFT(H192,3)="A27",IFERROR(INDEX(Catalogos!$T$5:$T$207,MATCH(H192,Catalogos!$U$5:$U$207,0)),"x")&lt;&gt;LEFT(E192,7)),"La acción no corresponde a la meta seleccionada",IF(OR(NOT(ISNUMBER(M192)),M192&lt;10000000,M192&gt;99999999),"Código UNSPSC inválido: registre 8 dígitos",IF(MOD(M192,10000)=0,"UNSPSC a nivel de segmento o familia: use clase o producto",IF(IFERROR(MATCH(P192,L_MESES,0)&lt;MATCH(O192,L_MESES,0),TRUE()),"El mes de ofertas es anterior al de inicio del proceso",IF(OR(NOT(ISNUMBER(Q192)),Q192&lt;=0),"Duración inválida",IF(OR(NOT(ISNUMBER(W192)),NOT(ISNUMBER(X192))),"Valor inválido: registre solo números",IF(OR(W192&lt;=0,X192&lt;=0),"Valor inválido: debe ser mayor que cero",IF(X192&gt;W192,"El valor de la vigencia 2027 supera el valor total",IF(AND(X192&lt;W192,Y192="No"),"El valor total supera el de 2027: requiere vigencias futuras",IF(AND(Y192="Sí",OR(Z192="",Z192="No aplica")),"Indique el estado de la solicitud de vigencias futuras",IF(IF(AND(S192="Mínima cuantía",ISNUMBER(P_TOPE_MINIMA)),W192&gt;P_TOPE_MINIMA,FALSE()),"El valor supera el tope de mínima cuantía 2027",IF(IF(AND(S192="Selección abreviada de menor cuantía",ISNUMBER(P_TOPE_MENOR)),W192&gt;P_TOPE_MENOR,FALSE()),"El valor supera el tope de menor cuantía 2027",IF(OR(ISERROR(SEARCH("@itc.edu.co",AE192)),SUMPRODUCT(--ISNUMBER(SEARCH({"á","é","í","ó","ú","ñ"," "},AE192)))&gt;0),"El correo del responsable no es institucional válido",IF(AND(AF192="Sí",AG192=""),"Indique el N.° de registro 2026 que continúa","OK")))))))))))))))))</f>
        <v/>
      </c>
      <c r="AK192" s="15" t="str">
        <f>IF(AJ192="OK",COUNTIF($AJ$7:AJ192,"OK"),"")</f>
        <v/>
      </c>
    </row>
    <row r="193" spans="1:37" x14ac:dyDescent="0.3">
      <c r="A193" s="13" t="str">
        <f t="shared" si="2"/>
        <v>PN27-187</v>
      </c>
      <c r="B193" s="26"/>
      <c r="C193" s="13" t="str">
        <f>IF(B193="","",IFERROR(INDEX(Catalogos!$R$5:$R$51,MATCH(B193,L_AREAS,0)),""))</f>
        <v/>
      </c>
      <c r="D193" s="13" t="str">
        <f>IF(B193="","",IFERROR(INDEX(Catalogos!$O$5:$O$51,MATCH(B193,L_AREAS,0)),""))</f>
        <v/>
      </c>
      <c r="E193" s="26"/>
      <c r="F193" s="13" t="str">
        <f>IF(E193="","",IFERROR(INDEX(Catalogos!$C$5:$C$49,MATCH(E193,L_METAS,0)),""))</f>
        <v/>
      </c>
      <c r="G193" s="13" t="str">
        <f>IF(E193="","",IFERROR(INDEX(Catalogos!$E$5:$E$49,MATCH(E193,L_METAS,0)),""))</f>
        <v/>
      </c>
      <c r="H193" s="26"/>
      <c r="I193" s="26"/>
      <c r="J193" s="26"/>
      <c r="K193" s="26"/>
      <c r="L193" s="26"/>
      <c r="M193" s="27"/>
      <c r="N193" s="26"/>
      <c r="O193" s="26"/>
      <c r="P193" s="26"/>
      <c r="Q193" s="26"/>
      <c r="R193" s="26"/>
      <c r="S193" s="26"/>
      <c r="T193" s="26"/>
      <c r="U193" s="26"/>
      <c r="V193" s="26"/>
      <c r="W193" s="28"/>
      <c r="X193" s="28"/>
      <c r="Y193" s="26"/>
      <c r="Z193" s="26"/>
      <c r="AA193" s="26"/>
      <c r="AB193" s="26"/>
      <c r="AC193" s="26"/>
      <c r="AD193" s="26"/>
      <c r="AE193" s="26"/>
      <c r="AF193" s="26"/>
      <c r="AG193" s="26"/>
      <c r="AH193" s="26"/>
      <c r="AI193" s="26"/>
      <c r="AJ193" s="15" t="str">
        <f>IF(COUNTA(B193,E193,H193,I193,J193,K193,L193,M193,N193,O193,P193,Q193,R193,S193,T193,U193,V193,W193,X193,Y193,Z193,AA193,AB193,AC193,AD193,AE193,AF193,AG193,AH193,AI193)=0,"",IF(OR(B193="",E193="",H193="",J193="",K193="",L193="",M193="",O193="",P193="",Q193="",R193="",S193="",T193="",U193="",W193="",X193="",Y193="",AB193="",AC193="",AE193="",AF193=""),"Incompleta: faltan campos obligatorios",IF(AND(LEFT(H193,6)="PROPIA",I193=""),"Falta el nombre de la acción propia del área",IF(AND(LEFT(H193,3)="A27",IFERROR(INDEX(Catalogos!$T$5:$T$207,MATCH(H193,Catalogos!$U$5:$U$207,0)),"x")&lt;&gt;LEFT(E193,7)),"La acción no corresponde a la meta seleccionada",IF(OR(NOT(ISNUMBER(M193)),M193&lt;10000000,M193&gt;99999999),"Código UNSPSC inválido: registre 8 dígitos",IF(MOD(M193,10000)=0,"UNSPSC a nivel de segmento o familia: use clase o producto",IF(IFERROR(MATCH(P193,L_MESES,0)&lt;MATCH(O193,L_MESES,0),TRUE()),"El mes de ofertas es anterior al de inicio del proceso",IF(OR(NOT(ISNUMBER(Q193)),Q193&lt;=0),"Duración inválida",IF(OR(NOT(ISNUMBER(W193)),NOT(ISNUMBER(X193))),"Valor inválido: registre solo números",IF(OR(W193&lt;=0,X193&lt;=0),"Valor inválido: debe ser mayor que cero",IF(X193&gt;W193,"El valor de la vigencia 2027 supera el valor total",IF(AND(X193&lt;W193,Y193="No"),"El valor total supera el de 2027: requiere vigencias futuras",IF(AND(Y193="Sí",OR(Z193="",Z193="No aplica")),"Indique el estado de la solicitud de vigencias futuras",IF(IF(AND(S193="Mínima cuantía",ISNUMBER(P_TOPE_MINIMA)),W193&gt;P_TOPE_MINIMA,FALSE()),"El valor supera el tope de mínima cuantía 2027",IF(IF(AND(S193="Selección abreviada de menor cuantía",ISNUMBER(P_TOPE_MENOR)),W193&gt;P_TOPE_MENOR,FALSE()),"El valor supera el tope de menor cuantía 2027",IF(OR(ISERROR(SEARCH("@itc.edu.co",AE193)),SUMPRODUCT(--ISNUMBER(SEARCH({"á","é","í","ó","ú","ñ"," "},AE193)))&gt;0),"El correo del responsable no es institucional válido",IF(AND(AF193="Sí",AG193=""),"Indique el N.° de registro 2026 que continúa","OK")))))))))))))))))</f>
        <v/>
      </c>
      <c r="AK193" s="15" t="str">
        <f>IF(AJ193="OK",COUNTIF($AJ$7:AJ193,"OK"),"")</f>
        <v/>
      </c>
    </row>
    <row r="194" spans="1:37" x14ac:dyDescent="0.3">
      <c r="A194" s="13" t="str">
        <f t="shared" si="2"/>
        <v>PN27-188</v>
      </c>
      <c r="B194" s="26"/>
      <c r="C194" s="13" t="str">
        <f>IF(B194="","",IFERROR(INDEX(Catalogos!$R$5:$R$51,MATCH(B194,L_AREAS,0)),""))</f>
        <v/>
      </c>
      <c r="D194" s="13" t="str">
        <f>IF(B194="","",IFERROR(INDEX(Catalogos!$O$5:$O$51,MATCH(B194,L_AREAS,0)),""))</f>
        <v/>
      </c>
      <c r="E194" s="26"/>
      <c r="F194" s="13" t="str">
        <f>IF(E194="","",IFERROR(INDEX(Catalogos!$C$5:$C$49,MATCH(E194,L_METAS,0)),""))</f>
        <v/>
      </c>
      <c r="G194" s="13" t="str">
        <f>IF(E194="","",IFERROR(INDEX(Catalogos!$E$5:$E$49,MATCH(E194,L_METAS,0)),""))</f>
        <v/>
      </c>
      <c r="H194" s="26"/>
      <c r="I194" s="26"/>
      <c r="J194" s="26"/>
      <c r="K194" s="26"/>
      <c r="L194" s="26"/>
      <c r="M194" s="27"/>
      <c r="N194" s="26"/>
      <c r="O194" s="26"/>
      <c r="P194" s="26"/>
      <c r="Q194" s="26"/>
      <c r="R194" s="26"/>
      <c r="S194" s="26"/>
      <c r="T194" s="26"/>
      <c r="U194" s="26"/>
      <c r="V194" s="26"/>
      <c r="W194" s="28"/>
      <c r="X194" s="28"/>
      <c r="Y194" s="26"/>
      <c r="Z194" s="26"/>
      <c r="AA194" s="26"/>
      <c r="AB194" s="26"/>
      <c r="AC194" s="26"/>
      <c r="AD194" s="26"/>
      <c r="AE194" s="26"/>
      <c r="AF194" s="26"/>
      <c r="AG194" s="26"/>
      <c r="AH194" s="26"/>
      <c r="AI194" s="26"/>
      <c r="AJ194" s="15" t="str">
        <f>IF(COUNTA(B194,E194,H194,I194,J194,K194,L194,M194,N194,O194,P194,Q194,R194,S194,T194,U194,V194,W194,X194,Y194,Z194,AA194,AB194,AC194,AD194,AE194,AF194,AG194,AH194,AI194)=0,"",IF(OR(B194="",E194="",H194="",J194="",K194="",L194="",M194="",O194="",P194="",Q194="",R194="",S194="",T194="",U194="",W194="",X194="",Y194="",AB194="",AC194="",AE194="",AF194=""),"Incompleta: faltan campos obligatorios",IF(AND(LEFT(H194,6)="PROPIA",I194=""),"Falta el nombre de la acción propia del área",IF(AND(LEFT(H194,3)="A27",IFERROR(INDEX(Catalogos!$T$5:$T$207,MATCH(H194,Catalogos!$U$5:$U$207,0)),"x")&lt;&gt;LEFT(E194,7)),"La acción no corresponde a la meta seleccionada",IF(OR(NOT(ISNUMBER(M194)),M194&lt;10000000,M194&gt;99999999),"Código UNSPSC inválido: registre 8 dígitos",IF(MOD(M194,10000)=0,"UNSPSC a nivel de segmento o familia: use clase o producto",IF(IFERROR(MATCH(P194,L_MESES,0)&lt;MATCH(O194,L_MESES,0),TRUE()),"El mes de ofertas es anterior al de inicio del proceso",IF(OR(NOT(ISNUMBER(Q194)),Q194&lt;=0),"Duración inválida",IF(OR(NOT(ISNUMBER(W194)),NOT(ISNUMBER(X194))),"Valor inválido: registre solo números",IF(OR(W194&lt;=0,X194&lt;=0),"Valor inválido: debe ser mayor que cero",IF(X194&gt;W194,"El valor de la vigencia 2027 supera el valor total",IF(AND(X194&lt;W194,Y194="No"),"El valor total supera el de 2027: requiere vigencias futuras",IF(AND(Y194="Sí",OR(Z194="",Z194="No aplica")),"Indique el estado de la solicitud de vigencias futuras",IF(IF(AND(S194="Mínima cuantía",ISNUMBER(P_TOPE_MINIMA)),W194&gt;P_TOPE_MINIMA,FALSE()),"El valor supera el tope de mínima cuantía 2027",IF(IF(AND(S194="Selección abreviada de menor cuantía",ISNUMBER(P_TOPE_MENOR)),W194&gt;P_TOPE_MENOR,FALSE()),"El valor supera el tope de menor cuantía 2027",IF(OR(ISERROR(SEARCH("@itc.edu.co",AE194)),SUMPRODUCT(--ISNUMBER(SEARCH({"á","é","í","ó","ú","ñ"," "},AE194)))&gt;0),"El correo del responsable no es institucional válido",IF(AND(AF194="Sí",AG194=""),"Indique el N.° de registro 2026 que continúa","OK")))))))))))))))))</f>
        <v/>
      </c>
      <c r="AK194" s="15" t="str">
        <f>IF(AJ194="OK",COUNTIF($AJ$7:AJ194,"OK"),"")</f>
        <v/>
      </c>
    </row>
    <row r="195" spans="1:37" x14ac:dyDescent="0.3">
      <c r="A195" s="13" t="str">
        <f t="shared" si="2"/>
        <v>PN27-189</v>
      </c>
      <c r="B195" s="26"/>
      <c r="C195" s="13" t="str">
        <f>IF(B195="","",IFERROR(INDEX(Catalogos!$R$5:$R$51,MATCH(B195,L_AREAS,0)),""))</f>
        <v/>
      </c>
      <c r="D195" s="13" t="str">
        <f>IF(B195="","",IFERROR(INDEX(Catalogos!$O$5:$O$51,MATCH(B195,L_AREAS,0)),""))</f>
        <v/>
      </c>
      <c r="E195" s="26"/>
      <c r="F195" s="13" t="str">
        <f>IF(E195="","",IFERROR(INDEX(Catalogos!$C$5:$C$49,MATCH(E195,L_METAS,0)),""))</f>
        <v/>
      </c>
      <c r="G195" s="13" t="str">
        <f>IF(E195="","",IFERROR(INDEX(Catalogos!$E$5:$E$49,MATCH(E195,L_METAS,0)),""))</f>
        <v/>
      </c>
      <c r="H195" s="26"/>
      <c r="I195" s="26"/>
      <c r="J195" s="26"/>
      <c r="K195" s="26"/>
      <c r="L195" s="26"/>
      <c r="M195" s="27"/>
      <c r="N195" s="26"/>
      <c r="O195" s="26"/>
      <c r="P195" s="26"/>
      <c r="Q195" s="26"/>
      <c r="R195" s="26"/>
      <c r="S195" s="26"/>
      <c r="T195" s="26"/>
      <c r="U195" s="26"/>
      <c r="V195" s="26"/>
      <c r="W195" s="28"/>
      <c r="X195" s="28"/>
      <c r="Y195" s="26"/>
      <c r="Z195" s="26"/>
      <c r="AA195" s="26"/>
      <c r="AB195" s="26"/>
      <c r="AC195" s="26"/>
      <c r="AD195" s="26"/>
      <c r="AE195" s="26"/>
      <c r="AF195" s="26"/>
      <c r="AG195" s="26"/>
      <c r="AH195" s="26"/>
      <c r="AI195" s="26"/>
      <c r="AJ195" s="15" t="str">
        <f>IF(COUNTA(B195,E195,H195,I195,J195,K195,L195,M195,N195,O195,P195,Q195,R195,S195,T195,U195,V195,W195,X195,Y195,Z195,AA195,AB195,AC195,AD195,AE195,AF195,AG195,AH195,AI195)=0,"",IF(OR(B195="",E195="",H195="",J195="",K195="",L195="",M195="",O195="",P195="",Q195="",R195="",S195="",T195="",U195="",W195="",X195="",Y195="",AB195="",AC195="",AE195="",AF195=""),"Incompleta: faltan campos obligatorios",IF(AND(LEFT(H195,6)="PROPIA",I195=""),"Falta el nombre de la acción propia del área",IF(AND(LEFT(H195,3)="A27",IFERROR(INDEX(Catalogos!$T$5:$T$207,MATCH(H195,Catalogos!$U$5:$U$207,0)),"x")&lt;&gt;LEFT(E195,7)),"La acción no corresponde a la meta seleccionada",IF(OR(NOT(ISNUMBER(M195)),M195&lt;10000000,M195&gt;99999999),"Código UNSPSC inválido: registre 8 dígitos",IF(MOD(M195,10000)=0,"UNSPSC a nivel de segmento o familia: use clase o producto",IF(IFERROR(MATCH(P195,L_MESES,0)&lt;MATCH(O195,L_MESES,0),TRUE()),"El mes de ofertas es anterior al de inicio del proceso",IF(OR(NOT(ISNUMBER(Q195)),Q195&lt;=0),"Duración inválida",IF(OR(NOT(ISNUMBER(W195)),NOT(ISNUMBER(X195))),"Valor inválido: registre solo números",IF(OR(W195&lt;=0,X195&lt;=0),"Valor inválido: debe ser mayor que cero",IF(X195&gt;W195,"El valor de la vigencia 2027 supera el valor total",IF(AND(X195&lt;W195,Y195="No"),"El valor total supera el de 2027: requiere vigencias futuras",IF(AND(Y195="Sí",OR(Z195="",Z195="No aplica")),"Indique el estado de la solicitud de vigencias futuras",IF(IF(AND(S195="Mínima cuantía",ISNUMBER(P_TOPE_MINIMA)),W195&gt;P_TOPE_MINIMA,FALSE()),"El valor supera el tope de mínima cuantía 2027",IF(IF(AND(S195="Selección abreviada de menor cuantía",ISNUMBER(P_TOPE_MENOR)),W195&gt;P_TOPE_MENOR,FALSE()),"El valor supera el tope de menor cuantía 2027",IF(OR(ISERROR(SEARCH("@itc.edu.co",AE195)),SUMPRODUCT(--ISNUMBER(SEARCH({"á","é","í","ó","ú","ñ"," "},AE195)))&gt;0),"El correo del responsable no es institucional válido",IF(AND(AF195="Sí",AG195=""),"Indique el N.° de registro 2026 que continúa","OK")))))))))))))))))</f>
        <v/>
      </c>
      <c r="AK195" s="15" t="str">
        <f>IF(AJ195="OK",COUNTIF($AJ$7:AJ195,"OK"),"")</f>
        <v/>
      </c>
    </row>
    <row r="196" spans="1:37" x14ac:dyDescent="0.3">
      <c r="A196" s="13" t="str">
        <f t="shared" si="2"/>
        <v>PN27-190</v>
      </c>
      <c r="B196" s="26"/>
      <c r="C196" s="13" t="str">
        <f>IF(B196="","",IFERROR(INDEX(Catalogos!$R$5:$R$51,MATCH(B196,L_AREAS,0)),""))</f>
        <v/>
      </c>
      <c r="D196" s="13" t="str">
        <f>IF(B196="","",IFERROR(INDEX(Catalogos!$O$5:$O$51,MATCH(B196,L_AREAS,0)),""))</f>
        <v/>
      </c>
      <c r="E196" s="26"/>
      <c r="F196" s="13" t="str">
        <f>IF(E196="","",IFERROR(INDEX(Catalogos!$C$5:$C$49,MATCH(E196,L_METAS,0)),""))</f>
        <v/>
      </c>
      <c r="G196" s="13" t="str">
        <f>IF(E196="","",IFERROR(INDEX(Catalogos!$E$5:$E$49,MATCH(E196,L_METAS,0)),""))</f>
        <v/>
      </c>
      <c r="H196" s="26"/>
      <c r="I196" s="26"/>
      <c r="J196" s="26"/>
      <c r="K196" s="26"/>
      <c r="L196" s="26"/>
      <c r="M196" s="27"/>
      <c r="N196" s="26"/>
      <c r="O196" s="26"/>
      <c r="P196" s="26"/>
      <c r="Q196" s="26"/>
      <c r="R196" s="26"/>
      <c r="S196" s="26"/>
      <c r="T196" s="26"/>
      <c r="U196" s="26"/>
      <c r="V196" s="26"/>
      <c r="W196" s="28"/>
      <c r="X196" s="28"/>
      <c r="Y196" s="26"/>
      <c r="Z196" s="26"/>
      <c r="AA196" s="26"/>
      <c r="AB196" s="26"/>
      <c r="AC196" s="26"/>
      <c r="AD196" s="26"/>
      <c r="AE196" s="26"/>
      <c r="AF196" s="26"/>
      <c r="AG196" s="26"/>
      <c r="AH196" s="26"/>
      <c r="AI196" s="26"/>
      <c r="AJ196" s="15" t="str">
        <f>IF(COUNTA(B196,E196,H196,I196,J196,K196,L196,M196,N196,O196,P196,Q196,R196,S196,T196,U196,V196,W196,X196,Y196,Z196,AA196,AB196,AC196,AD196,AE196,AF196,AG196,AH196,AI196)=0,"",IF(OR(B196="",E196="",H196="",J196="",K196="",L196="",M196="",O196="",P196="",Q196="",R196="",S196="",T196="",U196="",W196="",X196="",Y196="",AB196="",AC196="",AE196="",AF196=""),"Incompleta: faltan campos obligatorios",IF(AND(LEFT(H196,6)="PROPIA",I196=""),"Falta el nombre de la acción propia del área",IF(AND(LEFT(H196,3)="A27",IFERROR(INDEX(Catalogos!$T$5:$T$207,MATCH(H196,Catalogos!$U$5:$U$207,0)),"x")&lt;&gt;LEFT(E196,7)),"La acción no corresponde a la meta seleccionada",IF(OR(NOT(ISNUMBER(M196)),M196&lt;10000000,M196&gt;99999999),"Código UNSPSC inválido: registre 8 dígitos",IF(MOD(M196,10000)=0,"UNSPSC a nivel de segmento o familia: use clase o producto",IF(IFERROR(MATCH(P196,L_MESES,0)&lt;MATCH(O196,L_MESES,0),TRUE()),"El mes de ofertas es anterior al de inicio del proceso",IF(OR(NOT(ISNUMBER(Q196)),Q196&lt;=0),"Duración inválida",IF(OR(NOT(ISNUMBER(W196)),NOT(ISNUMBER(X196))),"Valor inválido: registre solo números",IF(OR(W196&lt;=0,X196&lt;=0),"Valor inválido: debe ser mayor que cero",IF(X196&gt;W196,"El valor de la vigencia 2027 supera el valor total",IF(AND(X196&lt;W196,Y196="No"),"El valor total supera el de 2027: requiere vigencias futuras",IF(AND(Y196="Sí",OR(Z196="",Z196="No aplica")),"Indique el estado de la solicitud de vigencias futuras",IF(IF(AND(S196="Mínima cuantía",ISNUMBER(P_TOPE_MINIMA)),W196&gt;P_TOPE_MINIMA,FALSE()),"El valor supera el tope de mínima cuantía 2027",IF(IF(AND(S196="Selección abreviada de menor cuantía",ISNUMBER(P_TOPE_MENOR)),W196&gt;P_TOPE_MENOR,FALSE()),"El valor supera el tope de menor cuantía 2027",IF(OR(ISERROR(SEARCH("@itc.edu.co",AE196)),SUMPRODUCT(--ISNUMBER(SEARCH({"á","é","í","ó","ú","ñ"," "},AE196)))&gt;0),"El correo del responsable no es institucional válido",IF(AND(AF196="Sí",AG196=""),"Indique el N.° de registro 2026 que continúa","OK")))))))))))))))))</f>
        <v/>
      </c>
      <c r="AK196" s="15" t="str">
        <f>IF(AJ196="OK",COUNTIF($AJ$7:AJ196,"OK"),"")</f>
        <v/>
      </c>
    </row>
    <row r="197" spans="1:37" x14ac:dyDescent="0.3">
      <c r="A197" s="13" t="str">
        <f t="shared" si="2"/>
        <v>PN27-191</v>
      </c>
      <c r="B197" s="26"/>
      <c r="C197" s="13" t="str">
        <f>IF(B197="","",IFERROR(INDEX(Catalogos!$R$5:$R$51,MATCH(B197,L_AREAS,0)),""))</f>
        <v/>
      </c>
      <c r="D197" s="13" t="str">
        <f>IF(B197="","",IFERROR(INDEX(Catalogos!$O$5:$O$51,MATCH(B197,L_AREAS,0)),""))</f>
        <v/>
      </c>
      <c r="E197" s="26"/>
      <c r="F197" s="13" t="str">
        <f>IF(E197="","",IFERROR(INDEX(Catalogos!$C$5:$C$49,MATCH(E197,L_METAS,0)),""))</f>
        <v/>
      </c>
      <c r="G197" s="13" t="str">
        <f>IF(E197="","",IFERROR(INDEX(Catalogos!$E$5:$E$49,MATCH(E197,L_METAS,0)),""))</f>
        <v/>
      </c>
      <c r="H197" s="26"/>
      <c r="I197" s="26"/>
      <c r="J197" s="26"/>
      <c r="K197" s="26"/>
      <c r="L197" s="26"/>
      <c r="M197" s="27"/>
      <c r="N197" s="26"/>
      <c r="O197" s="26"/>
      <c r="P197" s="26"/>
      <c r="Q197" s="26"/>
      <c r="R197" s="26"/>
      <c r="S197" s="26"/>
      <c r="T197" s="26"/>
      <c r="U197" s="26"/>
      <c r="V197" s="26"/>
      <c r="W197" s="28"/>
      <c r="X197" s="28"/>
      <c r="Y197" s="26"/>
      <c r="Z197" s="26"/>
      <c r="AA197" s="26"/>
      <c r="AB197" s="26"/>
      <c r="AC197" s="26"/>
      <c r="AD197" s="26"/>
      <c r="AE197" s="26"/>
      <c r="AF197" s="26"/>
      <c r="AG197" s="26"/>
      <c r="AH197" s="26"/>
      <c r="AI197" s="26"/>
      <c r="AJ197" s="15" t="str">
        <f>IF(COUNTA(B197,E197,H197,I197,J197,K197,L197,M197,N197,O197,P197,Q197,R197,S197,T197,U197,V197,W197,X197,Y197,Z197,AA197,AB197,AC197,AD197,AE197,AF197,AG197,AH197,AI197)=0,"",IF(OR(B197="",E197="",H197="",J197="",K197="",L197="",M197="",O197="",P197="",Q197="",R197="",S197="",T197="",U197="",W197="",X197="",Y197="",AB197="",AC197="",AE197="",AF197=""),"Incompleta: faltan campos obligatorios",IF(AND(LEFT(H197,6)="PROPIA",I197=""),"Falta el nombre de la acción propia del área",IF(AND(LEFT(H197,3)="A27",IFERROR(INDEX(Catalogos!$T$5:$T$207,MATCH(H197,Catalogos!$U$5:$U$207,0)),"x")&lt;&gt;LEFT(E197,7)),"La acción no corresponde a la meta seleccionada",IF(OR(NOT(ISNUMBER(M197)),M197&lt;10000000,M197&gt;99999999),"Código UNSPSC inválido: registre 8 dígitos",IF(MOD(M197,10000)=0,"UNSPSC a nivel de segmento o familia: use clase o producto",IF(IFERROR(MATCH(P197,L_MESES,0)&lt;MATCH(O197,L_MESES,0),TRUE()),"El mes de ofertas es anterior al de inicio del proceso",IF(OR(NOT(ISNUMBER(Q197)),Q197&lt;=0),"Duración inválida",IF(OR(NOT(ISNUMBER(W197)),NOT(ISNUMBER(X197))),"Valor inválido: registre solo números",IF(OR(W197&lt;=0,X197&lt;=0),"Valor inválido: debe ser mayor que cero",IF(X197&gt;W197,"El valor de la vigencia 2027 supera el valor total",IF(AND(X197&lt;W197,Y197="No"),"El valor total supera el de 2027: requiere vigencias futuras",IF(AND(Y197="Sí",OR(Z197="",Z197="No aplica")),"Indique el estado de la solicitud de vigencias futuras",IF(IF(AND(S197="Mínima cuantía",ISNUMBER(P_TOPE_MINIMA)),W197&gt;P_TOPE_MINIMA,FALSE()),"El valor supera el tope de mínima cuantía 2027",IF(IF(AND(S197="Selección abreviada de menor cuantía",ISNUMBER(P_TOPE_MENOR)),W197&gt;P_TOPE_MENOR,FALSE()),"El valor supera el tope de menor cuantía 2027",IF(OR(ISERROR(SEARCH("@itc.edu.co",AE197)),SUMPRODUCT(--ISNUMBER(SEARCH({"á","é","í","ó","ú","ñ"," "},AE197)))&gt;0),"El correo del responsable no es institucional válido",IF(AND(AF197="Sí",AG197=""),"Indique el N.° de registro 2026 que continúa","OK")))))))))))))))))</f>
        <v/>
      </c>
      <c r="AK197" s="15" t="str">
        <f>IF(AJ197="OK",COUNTIF($AJ$7:AJ197,"OK"),"")</f>
        <v/>
      </c>
    </row>
    <row r="198" spans="1:37" x14ac:dyDescent="0.3">
      <c r="A198" s="13" t="str">
        <f t="shared" si="2"/>
        <v>PN27-192</v>
      </c>
      <c r="B198" s="26"/>
      <c r="C198" s="13" t="str">
        <f>IF(B198="","",IFERROR(INDEX(Catalogos!$R$5:$R$51,MATCH(B198,L_AREAS,0)),""))</f>
        <v/>
      </c>
      <c r="D198" s="13" t="str">
        <f>IF(B198="","",IFERROR(INDEX(Catalogos!$O$5:$O$51,MATCH(B198,L_AREAS,0)),""))</f>
        <v/>
      </c>
      <c r="E198" s="26"/>
      <c r="F198" s="13" t="str">
        <f>IF(E198="","",IFERROR(INDEX(Catalogos!$C$5:$C$49,MATCH(E198,L_METAS,0)),""))</f>
        <v/>
      </c>
      <c r="G198" s="13" t="str">
        <f>IF(E198="","",IFERROR(INDEX(Catalogos!$E$5:$E$49,MATCH(E198,L_METAS,0)),""))</f>
        <v/>
      </c>
      <c r="H198" s="26"/>
      <c r="I198" s="26"/>
      <c r="J198" s="26"/>
      <c r="K198" s="26"/>
      <c r="L198" s="26"/>
      <c r="M198" s="27"/>
      <c r="N198" s="26"/>
      <c r="O198" s="26"/>
      <c r="P198" s="26"/>
      <c r="Q198" s="26"/>
      <c r="R198" s="26"/>
      <c r="S198" s="26"/>
      <c r="T198" s="26"/>
      <c r="U198" s="26"/>
      <c r="V198" s="26"/>
      <c r="W198" s="28"/>
      <c r="X198" s="28"/>
      <c r="Y198" s="26"/>
      <c r="Z198" s="26"/>
      <c r="AA198" s="26"/>
      <c r="AB198" s="26"/>
      <c r="AC198" s="26"/>
      <c r="AD198" s="26"/>
      <c r="AE198" s="26"/>
      <c r="AF198" s="26"/>
      <c r="AG198" s="26"/>
      <c r="AH198" s="26"/>
      <c r="AI198" s="26"/>
      <c r="AJ198" s="15" t="str">
        <f>IF(COUNTA(B198,E198,H198,I198,J198,K198,L198,M198,N198,O198,P198,Q198,R198,S198,T198,U198,V198,W198,X198,Y198,Z198,AA198,AB198,AC198,AD198,AE198,AF198,AG198,AH198,AI198)=0,"",IF(OR(B198="",E198="",H198="",J198="",K198="",L198="",M198="",O198="",P198="",Q198="",R198="",S198="",T198="",U198="",W198="",X198="",Y198="",AB198="",AC198="",AE198="",AF198=""),"Incompleta: faltan campos obligatorios",IF(AND(LEFT(H198,6)="PROPIA",I198=""),"Falta el nombre de la acción propia del área",IF(AND(LEFT(H198,3)="A27",IFERROR(INDEX(Catalogos!$T$5:$T$207,MATCH(H198,Catalogos!$U$5:$U$207,0)),"x")&lt;&gt;LEFT(E198,7)),"La acción no corresponde a la meta seleccionada",IF(OR(NOT(ISNUMBER(M198)),M198&lt;10000000,M198&gt;99999999),"Código UNSPSC inválido: registre 8 dígitos",IF(MOD(M198,10000)=0,"UNSPSC a nivel de segmento o familia: use clase o producto",IF(IFERROR(MATCH(P198,L_MESES,0)&lt;MATCH(O198,L_MESES,0),TRUE()),"El mes de ofertas es anterior al de inicio del proceso",IF(OR(NOT(ISNUMBER(Q198)),Q198&lt;=0),"Duración inválida",IF(OR(NOT(ISNUMBER(W198)),NOT(ISNUMBER(X198))),"Valor inválido: registre solo números",IF(OR(W198&lt;=0,X198&lt;=0),"Valor inválido: debe ser mayor que cero",IF(X198&gt;W198,"El valor de la vigencia 2027 supera el valor total",IF(AND(X198&lt;W198,Y198="No"),"El valor total supera el de 2027: requiere vigencias futuras",IF(AND(Y198="Sí",OR(Z198="",Z198="No aplica")),"Indique el estado de la solicitud de vigencias futuras",IF(IF(AND(S198="Mínima cuantía",ISNUMBER(P_TOPE_MINIMA)),W198&gt;P_TOPE_MINIMA,FALSE()),"El valor supera el tope de mínima cuantía 2027",IF(IF(AND(S198="Selección abreviada de menor cuantía",ISNUMBER(P_TOPE_MENOR)),W198&gt;P_TOPE_MENOR,FALSE()),"El valor supera el tope de menor cuantía 2027",IF(OR(ISERROR(SEARCH("@itc.edu.co",AE198)),SUMPRODUCT(--ISNUMBER(SEARCH({"á","é","í","ó","ú","ñ"," "},AE198)))&gt;0),"El correo del responsable no es institucional válido",IF(AND(AF198="Sí",AG198=""),"Indique el N.° de registro 2026 que continúa","OK")))))))))))))))))</f>
        <v/>
      </c>
      <c r="AK198" s="15" t="str">
        <f>IF(AJ198="OK",COUNTIF($AJ$7:AJ198,"OK"),"")</f>
        <v/>
      </c>
    </row>
    <row r="199" spans="1:37" x14ac:dyDescent="0.3">
      <c r="A199" s="13" t="str">
        <f t="shared" ref="A199:A262" si="3">"PN27-"&amp;TEXT(ROW()-6,"000")</f>
        <v>PN27-193</v>
      </c>
      <c r="B199" s="26"/>
      <c r="C199" s="13" t="str">
        <f>IF(B199="","",IFERROR(INDEX(Catalogos!$R$5:$R$51,MATCH(B199,L_AREAS,0)),""))</f>
        <v/>
      </c>
      <c r="D199" s="13" t="str">
        <f>IF(B199="","",IFERROR(INDEX(Catalogos!$O$5:$O$51,MATCH(B199,L_AREAS,0)),""))</f>
        <v/>
      </c>
      <c r="E199" s="26"/>
      <c r="F199" s="13" t="str">
        <f>IF(E199="","",IFERROR(INDEX(Catalogos!$C$5:$C$49,MATCH(E199,L_METAS,0)),""))</f>
        <v/>
      </c>
      <c r="G199" s="13" t="str">
        <f>IF(E199="","",IFERROR(INDEX(Catalogos!$E$5:$E$49,MATCH(E199,L_METAS,0)),""))</f>
        <v/>
      </c>
      <c r="H199" s="26"/>
      <c r="I199" s="26"/>
      <c r="J199" s="26"/>
      <c r="K199" s="26"/>
      <c r="L199" s="26"/>
      <c r="M199" s="27"/>
      <c r="N199" s="26"/>
      <c r="O199" s="26"/>
      <c r="P199" s="26"/>
      <c r="Q199" s="26"/>
      <c r="R199" s="26"/>
      <c r="S199" s="26"/>
      <c r="T199" s="26"/>
      <c r="U199" s="26"/>
      <c r="V199" s="26"/>
      <c r="W199" s="28"/>
      <c r="X199" s="28"/>
      <c r="Y199" s="26"/>
      <c r="Z199" s="26"/>
      <c r="AA199" s="26"/>
      <c r="AB199" s="26"/>
      <c r="AC199" s="26"/>
      <c r="AD199" s="26"/>
      <c r="AE199" s="26"/>
      <c r="AF199" s="26"/>
      <c r="AG199" s="26"/>
      <c r="AH199" s="26"/>
      <c r="AI199" s="26"/>
      <c r="AJ199" s="15" t="str">
        <f>IF(COUNTA(B199,E199,H199,I199,J199,K199,L199,M199,N199,O199,P199,Q199,R199,S199,T199,U199,V199,W199,X199,Y199,Z199,AA199,AB199,AC199,AD199,AE199,AF199,AG199,AH199,AI199)=0,"",IF(OR(B199="",E199="",H199="",J199="",K199="",L199="",M199="",O199="",P199="",Q199="",R199="",S199="",T199="",U199="",W199="",X199="",Y199="",AB199="",AC199="",AE199="",AF199=""),"Incompleta: faltan campos obligatorios",IF(AND(LEFT(H199,6)="PROPIA",I199=""),"Falta el nombre de la acción propia del área",IF(AND(LEFT(H199,3)="A27",IFERROR(INDEX(Catalogos!$T$5:$T$207,MATCH(H199,Catalogos!$U$5:$U$207,0)),"x")&lt;&gt;LEFT(E199,7)),"La acción no corresponde a la meta seleccionada",IF(OR(NOT(ISNUMBER(M199)),M199&lt;10000000,M199&gt;99999999),"Código UNSPSC inválido: registre 8 dígitos",IF(MOD(M199,10000)=0,"UNSPSC a nivel de segmento o familia: use clase o producto",IF(IFERROR(MATCH(P199,L_MESES,0)&lt;MATCH(O199,L_MESES,0),TRUE()),"El mes de ofertas es anterior al de inicio del proceso",IF(OR(NOT(ISNUMBER(Q199)),Q199&lt;=0),"Duración inválida",IF(OR(NOT(ISNUMBER(W199)),NOT(ISNUMBER(X199))),"Valor inválido: registre solo números",IF(OR(W199&lt;=0,X199&lt;=0),"Valor inválido: debe ser mayor que cero",IF(X199&gt;W199,"El valor de la vigencia 2027 supera el valor total",IF(AND(X199&lt;W199,Y199="No"),"El valor total supera el de 2027: requiere vigencias futuras",IF(AND(Y199="Sí",OR(Z199="",Z199="No aplica")),"Indique el estado de la solicitud de vigencias futuras",IF(IF(AND(S199="Mínima cuantía",ISNUMBER(P_TOPE_MINIMA)),W199&gt;P_TOPE_MINIMA,FALSE()),"El valor supera el tope de mínima cuantía 2027",IF(IF(AND(S199="Selección abreviada de menor cuantía",ISNUMBER(P_TOPE_MENOR)),W199&gt;P_TOPE_MENOR,FALSE()),"El valor supera el tope de menor cuantía 2027",IF(OR(ISERROR(SEARCH("@itc.edu.co",AE199)),SUMPRODUCT(--ISNUMBER(SEARCH({"á","é","í","ó","ú","ñ"," "},AE199)))&gt;0),"El correo del responsable no es institucional válido",IF(AND(AF199="Sí",AG199=""),"Indique el N.° de registro 2026 que continúa","OK")))))))))))))))))</f>
        <v/>
      </c>
      <c r="AK199" s="15" t="str">
        <f>IF(AJ199="OK",COUNTIF($AJ$7:AJ199,"OK"),"")</f>
        <v/>
      </c>
    </row>
    <row r="200" spans="1:37" x14ac:dyDescent="0.3">
      <c r="A200" s="13" t="str">
        <f t="shared" si="3"/>
        <v>PN27-194</v>
      </c>
      <c r="B200" s="26"/>
      <c r="C200" s="13" t="str">
        <f>IF(B200="","",IFERROR(INDEX(Catalogos!$R$5:$R$51,MATCH(B200,L_AREAS,0)),""))</f>
        <v/>
      </c>
      <c r="D200" s="13" t="str">
        <f>IF(B200="","",IFERROR(INDEX(Catalogos!$O$5:$O$51,MATCH(B200,L_AREAS,0)),""))</f>
        <v/>
      </c>
      <c r="E200" s="26"/>
      <c r="F200" s="13" t="str">
        <f>IF(E200="","",IFERROR(INDEX(Catalogos!$C$5:$C$49,MATCH(E200,L_METAS,0)),""))</f>
        <v/>
      </c>
      <c r="G200" s="13" t="str">
        <f>IF(E200="","",IFERROR(INDEX(Catalogos!$E$5:$E$49,MATCH(E200,L_METAS,0)),""))</f>
        <v/>
      </c>
      <c r="H200" s="26"/>
      <c r="I200" s="26"/>
      <c r="J200" s="26"/>
      <c r="K200" s="26"/>
      <c r="L200" s="26"/>
      <c r="M200" s="27"/>
      <c r="N200" s="26"/>
      <c r="O200" s="26"/>
      <c r="P200" s="26"/>
      <c r="Q200" s="26"/>
      <c r="R200" s="26"/>
      <c r="S200" s="26"/>
      <c r="T200" s="26"/>
      <c r="U200" s="26"/>
      <c r="V200" s="26"/>
      <c r="W200" s="28"/>
      <c r="X200" s="28"/>
      <c r="Y200" s="26"/>
      <c r="Z200" s="26"/>
      <c r="AA200" s="26"/>
      <c r="AB200" s="26"/>
      <c r="AC200" s="26"/>
      <c r="AD200" s="26"/>
      <c r="AE200" s="26"/>
      <c r="AF200" s="26"/>
      <c r="AG200" s="26"/>
      <c r="AH200" s="26"/>
      <c r="AI200" s="26"/>
      <c r="AJ200" s="15" t="str">
        <f>IF(COUNTA(B200,E200,H200,I200,J200,K200,L200,M200,N200,O200,P200,Q200,R200,S200,T200,U200,V200,W200,X200,Y200,Z200,AA200,AB200,AC200,AD200,AE200,AF200,AG200,AH200,AI200)=0,"",IF(OR(B200="",E200="",H200="",J200="",K200="",L200="",M200="",O200="",P200="",Q200="",R200="",S200="",T200="",U200="",W200="",X200="",Y200="",AB200="",AC200="",AE200="",AF200=""),"Incompleta: faltan campos obligatorios",IF(AND(LEFT(H200,6)="PROPIA",I200=""),"Falta el nombre de la acción propia del área",IF(AND(LEFT(H200,3)="A27",IFERROR(INDEX(Catalogos!$T$5:$T$207,MATCH(H200,Catalogos!$U$5:$U$207,0)),"x")&lt;&gt;LEFT(E200,7)),"La acción no corresponde a la meta seleccionada",IF(OR(NOT(ISNUMBER(M200)),M200&lt;10000000,M200&gt;99999999),"Código UNSPSC inválido: registre 8 dígitos",IF(MOD(M200,10000)=0,"UNSPSC a nivel de segmento o familia: use clase o producto",IF(IFERROR(MATCH(P200,L_MESES,0)&lt;MATCH(O200,L_MESES,0),TRUE()),"El mes de ofertas es anterior al de inicio del proceso",IF(OR(NOT(ISNUMBER(Q200)),Q200&lt;=0),"Duración inválida",IF(OR(NOT(ISNUMBER(W200)),NOT(ISNUMBER(X200))),"Valor inválido: registre solo números",IF(OR(W200&lt;=0,X200&lt;=0),"Valor inválido: debe ser mayor que cero",IF(X200&gt;W200,"El valor de la vigencia 2027 supera el valor total",IF(AND(X200&lt;W200,Y200="No"),"El valor total supera el de 2027: requiere vigencias futuras",IF(AND(Y200="Sí",OR(Z200="",Z200="No aplica")),"Indique el estado de la solicitud de vigencias futuras",IF(IF(AND(S200="Mínima cuantía",ISNUMBER(P_TOPE_MINIMA)),W200&gt;P_TOPE_MINIMA,FALSE()),"El valor supera el tope de mínima cuantía 2027",IF(IF(AND(S200="Selección abreviada de menor cuantía",ISNUMBER(P_TOPE_MENOR)),W200&gt;P_TOPE_MENOR,FALSE()),"El valor supera el tope de menor cuantía 2027",IF(OR(ISERROR(SEARCH("@itc.edu.co",AE200)),SUMPRODUCT(--ISNUMBER(SEARCH({"á","é","í","ó","ú","ñ"," "},AE200)))&gt;0),"El correo del responsable no es institucional válido",IF(AND(AF200="Sí",AG200=""),"Indique el N.° de registro 2026 que continúa","OK")))))))))))))))))</f>
        <v/>
      </c>
      <c r="AK200" s="15" t="str">
        <f>IF(AJ200="OK",COUNTIF($AJ$7:AJ200,"OK"),"")</f>
        <v/>
      </c>
    </row>
    <row r="201" spans="1:37" x14ac:dyDescent="0.3">
      <c r="A201" s="13" t="str">
        <f t="shared" si="3"/>
        <v>PN27-195</v>
      </c>
      <c r="B201" s="26"/>
      <c r="C201" s="13" t="str">
        <f>IF(B201="","",IFERROR(INDEX(Catalogos!$R$5:$R$51,MATCH(B201,L_AREAS,0)),""))</f>
        <v/>
      </c>
      <c r="D201" s="13" t="str">
        <f>IF(B201="","",IFERROR(INDEX(Catalogos!$O$5:$O$51,MATCH(B201,L_AREAS,0)),""))</f>
        <v/>
      </c>
      <c r="E201" s="26"/>
      <c r="F201" s="13" t="str">
        <f>IF(E201="","",IFERROR(INDEX(Catalogos!$C$5:$C$49,MATCH(E201,L_METAS,0)),""))</f>
        <v/>
      </c>
      <c r="G201" s="13" t="str">
        <f>IF(E201="","",IFERROR(INDEX(Catalogos!$E$5:$E$49,MATCH(E201,L_METAS,0)),""))</f>
        <v/>
      </c>
      <c r="H201" s="26"/>
      <c r="I201" s="26"/>
      <c r="J201" s="26"/>
      <c r="K201" s="26"/>
      <c r="L201" s="26"/>
      <c r="M201" s="27"/>
      <c r="N201" s="26"/>
      <c r="O201" s="26"/>
      <c r="P201" s="26"/>
      <c r="Q201" s="26"/>
      <c r="R201" s="26"/>
      <c r="S201" s="26"/>
      <c r="T201" s="26"/>
      <c r="U201" s="26"/>
      <c r="V201" s="26"/>
      <c r="W201" s="28"/>
      <c r="X201" s="28"/>
      <c r="Y201" s="26"/>
      <c r="Z201" s="26"/>
      <c r="AA201" s="26"/>
      <c r="AB201" s="26"/>
      <c r="AC201" s="26"/>
      <c r="AD201" s="26"/>
      <c r="AE201" s="26"/>
      <c r="AF201" s="26"/>
      <c r="AG201" s="26"/>
      <c r="AH201" s="26"/>
      <c r="AI201" s="26"/>
      <c r="AJ201" s="15" t="str">
        <f>IF(COUNTA(B201,E201,H201,I201,J201,K201,L201,M201,N201,O201,P201,Q201,R201,S201,T201,U201,V201,W201,X201,Y201,Z201,AA201,AB201,AC201,AD201,AE201,AF201,AG201,AH201,AI201)=0,"",IF(OR(B201="",E201="",H201="",J201="",K201="",L201="",M201="",O201="",P201="",Q201="",R201="",S201="",T201="",U201="",W201="",X201="",Y201="",AB201="",AC201="",AE201="",AF201=""),"Incompleta: faltan campos obligatorios",IF(AND(LEFT(H201,6)="PROPIA",I201=""),"Falta el nombre de la acción propia del área",IF(AND(LEFT(H201,3)="A27",IFERROR(INDEX(Catalogos!$T$5:$T$207,MATCH(H201,Catalogos!$U$5:$U$207,0)),"x")&lt;&gt;LEFT(E201,7)),"La acción no corresponde a la meta seleccionada",IF(OR(NOT(ISNUMBER(M201)),M201&lt;10000000,M201&gt;99999999),"Código UNSPSC inválido: registre 8 dígitos",IF(MOD(M201,10000)=0,"UNSPSC a nivel de segmento o familia: use clase o producto",IF(IFERROR(MATCH(P201,L_MESES,0)&lt;MATCH(O201,L_MESES,0),TRUE()),"El mes de ofertas es anterior al de inicio del proceso",IF(OR(NOT(ISNUMBER(Q201)),Q201&lt;=0),"Duración inválida",IF(OR(NOT(ISNUMBER(W201)),NOT(ISNUMBER(X201))),"Valor inválido: registre solo números",IF(OR(W201&lt;=0,X201&lt;=0),"Valor inválido: debe ser mayor que cero",IF(X201&gt;W201,"El valor de la vigencia 2027 supera el valor total",IF(AND(X201&lt;W201,Y201="No"),"El valor total supera el de 2027: requiere vigencias futuras",IF(AND(Y201="Sí",OR(Z201="",Z201="No aplica")),"Indique el estado de la solicitud de vigencias futuras",IF(IF(AND(S201="Mínima cuantía",ISNUMBER(P_TOPE_MINIMA)),W201&gt;P_TOPE_MINIMA,FALSE()),"El valor supera el tope de mínima cuantía 2027",IF(IF(AND(S201="Selección abreviada de menor cuantía",ISNUMBER(P_TOPE_MENOR)),W201&gt;P_TOPE_MENOR,FALSE()),"El valor supera el tope de menor cuantía 2027",IF(OR(ISERROR(SEARCH("@itc.edu.co",AE201)),SUMPRODUCT(--ISNUMBER(SEARCH({"á","é","í","ó","ú","ñ"," "},AE201)))&gt;0),"El correo del responsable no es institucional válido",IF(AND(AF201="Sí",AG201=""),"Indique el N.° de registro 2026 que continúa","OK")))))))))))))))))</f>
        <v/>
      </c>
      <c r="AK201" s="15" t="str">
        <f>IF(AJ201="OK",COUNTIF($AJ$7:AJ201,"OK"),"")</f>
        <v/>
      </c>
    </row>
    <row r="202" spans="1:37" x14ac:dyDescent="0.3">
      <c r="A202" s="13" t="str">
        <f t="shared" si="3"/>
        <v>PN27-196</v>
      </c>
      <c r="B202" s="26"/>
      <c r="C202" s="13" t="str">
        <f>IF(B202="","",IFERROR(INDEX(Catalogos!$R$5:$R$51,MATCH(B202,L_AREAS,0)),""))</f>
        <v/>
      </c>
      <c r="D202" s="13" t="str">
        <f>IF(B202="","",IFERROR(INDEX(Catalogos!$O$5:$O$51,MATCH(B202,L_AREAS,0)),""))</f>
        <v/>
      </c>
      <c r="E202" s="26"/>
      <c r="F202" s="13" t="str">
        <f>IF(E202="","",IFERROR(INDEX(Catalogos!$C$5:$C$49,MATCH(E202,L_METAS,0)),""))</f>
        <v/>
      </c>
      <c r="G202" s="13" t="str">
        <f>IF(E202="","",IFERROR(INDEX(Catalogos!$E$5:$E$49,MATCH(E202,L_METAS,0)),""))</f>
        <v/>
      </c>
      <c r="H202" s="26"/>
      <c r="I202" s="26"/>
      <c r="J202" s="26"/>
      <c r="K202" s="26"/>
      <c r="L202" s="26"/>
      <c r="M202" s="27"/>
      <c r="N202" s="26"/>
      <c r="O202" s="26"/>
      <c r="P202" s="26"/>
      <c r="Q202" s="26"/>
      <c r="R202" s="26"/>
      <c r="S202" s="26"/>
      <c r="T202" s="26"/>
      <c r="U202" s="26"/>
      <c r="V202" s="26"/>
      <c r="W202" s="28"/>
      <c r="X202" s="28"/>
      <c r="Y202" s="26"/>
      <c r="Z202" s="26"/>
      <c r="AA202" s="26"/>
      <c r="AB202" s="26"/>
      <c r="AC202" s="26"/>
      <c r="AD202" s="26"/>
      <c r="AE202" s="26"/>
      <c r="AF202" s="26"/>
      <c r="AG202" s="26"/>
      <c r="AH202" s="26"/>
      <c r="AI202" s="26"/>
      <c r="AJ202" s="15" t="str">
        <f>IF(COUNTA(B202,E202,H202,I202,J202,K202,L202,M202,N202,O202,P202,Q202,R202,S202,T202,U202,V202,W202,X202,Y202,Z202,AA202,AB202,AC202,AD202,AE202,AF202,AG202,AH202,AI202)=0,"",IF(OR(B202="",E202="",H202="",J202="",K202="",L202="",M202="",O202="",P202="",Q202="",R202="",S202="",T202="",U202="",W202="",X202="",Y202="",AB202="",AC202="",AE202="",AF202=""),"Incompleta: faltan campos obligatorios",IF(AND(LEFT(H202,6)="PROPIA",I202=""),"Falta el nombre de la acción propia del área",IF(AND(LEFT(H202,3)="A27",IFERROR(INDEX(Catalogos!$T$5:$T$207,MATCH(H202,Catalogos!$U$5:$U$207,0)),"x")&lt;&gt;LEFT(E202,7)),"La acción no corresponde a la meta seleccionada",IF(OR(NOT(ISNUMBER(M202)),M202&lt;10000000,M202&gt;99999999),"Código UNSPSC inválido: registre 8 dígitos",IF(MOD(M202,10000)=0,"UNSPSC a nivel de segmento o familia: use clase o producto",IF(IFERROR(MATCH(P202,L_MESES,0)&lt;MATCH(O202,L_MESES,0),TRUE()),"El mes de ofertas es anterior al de inicio del proceso",IF(OR(NOT(ISNUMBER(Q202)),Q202&lt;=0),"Duración inválida",IF(OR(NOT(ISNUMBER(W202)),NOT(ISNUMBER(X202))),"Valor inválido: registre solo números",IF(OR(W202&lt;=0,X202&lt;=0),"Valor inválido: debe ser mayor que cero",IF(X202&gt;W202,"El valor de la vigencia 2027 supera el valor total",IF(AND(X202&lt;W202,Y202="No"),"El valor total supera el de 2027: requiere vigencias futuras",IF(AND(Y202="Sí",OR(Z202="",Z202="No aplica")),"Indique el estado de la solicitud de vigencias futuras",IF(IF(AND(S202="Mínima cuantía",ISNUMBER(P_TOPE_MINIMA)),W202&gt;P_TOPE_MINIMA,FALSE()),"El valor supera el tope de mínima cuantía 2027",IF(IF(AND(S202="Selección abreviada de menor cuantía",ISNUMBER(P_TOPE_MENOR)),W202&gt;P_TOPE_MENOR,FALSE()),"El valor supera el tope de menor cuantía 2027",IF(OR(ISERROR(SEARCH("@itc.edu.co",AE202)),SUMPRODUCT(--ISNUMBER(SEARCH({"á","é","í","ó","ú","ñ"," "},AE202)))&gt;0),"El correo del responsable no es institucional válido",IF(AND(AF202="Sí",AG202=""),"Indique el N.° de registro 2026 que continúa","OK")))))))))))))))))</f>
        <v/>
      </c>
      <c r="AK202" s="15" t="str">
        <f>IF(AJ202="OK",COUNTIF($AJ$7:AJ202,"OK"),"")</f>
        <v/>
      </c>
    </row>
    <row r="203" spans="1:37" x14ac:dyDescent="0.3">
      <c r="A203" s="13" t="str">
        <f t="shared" si="3"/>
        <v>PN27-197</v>
      </c>
      <c r="B203" s="26"/>
      <c r="C203" s="13" t="str">
        <f>IF(B203="","",IFERROR(INDEX(Catalogos!$R$5:$R$51,MATCH(B203,L_AREAS,0)),""))</f>
        <v/>
      </c>
      <c r="D203" s="13" t="str">
        <f>IF(B203="","",IFERROR(INDEX(Catalogos!$O$5:$O$51,MATCH(B203,L_AREAS,0)),""))</f>
        <v/>
      </c>
      <c r="E203" s="26"/>
      <c r="F203" s="13" t="str">
        <f>IF(E203="","",IFERROR(INDEX(Catalogos!$C$5:$C$49,MATCH(E203,L_METAS,0)),""))</f>
        <v/>
      </c>
      <c r="G203" s="13" t="str">
        <f>IF(E203="","",IFERROR(INDEX(Catalogos!$E$5:$E$49,MATCH(E203,L_METAS,0)),""))</f>
        <v/>
      </c>
      <c r="H203" s="26"/>
      <c r="I203" s="26"/>
      <c r="J203" s="26"/>
      <c r="K203" s="26"/>
      <c r="L203" s="26"/>
      <c r="M203" s="27"/>
      <c r="N203" s="26"/>
      <c r="O203" s="26"/>
      <c r="P203" s="26"/>
      <c r="Q203" s="26"/>
      <c r="R203" s="26"/>
      <c r="S203" s="26"/>
      <c r="T203" s="26"/>
      <c r="U203" s="26"/>
      <c r="V203" s="26"/>
      <c r="W203" s="28"/>
      <c r="X203" s="28"/>
      <c r="Y203" s="26"/>
      <c r="Z203" s="26"/>
      <c r="AA203" s="26"/>
      <c r="AB203" s="26"/>
      <c r="AC203" s="26"/>
      <c r="AD203" s="26"/>
      <c r="AE203" s="26"/>
      <c r="AF203" s="26"/>
      <c r="AG203" s="26"/>
      <c r="AH203" s="26"/>
      <c r="AI203" s="26"/>
      <c r="AJ203" s="15" t="str">
        <f>IF(COUNTA(B203,E203,H203,I203,J203,K203,L203,M203,N203,O203,P203,Q203,R203,S203,T203,U203,V203,W203,X203,Y203,Z203,AA203,AB203,AC203,AD203,AE203,AF203,AG203,AH203,AI203)=0,"",IF(OR(B203="",E203="",H203="",J203="",K203="",L203="",M203="",O203="",P203="",Q203="",R203="",S203="",T203="",U203="",W203="",X203="",Y203="",AB203="",AC203="",AE203="",AF203=""),"Incompleta: faltan campos obligatorios",IF(AND(LEFT(H203,6)="PROPIA",I203=""),"Falta el nombre de la acción propia del área",IF(AND(LEFT(H203,3)="A27",IFERROR(INDEX(Catalogos!$T$5:$T$207,MATCH(H203,Catalogos!$U$5:$U$207,0)),"x")&lt;&gt;LEFT(E203,7)),"La acción no corresponde a la meta seleccionada",IF(OR(NOT(ISNUMBER(M203)),M203&lt;10000000,M203&gt;99999999),"Código UNSPSC inválido: registre 8 dígitos",IF(MOD(M203,10000)=0,"UNSPSC a nivel de segmento o familia: use clase o producto",IF(IFERROR(MATCH(P203,L_MESES,0)&lt;MATCH(O203,L_MESES,0),TRUE()),"El mes de ofertas es anterior al de inicio del proceso",IF(OR(NOT(ISNUMBER(Q203)),Q203&lt;=0),"Duración inválida",IF(OR(NOT(ISNUMBER(W203)),NOT(ISNUMBER(X203))),"Valor inválido: registre solo números",IF(OR(W203&lt;=0,X203&lt;=0),"Valor inválido: debe ser mayor que cero",IF(X203&gt;W203,"El valor de la vigencia 2027 supera el valor total",IF(AND(X203&lt;W203,Y203="No"),"El valor total supera el de 2027: requiere vigencias futuras",IF(AND(Y203="Sí",OR(Z203="",Z203="No aplica")),"Indique el estado de la solicitud de vigencias futuras",IF(IF(AND(S203="Mínima cuantía",ISNUMBER(P_TOPE_MINIMA)),W203&gt;P_TOPE_MINIMA,FALSE()),"El valor supera el tope de mínima cuantía 2027",IF(IF(AND(S203="Selección abreviada de menor cuantía",ISNUMBER(P_TOPE_MENOR)),W203&gt;P_TOPE_MENOR,FALSE()),"El valor supera el tope de menor cuantía 2027",IF(OR(ISERROR(SEARCH("@itc.edu.co",AE203)),SUMPRODUCT(--ISNUMBER(SEARCH({"á","é","í","ó","ú","ñ"," "},AE203)))&gt;0),"El correo del responsable no es institucional válido",IF(AND(AF203="Sí",AG203=""),"Indique el N.° de registro 2026 que continúa","OK")))))))))))))))))</f>
        <v/>
      </c>
      <c r="AK203" s="15" t="str">
        <f>IF(AJ203="OK",COUNTIF($AJ$7:AJ203,"OK"),"")</f>
        <v/>
      </c>
    </row>
    <row r="204" spans="1:37" x14ac:dyDescent="0.3">
      <c r="A204" s="13" t="str">
        <f t="shared" si="3"/>
        <v>PN27-198</v>
      </c>
      <c r="B204" s="26"/>
      <c r="C204" s="13" t="str">
        <f>IF(B204="","",IFERROR(INDEX(Catalogos!$R$5:$R$51,MATCH(B204,L_AREAS,0)),""))</f>
        <v/>
      </c>
      <c r="D204" s="13" t="str">
        <f>IF(B204="","",IFERROR(INDEX(Catalogos!$O$5:$O$51,MATCH(B204,L_AREAS,0)),""))</f>
        <v/>
      </c>
      <c r="E204" s="26"/>
      <c r="F204" s="13" t="str">
        <f>IF(E204="","",IFERROR(INDEX(Catalogos!$C$5:$C$49,MATCH(E204,L_METAS,0)),""))</f>
        <v/>
      </c>
      <c r="G204" s="13" t="str">
        <f>IF(E204="","",IFERROR(INDEX(Catalogos!$E$5:$E$49,MATCH(E204,L_METAS,0)),""))</f>
        <v/>
      </c>
      <c r="H204" s="26"/>
      <c r="I204" s="26"/>
      <c r="J204" s="26"/>
      <c r="K204" s="26"/>
      <c r="L204" s="26"/>
      <c r="M204" s="27"/>
      <c r="N204" s="26"/>
      <c r="O204" s="26"/>
      <c r="P204" s="26"/>
      <c r="Q204" s="26"/>
      <c r="R204" s="26"/>
      <c r="S204" s="26"/>
      <c r="T204" s="26"/>
      <c r="U204" s="26"/>
      <c r="V204" s="26"/>
      <c r="W204" s="28"/>
      <c r="X204" s="28"/>
      <c r="Y204" s="26"/>
      <c r="Z204" s="26"/>
      <c r="AA204" s="26"/>
      <c r="AB204" s="26"/>
      <c r="AC204" s="26"/>
      <c r="AD204" s="26"/>
      <c r="AE204" s="26"/>
      <c r="AF204" s="26"/>
      <c r="AG204" s="26"/>
      <c r="AH204" s="26"/>
      <c r="AI204" s="26"/>
      <c r="AJ204" s="15" t="str">
        <f>IF(COUNTA(B204,E204,H204,I204,J204,K204,L204,M204,N204,O204,P204,Q204,R204,S204,T204,U204,V204,W204,X204,Y204,Z204,AA204,AB204,AC204,AD204,AE204,AF204,AG204,AH204,AI204)=0,"",IF(OR(B204="",E204="",H204="",J204="",K204="",L204="",M204="",O204="",P204="",Q204="",R204="",S204="",T204="",U204="",W204="",X204="",Y204="",AB204="",AC204="",AE204="",AF204=""),"Incompleta: faltan campos obligatorios",IF(AND(LEFT(H204,6)="PROPIA",I204=""),"Falta el nombre de la acción propia del área",IF(AND(LEFT(H204,3)="A27",IFERROR(INDEX(Catalogos!$T$5:$T$207,MATCH(H204,Catalogos!$U$5:$U$207,0)),"x")&lt;&gt;LEFT(E204,7)),"La acción no corresponde a la meta seleccionada",IF(OR(NOT(ISNUMBER(M204)),M204&lt;10000000,M204&gt;99999999),"Código UNSPSC inválido: registre 8 dígitos",IF(MOD(M204,10000)=0,"UNSPSC a nivel de segmento o familia: use clase o producto",IF(IFERROR(MATCH(P204,L_MESES,0)&lt;MATCH(O204,L_MESES,0),TRUE()),"El mes de ofertas es anterior al de inicio del proceso",IF(OR(NOT(ISNUMBER(Q204)),Q204&lt;=0),"Duración inválida",IF(OR(NOT(ISNUMBER(W204)),NOT(ISNUMBER(X204))),"Valor inválido: registre solo números",IF(OR(W204&lt;=0,X204&lt;=0),"Valor inválido: debe ser mayor que cero",IF(X204&gt;W204,"El valor de la vigencia 2027 supera el valor total",IF(AND(X204&lt;W204,Y204="No"),"El valor total supera el de 2027: requiere vigencias futuras",IF(AND(Y204="Sí",OR(Z204="",Z204="No aplica")),"Indique el estado de la solicitud de vigencias futuras",IF(IF(AND(S204="Mínima cuantía",ISNUMBER(P_TOPE_MINIMA)),W204&gt;P_TOPE_MINIMA,FALSE()),"El valor supera el tope de mínima cuantía 2027",IF(IF(AND(S204="Selección abreviada de menor cuantía",ISNUMBER(P_TOPE_MENOR)),W204&gt;P_TOPE_MENOR,FALSE()),"El valor supera el tope de menor cuantía 2027",IF(OR(ISERROR(SEARCH("@itc.edu.co",AE204)),SUMPRODUCT(--ISNUMBER(SEARCH({"á","é","í","ó","ú","ñ"," "},AE204)))&gt;0),"El correo del responsable no es institucional válido",IF(AND(AF204="Sí",AG204=""),"Indique el N.° de registro 2026 que continúa","OK")))))))))))))))))</f>
        <v/>
      </c>
      <c r="AK204" s="15" t="str">
        <f>IF(AJ204="OK",COUNTIF($AJ$7:AJ204,"OK"),"")</f>
        <v/>
      </c>
    </row>
    <row r="205" spans="1:37" x14ac:dyDescent="0.3">
      <c r="A205" s="13" t="str">
        <f t="shared" si="3"/>
        <v>PN27-199</v>
      </c>
      <c r="B205" s="26"/>
      <c r="C205" s="13" t="str">
        <f>IF(B205="","",IFERROR(INDEX(Catalogos!$R$5:$R$51,MATCH(B205,L_AREAS,0)),""))</f>
        <v/>
      </c>
      <c r="D205" s="13" t="str">
        <f>IF(B205="","",IFERROR(INDEX(Catalogos!$O$5:$O$51,MATCH(B205,L_AREAS,0)),""))</f>
        <v/>
      </c>
      <c r="E205" s="26"/>
      <c r="F205" s="13" t="str">
        <f>IF(E205="","",IFERROR(INDEX(Catalogos!$C$5:$C$49,MATCH(E205,L_METAS,0)),""))</f>
        <v/>
      </c>
      <c r="G205" s="13" t="str">
        <f>IF(E205="","",IFERROR(INDEX(Catalogos!$E$5:$E$49,MATCH(E205,L_METAS,0)),""))</f>
        <v/>
      </c>
      <c r="H205" s="26"/>
      <c r="I205" s="26"/>
      <c r="J205" s="26"/>
      <c r="K205" s="26"/>
      <c r="L205" s="26"/>
      <c r="M205" s="27"/>
      <c r="N205" s="26"/>
      <c r="O205" s="26"/>
      <c r="P205" s="26"/>
      <c r="Q205" s="26"/>
      <c r="R205" s="26"/>
      <c r="S205" s="26"/>
      <c r="T205" s="26"/>
      <c r="U205" s="26"/>
      <c r="V205" s="26"/>
      <c r="W205" s="28"/>
      <c r="X205" s="28"/>
      <c r="Y205" s="26"/>
      <c r="Z205" s="26"/>
      <c r="AA205" s="26"/>
      <c r="AB205" s="26"/>
      <c r="AC205" s="26"/>
      <c r="AD205" s="26"/>
      <c r="AE205" s="26"/>
      <c r="AF205" s="26"/>
      <c r="AG205" s="26"/>
      <c r="AH205" s="26"/>
      <c r="AI205" s="26"/>
      <c r="AJ205" s="15" t="str">
        <f>IF(COUNTA(B205,E205,H205,I205,J205,K205,L205,M205,N205,O205,P205,Q205,R205,S205,T205,U205,V205,W205,X205,Y205,Z205,AA205,AB205,AC205,AD205,AE205,AF205,AG205,AH205,AI205)=0,"",IF(OR(B205="",E205="",H205="",J205="",K205="",L205="",M205="",O205="",P205="",Q205="",R205="",S205="",T205="",U205="",W205="",X205="",Y205="",AB205="",AC205="",AE205="",AF205=""),"Incompleta: faltan campos obligatorios",IF(AND(LEFT(H205,6)="PROPIA",I205=""),"Falta el nombre de la acción propia del área",IF(AND(LEFT(H205,3)="A27",IFERROR(INDEX(Catalogos!$T$5:$T$207,MATCH(H205,Catalogos!$U$5:$U$207,0)),"x")&lt;&gt;LEFT(E205,7)),"La acción no corresponde a la meta seleccionada",IF(OR(NOT(ISNUMBER(M205)),M205&lt;10000000,M205&gt;99999999),"Código UNSPSC inválido: registre 8 dígitos",IF(MOD(M205,10000)=0,"UNSPSC a nivel de segmento o familia: use clase o producto",IF(IFERROR(MATCH(P205,L_MESES,0)&lt;MATCH(O205,L_MESES,0),TRUE()),"El mes de ofertas es anterior al de inicio del proceso",IF(OR(NOT(ISNUMBER(Q205)),Q205&lt;=0),"Duración inválida",IF(OR(NOT(ISNUMBER(W205)),NOT(ISNUMBER(X205))),"Valor inválido: registre solo números",IF(OR(W205&lt;=0,X205&lt;=0),"Valor inválido: debe ser mayor que cero",IF(X205&gt;W205,"El valor de la vigencia 2027 supera el valor total",IF(AND(X205&lt;W205,Y205="No"),"El valor total supera el de 2027: requiere vigencias futuras",IF(AND(Y205="Sí",OR(Z205="",Z205="No aplica")),"Indique el estado de la solicitud de vigencias futuras",IF(IF(AND(S205="Mínima cuantía",ISNUMBER(P_TOPE_MINIMA)),W205&gt;P_TOPE_MINIMA,FALSE()),"El valor supera el tope de mínima cuantía 2027",IF(IF(AND(S205="Selección abreviada de menor cuantía",ISNUMBER(P_TOPE_MENOR)),W205&gt;P_TOPE_MENOR,FALSE()),"El valor supera el tope de menor cuantía 2027",IF(OR(ISERROR(SEARCH("@itc.edu.co",AE205)),SUMPRODUCT(--ISNUMBER(SEARCH({"á","é","í","ó","ú","ñ"," "},AE205)))&gt;0),"El correo del responsable no es institucional válido",IF(AND(AF205="Sí",AG205=""),"Indique el N.° de registro 2026 que continúa","OK")))))))))))))))))</f>
        <v/>
      </c>
      <c r="AK205" s="15" t="str">
        <f>IF(AJ205="OK",COUNTIF($AJ$7:AJ205,"OK"),"")</f>
        <v/>
      </c>
    </row>
    <row r="206" spans="1:37" x14ac:dyDescent="0.3">
      <c r="A206" s="13" t="str">
        <f t="shared" si="3"/>
        <v>PN27-200</v>
      </c>
      <c r="B206" s="26"/>
      <c r="C206" s="13" t="str">
        <f>IF(B206="","",IFERROR(INDEX(Catalogos!$R$5:$R$51,MATCH(B206,L_AREAS,0)),""))</f>
        <v/>
      </c>
      <c r="D206" s="13" t="str">
        <f>IF(B206="","",IFERROR(INDEX(Catalogos!$O$5:$O$51,MATCH(B206,L_AREAS,0)),""))</f>
        <v/>
      </c>
      <c r="E206" s="26"/>
      <c r="F206" s="13" t="str">
        <f>IF(E206="","",IFERROR(INDEX(Catalogos!$C$5:$C$49,MATCH(E206,L_METAS,0)),""))</f>
        <v/>
      </c>
      <c r="G206" s="13" t="str">
        <f>IF(E206="","",IFERROR(INDEX(Catalogos!$E$5:$E$49,MATCH(E206,L_METAS,0)),""))</f>
        <v/>
      </c>
      <c r="H206" s="26"/>
      <c r="I206" s="26"/>
      <c r="J206" s="26"/>
      <c r="K206" s="26"/>
      <c r="L206" s="26"/>
      <c r="M206" s="27"/>
      <c r="N206" s="26"/>
      <c r="O206" s="26"/>
      <c r="P206" s="26"/>
      <c r="Q206" s="26"/>
      <c r="R206" s="26"/>
      <c r="S206" s="26"/>
      <c r="T206" s="26"/>
      <c r="U206" s="26"/>
      <c r="V206" s="26"/>
      <c r="W206" s="28"/>
      <c r="X206" s="28"/>
      <c r="Y206" s="26"/>
      <c r="Z206" s="26"/>
      <c r="AA206" s="26"/>
      <c r="AB206" s="26"/>
      <c r="AC206" s="26"/>
      <c r="AD206" s="26"/>
      <c r="AE206" s="26"/>
      <c r="AF206" s="26"/>
      <c r="AG206" s="26"/>
      <c r="AH206" s="26"/>
      <c r="AI206" s="26"/>
      <c r="AJ206" s="15" t="str">
        <f>IF(COUNTA(B206,E206,H206,I206,J206,K206,L206,M206,N206,O206,P206,Q206,R206,S206,T206,U206,V206,W206,X206,Y206,Z206,AA206,AB206,AC206,AD206,AE206,AF206,AG206,AH206,AI206)=0,"",IF(OR(B206="",E206="",H206="",J206="",K206="",L206="",M206="",O206="",P206="",Q206="",R206="",S206="",T206="",U206="",W206="",X206="",Y206="",AB206="",AC206="",AE206="",AF206=""),"Incompleta: faltan campos obligatorios",IF(AND(LEFT(H206,6)="PROPIA",I206=""),"Falta el nombre de la acción propia del área",IF(AND(LEFT(H206,3)="A27",IFERROR(INDEX(Catalogos!$T$5:$T$207,MATCH(H206,Catalogos!$U$5:$U$207,0)),"x")&lt;&gt;LEFT(E206,7)),"La acción no corresponde a la meta seleccionada",IF(OR(NOT(ISNUMBER(M206)),M206&lt;10000000,M206&gt;99999999),"Código UNSPSC inválido: registre 8 dígitos",IF(MOD(M206,10000)=0,"UNSPSC a nivel de segmento o familia: use clase o producto",IF(IFERROR(MATCH(P206,L_MESES,0)&lt;MATCH(O206,L_MESES,0),TRUE()),"El mes de ofertas es anterior al de inicio del proceso",IF(OR(NOT(ISNUMBER(Q206)),Q206&lt;=0),"Duración inválida",IF(OR(NOT(ISNUMBER(W206)),NOT(ISNUMBER(X206))),"Valor inválido: registre solo números",IF(OR(W206&lt;=0,X206&lt;=0),"Valor inválido: debe ser mayor que cero",IF(X206&gt;W206,"El valor de la vigencia 2027 supera el valor total",IF(AND(X206&lt;W206,Y206="No"),"El valor total supera el de 2027: requiere vigencias futuras",IF(AND(Y206="Sí",OR(Z206="",Z206="No aplica")),"Indique el estado de la solicitud de vigencias futuras",IF(IF(AND(S206="Mínima cuantía",ISNUMBER(P_TOPE_MINIMA)),W206&gt;P_TOPE_MINIMA,FALSE()),"El valor supera el tope de mínima cuantía 2027",IF(IF(AND(S206="Selección abreviada de menor cuantía",ISNUMBER(P_TOPE_MENOR)),W206&gt;P_TOPE_MENOR,FALSE()),"El valor supera el tope de menor cuantía 2027",IF(OR(ISERROR(SEARCH("@itc.edu.co",AE206)),SUMPRODUCT(--ISNUMBER(SEARCH({"á","é","í","ó","ú","ñ"," "},AE206)))&gt;0),"El correo del responsable no es institucional válido",IF(AND(AF206="Sí",AG206=""),"Indique el N.° de registro 2026 que continúa","OK")))))))))))))))))</f>
        <v/>
      </c>
      <c r="AK206" s="15" t="str">
        <f>IF(AJ206="OK",COUNTIF($AJ$7:AJ206,"OK"),"")</f>
        <v/>
      </c>
    </row>
    <row r="207" spans="1:37" x14ac:dyDescent="0.3">
      <c r="A207" s="13" t="str">
        <f t="shared" si="3"/>
        <v>PN27-201</v>
      </c>
      <c r="B207" s="26"/>
      <c r="C207" s="13" t="str">
        <f>IF(B207="","",IFERROR(INDEX(Catalogos!$R$5:$R$51,MATCH(B207,L_AREAS,0)),""))</f>
        <v/>
      </c>
      <c r="D207" s="13" t="str">
        <f>IF(B207="","",IFERROR(INDEX(Catalogos!$O$5:$O$51,MATCH(B207,L_AREAS,0)),""))</f>
        <v/>
      </c>
      <c r="E207" s="26"/>
      <c r="F207" s="13" t="str">
        <f>IF(E207="","",IFERROR(INDEX(Catalogos!$C$5:$C$49,MATCH(E207,L_METAS,0)),""))</f>
        <v/>
      </c>
      <c r="G207" s="13" t="str">
        <f>IF(E207="","",IFERROR(INDEX(Catalogos!$E$5:$E$49,MATCH(E207,L_METAS,0)),""))</f>
        <v/>
      </c>
      <c r="H207" s="26"/>
      <c r="I207" s="26"/>
      <c r="J207" s="26"/>
      <c r="K207" s="26"/>
      <c r="L207" s="26"/>
      <c r="M207" s="27"/>
      <c r="N207" s="26"/>
      <c r="O207" s="26"/>
      <c r="P207" s="26"/>
      <c r="Q207" s="26"/>
      <c r="R207" s="26"/>
      <c r="S207" s="26"/>
      <c r="T207" s="26"/>
      <c r="U207" s="26"/>
      <c r="V207" s="26"/>
      <c r="W207" s="28"/>
      <c r="X207" s="28"/>
      <c r="Y207" s="26"/>
      <c r="Z207" s="26"/>
      <c r="AA207" s="26"/>
      <c r="AB207" s="26"/>
      <c r="AC207" s="26"/>
      <c r="AD207" s="26"/>
      <c r="AE207" s="26"/>
      <c r="AF207" s="26"/>
      <c r="AG207" s="26"/>
      <c r="AH207" s="26"/>
      <c r="AI207" s="26"/>
      <c r="AJ207" s="15" t="str">
        <f>IF(COUNTA(B207,E207,H207,I207,J207,K207,L207,M207,N207,O207,P207,Q207,R207,S207,T207,U207,V207,W207,X207,Y207,Z207,AA207,AB207,AC207,AD207,AE207,AF207,AG207,AH207,AI207)=0,"",IF(OR(B207="",E207="",H207="",J207="",K207="",L207="",M207="",O207="",P207="",Q207="",R207="",S207="",T207="",U207="",W207="",X207="",Y207="",AB207="",AC207="",AE207="",AF207=""),"Incompleta: faltan campos obligatorios",IF(AND(LEFT(H207,6)="PROPIA",I207=""),"Falta el nombre de la acción propia del área",IF(AND(LEFT(H207,3)="A27",IFERROR(INDEX(Catalogos!$T$5:$T$207,MATCH(H207,Catalogos!$U$5:$U$207,0)),"x")&lt;&gt;LEFT(E207,7)),"La acción no corresponde a la meta seleccionada",IF(OR(NOT(ISNUMBER(M207)),M207&lt;10000000,M207&gt;99999999),"Código UNSPSC inválido: registre 8 dígitos",IF(MOD(M207,10000)=0,"UNSPSC a nivel de segmento o familia: use clase o producto",IF(IFERROR(MATCH(P207,L_MESES,0)&lt;MATCH(O207,L_MESES,0),TRUE()),"El mes de ofertas es anterior al de inicio del proceso",IF(OR(NOT(ISNUMBER(Q207)),Q207&lt;=0),"Duración inválida",IF(OR(NOT(ISNUMBER(W207)),NOT(ISNUMBER(X207))),"Valor inválido: registre solo números",IF(OR(W207&lt;=0,X207&lt;=0),"Valor inválido: debe ser mayor que cero",IF(X207&gt;W207,"El valor de la vigencia 2027 supera el valor total",IF(AND(X207&lt;W207,Y207="No"),"El valor total supera el de 2027: requiere vigencias futuras",IF(AND(Y207="Sí",OR(Z207="",Z207="No aplica")),"Indique el estado de la solicitud de vigencias futuras",IF(IF(AND(S207="Mínima cuantía",ISNUMBER(P_TOPE_MINIMA)),W207&gt;P_TOPE_MINIMA,FALSE()),"El valor supera el tope de mínima cuantía 2027",IF(IF(AND(S207="Selección abreviada de menor cuantía",ISNUMBER(P_TOPE_MENOR)),W207&gt;P_TOPE_MENOR,FALSE()),"El valor supera el tope de menor cuantía 2027",IF(OR(ISERROR(SEARCH("@itc.edu.co",AE207)),SUMPRODUCT(--ISNUMBER(SEARCH({"á","é","í","ó","ú","ñ"," "},AE207)))&gt;0),"El correo del responsable no es institucional válido",IF(AND(AF207="Sí",AG207=""),"Indique el N.° de registro 2026 que continúa","OK")))))))))))))))))</f>
        <v/>
      </c>
      <c r="AK207" s="15" t="str">
        <f>IF(AJ207="OK",COUNTIF($AJ$7:AJ207,"OK"),"")</f>
        <v/>
      </c>
    </row>
    <row r="208" spans="1:37" x14ac:dyDescent="0.3">
      <c r="A208" s="13" t="str">
        <f t="shared" si="3"/>
        <v>PN27-202</v>
      </c>
      <c r="B208" s="26"/>
      <c r="C208" s="13" t="str">
        <f>IF(B208="","",IFERROR(INDEX(Catalogos!$R$5:$R$51,MATCH(B208,L_AREAS,0)),""))</f>
        <v/>
      </c>
      <c r="D208" s="13" t="str">
        <f>IF(B208="","",IFERROR(INDEX(Catalogos!$O$5:$O$51,MATCH(B208,L_AREAS,0)),""))</f>
        <v/>
      </c>
      <c r="E208" s="26"/>
      <c r="F208" s="13" t="str">
        <f>IF(E208="","",IFERROR(INDEX(Catalogos!$C$5:$C$49,MATCH(E208,L_METAS,0)),""))</f>
        <v/>
      </c>
      <c r="G208" s="13" t="str">
        <f>IF(E208="","",IFERROR(INDEX(Catalogos!$E$5:$E$49,MATCH(E208,L_METAS,0)),""))</f>
        <v/>
      </c>
      <c r="H208" s="26"/>
      <c r="I208" s="26"/>
      <c r="J208" s="26"/>
      <c r="K208" s="26"/>
      <c r="L208" s="26"/>
      <c r="M208" s="27"/>
      <c r="N208" s="26"/>
      <c r="O208" s="26"/>
      <c r="P208" s="26"/>
      <c r="Q208" s="26"/>
      <c r="R208" s="26"/>
      <c r="S208" s="26"/>
      <c r="T208" s="26"/>
      <c r="U208" s="26"/>
      <c r="V208" s="26"/>
      <c r="W208" s="28"/>
      <c r="X208" s="28"/>
      <c r="Y208" s="26"/>
      <c r="Z208" s="26"/>
      <c r="AA208" s="26"/>
      <c r="AB208" s="26"/>
      <c r="AC208" s="26"/>
      <c r="AD208" s="26"/>
      <c r="AE208" s="26"/>
      <c r="AF208" s="26"/>
      <c r="AG208" s="26"/>
      <c r="AH208" s="26"/>
      <c r="AI208" s="26"/>
      <c r="AJ208" s="15" t="str">
        <f>IF(COUNTA(B208,E208,H208,I208,J208,K208,L208,M208,N208,O208,P208,Q208,R208,S208,T208,U208,V208,W208,X208,Y208,Z208,AA208,AB208,AC208,AD208,AE208,AF208,AG208,AH208,AI208)=0,"",IF(OR(B208="",E208="",H208="",J208="",K208="",L208="",M208="",O208="",P208="",Q208="",R208="",S208="",T208="",U208="",W208="",X208="",Y208="",AB208="",AC208="",AE208="",AF208=""),"Incompleta: faltan campos obligatorios",IF(AND(LEFT(H208,6)="PROPIA",I208=""),"Falta el nombre de la acción propia del área",IF(AND(LEFT(H208,3)="A27",IFERROR(INDEX(Catalogos!$T$5:$T$207,MATCH(H208,Catalogos!$U$5:$U$207,0)),"x")&lt;&gt;LEFT(E208,7)),"La acción no corresponde a la meta seleccionada",IF(OR(NOT(ISNUMBER(M208)),M208&lt;10000000,M208&gt;99999999),"Código UNSPSC inválido: registre 8 dígitos",IF(MOD(M208,10000)=0,"UNSPSC a nivel de segmento o familia: use clase o producto",IF(IFERROR(MATCH(P208,L_MESES,0)&lt;MATCH(O208,L_MESES,0),TRUE()),"El mes de ofertas es anterior al de inicio del proceso",IF(OR(NOT(ISNUMBER(Q208)),Q208&lt;=0),"Duración inválida",IF(OR(NOT(ISNUMBER(W208)),NOT(ISNUMBER(X208))),"Valor inválido: registre solo números",IF(OR(W208&lt;=0,X208&lt;=0),"Valor inválido: debe ser mayor que cero",IF(X208&gt;W208,"El valor de la vigencia 2027 supera el valor total",IF(AND(X208&lt;W208,Y208="No"),"El valor total supera el de 2027: requiere vigencias futuras",IF(AND(Y208="Sí",OR(Z208="",Z208="No aplica")),"Indique el estado de la solicitud de vigencias futuras",IF(IF(AND(S208="Mínima cuantía",ISNUMBER(P_TOPE_MINIMA)),W208&gt;P_TOPE_MINIMA,FALSE()),"El valor supera el tope de mínima cuantía 2027",IF(IF(AND(S208="Selección abreviada de menor cuantía",ISNUMBER(P_TOPE_MENOR)),W208&gt;P_TOPE_MENOR,FALSE()),"El valor supera el tope de menor cuantía 2027",IF(OR(ISERROR(SEARCH("@itc.edu.co",AE208)),SUMPRODUCT(--ISNUMBER(SEARCH({"á","é","í","ó","ú","ñ"," "},AE208)))&gt;0),"El correo del responsable no es institucional válido",IF(AND(AF208="Sí",AG208=""),"Indique el N.° de registro 2026 que continúa","OK")))))))))))))))))</f>
        <v/>
      </c>
      <c r="AK208" s="15" t="str">
        <f>IF(AJ208="OK",COUNTIF($AJ$7:AJ208,"OK"),"")</f>
        <v/>
      </c>
    </row>
    <row r="209" spans="1:37" x14ac:dyDescent="0.3">
      <c r="A209" s="13" t="str">
        <f t="shared" si="3"/>
        <v>PN27-203</v>
      </c>
      <c r="B209" s="26"/>
      <c r="C209" s="13" t="str">
        <f>IF(B209="","",IFERROR(INDEX(Catalogos!$R$5:$R$51,MATCH(B209,L_AREAS,0)),""))</f>
        <v/>
      </c>
      <c r="D209" s="13" t="str">
        <f>IF(B209="","",IFERROR(INDEX(Catalogos!$O$5:$O$51,MATCH(B209,L_AREAS,0)),""))</f>
        <v/>
      </c>
      <c r="E209" s="26"/>
      <c r="F209" s="13" t="str">
        <f>IF(E209="","",IFERROR(INDEX(Catalogos!$C$5:$C$49,MATCH(E209,L_METAS,0)),""))</f>
        <v/>
      </c>
      <c r="G209" s="13" t="str">
        <f>IF(E209="","",IFERROR(INDEX(Catalogos!$E$5:$E$49,MATCH(E209,L_METAS,0)),""))</f>
        <v/>
      </c>
      <c r="H209" s="26"/>
      <c r="I209" s="26"/>
      <c r="J209" s="26"/>
      <c r="K209" s="26"/>
      <c r="L209" s="26"/>
      <c r="M209" s="27"/>
      <c r="N209" s="26"/>
      <c r="O209" s="26"/>
      <c r="P209" s="26"/>
      <c r="Q209" s="26"/>
      <c r="R209" s="26"/>
      <c r="S209" s="26"/>
      <c r="T209" s="26"/>
      <c r="U209" s="26"/>
      <c r="V209" s="26"/>
      <c r="W209" s="28"/>
      <c r="X209" s="28"/>
      <c r="Y209" s="26"/>
      <c r="Z209" s="26"/>
      <c r="AA209" s="26"/>
      <c r="AB209" s="26"/>
      <c r="AC209" s="26"/>
      <c r="AD209" s="26"/>
      <c r="AE209" s="26"/>
      <c r="AF209" s="26"/>
      <c r="AG209" s="26"/>
      <c r="AH209" s="26"/>
      <c r="AI209" s="26"/>
      <c r="AJ209" s="15" t="str">
        <f>IF(COUNTA(B209,E209,H209,I209,J209,K209,L209,M209,N209,O209,P209,Q209,R209,S209,T209,U209,V209,W209,X209,Y209,Z209,AA209,AB209,AC209,AD209,AE209,AF209,AG209,AH209,AI209)=0,"",IF(OR(B209="",E209="",H209="",J209="",K209="",L209="",M209="",O209="",P209="",Q209="",R209="",S209="",T209="",U209="",W209="",X209="",Y209="",AB209="",AC209="",AE209="",AF209=""),"Incompleta: faltan campos obligatorios",IF(AND(LEFT(H209,6)="PROPIA",I209=""),"Falta el nombre de la acción propia del área",IF(AND(LEFT(H209,3)="A27",IFERROR(INDEX(Catalogos!$T$5:$T$207,MATCH(H209,Catalogos!$U$5:$U$207,0)),"x")&lt;&gt;LEFT(E209,7)),"La acción no corresponde a la meta seleccionada",IF(OR(NOT(ISNUMBER(M209)),M209&lt;10000000,M209&gt;99999999),"Código UNSPSC inválido: registre 8 dígitos",IF(MOD(M209,10000)=0,"UNSPSC a nivel de segmento o familia: use clase o producto",IF(IFERROR(MATCH(P209,L_MESES,0)&lt;MATCH(O209,L_MESES,0),TRUE()),"El mes de ofertas es anterior al de inicio del proceso",IF(OR(NOT(ISNUMBER(Q209)),Q209&lt;=0),"Duración inválida",IF(OR(NOT(ISNUMBER(W209)),NOT(ISNUMBER(X209))),"Valor inválido: registre solo números",IF(OR(W209&lt;=0,X209&lt;=0),"Valor inválido: debe ser mayor que cero",IF(X209&gt;W209,"El valor de la vigencia 2027 supera el valor total",IF(AND(X209&lt;W209,Y209="No"),"El valor total supera el de 2027: requiere vigencias futuras",IF(AND(Y209="Sí",OR(Z209="",Z209="No aplica")),"Indique el estado de la solicitud de vigencias futuras",IF(IF(AND(S209="Mínima cuantía",ISNUMBER(P_TOPE_MINIMA)),W209&gt;P_TOPE_MINIMA,FALSE()),"El valor supera el tope de mínima cuantía 2027",IF(IF(AND(S209="Selección abreviada de menor cuantía",ISNUMBER(P_TOPE_MENOR)),W209&gt;P_TOPE_MENOR,FALSE()),"El valor supera el tope de menor cuantía 2027",IF(OR(ISERROR(SEARCH("@itc.edu.co",AE209)),SUMPRODUCT(--ISNUMBER(SEARCH({"á","é","í","ó","ú","ñ"," "},AE209)))&gt;0),"El correo del responsable no es institucional válido",IF(AND(AF209="Sí",AG209=""),"Indique el N.° de registro 2026 que continúa","OK")))))))))))))))))</f>
        <v/>
      </c>
      <c r="AK209" s="15" t="str">
        <f>IF(AJ209="OK",COUNTIF($AJ$7:AJ209,"OK"),"")</f>
        <v/>
      </c>
    </row>
    <row r="210" spans="1:37" x14ac:dyDescent="0.3">
      <c r="A210" s="13" t="str">
        <f t="shared" si="3"/>
        <v>PN27-204</v>
      </c>
      <c r="B210" s="26"/>
      <c r="C210" s="13" t="str">
        <f>IF(B210="","",IFERROR(INDEX(Catalogos!$R$5:$R$51,MATCH(B210,L_AREAS,0)),""))</f>
        <v/>
      </c>
      <c r="D210" s="13" t="str">
        <f>IF(B210="","",IFERROR(INDEX(Catalogos!$O$5:$O$51,MATCH(B210,L_AREAS,0)),""))</f>
        <v/>
      </c>
      <c r="E210" s="26"/>
      <c r="F210" s="13" t="str">
        <f>IF(E210="","",IFERROR(INDEX(Catalogos!$C$5:$C$49,MATCH(E210,L_METAS,0)),""))</f>
        <v/>
      </c>
      <c r="G210" s="13" t="str">
        <f>IF(E210="","",IFERROR(INDEX(Catalogos!$E$5:$E$49,MATCH(E210,L_METAS,0)),""))</f>
        <v/>
      </c>
      <c r="H210" s="26"/>
      <c r="I210" s="26"/>
      <c r="J210" s="26"/>
      <c r="K210" s="26"/>
      <c r="L210" s="26"/>
      <c r="M210" s="27"/>
      <c r="N210" s="26"/>
      <c r="O210" s="26"/>
      <c r="P210" s="26"/>
      <c r="Q210" s="26"/>
      <c r="R210" s="26"/>
      <c r="S210" s="26"/>
      <c r="T210" s="26"/>
      <c r="U210" s="26"/>
      <c r="V210" s="26"/>
      <c r="W210" s="28"/>
      <c r="X210" s="28"/>
      <c r="Y210" s="26"/>
      <c r="Z210" s="26"/>
      <c r="AA210" s="26"/>
      <c r="AB210" s="26"/>
      <c r="AC210" s="26"/>
      <c r="AD210" s="26"/>
      <c r="AE210" s="26"/>
      <c r="AF210" s="26"/>
      <c r="AG210" s="26"/>
      <c r="AH210" s="26"/>
      <c r="AI210" s="26"/>
      <c r="AJ210" s="15" t="str">
        <f>IF(COUNTA(B210,E210,H210,I210,J210,K210,L210,M210,N210,O210,P210,Q210,R210,S210,T210,U210,V210,W210,X210,Y210,Z210,AA210,AB210,AC210,AD210,AE210,AF210,AG210,AH210,AI210)=0,"",IF(OR(B210="",E210="",H210="",J210="",K210="",L210="",M210="",O210="",P210="",Q210="",R210="",S210="",T210="",U210="",W210="",X210="",Y210="",AB210="",AC210="",AE210="",AF210=""),"Incompleta: faltan campos obligatorios",IF(AND(LEFT(H210,6)="PROPIA",I210=""),"Falta el nombre de la acción propia del área",IF(AND(LEFT(H210,3)="A27",IFERROR(INDEX(Catalogos!$T$5:$T$207,MATCH(H210,Catalogos!$U$5:$U$207,0)),"x")&lt;&gt;LEFT(E210,7)),"La acción no corresponde a la meta seleccionada",IF(OR(NOT(ISNUMBER(M210)),M210&lt;10000000,M210&gt;99999999),"Código UNSPSC inválido: registre 8 dígitos",IF(MOD(M210,10000)=0,"UNSPSC a nivel de segmento o familia: use clase o producto",IF(IFERROR(MATCH(P210,L_MESES,0)&lt;MATCH(O210,L_MESES,0),TRUE()),"El mes de ofertas es anterior al de inicio del proceso",IF(OR(NOT(ISNUMBER(Q210)),Q210&lt;=0),"Duración inválida",IF(OR(NOT(ISNUMBER(W210)),NOT(ISNUMBER(X210))),"Valor inválido: registre solo números",IF(OR(W210&lt;=0,X210&lt;=0),"Valor inválido: debe ser mayor que cero",IF(X210&gt;W210,"El valor de la vigencia 2027 supera el valor total",IF(AND(X210&lt;W210,Y210="No"),"El valor total supera el de 2027: requiere vigencias futuras",IF(AND(Y210="Sí",OR(Z210="",Z210="No aplica")),"Indique el estado de la solicitud de vigencias futuras",IF(IF(AND(S210="Mínima cuantía",ISNUMBER(P_TOPE_MINIMA)),W210&gt;P_TOPE_MINIMA,FALSE()),"El valor supera el tope de mínima cuantía 2027",IF(IF(AND(S210="Selección abreviada de menor cuantía",ISNUMBER(P_TOPE_MENOR)),W210&gt;P_TOPE_MENOR,FALSE()),"El valor supera el tope de menor cuantía 2027",IF(OR(ISERROR(SEARCH("@itc.edu.co",AE210)),SUMPRODUCT(--ISNUMBER(SEARCH({"á","é","í","ó","ú","ñ"," "},AE210)))&gt;0),"El correo del responsable no es institucional válido",IF(AND(AF210="Sí",AG210=""),"Indique el N.° de registro 2026 que continúa","OK")))))))))))))))))</f>
        <v/>
      </c>
      <c r="AK210" s="15" t="str">
        <f>IF(AJ210="OK",COUNTIF($AJ$7:AJ210,"OK"),"")</f>
        <v/>
      </c>
    </row>
    <row r="211" spans="1:37" x14ac:dyDescent="0.3">
      <c r="A211" s="13" t="str">
        <f t="shared" si="3"/>
        <v>PN27-205</v>
      </c>
      <c r="B211" s="26"/>
      <c r="C211" s="13" t="str">
        <f>IF(B211="","",IFERROR(INDEX(Catalogos!$R$5:$R$51,MATCH(B211,L_AREAS,0)),""))</f>
        <v/>
      </c>
      <c r="D211" s="13" t="str">
        <f>IF(B211="","",IFERROR(INDEX(Catalogos!$O$5:$O$51,MATCH(B211,L_AREAS,0)),""))</f>
        <v/>
      </c>
      <c r="E211" s="26"/>
      <c r="F211" s="13" t="str">
        <f>IF(E211="","",IFERROR(INDEX(Catalogos!$C$5:$C$49,MATCH(E211,L_METAS,0)),""))</f>
        <v/>
      </c>
      <c r="G211" s="13" t="str">
        <f>IF(E211="","",IFERROR(INDEX(Catalogos!$E$5:$E$49,MATCH(E211,L_METAS,0)),""))</f>
        <v/>
      </c>
      <c r="H211" s="26"/>
      <c r="I211" s="26"/>
      <c r="J211" s="26"/>
      <c r="K211" s="26"/>
      <c r="L211" s="26"/>
      <c r="M211" s="27"/>
      <c r="N211" s="26"/>
      <c r="O211" s="26"/>
      <c r="P211" s="26"/>
      <c r="Q211" s="26"/>
      <c r="R211" s="26"/>
      <c r="S211" s="26"/>
      <c r="T211" s="26"/>
      <c r="U211" s="26"/>
      <c r="V211" s="26"/>
      <c r="W211" s="28"/>
      <c r="X211" s="28"/>
      <c r="Y211" s="26"/>
      <c r="Z211" s="26"/>
      <c r="AA211" s="26"/>
      <c r="AB211" s="26"/>
      <c r="AC211" s="26"/>
      <c r="AD211" s="26"/>
      <c r="AE211" s="26"/>
      <c r="AF211" s="26"/>
      <c r="AG211" s="26"/>
      <c r="AH211" s="26"/>
      <c r="AI211" s="26"/>
      <c r="AJ211" s="15" t="str">
        <f>IF(COUNTA(B211,E211,H211,I211,J211,K211,L211,M211,N211,O211,P211,Q211,R211,S211,T211,U211,V211,W211,X211,Y211,Z211,AA211,AB211,AC211,AD211,AE211,AF211,AG211,AH211,AI211)=0,"",IF(OR(B211="",E211="",H211="",J211="",K211="",L211="",M211="",O211="",P211="",Q211="",R211="",S211="",T211="",U211="",W211="",X211="",Y211="",AB211="",AC211="",AE211="",AF211=""),"Incompleta: faltan campos obligatorios",IF(AND(LEFT(H211,6)="PROPIA",I211=""),"Falta el nombre de la acción propia del área",IF(AND(LEFT(H211,3)="A27",IFERROR(INDEX(Catalogos!$T$5:$T$207,MATCH(H211,Catalogos!$U$5:$U$207,0)),"x")&lt;&gt;LEFT(E211,7)),"La acción no corresponde a la meta seleccionada",IF(OR(NOT(ISNUMBER(M211)),M211&lt;10000000,M211&gt;99999999),"Código UNSPSC inválido: registre 8 dígitos",IF(MOD(M211,10000)=0,"UNSPSC a nivel de segmento o familia: use clase o producto",IF(IFERROR(MATCH(P211,L_MESES,0)&lt;MATCH(O211,L_MESES,0),TRUE()),"El mes de ofertas es anterior al de inicio del proceso",IF(OR(NOT(ISNUMBER(Q211)),Q211&lt;=0),"Duración inválida",IF(OR(NOT(ISNUMBER(W211)),NOT(ISNUMBER(X211))),"Valor inválido: registre solo números",IF(OR(W211&lt;=0,X211&lt;=0),"Valor inválido: debe ser mayor que cero",IF(X211&gt;W211,"El valor de la vigencia 2027 supera el valor total",IF(AND(X211&lt;W211,Y211="No"),"El valor total supera el de 2027: requiere vigencias futuras",IF(AND(Y211="Sí",OR(Z211="",Z211="No aplica")),"Indique el estado de la solicitud de vigencias futuras",IF(IF(AND(S211="Mínima cuantía",ISNUMBER(P_TOPE_MINIMA)),W211&gt;P_TOPE_MINIMA,FALSE()),"El valor supera el tope de mínima cuantía 2027",IF(IF(AND(S211="Selección abreviada de menor cuantía",ISNUMBER(P_TOPE_MENOR)),W211&gt;P_TOPE_MENOR,FALSE()),"El valor supera el tope de menor cuantía 2027",IF(OR(ISERROR(SEARCH("@itc.edu.co",AE211)),SUMPRODUCT(--ISNUMBER(SEARCH({"á","é","í","ó","ú","ñ"," "},AE211)))&gt;0),"El correo del responsable no es institucional válido",IF(AND(AF211="Sí",AG211=""),"Indique el N.° de registro 2026 que continúa","OK")))))))))))))))))</f>
        <v/>
      </c>
      <c r="AK211" s="15" t="str">
        <f>IF(AJ211="OK",COUNTIF($AJ$7:AJ211,"OK"),"")</f>
        <v/>
      </c>
    </row>
    <row r="212" spans="1:37" x14ac:dyDescent="0.3">
      <c r="A212" s="13" t="str">
        <f t="shared" si="3"/>
        <v>PN27-206</v>
      </c>
      <c r="B212" s="26"/>
      <c r="C212" s="13" t="str">
        <f>IF(B212="","",IFERROR(INDEX(Catalogos!$R$5:$R$51,MATCH(B212,L_AREAS,0)),""))</f>
        <v/>
      </c>
      <c r="D212" s="13" t="str">
        <f>IF(B212="","",IFERROR(INDEX(Catalogos!$O$5:$O$51,MATCH(B212,L_AREAS,0)),""))</f>
        <v/>
      </c>
      <c r="E212" s="26"/>
      <c r="F212" s="13" t="str">
        <f>IF(E212="","",IFERROR(INDEX(Catalogos!$C$5:$C$49,MATCH(E212,L_METAS,0)),""))</f>
        <v/>
      </c>
      <c r="G212" s="13" t="str">
        <f>IF(E212="","",IFERROR(INDEX(Catalogos!$E$5:$E$49,MATCH(E212,L_METAS,0)),""))</f>
        <v/>
      </c>
      <c r="H212" s="26"/>
      <c r="I212" s="26"/>
      <c r="J212" s="26"/>
      <c r="K212" s="26"/>
      <c r="L212" s="26"/>
      <c r="M212" s="27"/>
      <c r="N212" s="26"/>
      <c r="O212" s="26"/>
      <c r="P212" s="26"/>
      <c r="Q212" s="26"/>
      <c r="R212" s="26"/>
      <c r="S212" s="26"/>
      <c r="T212" s="26"/>
      <c r="U212" s="26"/>
      <c r="V212" s="26"/>
      <c r="W212" s="28"/>
      <c r="X212" s="28"/>
      <c r="Y212" s="26"/>
      <c r="Z212" s="26"/>
      <c r="AA212" s="26"/>
      <c r="AB212" s="26"/>
      <c r="AC212" s="26"/>
      <c r="AD212" s="26"/>
      <c r="AE212" s="26"/>
      <c r="AF212" s="26"/>
      <c r="AG212" s="26"/>
      <c r="AH212" s="26"/>
      <c r="AI212" s="26"/>
      <c r="AJ212" s="15" t="str">
        <f>IF(COUNTA(B212,E212,H212,I212,J212,K212,L212,M212,N212,O212,P212,Q212,R212,S212,T212,U212,V212,W212,X212,Y212,Z212,AA212,AB212,AC212,AD212,AE212,AF212,AG212,AH212,AI212)=0,"",IF(OR(B212="",E212="",H212="",J212="",K212="",L212="",M212="",O212="",P212="",Q212="",R212="",S212="",T212="",U212="",W212="",X212="",Y212="",AB212="",AC212="",AE212="",AF212=""),"Incompleta: faltan campos obligatorios",IF(AND(LEFT(H212,6)="PROPIA",I212=""),"Falta el nombre de la acción propia del área",IF(AND(LEFT(H212,3)="A27",IFERROR(INDEX(Catalogos!$T$5:$T$207,MATCH(H212,Catalogos!$U$5:$U$207,0)),"x")&lt;&gt;LEFT(E212,7)),"La acción no corresponde a la meta seleccionada",IF(OR(NOT(ISNUMBER(M212)),M212&lt;10000000,M212&gt;99999999),"Código UNSPSC inválido: registre 8 dígitos",IF(MOD(M212,10000)=0,"UNSPSC a nivel de segmento o familia: use clase o producto",IF(IFERROR(MATCH(P212,L_MESES,0)&lt;MATCH(O212,L_MESES,0),TRUE()),"El mes de ofertas es anterior al de inicio del proceso",IF(OR(NOT(ISNUMBER(Q212)),Q212&lt;=0),"Duración inválida",IF(OR(NOT(ISNUMBER(W212)),NOT(ISNUMBER(X212))),"Valor inválido: registre solo números",IF(OR(W212&lt;=0,X212&lt;=0),"Valor inválido: debe ser mayor que cero",IF(X212&gt;W212,"El valor de la vigencia 2027 supera el valor total",IF(AND(X212&lt;W212,Y212="No"),"El valor total supera el de 2027: requiere vigencias futuras",IF(AND(Y212="Sí",OR(Z212="",Z212="No aplica")),"Indique el estado de la solicitud de vigencias futuras",IF(IF(AND(S212="Mínima cuantía",ISNUMBER(P_TOPE_MINIMA)),W212&gt;P_TOPE_MINIMA,FALSE()),"El valor supera el tope de mínima cuantía 2027",IF(IF(AND(S212="Selección abreviada de menor cuantía",ISNUMBER(P_TOPE_MENOR)),W212&gt;P_TOPE_MENOR,FALSE()),"El valor supera el tope de menor cuantía 2027",IF(OR(ISERROR(SEARCH("@itc.edu.co",AE212)),SUMPRODUCT(--ISNUMBER(SEARCH({"á","é","í","ó","ú","ñ"," "},AE212)))&gt;0),"El correo del responsable no es institucional válido",IF(AND(AF212="Sí",AG212=""),"Indique el N.° de registro 2026 que continúa","OK")))))))))))))))))</f>
        <v/>
      </c>
      <c r="AK212" s="15" t="str">
        <f>IF(AJ212="OK",COUNTIF($AJ$7:AJ212,"OK"),"")</f>
        <v/>
      </c>
    </row>
    <row r="213" spans="1:37" x14ac:dyDescent="0.3">
      <c r="A213" s="13" t="str">
        <f t="shared" si="3"/>
        <v>PN27-207</v>
      </c>
      <c r="B213" s="26"/>
      <c r="C213" s="13" t="str">
        <f>IF(B213="","",IFERROR(INDEX(Catalogos!$R$5:$R$51,MATCH(B213,L_AREAS,0)),""))</f>
        <v/>
      </c>
      <c r="D213" s="13" t="str">
        <f>IF(B213="","",IFERROR(INDEX(Catalogos!$O$5:$O$51,MATCH(B213,L_AREAS,0)),""))</f>
        <v/>
      </c>
      <c r="E213" s="26"/>
      <c r="F213" s="13" t="str">
        <f>IF(E213="","",IFERROR(INDEX(Catalogos!$C$5:$C$49,MATCH(E213,L_METAS,0)),""))</f>
        <v/>
      </c>
      <c r="G213" s="13" t="str">
        <f>IF(E213="","",IFERROR(INDEX(Catalogos!$E$5:$E$49,MATCH(E213,L_METAS,0)),""))</f>
        <v/>
      </c>
      <c r="H213" s="26"/>
      <c r="I213" s="26"/>
      <c r="J213" s="26"/>
      <c r="K213" s="26"/>
      <c r="L213" s="26"/>
      <c r="M213" s="27"/>
      <c r="N213" s="26"/>
      <c r="O213" s="26"/>
      <c r="P213" s="26"/>
      <c r="Q213" s="26"/>
      <c r="R213" s="26"/>
      <c r="S213" s="26"/>
      <c r="T213" s="26"/>
      <c r="U213" s="26"/>
      <c r="V213" s="26"/>
      <c r="W213" s="28"/>
      <c r="X213" s="28"/>
      <c r="Y213" s="26"/>
      <c r="Z213" s="26"/>
      <c r="AA213" s="26"/>
      <c r="AB213" s="26"/>
      <c r="AC213" s="26"/>
      <c r="AD213" s="26"/>
      <c r="AE213" s="26"/>
      <c r="AF213" s="26"/>
      <c r="AG213" s="26"/>
      <c r="AH213" s="26"/>
      <c r="AI213" s="26"/>
      <c r="AJ213" s="15" t="str">
        <f>IF(COUNTA(B213,E213,H213,I213,J213,K213,L213,M213,N213,O213,P213,Q213,R213,S213,T213,U213,V213,W213,X213,Y213,Z213,AA213,AB213,AC213,AD213,AE213,AF213,AG213,AH213,AI213)=0,"",IF(OR(B213="",E213="",H213="",J213="",K213="",L213="",M213="",O213="",P213="",Q213="",R213="",S213="",T213="",U213="",W213="",X213="",Y213="",AB213="",AC213="",AE213="",AF213=""),"Incompleta: faltan campos obligatorios",IF(AND(LEFT(H213,6)="PROPIA",I213=""),"Falta el nombre de la acción propia del área",IF(AND(LEFT(H213,3)="A27",IFERROR(INDEX(Catalogos!$T$5:$T$207,MATCH(H213,Catalogos!$U$5:$U$207,0)),"x")&lt;&gt;LEFT(E213,7)),"La acción no corresponde a la meta seleccionada",IF(OR(NOT(ISNUMBER(M213)),M213&lt;10000000,M213&gt;99999999),"Código UNSPSC inválido: registre 8 dígitos",IF(MOD(M213,10000)=0,"UNSPSC a nivel de segmento o familia: use clase o producto",IF(IFERROR(MATCH(P213,L_MESES,0)&lt;MATCH(O213,L_MESES,0),TRUE()),"El mes de ofertas es anterior al de inicio del proceso",IF(OR(NOT(ISNUMBER(Q213)),Q213&lt;=0),"Duración inválida",IF(OR(NOT(ISNUMBER(W213)),NOT(ISNUMBER(X213))),"Valor inválido: registre solo números",IF(OR(W213&lt;=0,X213&lt;=0),"Valor inválido: debe ser mayor que cero",IF(X213&gt;W213,"El valor de la vigencia 2027 supera el valor total",IF(AND(X213&lt;W213,Y213="No"),"El valor total supera el de 2027: requiere vigencias futuras",IF(AND(Y213="Sí",OR(Z213="",Z213="No aplica")),"Indique el estado de la solicitud de vigencias futuras",IF(IF(AND(S213="Mínima cuantía",ISNUMBER(P_TOPE_MINIMA)),W213&gt;P_TOPE_MINIMA,FALSE()),"El valor supera el tope de mínima cuantía 2027",IF(IF(AND(S213="Selección abreviada de menor cuantía",ISNUMBER(P_TOPE_MENOR)),W213&gt;P_TOPE_MENOR,FALSE()),"El valor supera el tope de menor cuantía 2027",IF(OR(ISERROR(SEARCH("@itc.edu.co",AE213)),SUMPRODUCT(--ISNUMBER(SEARCH({"á","é","í","ó","ú","ñ"," "},AE213)))&gt;0),"El correo del responsable no es institucional válido",IF(AND(AF213="Sí",AG213=""),"Indique el N.° de registro 2026 que continúa","OK")))))))))))))))))</f>
        <v/>
      </c>
      <c r="AK213" s="15" t="str">
        <f>IF(AJ213="OK",COUNTIF($AJ$7:AJ213,"OK"),"")</f>
        <v/>
      </c>
    </row>
    <row r="214" spans="1:37" x14ac:dyDescent="0.3">
      <c r="A214" s="13" t="str">
        <f t="shared" si="3"/>
        <v>PN27-208</v>
      </c>
      <c r="B214" s="26"/>
      <c r="C214" s="13" t="str">
        <f>IF(B214="","",IFERROR(INDEX(Catalogos!$R$5:$R$51,MATCH(B214,L_AREAS,0)),""))</f>
        <v/>
      </c>
      <c r="D214" s="13" t="str">
        <f>IF(B214="","",IFERROR(INDEX(Catalogos!$O$5:$O$51,MATCH(B214,L_AREAS,0)),""))</f>
        <v/>
      </c>
      <c r="E214" s="26"/>
      <c r="F214" s="13" t="str">
        <f>IF(E214="","",IFERROR(INDEX(Catalogos!$C$5:$C$49,MATCH(E214,L_METAS,0)),""))</f>
        <v/>
      </c>
      <c r="G214" s="13" t="str">
        <f>IF(E214="","",IFERROR(INDEX(Catalogos!$E$5:$E$49,MATCH(E214,L_METAS,0)),""))</f>
        <v/>
      </c>
      <c r="H214" s="26"/>
      <c r="I214" s="26"/>
      <c r="J214" s="26"/>
      <c r="K214" s="26"/>
      <c r="L214" s="26"/>
      <c r="M214" s="27"/>
      <c r="N214" s="26"/>
      <c r="O214" s="26"/>
      <c r="P214" s="26"/>
      <c r="Q214" s="26"/>
      <c r="R214" s="26"/>
      <c r="S214" s="26"/>
      <c r="T214" s="26"/>
      <c r="U214" s="26"/>
      <c r="V214" s="26"/>
      <c r="W214" s="28"/>
      <c r="X214" s="28"/>
      <c r="Y214" s="26"/>
      <c r="Z214" s="26"/>
      <c r="AA214" s="26"/>
      <c r="AB214" s="26"/>
      <c r="AC214" s="26"/>
      <c r="AD214" s="26"/>
      <c r="AE214" s="26"/>
      <c r="AF214" s="26"/>
      <c r="AG214" s="26"/>
      <c r="AH214" s="26"/>
      <c r="AI214" s="26"/>
      <c r="AJ214" s="15" t="str">
        <f>IF(COUNTA(B214,E214,H214,I214,J214,K214,L214,M214,N214,O214,P214,Q214,R214,S214,T214,U214,V214,W214,X214,Y214,Z214,AA214,AB214,AC214,AD214,AE214,AF214,AG214,AH214,AI214)=0,"",IF(OR(B214="",E214="",H214="",J214="",K214="",L214="",M214="",O214="",P214="",Q214="",R214="",S214="",T214="",U214="",W214="",X214="",Y214="",AB214="",AC214="",AE214="",AF214=""),"Incompleta: faltan campos obligatorios",IF(AND(LEFT(H214,6)="PROPIA",I214=""),"Falta el nombre de la acción propia del área",IF(AND(LEFT(H214,3)="A27",IFERROR(INDEX(Catalogos!$T$5:$T$207,MATCH(H214,Catalogos!$U$5:$U$207,0)),"x")&lt;&gt;LEFT(E214,7)),"La acción no corresponde a la meta seleccionada",IF(OR(NOT(ISNUMBER(M214)),M214&lt;10000000,M214&gt;99999999),"Código UNSPSC inválido: registre 8 dígitos",IF(MOD(M214,10000)=0,"UNSPSC a nivel de segmento o familia: use clase o producto",IF(IFERROR(MATCH(P214,L_MESES,0)&lt;MATCH(O214,L_MESES,0),TRUE()),"El mes de ofertas es anterior al de inicio del proceso",IF(OR(NOT(ISNUMBER(Q214)),Q214&lt;=0),"Duración inválida",IF(OR(NOT(ISNUMBER(W214)),NOT(ISNUMBER(X214))),"Valor inválido: registre solo números",IF(OR(W214&lt;=0,X214&lt;=0),"Valor inválido: debe ser mayor que cero",IF(X214&gt;W214,"El valor de la vigencia 2027 supera el valor total",IF(AND(X214&lt;W214,Y214="No"),"El valor total supera el de 2027: requiere vigencias futuras",IF(AND(Y214="Sí",OR(Z214="",Z214="No aplica")),"Indique el estado de la solicitud de vigencias futuras",IF(IF(AND(S214="Mínima cuantía",ISNUMBER(P_TOPE_MINIMA)),W214&gt;P_TOPE_MINIMA,FALSE()),"El valor supera el tope de mínima cuantía 2027",IF(IF(AND(S214="Selección abreviada de menor cuantía",ISNUMBER(P_TOPE_MENOR)),W214&gt;P_TOPE_MENOR,FALSE()),"El valor supera el tope de menor cuantía 2027",IF(OR(ISERROR(SEARCH("@itc.edu.co",AE214)),SUMPRODUCT(--ISNUMBER(SEARCH({"á","é","í","ó","ú","ñ"," "},AE214)))&gt;0),"El correo del responsable no es institucional válido",IF(AND(AF214="Sí",AG214=""),"Indique el N.° de registro 2026 que continúa","OK")))))))))))))))))</f>
        <v/>
      </c>
      <c r="AK214" s="15" t="str">
        <f>IF(AJ214="OK",COUNTIF($AJ$7:AJ214,"OK"),"")</f>
        <v/>
      </c>
    </row>
    <row r="215" spans="1:37" x14ac:dyDescent="0.3">
      <c r="A215" s="13" t="str">
        <f t="shared" si="3"/>
        <v>PN27-209</v>
      </c>
      <c r="B215" s="26"/>
      <c r="C215" s="13" t="str">
        <f>IF(B215="","",IFERROR(INDEX(Catalogos!$R$5:$R$51,MATCH(B215,L_AREAS,0)),""))</f>
        <v/>
      </c>
      <c r="D215" s="13" t="str">
        <f>IF(B215="","",IFERROR(INDEX(Catalogos!$O$5:$O$51,MATCH(B215,L_AREAS,0)),""))</f>
        <v/>
      </c>
      <c r="E215" s="26"/>
      <c r="F215" s="13" t="str">
        <f>IF(E215="","",IFERROR(INDEX(Catalogos!$C$5:$C$49,MATCH(E215,L_METAS,0)),""))</f>
        <v/>
      </c>
      <c r="G215" s="13" t="str">
        <f>IF(E215="","",IFERROR(INDEX(Catalogos!$E$5:$E$49,MATCH(E215,L_METAS,0)),""))</f>
        <v/>
      </c>
      <c r="H215" s="26"/>
      <c r="I215" s="26"/>
      <c r="J215" s="26"/>
      <c r="K215" s="26"/>
      <c r="L215" s="26"/>
      <c r="M215" s="27"/>
      <c r="N215" s="26"/>
      <c r="O215" s="26"/>
      <c r="P215" s="26"/>
      <c r="Q215" s="26"/>
      <c r="R215" s="26"/>
      <c r="S215" s="26"/>
      <c r="T215" s="26"/>
      <c r="U215" s="26"/>
      <c r="V215" s="26"/>
      <c r="W215" s="28"/>
      <c r="X215" s="28"/>
      <c r="Y215" s="26"/>
      <c r="Z215" s="26"/>
      <c r="AA215" s="26"/>
      <c r="AB215" s="26"/>
      <c r="AC215" s="26"/>
      <c r="AD215" s="26"/>
      <c r="AE215" s="26"/>
      <c r="AF215" s="26"/>
      <c r="AG215" s="26"/>
      <c r="AH215" s="26"/>
      <c r="AI215" s="26"/>
      <c r="AJ215" s="15" t="str">
        <f>IF(COUNTA(B215,E215,H215,I215,J215,K215,L215,M215,N215,O215,P215,Q215,R215,S215,T215,U215,V215,W215,X215,Y215,Z215,AA215,AB215,AC215,AD215,AE215,AF215,AG215,AH215,AI215)=0,"",IF(OR(B215="",E215="",H215="",J215="",K215="",L215="",M215="",O215="",P215="",Q215="",R215="",S215="",T215="",U215="",W215="",X215="",Y215="",AB215="",AC215="",AE215="",AF215=""),"Incompleta: faltan campos obligatorios",IF(AND(LEFT(H215,6)="PROPIA",I215=""),"Falta el nombre de la acción propia del área",IF(AND(LEFT(H215,3)="A27",IFERROR(INDEX(Catalogos!$T$5:$T$207,MATCH(H215,Catalogos!$U$5:$U$207,0)),"x")&lt;&gt;LEFT(E215,7)),"La acción no corresponde a la meta seleccionada",IF(OR(NOT(ISNUMBER(M215)),M215&lt;10000000,M215&gt;99999999),"Código UNSPSC inválido: registre 8 dígitos",IF(MOD(M215,10000)=0,"UNSPSC a nivel de segmento o familia: use clase o producto",IF(IFERROR(MATCH(P215,L_MESES,0)&lt;MATCH(O215,L_MESES,0),TRUE()),"El mes de ofertas es anterior al de inicio del proceso",IF(OR(NOT(ISNUMBER(Q215)),Q215&lt;=0),"Duración inválida",IF(OR(NOT(ISNUMBER(W215)),NOT(ISNUMBER(X215))),"Valor inválido: registre solo números",IF(OR(W215&lt;=0,X215&lt;=0),"Valor inválido: debe ser mayor que cero",IF(X215&gt;W215,"El valor de la vigencia 2027 supera el valor total",IF(AND(X215&lt;W215,Y215="No"),"El valor total supera el de 2027: requiere vigencias futuras",IF(AND(Y215="Sí",OR(Z215="",Z215="No aplica")),"Indique el estado de la solicitud de vigencias futuras",IF(IF(AND(S215="Mínima cuantía",ISNUMBER(P_TOPE_MINIMA)),W215&gt;P_TOPE_MINIMA,FALSE()),"El valor supera el tope de mínima cuantía 2027",IF(IF(AND(S215="Selección abreviada de menor cuantía",ISNUMBER(P_TOPE_MENOR)),W215&gt;P_TOPE_MENOR,FALSE()),"El valor supera el tope de menor cuantía 2027",IF(OR(ISERROR(SEARCH("@itc.edu.co",AE215)),SUMPRODUCT(--ISNUMBER(SEARCH({"á","é","í","ó","ú","ñ"," "},AE215)))&gt;0),"El correo del responsable no es institucional válido",IF(AND(AF215="Sí",AG215=""),"Indique el N.° de registro 2026 que continúa","OK")))))))))))))))))</f>
        <v/>
      </c>
      <c r="AK215" s="15" t="str">
        <f>IF(AJ215="OK",COUNTIF($AJ$7:AJ215,"OK"),"")</f>
        <v/>
      </c>
    </row>
    <row r="216" spans="1:37" x14ac:dyDescent="0.3">
      <c r="A216" s="13" t="str">
        <f t="shared" si="3"/>
        <v>PN27-210</v>
      </c>
      <c r="B216" s="26"/>
      <c r="C216" s="13" t="str">
        <f>IF(B216="","",IFERROR(INDEX(Catalogos!$R$5:$R$51,MATCH(B216,L_AREAS,0)),""))</f>
        <v/>
      </c>
      <c r="D216" s="13" t="str">
        <f>IF(B216="","",IFERROR(INDEX(Catalogos!$O$5:$O$51,MATCH(B216,L_AREAS,0)),""))</f>
        <v/>
      </c>
      <c r="E216" s="26"/>
      <c r="F216" s="13" t="str">
        <f>IF(E216="","",IFERROR(INDEX(Catalogos!$C$5:$C$49,MATCH(E216,L_METAS,0)),""))</f>
        <v/>
      </c>
      <c r="G216" s="13" t="str">
        <f>IF(E216="","",IFERROR(INDEX(Catalogos!$E$5:$E$49,MATCH(E216,L_METAS,0)),""))</f>
        <v/>
      </c>
      <c r="H216" s="26"/>
      <c r="I216" s="26"/>
      <c r="J216" s="26"/>
      <c r="K216" s="26"/>
      <c r="L216" s="26"/>
      <c r="M216" s="27"/>
      <c r="N216" s="26"/>
      <c r="O216" s="26"/>
      <c r="P216" s="26"/>
      <c r="Q216" s="26"/>
      <c r="R216" s="26"/>
      <c r="S216" s="26"/>
      <c r="T216" s="26"/>
      <c r="U216" s="26"/>
      <c r="V216" s="26"/>
      <c r="W216" s="28"/>
      <c r="X216" s="28"/>
      <c r="Y216" s="26"/>
      <c r="Z216" s="26"/>
      <c r="AA216" s="26"/>
      <c r="AB216" s="26"/>
      <c r="AC216" s="26"/>
      <c r="AD216" s="26"/>
      <c r="AE216" s="26"/>
      <c r="AF216" s="26"/>
      <c r="AG216" s="26"/>
      <c r="AH216" s="26"/>
      <c r="AI216" s="26"/>
      <c r="AJ216" s="15" t="str">
        <f>IF(COUNTA(B216,E216,H216,I216,J216,K216,L216,M216,N216,O216,P216,Q216,R216,S216,T216,U216,V216,W216,X216,Y216,Z216,AA216,AB216,AC216,AD216,AE216,AF216,AG216,AH216,AI216)=0,"",IF(OR(B216="",E216="",H216="",J216="",K216="",L216="",M216="",O216="",P216="",Q216="",R216="",S216="",T216="",U216="",W216="",X216="",Y216="",AB216="",AC216="",AE216="",AF216=""),"Incompleta: faltan campos obligatorios",IF(AND(LEFT(H216,6)="PROPIA",I216=""),"Falta el nombre de la acción propia del área",IF(AND(LEFT(H216,3)="A27",IFERROR(INDEX(Catalogos!$T$5:$T$207,MATCH(H216,Catalogos!$U$5:$U$207,0)),"x")&lt;&gt;LEFT(E216,7)),"La acción no corresponde a la meta seleccionada",IF(OR(NOT(ISNUMBER(M216)),M216&lt;10000000,M216&gt;99999999),"Código UNSPSC inválido: registre 8 dígitos",IF(MOD(M216,10000)=0,"UNSPSC a nivel de segmento o familia: use clase o producto",IF(IFERROR(MATCH(P216,L_MESES,0)&lt;MATCH(O216,L_MESES,0),TRUE()),"El mes de ofertas es anterior al de inicio del proceso",IF(OR(NOT(ISNUMBER(Q216)),Q216&lt;=0),"Duración inválida",IF(OR(NOT(ISNUMBER(W216)),NOT(ISNUMBER(X216))),"Valor inválido: registre solo números",IF(OR(W216&lt;=0,X216&lt;=0),"Valor inválido: debe ser mayor que cero",IF(X216&gt;W216,"El valor de la vigencia 2027 supera el valor total",IF(AND(X216&lt;W216,Y216="No"),"El valor total supera el de 2027: requiere vigencias futuras",IF(AND(Y216="Sí",OR(Z216="",Z216="No aplica")),"Indique el estado de la solicitud de vigencias futuras",IF(IF(AND(S216="Mínima cuantía",ISNUMBER(P_TOPE_MINIMA)),W216&gt;P_TOPE_MINIMA,FALSE()),"El valor supera el tope de mínima cuantía 2027",IF(IF(AND(S216="Selección abreviada de menor cuantía",ISNUMBER(P_TOPE_MENOR)),W216&gt;P_TOPE_MENOR,FALSE()),"El valor supera el tope de menor cuantía 2027",IF(OR(ISERROR(SEARCH("@itc.edu.co",AE216)),SUMPRODUCT(--ISNUMBER(SEARCH({"á","é","í","ó","ú","ñ"," "},AE216)))&gt;0),"El correo del responsable no es institucional válido",IF(AND(AF216="Sí",AG216=""),"Indique el N.° de registro 2026 que continúa","OK")))))))))))))))))</f>
        <v/>
      </c>
      <c r="AK216" s="15" t="str">
        <f>IF(AJ216="OK",COUNTIF($AJ$7:AJ216,"OK"),"")</f>
        <v/>
      </c>
    </row>
    <row r="217" spans="1:37" x14ac:dyDescent="0.3">
      <c r="A217" s="13" t="str">
        <f t="shared" si="3"/>
        <v>PN27-211</v>
      </c>
      <c r="B217" s="26"/>
      <c r="C217" s="13" t="str">
        <f>IF(B217="","",IFERROR(INDEX(Catalogos!$R$5:$R$51,MATCH(B217,L_AREAS,0)),""))</f>
        <v/>
      </c>
      <c r="D217" s="13" t="str">
        <f>IF(B217="","",IFERROR(INDEX(Catalogos!$O$5:$O$51,MATCH(B217,L_AREAS,0)),""))</f>
        <v/>
      </c>
      <c r="E217" s="26"/>
      <c r="F217" s="13" t="str">
        <f>IF(E217="","",IFERROR(INDEX(Catalogos!$C$5:$C$49,MATCH(E217,L_METAS,0)),""))</f>
        <v/>
      </c>
      <c r="G217" s="13" t="str">
        <f>IF(E217="","",IFERROR(INDEX(Catalogos!$E$5:$E$49,MATCH(E217,L_METAS,0)),""))</f>
        <v/>
      </c>
      <c r="H217" s="26"/>
      <c r="I217" s="26"/>
      <c r="J217" s="26"/>
      <c r="K217" s="26"/>
      <c r="L217" s="26"/>
      <c r="M217" s="27"/>
      <c r="N217" s="26"/>
      <c r="O217" s="26"/>
      <c r="P217" s="26"/>
      <c r="Q217" s="26"/>
      <c r="R217" s="26"/>
      <c r="S217" s="26"/>
      <c r="T217" s="26"/>
      <c r="U217" s="26"/>
      <c r="V217" s="26"/>
      <c r="W217" s="28"/>
      <c r="X217" s="28"/>
      <c r="Y217" s="26"/>
      <c r="Z217" s="26"/>
      <c r="AA217" s="26"/>
      <c r="AB217" s="26"/>
      <c r="AC217" s="26"/>
      <c r="AD217" s="26"/>
      <c r="AE217" s="26"/>
      <c r="AF217" s="26"/>
      <c r="AG217" s="26"/>
      <c r="AH217" s="26"/>
      <c r="AI217" s="26"/>
      <c r="AJ217" s="15" t="str">
        <f>IF(COUNTA(B217,E217,H217,I217,J217,K217,L217,M217,N217,O217,P217,Q217,R217,S217,T217,U217,V217,W217,X217,Y217,Z217,AA217,AB217,AC217,AD217,AE217,AF217,AG217,AH217,AI217)=0,"",IF(OR(B217="",E217="",H217="",J217="",K217="",L217="",M217="",O217="",P217="",Q217="",R217="",S217="",T217="",U217="",W217="",X217="",Y217="",AB217="",AC217="",AE217="",AF217=""),"Incompleta: faltan campos obligatorios",IF(AND(LEFT(H217,6)="PROPIA",I217=""),"Falta el nombre de la acción propia del área",IF(AND(LEFT(H217,3)="A27",IFERROR(INDEX(Catalogos!$T$5:$T$207,MATCH(H217,Catalogos!$U$5:$U$207,0)),"x")&lt;&gt;LEFT(E217,7)),"La acción no corresponde a la meta seleccionada",IF(OR(NOT(ISNUMBER(M217)),M217&lt;10000000,M217&gt;99999999),"Código UNSPSC inválido: registre 8 dígitos",IF(MOD(M217,10000)=0,"UNSPSC a nivel de segmento o familia: use clase o producto",IF(IFERROR(MATCH(P217,L_MESES,0)&lt;MATCH(O217,L_MESES,0),TRUE()),"El mes de ofertas es anterior al de inicio del proceso",IF(OR(NOT(ISNUMBER(Q217)),Q217&lt;=0),"Duración inválida",IF(OR(NOT(ISNUMBER(W217)),NOT(ISNUMBER(X217))),"Valor inválido: registre solo números",IF(OR(W217&lt;=0,X217&lt;=0),"Valor inválido: debe ser mayor que cero",IF(X217&gt;W217,"El valor de la vigencia 2027 supera el valor total",IF(AND(X217&lt;W217,Y217="No"),"El valor total supera el de 2027: requiere vigencias futuras",IF(AND(Y217="Sí",OR(Z217="",Z217="No aplica")),"Indique el estado de la solicitud de vigencias futuras",IF(IF(AND(S217="Mínima cuantía",ISNUMBER(P_TOPE_MINIMA)),W217&gt;P_TOPE_MINIMA,FALSE()),"El valor supera el tope de mínima cuantía 2027",IF(IF(AND(S217="Selección abreviada de menor cuantía",ISNUMBER(P_TOPE_MENOR)),W217&gt;P_TOPE_MENOR,FALSE()),"El valor supera el tope de menor cuantía 2027",IF(OR(ISERROR(SEARCH("@itc.edu.co",AE217)),SUMPRODUCT(--ISNUMBER(SEARCH({"á","é","í","ó","ú","ñ"," "},AE217)))&gt;0),"El correo del responsable no es institucional válido",IF(AND(AF217="Sí",AG217=""),"Indique el N.° de registro 2026 que continúa","OK")))))))))))))))))</f>
        <v/>
      </c>
      <c r="AK217" s="15" t="str">
        <f>IF(AJ217="OK",COUNTIF($AJ$7:AJ217,"OK"),"")</f>
        <v/>
      </c>
    </row>
    <row r="218" spans="1:37" x14ac:dyDescent="0.3">
      <c r="A218" s="13" t="str">
        <f t="shared" si="3"/>
        <v>PN27-212</v>
      </c>
      <c r="B218" s="26"/>
      <c r="C218" s="13" t="str">
        <f>IF(B218="","",IFERROR(INDEX(Catalogos!$R$5:$R$51,MATCH(B218,L_AREAS,0)),""))</f>
        <v/>
      </c>
      <c r="D218" s="13" t="str">
        <f>IF(B218="","",IFERROR(INDEX(Catalogos!$O$5:$O$51,MATCH(B218,L_AREAS,0)),""))</f>
        <v/>
      </c>
      <c r="E218" s="26"/>
      <c r="F218" s="13" t="str">
        <f>IF(E218="","",IFERROR(INDEX(Catalogos!$C$5:$C$49,MATCH(E218,L_METAS,0)),""))</f>
        <v/>
      </c>
      <c r="G218" s="13" t="str">
        <f>IF(E218="","",IFERROR(INDEX(Catalogos!$E$5:$E$49,MATCH(E218,L_METAS,0)),""))</f>
        <v/>
      </c>
      <c r="H218" s="26"/>
      <c r="I218" s="26"/>
      <c r="J218" s="26"/>
      <c r="K218" s="26"/>
      <c r="L218" s="26"/>
      <c r="M218" s="27"/>
      <c r="N218" s="26"/>
      <c r="O218" s="26"/>
      <c r="P218" s="26"/>
      <c r="Q218" s="26"/>
      <c r="R218" s="26"/>
      <c r="S218" s="26"/>
      <c r="T218" s="26"/>
      <c r="U218" s="26"/>
      <c r="V218" s="26"/>
      <c r="W218" s="28"/>
      <c r="X218" s="28"/>
      <c r="Y218" s="26"/>
      <c r="Z218" s="26"/>
      <c r="AA218" s="26"/>
      <c r="AB218" s="26"/>
      <c r="AC218" s="26"/>
      <c r="AD218" s="26"/>
      <c r="AE218" s="26"/>
      <c r="AF218" s="26"/>
      <c r="AG218" s="26"/>
      <c r="AH218" s="26"/>
      <c r="AI218" s="26"/>
      <c r="AJ218" s="15" t="str">
        <f>IF(COUNTA(B218,E218,H218,I218,J218,K218,L218,M218,N218,O218,P218,Q218,R218,S218,T218,U218,V218,W218,X218,Y218,Z218,AA218,AB218,AC218,AD218,AE218,AF218,AG218,AH218,AI218)=0,"",IF(OR(B218="",E218="",H218="",J218="",K218="",L218="",M218="",O218="",P218="",Q218="",R218="",S218="",T218="",U218="",W218="",X218="",Y218="",AB218="",AC218="",AE218="",AF218=""),"Incompleta: faltan campos obligatorios",IF(AND(LEFT(H218,6)="PROPIA",I218=""),"Falta el nombre de la acción propia del área",IF(AND(LEFT(H218,3)="A27",IFERROR(INDEX(Catalogos!$T$5:$T$207,MATCH(H218,Catalogos!$U$5:$U$207,0)),"x")&lt;&gt;LEFT(E218,7)),"La acción no corresponde a la meta seleccionada",IF(OR(NOT(ISNUMBER(M218)),M218&lt;10000000,M218&gt;99999999),"Código UNSPSC inválido: registre 8 dígitos",IF(MOD(M218,10000)=0,"UNSPSC a nivel de segmento o familia: use clase o producto",IF(IFERROR(MATCH(P218,L_MESES,0)&lt;MATCH(O218,L_MESES,0),TRUE()),"El mes de ofertas es anterior al de inicio del proceso",IF(OR(NOT(ISNUMBER(Q218)),Q218&lt;=0),"Duración inválida",IF(OR(NOT(ISNUMBER(W218)),NOT(ISNUMBER(X218))),"Valor inválido: registre solo números",IF(OR(W218&lt;=0,X218&lt;=0),"Valor inválido: debe ser mayor que cero",IF(X218&gt;W218,"El valor de la vigencia 2027 supera el valor total",IF(AND(X218&lt;W218,Y218="No"),"El valor total supera el de 2027: requiere vigencias futuras",IF(AND(Y218="Sí",OR(Z218="",Z218="No aplica")),"Indique el estado de la solicitud de vigencias futuras",IF(IF(AND(S218="Mínima cuantía",ISNUMBER(P_TOPE_MINIMA)),W218&gt;P_TOPE_MINIMA,FALSE()),"El valor supera el tope de mínima cuantía 2027",IF(IF(AND(S218="Selección abreviada de menor cuantía",ISNUMBER(P_TOPE_MENOR)),W218&gt;P_TOPE_MENOR,FALSE()),"El valor supera el tope de menor cuantía 2027",IF(OR(ISERROR(SEARCH("@itc.edu.co",AE218)),SUMPRODUCT(--ISNUMBER(SEARCH({"á","é","í","ó","ú","ñ"," "},AE218)))&gt;0),"El correo del responsable no es institucional válido",IF(AND(AF218="Sí",AG218=""),"Indique el N.° de registro 2026 que continúa","OK")))))))))))))))))</f>
        <v/>
      </c>
      <c r="AK218" s="15" t="str">
        <f>IF(AJ218="OK",COUNTIF($AJ$7:AJ218,"OK"),"")</f>
        <v/>
      </c>
    </row>
    <row r="219" spans="1:37" x14ac:dyDescent="0.3">
      <c r="A219" s="13" t="str">
        <f t="shared" si="3"/>
        <v>PN27-213</v>
      </c>
      <c r="B219" s="26"/>
      <c r="C219" s="13" t="str">
        <f>IF(B219="","",IFERROR(INDEX(Catalogos!$R$5:$R$51,MATCH(B219,L_AREAS,0)),""))</f>
        <v/>
      </c>
      <c r="D219" s="13" t="str">
        <f>IF(B219="","",IFERROR(INDEX(Catalogos!$O$5:$O$51,MATCH(B219,L_AREAS,0)),""))</f>
        <v/>
      </c>
      <c r="E219" s="26"/>
      <c r="F219" s="13" t="str">
        <f>IF(E219="","",IFERROR(INDEX(Catalogos!$C$5:$C$49,MATCH(E219,L_METAS,0)),""))</f>
        <v/>
      </c>
      <c r="G219" s="13" t="str">
        <f>IF(E219="","",IFERROR(INDEX(Catalogos!$E$5:$E$49,MATCH(E219,L_METAS,0)),""))</f>
        <v/>
      </c>
      <c r="H219" s="26"/>
      <c r="I219" s="26"/>
      <c r="J219" s="26"/>
      <c r="K219" s="26"/>
      <c r="L219" s="26"/>
      <c r="M219" s="27"/>
      <c r="N219" s="26"/>
      <c r="O219" s="26"/>
      <c r="P219" s="26"/>
      <c r="Q219" s="26"/>
      <c r="R219" s="26"/>
      <c r="S219" s="26"/>
      <c r="T219" s="26"/>
      <c r="U219" s="26"/>
      <c r="V219" s="26"/>
      <c r="W219" s="28"/>
      <c r="X219" s="28"/>
      <c r="Y219" s="26"/>
      <c r="Z219" s="26"/>
      <c r="AA219" s="26"/>
      <c r="AB219" s="26"/>
      <c r="AC219" s="26"/>
      <c r="AD219" s="26"/>
      <c r="AE219" s="26"/>
      <c r="AF219" s="26"/>
      <c r="AG219" s="26"/>
      <c r="AH219" s="26"/>
      <c r="AI219" s="26"/>
      <c r="AJ219" s="15" t="str">
        <f>IF(COUNTA(B219,E219,H219,I219,J219,K219,L219,M219,N219,O219,P219,Q219,R219,S219,T219,U219,V219,W219,X219,Y219,Z219,AA219,AB219,AC219,AD219,AE219,AF219,AG219,AH219,AI219)=0,"",IF(OR(B219="",E219="",H219="",J219="",K219="",L219="",M219="",O219="",P219="",Q219="",R219="",S219="",T219="",U219="",W219="",X219="",Y219="",AB219="",AC219="",AE219="",AF219=""),"Incompleta: faltan campos obligatorios",IF(AND(LEFT(H219,6)="PROPIA",I219=""),"Falta el nombre de la acción propia del área",IF(AND(LEFT(H219,3)="A27",IFERROR(INDEX(Catalogos!$T$5:$T$207,MATCH(H219,Catalogos!$U$5:$U$207,0)),"x")&lt;&gt;LEFT(E219,7)),"La acción no corresponde a la meta seleccionada",IF(OR(NOT(ISNUMBER(M219)),M219&lt;10000000,M219&gt;99999999),"Código UNSPSC inválido: registre 8 dígitos",IF(MOD(M219,10000)=0,"UNSPSC a nivel de segmento o familia: use clase o producto",IF(IFERROR(MATCH(P219,L_MESES,0)&lt;MATCH(O219,L_MESES,0),TRUE()),"El mes de ofertas es anterior al de inicio del proceso",IF(OR(NOT(ISNUMBER(Q219)),Q219&lt;=0),"Duración inválida",IF(OR(NOT(ISNUMBER(W219)),NOT(ISNUMBER(X219))),"Valor inválido: registre solo números",IF(OR(W219&lt;=0,X219&lt;=0),"Valor inválido: debe ser mayor que cero",IF(X219&gt;W219,"El valor de la vigencia 2027 supera el valor total",IF(AND(X219&lt;W219,Y219="No"),"El valor total supera el de 2027: requiere vigencias futuras",IF(AND(Y219="Sí",OR(Z219="",Z219="No aplica")),"Indique el estado de la solicitud de vigencias futuras",IF(IF(AND(S219="Mínima cuantía",ISNUMBER(P_TOPE_MINIMA)),W219&gt;P_TOPE_MINIMA,FALSE()),"El valor supera el tope de mínima cuantía 2027",IF(IF(AND(S219="Selección abreviada de menor cuantía",ISNUMBER(P_TOPE_MENOR)),W219&gt;P_TOPE_MENOR,FALSE()),"El valor supera el tope de menor cuantía 2027",IF(OR(ISERROR(SEARCH("@itc.edu.co",AE219)),SUMPRODUCT(--ISNUMBER(SEARCH({"á","é","í","ó","ú","ñ"," "},AE219)))&gt;0),"El correo del responsable no es institucional válido",IF(AND(AF219="Sí",AG219=""),"Indique el N.° de registro 2026 que continúa","OK")))))))))))))))))</f>
        <v/>
      </c>
      <c r="AK219" s="15" t="str">
        <f>IF(AJ219="OK",COUNTIF($AJ$7:AJ219,"OK"),"")</f>
        <v/>
      </c>
    </row>
    <row r="220" spans="1:37" x14ac:dyDescent="0.3">
      <c r="A220" s="13" t="str">
        <f t="shared" si="3"/>
        <v>PN27-214</v>
      </c>
      <c r="B220" s="26"/>
      <c r="C220" s="13" t="str">
        <f>IF(B220="","",IFERROR(INDEX(Catalogos!$R$5:$R$51,MATCH(B220,L_AREAS,0)),""))</f>
        <v/>
      </c>
      <c r="D220" s="13" t="str">
        <f>IF(B220="","",IFERROR(INDEX(Catalogos!$O$5:$O$51,MATCH(B220,L_AREAS,0)),""))</f>
        <v/>
      </c>
      <c r="E220" s="26"/>
      <c r="F220" s="13" t="str">
        <f>IF(E220="","",IFERROR(INDEX(Catalogos!$C$5:$C$49,MATCH(E220,L_METAS,0)),""))</f>
        <v/>
      </c>
      <c r="G220" s="13" t="str">
        <f>IF(E220="","",IFERROR(INDEX(Catalogos!$E$5:$E$49,MATCH(E220,L_METAS,0)),""))</f>
        <v/>
      </c>
      <c r="H220" s="26"/>
      <c r="I220" s="26"/>
      <c r="J220" s="26"/>
      <c r="K220" s="26"/>
      <c r="L220" s="26"/>
      <c r="M220" s="27"/>
      <c r="N220" s="26"/>
      <c r="O220" s="26"/>
      <c r="P220" s="26"/>
      <c r="Q220" s="26"/>
      <c r="R220" s="26"/>
      <c r="S220" s="26"/>
      <c r="T220" s="26"/>
      <c r="U220" s="26"/>
      <c r="V220" s="26"/>
      <c r="W220" s="28"/>
      <c r="X220" s="28"/>
      <c r="Y220" s="26"/>
      <c r="Z220" s="26"/>
      <c r="AA220" s="26"/>
      <c r="AB220" s="26"/>
      <c r="AC220" s="26"/>
      <c r="AD220" s="26"/>
      <c r="AE220" s="26"/>
      <c r="AF220" s="26"/>
      <c r="AG220" s="26"/>
      <c r="AH220" s="26"/>
      <c r="AI220" s="26"/>
      <c r="AJ220" s="15" t="str">
        <f>IF(COUNTA(B220,E220,H220,I220,J220,K220,L220,M220,N220,O220,P220,Q220,R220,S220,T220,U220,V220,W220,X220,Y220,Z220,AA220,AB220,AC220,AD220,AE220,AF220,AG220,AH220,AI220)=0,"",IF(OR(B220="",E220="",H220="",J220="",K220="",L220="",M220="",O220="",P220="",Q220="",R220="",S220="",T220="",U220="",W220="",X220="",Y220="",AB220="",AC220="",AE220="",AF220=""),"Incompleta: faltan campos obligatorios",IF(AND(LEFT(H220,6)="PROPIA",I220=""),"Falta el nombre de la acción propia del área",IF(AND(LEFT(H220,3)="A27",IFERROR(INDEX(Catalogos!$T$5:$T$207,MATCH(H220,Catalogos!$U$5:$U$207,0)),"x")&lt;&gt;LEFT(E220,7)),"La acción no corresponde a la meta seleccionada",IF(OR(NOT(ISNUMBER(M220)),M220&lt;10000000,M220&gt;99999999),"Código UNSPSC inválido: registre 8 dígitos",IF(MOD(M220,10000)=0,"UNSPSC a nivel de segmento o familia: use clase o producto",IF(IFERROR(MATCH(P220,L_MESES,0)&lt;MATCH(O220,L_MESES,0),TRUE()),"El mes de ofertas es anterior al de inicio del proceso",IF(OR(NOT(ISNUMBER(Q220)),Q220&lt;=0),"Duración inválida",IF(OR(NOT(ISNUMBER(W220)),NOT(ISNUMBER(X220))),"Valor inválido: registre solo números",IF(OR(W220&lt;=0,X220&lt;=0),"Valor inválido: debe ser mayor que cero",IF(X220&gt;W220,"El valor de la vigencia 2027 supera el valor total",IF(AND(X220&lt;W220,Y220="No"),"El valor total supera el de 2027: requiere vigencias futuras",IF(AND(Y220="Sí",OR(Z220="",Z220="No aplica")),"Indique el estado de la solicitud de vigencias futuras",IF(IF(AND(S220="Mínima cuantía",ISNUMBER(P_TOPE_MINIMA)),W220&gt;P_TOPE_MINIMA,FALSE()),"El valor supera el tope de mínima cuantía 2027",IF(IF(AND(S220="Selección abreviada de menor cuantía",ISNUMBER(P_TOPE_MENOR)),W220&gt;P_TOPE_MENOR,FALSE()),"El valor supera el tope de menor cuantía 2027",IF(OR(ISERROR(SEARCH("@itc.edu.co",AE220)),SUMPRODUCT(--ISNUMBER(SEARCH({"á","é","í","ó","ú","ñ"," "},AE220)))&gt;0),"El correo del responsable no es institucional válido",IF(AND(AF220="Sí",AG220=""),"Indique el N.° de registro 2026 que continúa","OK")))))))))))))))))</f>
        <v/>
      </c>
      <c r="AK220" s="15" t="str">
        <f>IF(AJ220="OK",COUNTIF($AJ$7:AJ220,"OK"),"")</f>
        <v/>
      </c>
    </row>
    <row r="221" spans="1:37" x14ac:dyDescent="0.3">
      <c r="A221" s="13" t="str">
        <f t="shared" si="3"/>
        <v>PN27-215</v>
      </c>
      <c r="B221" s="26"/>
      <c r="C221" s="13" t="str">
        <f>IF(B221="","",IFERROR(INDEX(Catalogos!$R$5:$R$51,MATCH(B221,L_AREAS,0)),""))</f>
        <v/>
      </c>
      <c r="D221" s="13" t="str">
        <f>IF(B221="","",IFERROR(INDEX(Catalogos!$O$5:$O$51,MATCH(B221,L_AREAS,0)),""))</f>
        <v/>
      </c>
      <c r="E221" s="26"/>
      <c r="F221" s="13" t="str">
        <f>IF(E221="","",IFERROR(INDEX(Catalogos!$C$5:$C$49,MATCH(E221,L_METAS,0)),""))</f>
        <v/>
      </c>
      <c r="G221" s="13" t="str">
        <f>IF(E221="","",IFERROR(INDEX(Catalogos!$E$5:$E$49,MATCH(E221,L_METAS,0)),""))</f>
        <v/>
      </c>
      <c r="H221" s="26"/>
      <c r="I221" s="26"/>
      <c r="J221" s="26"/>
      <c r="K221" s="26"/>
      <c r="L221" s="26"/>
      <c r="M221" s="27"/>
      <c r="N221" s="26"/>
      <c r="O221" s="26"/>
      <c r="P221" s="26"/>
      <c r="Q221" s="26"/>
      <c r="R221" s="26"/>
      <c r="S221" s="26"/>
      <c r="T221" s="26"/>
      <c r="U221" s="26"/>
      <c r="V221" s="26"/>
      <c r="W221" s="28"/>
      <c r="X221" s="28"/>
      <c r="Y221" s="26"/>
      <c r="Z221" s="26"/>
      <c r="AA221" s="26"/>
      <c r="AB221" s="26"/>
      <c r="AC221" s="26"/>
      <c r="AD221" s="26"/>
      <c r="AE221" s="26"/>
      <c r="AF221" s="26"/>
      <c r="AG221" s="26"/>
      <c r="AH221" s="26"/>
      <c r="AI221" s="26"/>
      <c r="AJ221" s="15" t="str">
        <f>IF(COUNTA(B221,E221,H221,I221,J221,K221,L221,M221,N221,O221,P221,Q221,R221,S221,T221,U221,V221,W221,X221,Y221,Z221,AA221,AB221,AC221,AD221,AE221,AF221,AG221,AH221,AI221)=0,"",IF(OR(B221="",E221="",H221="",J221="",K221="",L221="",M221="",O221="",P221="",Q221="",R221="",S221="",T221="",U221="",W221="",X221="",Y221="",AB221="",AC221="",AE221="",AF221=""),"Incompleta: faltan campos obligatorios",IF(AND(LEFT(H221,6)="PROPIA",I221=""),"Falta el nombre de la acción propia del área",IF(AND(LEFT(H221,3)="A27",IFERROR(INDEX(Catalogos!$T$5:$T$207,MATCH(H221,Catalogos!$U$5:$U$207,0)),"x")&lt;&gt;LEFT(E221,7)),"La acción no corresponde a la meta seleccionada",IF(OR(NOT(ISNUMBER(M221)),M221&lt;10000000,M221&gt;99999999),"Código UNSPSC inválido: registre 8 dígitos",IF(MOD(M221,10000)=0,"UNSPSC a nivel de segmento o familia: use clase o producto",IF(IFERROR(MATCH(P221,L_MESES,0)&lt;MATCH(O221,L_MESES,0),TRUE()),"El mes de ofertas es anterior al de inicio del proceso",IF(OR(NOT(ISNUMBER(Q221)),Q221&lt;=0),"Duración inválida",IF(OR(NOT(ISNUMBER(W221)),NOT(ISNUMBER(X221))),"Valor inválido: registre solo números",IF(OR(W221&lt;=0,X221&lt;=0),"Valor inválido: debe ser mayor que cero",IF(X221&gt;W221,"El valor de la vigencia 2027 supera el valor total",IF(AND(X221&lt;W221,Y221="No"),"El valor total supera el de 2027: requiere vigencias futuras",IF(AND(Y221="Sí",OR(Z221="",Z221="No aplica")),"Indique el estado de la solicitud de vigencias futuras",IF(IF(AND(S221="Mínima cuantía",ISNUMBER(P_TOPE_MINIMA)),W221&gt;P_TOPE_MINIMA,FALSE()),"El valor supera el tope de mínima cuantía 2027",IF(IF(AND(S221="Selección abreviada de menor cuantía",ISNUMBER(P_TOPE_MENOR)),W221&gt;P_TOPE_MENOR,FALSE()),"El valor supera el tope de menor cuantía 2027",IF(OR(ISERROR(SEARCH("@itc.edu.co",AE221)),SUMPRODUCT(--ISNUMBER(SEARCH({"á","é","í","ó","ú","ñ"," "},AE221)))&gt;0),"El correo del responsable no es institucional válido",IF(AND(AF221="Sí",AG221=""),"Indique el N.° de registro 2026 que continúa","OK")))))))))))))))))</f>
        <v/>
      </c>
      <c r="AK221" s="15" t="str">
        <f>IF(AJ221="OK",COUNTIF($AJ$7:AJ221,"OK"),"")</f>
        <v/>
      </c>
    </row>
    <row r="222" spans="1:37" x14ac:dyDescent="0.3">
      <c r="A222" s="13" t="str">
        <f t="shared" si="3"/>
        <v>PN27-216</v>
      </c>
      <c r="B222" s="26"/>
      <c r="C222" s="13" t="str">
        <f>IF(B222="","",IFERROR(INDEX(Catalogos!$R$5:$R$51,MATCH(B222,L_AREAS,0)),""))</f>
        <v/>
      </c>
      <c r="D222" s="13" t="str">
        <f>IF(B222="","",IFERROR(INDEX(Catalogos!$O$5:$O$51,MATCH(B222,L_AREAS,0)),""))</f>
        <v/>
      </c>
      <c r="E222" s="26"/>
      <c r="F222" s="13" t="str">
        <f>IF(E222="","",IFERROR(INDEX(Catalogos!$C$5:$C$49,MATCH(E222,L_METAS,0)),""))</f>
        <v/>
      </c>
      <c r="G222" s="13" t="str">
        <f>IF(E222="","",IFERROR(INDEX(Catalogos!$E$5:$E$49,MATCH(E222,L_METAS,0)),""))</f>
        <v/>
      </c>
      <c r="H222" s="26"/>
      <c r="I222" s="26"/>
      <c r="J222" s="26"/>
      <c r="K222" s="26"/>
      <c r="L222" s="26"/>
      <c r="M222" s="27"/>
      <c r="N222" s="26"/>
      <c r="O222" s="26"/>
      <c r="P222" s="26"/>
      <c r="Q222" s="26"/>
      <c r="R222" s="26"/>
      <c r="S222" s="26"/>
      <c r="T222" s="26"/>
      <c r="U222" s="26"/>
      <c r="V222" s="26"/>
      <c r="W222" s="28"/>
      <c r="X222" s="28"/>
      <c r="Y222" s="26"/>
      <c r="Z222" s="26"/>
      <c r="AA222" s="26"/>
      <c r="AB222" s="26"/>
      <c r="AC222" s="26"/>
      <c r="AD222" s="26"/>
      <c r="AE222" s="26"/>
      <c r="AF222" s="26"/>
      <c r="AG222" s="26"/>
      <c r="AH222" s="26"/>
      <c r="AI222" s="26"/>
      <c r="AJ222" s="15" t="str">
        <f>IF(COUNTA(B222,E222,H222,I222,J222,K222,L222,M222,N222,O222,P222,Q222,R222,S222,T222,U222,V222,W222,X222,Y222,Z222,AA222,AB222,AC222,AD222,AE222,AF222,AG222,AH222,AI222)=0,"",IF(OR(B222="",E222="",H222="",J222="",K222="",L222="",M222="",O222="",P222="",Q222="",R222="",S222="",T222="",U222="",W222="",X222="",Y222="",AB222="",AC222="",AE222="",AF222=""),"Incompleta: faltan campos obligatorios",IF(AND(LEFT(H222,6)="PROPIA",I222=""),"Falta el nombre de la acción propia del área",IF(AND(LEFT(H222,3)="A27",IFERROR(INDEX(Catalogos!$T$5:$T$207,MATCH(H222,Catalogos!$U$5:$U$207,0)),"x")&lt;&gt;LEFT(E222,7)),"La acción no corresponde a la meta seleccionada",IF(OR(NOT(ISNUMBER(M222)),M222&lt;10000000,M222&gt;99999999),"Código UNSPSC inválido: registre 8 dígitos",IF(MOD(M222,10000)=0,"UNSPSC a nivel de segmento o familia: use clase o producto",IF(IFERROR(MATCH(P222,L_MESES,0)&lt;MATCH(O222,L_MESES,0),TRUE()),"El mes de ofertas es anterior al de inicio del proceso",IF(OR(NOT(ISNUMBER(Q222)),Q222&lt;=0),"Duración inválida",IF(OR(NOT(ISNUMBER(W222)),NOT(ISNUMBER(X222))),"Valor inválido: registre solo números",IF(OR(W222&lt;=0,X222&lt;=0),"Valor inválido: debe ser mayor que cero",IF(X222&gt;W222,"El valor de la vigencia 2027 supera el valor total",IF(AND(X222&lt;W222,Y222="No"),"El valor total supera el de 2027: requiere vigencias futuras",IF(AND(Y222="Sí",OR(Z222="",Z222="No aplica")),"Indique el estado de la solicitud de vigencias futuras",IF(IF(AND(S222="Mínima cuantía",ISNUMBER(P_TOPE_MINIMA)),W222&gt;P_TOPE_MINIMA,FALSE()),"El valor supera el tope de mínima cuantía 2027",IF(IF(AND(S222="Selección abreviada de menor cuantía",ISNUMBER(P_TOPE_MENOR)),W222&gt;P_TOPE_MENOR,FALSE()),"El valor supera el tope de menor cuantía 2027",IF(OR(ISERROR(SEARCH("@itc.edu.co",AE222)),SUMPRODUCT(--ISNUMBER(SEARCH({"á","é","í","ó","ú","ñ"," "},AE222)))&gt;0),"El correo del responsable no es institucional válido",IF(AND(AF222="Sí",AG222=""),"Indique el N.° de registro 2026 que continúa","OK")))))))))))))))))</f>
        <v/>
      </c>
      <c r="AK222" s="15" t="str">
        <f>IF(AJ222="OK",COUNTIF($AJ$7:AJ222,"OK"),"")</f>
        <v/>
      </c>
    </row>
    <row r="223" spans="1:37" x14ac:dyDescent="0.3">
      <c r="A223" s="13" t="str">
        <f t="shared" si="3"/>
        <v>PN27-217</v>
      </c>
      <c r="B223" s="26"/>
      <c r="C223" s="13" t="str">
        <f>IF(B223="","",IFERROR(INDEX(Catalogos!$R$5:$R$51,MATCH(B223,L_AREAS,0)),""))</f>
        <v/>
      </c>
      <c r="D223" s="13" t="str">
        <f>IF(B223="","",IFERROR(INDEX(Catalogos!$O$5:$O$51,MATCH(B223,L_AREAS,0)),""))</f>
        <v/>
      </c>
      <c r="E223" s="26"/>
      <c r="F223" s="13" t="str">
        <f>IF(E223="","",IFERROR(INDEX(Catalogos!$C$5:$C$49,MATCH(E223,L_METAS,0)),""))</f>
        <v/>
      </c>
      <c r="G223" s="13" t="str">
        <f>IF(E223="","",IFERROR(INDEX(Catalogos!$E$5:$E$49,MATCH(E223,L_METAS,0)),""))</f>
        <v/>
      </c>
      <c r="H223" s="26"/>
      <c r="I223" s="26"/>
      <c r="J223" s="26"/>
      <c r="K223" s="26"/>
      <c r="L223" s="26"/>
      <c r="M223" s="27"/>
      <c r="N223" s="26"/>
      <c r="O223" s="26"/>
      <c r="P223" s="26"/>
      <c r="Q223" s="26"/>
      <c r="R223" s="26"/>
      <c r="S223" s="26"/>
      <c r="T223" s="26"/>
      <c r="U223" s="26"/>
      <c r="V223" s="26"/>
      <c r="W223" s="28"/>
      <c r="X223" s="28"/>
      <c r="Y223" s="26"/>
      <c r="Z223" s="26"/>
      <c r="AA223" s="26"/>
      <c r="AB223" s="26"/>
      <c r="AC223" s="26"/>
      <c r="AD223" s="26"/>
      <c r="AE223" s="26"/>
      <c r="AF223" s="26"/>
      <c r="AG223" s="26"/>
      <c r="AH223" s="26"/>
      <c r="AI223" s="26"/>
      <c r="AJ223" s="15" t="str">
        <f>IF(COUNTA(B223,E223,H223,I223,J223,K223,L223,M223,N223,O223,P223,Q223,R223,S223,T223,U223,V223,W223,X223,Y223,Z223,AA223,AB223,AC223,AD223,AE223,AF223,AG223,AH223,AI223)=0,"",IF(OR(B223="",E223="",H223="",J223="",K223="",L223="",M223="",O223="",P223="",Q223="",R223="",S223="",T223="",U223="",W223="",X223="",Y223="",AB223="",AC223="",AE223="",AF223=""),"Incompleta: faltan campos obligatorios",IF(AND(LEFT(H223,6)="PROPIA",I223=""),"Falta el nombre de la acción propia del área",IF(AND(LEFT(H223,3)="A27",IFERROR(INDEX(Catalogos!$T$5:$T$207,MATCH(H223,Catalogos!$U$5:$U$207,0)),"x")&lt;&gt;LEFT(E223,7)),"La acción no corresponde a la meta seleccionada",IF(OR(NOT(ISNUMBER(M223)),M223&lt;10000000,M223&gt;99999999),"Código UNSPSC inválido: registre 8 dígitos",IF(MOD(M223,10000)=0,"UNSPSC a nivel de segmento o familia: use clase o producto",IF(IFERROR(MATCH(P223,L_MESES,0)&lt;MATCH(O223,L_MESES,0),TRUE()),"El mes de ofertas es anterior al de inicio del proceso",IF(OR(NOT(ISNUMBER(Q223)),Q223&lt;=0),"Duración inválida",IF(OR(NOT(ISNUMBER(W223)),NOT(ISNUMBER(X223))),"Valor inválido: registre solo números",IF(OR(W223&lt;=0,X223&lt;=0),"Valor inválido: debe ser mayor que cero",IF(X223&gt;W223,"El valor de la vigencia 2027 supera el valor total",IF(AND(X223&lt;W223,Y223="No"),"El valor total supera el de 2027: requiere vigencias futuras",IF(AND(Y223="Sí",OR(Z223="",Z223="No aplica")),"Indique el estado de la solicitud de vigencias futuras",IF(IF(AND(S223="Mínima cuantía",ISNUMBER(P_TOPE_MINIMA)),W223&gt;P_TOPE_MINIMA,FALSE()),"El valor supera el tope de mínima cuantía 2027",IF(IF(AND(S223="Selección abreviada de menor cuantía",ISNUMBER(P_TOPE_MENOR)),W223&gt;P_TOPE_MENOR,FALSE()),"El valor supera el tope de menor cuantía 2027",IF(OR(ISERROR(SEARCH("@itc.edu.co",AE223)),SUMPRODUCT(--ISNUMBER(SEARCH({"á","é","í","ó","ú","ñ"," "},AE223)))&gt;0),"El correo del responsable no es institucional válido",IF(AND(AF223="Sí",AG223=""),"Indique el N.° de registro 2026 que continúa","OK")))))))))))))))))</f>
        <v/>
      </c>
      <c r="AK223" s="15" t="str">
        <f>IF(AJ223="OK",COUNTIF($AJ$7:AJ223,"OK"),"")</f>
        <v/>
      </c>
    </row>
    <row r="224" spans="1:37" x14ac:dyDescent="0.3">
      <c r="A224" s="13" t="str">
        <f t="shared" si="3"/>
        <v>PN27-218</v>
      </c>
      <c r="B224" s="26"/>
      <c r="C224" s="13" t="str">
        <f>IF(B224="","",IFERROR(INDEX(Catalogos!$R$5:$R$51,MATCH(B224,L_AREAS,0)),""))</f>
        <v/>
      </c>
      <c r="D224" s="13" t="str">
        <f>IF(B224="","",IFERROR(INDEX(Catalogos!$O$5:$O$51,MATCH(B224,L_AREAS,0)),""))</f>
        <v/>
      </c>
      <c r="E224" s="26"/>
      <c r="F224" s="13" t="str">
        <f>IF(E224="","",IFERROR(INDEX(Catalogos!$C$5:$C$49,MATCH(E224,L_METAS,0)),""))</f>
        <v/>
      </c>
      <c r="G224" s="13" t="str">
        <f>IF(E224="","",IFERROR(INDEX(Catalogos!$E$5:$E$49,MATCH(E224,L_METAS,0)),""))</f>
        <v/>
      </c>
      <c r="H224" s="26"/>
      <c r="I224" s="26"/>
      <c r="J224" s="26"/>
      <c r="K224" s="26"/>
      <c r="L224" s="26"/>
      <c r="M224" s="27"/>
      <c r="N224" s="26"/>
      <c r="O224" s="26"/>
      <c r="P224" s="26"/>
      <c r="Q224" s="26"/>
      <c r="R224" s="26"/>
      <c r="S224" s="26"/>
      <c r="T224" s="26"/>
      <c r="U224" s="26"/>
      <c r="V224" s="26"/>
      <c r="W224" s="28"/>
      <c r="X224" s="28"/>
      <c r="Y224" s="26"/>
      <c r="Z224" s="26"/>
      <c r="AA224" s="26"/>
      <c r="AB224" s="26"/>
      <c r="AC224" s="26"/>
      <c r="AD224" s="26"/>
      <c r="AE224" s="26"/>
      <c r="AF224" s="26"/>
      <c r="AG224" s="26"/>
      <c r="AH224" s="26"/>
      <c r="AI224" s="26"/>
      <c r="AJ224" s="15" t="str">
        <f>IF(COUNTA(B224,E224,H224,I224,J224,K224,L224,M224,N224,O224,P224,Q224,R224,S224,T224,U224,V224,W224,X224,Y224,Z224,AA224,AB224,AC224,AD224,AE224,AF224,AG224,AH224,AI224)=0,"",IF(OR(B224="",E224="",H224="",J224="",K224="",L224="",M224="",O224="",P224="",Q224="",R224="",S224="",T224="",U224="",W224="",X224="",Y224="",AB224="",AC224="",AE224="",AF224=""),"Incompleta: faltan campos obligatorios",IF(AND(LEFT(H224,6)="PROPIA",I224=""),"Falta el nombre de la acción propia del área",IF(AND(LEFT(H224,3)="A27",IFERROR(INDEX(Catalogos!$T$5:$T$207,MATCH(H224,Catalogos!$U$5:$U$207,0)),"x")&lt;&gt;LEFT(E224,7)),"La acción no corresponde a la meta seleccionada",IF(OR(NOT(ISNUMBER(M224)),M224&lt;10000000,M224&gt;99999999),"Código UNSPSC inválido: registre 8 dígitos",IF(MOD(M224,10000)=0,"UNSPSC a nivel de segmento o familia: use clase o producto",IF(IFERROR(MATCH(P224,L_MESES,0)&lt;MATCH(O224,L_MESES,0),TRUE()),"El mes de ofertas es anterior al de inicio del proceso",IF(OR(NOT(ISNUMBER(Q224)),Q224&lt;=0),"Duración inválida",IF(OR(NOT(ISNUMBER(W224)),NOT(ISNUMBER(X224))),"Valor inválido: registre solo números",IF(OR(W224&lt;=0,X224&lt;=0),"Valor inválido: debe ser mayor que cero",IF(X224&gt;W224,"El valor de la vigencia 2027 supera el valor total",IF(AND(X224&lt;W224,Y224="No"),"El valor total supera el de 2027: requiere vigencias futuras",IF(AND(Y224="Sí",OR(Z224="",Z224="No aplica")),"Indique el estado de la solicitud de vigencias futuras",IF(IF(AND(S224="Mínima cuantía",ISNUMBER(P_TOPE_MINIMA)),W224&gt;P_TOPE_MINIMA,FALSE()),"El valor supera el tope de mínima cuantía 2027",IF(IF(AND(S224="Selección abreviada de menor cuantía",ISNUMBER(P_TOPE_MENOR)),W224&gt;P_TOPE_MENOR,FALSE()),"El valor supera el tope de menor cuantía 2027",IF(OR(ISERROR(SEARCH("@itc.edu.co",AE224)),SUMPRODUCT(--ISNUMBER(SEARCH({"á","é","í","ó","ú","ñ"," "},AE224)))&gt;0),"El correo del responsable no es institucional válido",IF(AND(AF224="Sí",AG224=""),"Indique el N.° de registro 2026 que continúa","OK")))))))))))))))))</f>
        <v/>
      </c>
      <c r="AK224" s="15" t="str">
        <f>IF(AJ224="OK",COUNTIF($AJ$7:AJ224,"OK"),"")</f>
        <v/>
      </c>
    </row>
    <row r="225" spans="1:37" x14ac:dyDescent="0.3">
      <c r="A225" s="13" t="str">
        <f t="shared" si="3"/>
        <v>PN27-219</v>
      </c>
      <c r="B225" s="26"/>
      <c r="C225" s="13" t="str">
        <f>IF(B225="","",IFERROR(INDEX(Catalogos!$R$5:$R$51,MATCH(B225,L_AREAS,0)),""))</f>
        <v/>
      </c>
      <c r="D225" s="13" t="str">
        <f>IF(B225="","",IFERROR(INDEX(Catalogos!$O$5:$O$51,MATCH(B225,L_AREAS,0)),""))</f>
        <v/>
      </c>
      <c r="E225" s="26"/>
      <c r="F225" s="13" t="str">
        <f>IF(E225="","",IFERROR(INDEX(Catalogos!$C$5:$C$49,MATCH(E225,L_METAS,0)),""))</f>
        <v/>
      </c>
      <c r="G225" s="13" t="str">
        <f>IF(E225="","",IFERROR(INDEX(Catalogos!$E$5:$E$49,MATCH(E225,L_METAS,0)),""))</f>
        <v/>
      </c>
      <c r="H225" s="26"/>
      <c r="I225" s="26"/>
      <c r="J225" s="26"/>
      <c r="K225" s="26"/>
      <c r="L225" s="26"/>
      <c r="M225" s="27"/>
      <c r="N225" s="26"/>
      <c r="O225" s="26"/>
      <c r="P225" s="26"/>
      <c r="Q225" s="26"/>
      <c r="R225" s="26"/>
      <c r="S225" s="26"/>
      <c r="T225" s="26"/>
      <c r="U225" s="26"/>
      <c r="V225" s="26"/>
      <c r="W225" s="28"/>
      <c r="X225" s="28"/>
      <c r="Y225" s="26"/>
      <c r="Z225" s="26"/>
      <c r="AA225" s="26"/>
      <c r="AB225" s="26"/>
      <c r="AC225" s="26"/>
      <c r="AD225" s="26"/>
      <c r="AE225" s="26"/>
      <c r="AF225" s="26"/>
      <c r="AG225" s="26"/>
      <c r="AH225" s="26"/>
      <c r="AI225" s="26"/>
      <c r="AJ225" s="15" t="str">
        <f>IF(COUNTA(B225,E225,H225,I225,J225,K225,L225,M225,N225,O225,P225,Q225,R225,S225,T225,U225,V225,W225,X225,Y225,Z225,AA225,AB225,AC225,AD225,AE225,AF225,AG225,AH225,AI225)=0,"",IF(OR(B225="",E225="",H225="",J225="",K225="",L225="",M225="",O225="",P225="",Q225="",R225="",S225="",T225="",U225="",W225="",X225="",Y225="",AB225="",AC225="",AE225="",AF225=""),"Incompleta: faltan campos obligatorios",IF(AND(LEFT(H225,6)="PROPIA",I225=""),"Falta el nombre de la acción propia del área",IF(AND(LEFT(H225,3)="A27",IFERROR(INDEX(Catalogos!$T$5:$T$207,MATCH(H225,Catalogos!$U$5:$U$207,0)),"x")&lt;&gt;LEFT(E225,7)),"La acción no corresponde a la meta seleccionada",IF(OR(NOT(ISNUMBER(M225)),M225&lt;10000000,M225&gt;99999999),"Código UNSPSC inválido: registre 8 dígitos",IF(MOD(M225,10000)=0,"UNSPSC a nivel de segmento o familia: use clase o producto",IF(IFERROR(MATCH(P225,L_MESES,0)&lt;MATCH(O225,L_MESES,0),TRUE()),"El mes de ofertas es anterior al de inicio del proceso",IF(OR(NOT(ISNUMBER(Q225)),Q225&lt;=0),"Duración inválida",IF(OR(NOT(ISNUMBER(W225)),NOT(ISNUMBER(X225))),"Valor inválido: registre solo números",IF(OR(W225&lt;=0,X225&lt;=0),"Valor inválido: debe ser mayor que cero",IF(X225&gt;W225,"El valor de la vigencia 2027 supera el valor total",IF(AND(X225&lt;W225,Y225="No"),"El valor total supera el de 2027: requiere vigencias futuras",IF(AND(Y225="Sí",OR(Z225="",Z225="No aplica")),"Indique el estado de la solicitud de vigencias futuras",IF(IF(AND(S225="Mínima cuantía",ISNUMBER(P_TOPE_MINIMA)),W225&gt;P_TOPE_MINIMA,FALSE()),"El valor supera el tope de mínima cuantía 2027",IF(IF(AND(S225="Selección abreviada de menor cuantía",ISNUMBER(P_TOPE_MENOR)),W225&gt;P_TOPE_MENOR,FALSE()),"El valor supera el tope de menor cuantía 2027",IF(OR(ISERROR(SEARCH("@itc.edu.co",AE225)),SUMPRODUCT(--ISNUMBER(SEARCH({"á","é","í","ó","ú","ñ"," "},AE225)))&gt;0),"El correo del responsable no es institucional válido",IF(AND(AF225="Sí",AG225=""),"Indique el N.° de registro 2026 que continúa","OK")))))))))))))))))</f>
        <v/>
      </c>
      <c r="AK225" s="15" t="str">
        <f>IF(AJ225="OK",COUNTIF($AJ$7:AJ225,"OK"),"")</f>
        <v/>
      </c>
    </row>
    <row r="226" spans="1:37" x14ac:dyDescent="0.3">
      <c r="A226" s="13" t="str">
        <f t="shared" si="3"/>
        <v>PN27-220</v>
      </c>
      <c r="B226" s="26"/>
      <c r="C226" s="13" t="str">
        <f>IF(B226="","",IFERROR(INDEX(Catalogos!$R$5:$R$51,MATCH(B226,L_AREAS,0)),""))</f>
        <v/>
      </c>
      <c r="D226" s="13" t="str">
        <f>IF(B226="","",IFERROR(INDEX(Catalogos!$O$5:$O$51,MATCH(B226,L_AREAS,0)),""))</f>
        <v/>
      </c>
      <c r="E226" s="26"/>
      <c r="F226" s="13" t="str">
        <f>IF(E226="","",IFERROR(INDEX(Catalogos!$C$5:$C$49,MATCH(E226,L_METAS,0)),""))</f>
        <v/>
      </c>
      <c r="G226" s="13" t="str">
        <f>IF(E226="","",IFERROR(INDEX(Catalogos!$E$5:$E$49,MATCH(E226,L_METAS,0)),""))</f>
        <v/>
      </c>
      <c r="H226" s="26"/>
      <c r="I226" s="26"/>
      <c r="J226" s="26"/>
      <c r="K226" s="26"/>
      <c r="L226" s="26"/>
      <c r="M226" s="27"/>
      <c r="N226" s="26"/>
      <c r="O226" s="26"/>
      <c r="P226" s="26"/>
      <c r="Q226" s="26"/>
      <c r="R226" s="26"/>
      <c r="S226" s="26"/>
      <c r="T226" s="26"/>
      <c r="U226" s="26"/>
      <c r="V226" s="26"/>
      <c r="W226" s="28"/>
      <c r="X226" s="28"/>
      <c r="Y226" s="26"/>
      <c r="Z226" s="26"/>
      <c r="AA226" s="26"/>
      <c r="AB226" s="26"/>
      <c r="AC226" s="26"/>
      <c r="AD226" s="26"/>
      <c r="AE226" s="26"/>
      <c r="AF226" s="26"/>
      <c r="AG226" s="26"/>
      <c r="AH226" s="26"/>
      <c r="AI226" s="26"/>
      <c r="AJ226" s="15" t="str">
        <f>IF(COUNTA(B226,E226,H226,I226,J226,K226,L226,M226,N226,O226,P226,Q226,R226,S226,T226,U226,V226,W226,X226,Y226,Z226,AA226,AB226,AC226,AD226,AE226,AF226,AG226,AH226,AI226)=0,"",IF(OR(B226="",E226="",H226="",J226="",K226="",L226="",M226="",O226="",P226="",Q226="",R226="",S226="",T226="",U226="",W226="",X226="",Y226="",AB226="",AC226="",AE226="",AF226=""),"Incompleta: faltan campos obligatorios",IF(AND(LEFT(H226,6)="PROPIA",I226=""),"Falta el nombre de la acción propia del área",IF(AND(LEFT(H226,3)="A27",IFERROR(INDEX(Catalogos!$T$5:$T$207,MATCH(H226,Catalogos!$U$5:$U$207,0)),"x")&lt;&gt;LEFT(E226,7)),"La acción no corresponde a la meta seleccionada",IF(OR(NOT(ISNUMBER(M226)),M226&lt;10000000,M226&gt;99999999),"Código UNSPSC inválido: registre 8 dígitos",IF(MOD(M226,10000)=0,"UNSPSC a nivel de segmento o familia: use clase o producto",IF(IFERROR(MATCH(P226,L_MESES,0)&lt;MATCH(O226,L_MESES,0),TRUE()),"El mes de ofertas es anterior al de inicio del proceso",IF(OR(NOT(ISNUMBER(Q226)),Q226&lt;=0),"Duración inválida",IF(OR(NOT(ISNUMBER(W226)),NOT(ISNUMBER(X226))),"Valor inválido: registre solo números",IF(OR(W226&lt;=0,X226&lt;=0),"Valor inválido: debe ser mayor que cero",IF(X226&gt;W226,"El valor de la vigencia 2027 supera el valor total",IF(AND(X226&lt;W226,Y226="No"),"El valor total supera el de 2027: requiere vigencias futuras",IF(AND(Y226="Sí",OR(Z226="",Z226="No aplica")),"Indique el estado de la solicitud de vigencias futuras",IF(IF(AND(S226="Mínima cuantía",ISNUMBER(P_TOPE_MINIMA)),W226&gt;P_TOPE_MINIMA,FALSE()),"El valor supera el tope de mínima cuantía 2027",IF(IF(AND(S226="Selección abreviada de menor cuantía",ISNUMBER(P_TOPE_MENOR)),W226&gt;P_TOPE_MENOR,FALSE()),"El valor supera el tope de menor cuantía 2027",IF(OR(ISERROR(SEARCH("@itc.edu.co",AE226)),SUMPRODUCT(--ISNUMBER(SEARCH({"á","é","í","ó","ú","ñ"," "},AE226)))&gt;0),"El correo del responsable no es institucional válido",IF(AND(AF226="Sí",AG226=""),"Indique el N.° de registro 2026 que continúa","OK")))))))))))))))))</f>
        <v/>
      </c>
      <c r="AK226" s="15" t="str">
        <f>IF(AJ226="OK",COUNTIF($AJ$7:AJ226,"OK"),"")</f>
        <v/>
      </c>
    </row>
    <row r="227" spans="1:37" x14ac:dyDescent="0.3">
      <c r="A227" s="13" t="str">
        <f t="shared" si="3"/>
        <v>PN27-221</v>
      </c>
      <c r="B227" s="26"/>
      <c r="C227" s="13" t="str">
        <f>IF(B227="","",IFERROR(INDEX(Catalogos!$R$5:$R$51,MATCH(B227,L_AREAS,0)),""))</f>
        <v/>
      </c>
      <c r="D227" s="13" t="str">
        <f>IF(B227="","",IFERROR(INDEX(Catalogos!$O$5:$O$51,MATCH(B227,L_AREAS,0)),""))</f>
        <v/>
      </c>
      <c r="E227" s="26"/>
      <c r="F227" s="13" t="str">
        <f>IF(E227="","",IFERROR(INDEX(Catalogos!$C$5:$C$49,MATCH(E227,L_METAS,0)),""))</f>
        <v/>
      </c>
      <c r="G227" s="13" t="str">
        <f>IF(E227="","",IFERROR(INDEX(Catalogos!$E$5:$E$49,MATCH(E227,L_METAS,0)),""))</f>
        <v/>
      </c>
      <c r="H227" s="26"/>
      <c r="I227" s="26"/>
      <c r="J227" s="26"/>
      <c r="K227" s="26"/>
      <c r="L227" s="26"/>
      <c r="M227" s="27"/>
      <c r="N227" s="26"/>
      <c r="O227" s="26"/>
      <c r="P227" s="26"/>
      <c r="Q227" s="26"/>
      <c r="R227" s="26"/>
      <c r="S227" s="26"/>
      <c r="T227" s="26"/>
      <c r="U227" s="26"/>
      <c r="V227" s="26"/>
      <c r="W227" s="28"/>
      <c r="X227" s="28"/>
      <c r="Y227" s="26"/>
      <c r="Z227" s="26"/>
      <c r="AA227" s="26"/>
      <c r="AB227" s="26"/>
      <c r="AC227" s="26"/>
      <c r="AD227" s="26"/>
      <c r="AE227" s="26"/>
      <c r="AF227" s="26"/>
      <c r="AG227" s="26"/>
      <c r="AH227" s="26"/>
      <c r="AI227" s="26"/>
      <c r="AJ227" s="15" t="str">
        <f>IF(COUNTA(B227,E227,H227,I227,J227,K227,L227,M227,N227,O227,P227,Q227,R227,S227,T227,U227,V227,W227,X227,Y227,Z227,AA227,AB227,AC227,AD227,AE227,AF227,AG227,AH227,AI227)=0,"",IF(OR(B227="",E227="",H227="",J227="",K227="",L227="",M227="",O227="",P227="",Q227="",R227="",S227="",T227="",U227="",W227="",X227="",Y227="",AB227="",AC227="",AE227="",AF227=""),"Incompleta: faltan campos obligatorios",IF(AND(LEFT(H227,6)="PROPIA",I227=""),"Falta el nombre de la acción propia del área",IF(AND(LEFT(H227,3)="A27",IFERROR(INDEX(Catalogos!$T$5:$T$207,MATCH(H227,Catalogos!$U$5:$U$207,0)),"x")&lt;&gt;LEFT(E227,7)),"La acción no corresponde a la meta seleccionada",IF(OR(NOT(ISNUMBER(M227)),M227&lt;10000000,M227&gt;99999999),"Código UNSPSC inválido: registre 8 dígitos",IF(MOD(M227,10000)=0,"UNSPSC a nivel de segmento o familia: use clase o producto",IF(IFERROR(MATCH(P227,L_MESES,0)&lt;MATCH(O227,L_MESES,0),TRUE()),"El mes de ofertas es anterior al de inicio del proceso",IF(OR(NOT(ISNUMBER(Q227)),Q227&lt;=0),"Duración inválida",IF(OR(NOT(ISNUMBER(W227)),NOT(ISNUMBER(X227))),"Valor inválido: registre solo números",IF(OR(W227&lt;=0,X227&lt;=0),"Valor inválido: debe ser mayor que cero",IF(X227&gt;W227,"El valor de la vigencia 2027 supera el valor total",IF(AND(X227&lt;W227,Y227="No"),"El valor total supera el de 2027: requiere vigencias futuras",IF(AND(Y227="Sí",OR(Z227="",Z227="No aplica")),"Indique el estado de la solicitud de vigencias futuras",IF(IF(AND(S227="Mínima cuantía",ISNUMBER(P_TOPE_MINIMA)),W227&gt;P_TOPE_MINIMA,FALSE()),"El valor supera el tope de mínima cuantía 2027",IF(IF(AND(S227="Selección abreviada de menor cuantía",ISNUMBER(P_TOPE_MENOR)),W227&gt;P_TOPE_MENOR,FALSE()),"El valor supera el tope de menor cuantía 2027",IF(OR(ISERROR(SEARCH("@itc.edu.co",AE227)),SUMPRODUCT(--ISNUMBER(SEARCH({"á","é","í","ó","ú","ñ"," "},AE227)))&gt;0),"El correo del responsable no es institucional válido",IF(AND(AF227="Sí",AG227=""),"Indique el N.° de registro 2026 que continúa","OK")))))))))))))))))</f>
        <v/>
      </c>
      <c r="AK227" s="15" t="str">
        <f>IF(AJ227="OK",COUNTIF($AJ$7:AJ227,"OK"),"")</f>
        <v/>
      </c>
    </row>
    <row r="228" spans="1:37" x14ac:dyDescent="0.3">
      <c r="A228" s="13" t="str">
        <f t="shared" si="3"/>
        <v>PN27-222</v>
      </c>
      <c r="B228" s="26"/>
      <c r="C228" s="13" t="str">
        <f>IF(B228="","",IFERROR(INDEX(Catalogos!$R$5:$R$51,MATCH(B228,L_AREAS,0)),""))</f>
        <v/>
      </c>
      <c r="D228" s="13" t="str">
        <f>IF(B228="","",IFERROR(INDEX(Catalogos!$O$5:$O$51,MATCH(B228,L_AREAS,0)),""))</f>
        <v/>
      </c>
      <c r="E228" s="26"/>
      <c r="F228" s="13" t="str">
        <f>IF(E228="","",IFERROR(INDEX(Catalogos!$C$5:$C$49,MATCH(E228,L_METAS,0)),""))</f>
        <v/>
      </c>
      <c r="G228" s="13" t="str">
        <f>IF(E228="","",IFERROR(INDEX(Catalogos!$E$5:$E$49,MATCH(E228,L_METAS,0)),""))</f>
        <v/>
      </c>
      <c r="H228" s="26"/>
      <c r="I228" s="26"/>
      <c r="J228" s="26"/>
      <c r="K228" s="26"/>
      <c r="L228" s="26"/>
      <c r="M228" s="27"/>
      <c r="N228" s="26"/>
      <c r="O228" s="26"/>
      <c r="P228" s="26"/>
      <c r="Q228" s="26"/>
      <c r="R228" s="26"/>
      <c r="S228" s="26"/>
      <c r="T228" s="26"/>
      <c r="U228" s="26"/>
      <c r="V228" s="26"/>
      <c r="W228" s="28"/>
      <c r="X228" s="28"/>
      <c r="Y228" s="26"/>
      <c r="Z228" s="26"/>
      <c r="AA228" s="26"/>
      <c r="AB228" s="26"/>
      <c r="AC228" s="26"/>
      <c r="AD228" s="26"/>
      <c r="AE228" s="26"/>
      <c r="AF228" s="26"/>
      <c r="AG228" s="26"/>
      <c r="AH228" s="26"/>
      <c r="AI228" s="26"/>
      <c r="AJ228" s="15" t="str">
        <f>IF(COUNTA(B228,E228,H228,I228,J228,K228,L228,M228,N228,O228,P228,Q228,R228,S228,T228,U228,V228,W228,X228,Y228,Z228,AA228,AB228,AC228,AD228,AE228,AF228,AG228,AH228,AI228)=0,"",IF(OR(B228="",E228="",H228="",J228="",K228="",L228="",M228="",O228="",P228="",Q228="",R228="",S228="",T228="",U228="",W228="",X228="",Y228="",AB228="",AC228="",AE228="",AF228=""),"Incompleta: faltan campos obligatorios",IF(AND(LEFT(H228,6)="PROPIA",I228=""),"Falta el nombre de la acción propia del área",IF(AND(LEFT(H228,3)="A27",IFERROR(INDEX(Catalogos!$T$5:$T$207,MATCH(H228,Catalogos!$U$5:$U$207,0)),"x")&lt;&gt;LEFT(E228,7)),"La acción no corresponde a la meta seleccionada",IF(OR(NOT(ISNUMBER(M228)),M228&lt;10000000,M228&gt;99999999),"Código UNSPSC inválido: registre 8 dígitos",IF(MOD(M228,10000)=0,"UNSPSC a nivel de segmento o familia: use clase o producto",IF(IFERROR(MATCH(P228,L_MESES,0)&lt;MATCH(O228,L_MESES,0),TRUE()),"El mes de ofertas es anterior al de inicio del proceso",IF(OR(NOT(ISNUMBER(Q228)),Q228&lt;=0),"Duración inválida",IF(OR(NOT(ISNUMBER(W228)),NOT(ISNUMBER(X228))),"Valor inválido: registre solo números",IF(OR(W228&lt;=0,X228&lt;=0),"Valor inválido: debe ser mayor que cero",IF(X228&gt;W228,"El valor de la vigencia 2027 supera el valor total",IF(AND(X228&lt;W228,Y228="No"),"El valor total supera el de 2027: requiere vigencias futuras",IF(AND(Y228="Sí",OR(Z228="",Z228="No aplica")),"Indique el estado de la solicitud de vigencias futuras",IF(IF(AND(S228="Mínima cuantía",ISNUMBER(P_TOPE_MINIMA)),W228&gt;P_TOPE_MINIMA,FALSE()),"El valor supera el tope de mínima cuantía 2027",IF(IF(AND(S228="Selección abreviada de menor cuantía",ISNUMBER(P_TOPE_MENOR)),W228&gt;P_TOPE_MENOR,FALSE()),"El valor supera el tope de menor cuantía 2027",IF(OR(ISERROR(SEARCH("@itc.edu.co",AE228)),SUMPRODUCT(--ISNUMBER(SEARCH({"á","é","í","ó","ú","ñ"," "},AE228)))&gt;0),"El correo del responsable no es institucional válido",IF(AND(AF228="Sí",AG228=""),"Indique el N.° de registro 2026 que continúa","OK")))))))))))))))))</f>
        <v/>
      </c>
      <c r="AK228" s="15" t="str">
        <f>IF(AJ228="OK",COUNTIF($AJ$7:AJ228,"OK"),"")</f>
        <v/>
      </c>
    </row>
    <row r="229" spans="1:37" x14ac:dyDescent="0.3">
      <c r="A229" s="13" t="str">
        <f t="shared" si="3"/>
        <v>PN27-223</v>
      </c>
      <c r="B229" s="26"/>
      <c r="C229" s="13" t="str">
        <f>IF(B229="","",IFERROR(INDEX(Catalogos!$R$5:$R$51,MATCH(B229,L_AREAS,0)),""))</f>
        <v/>
      </c>
      <c r="D229" s="13" t="str">
        <f>IF(B229="","",IFERROR(INDEX(Catalogos!$O$5:$O$51,MATCH(B229,L_AREAS,0)),""))</f>
        <v/>
      </c>
      <c r="E229" s="26"/>
      <c r="F229" s="13" t="str">
        <f>IF(E229="","",IFERROR(INDEX(Catalogos!$C$5:$C$49,MATCH(E229,L_METAS,0)),""))</f>
        <v/>
      </c>
      <c r="G229" s="13" t="str">
        <f>IF(E229="","",IFERROR(INDEX(Catalogos!$E$5:$E$49,MATCH(E229,L_METAS,0)),""))</f>
        <v/>
      </c>
      <c r="H229" s="26"/>
      <c r="I229" s="26"/>
      <c r="J229" s="26"/>
      <c r="K229" s="26"/>
      <c r="L229" s="26"/>
      <c r="M229" s="27"/>
      <c r="N229" s="26"/>
      <c r="O229" s="26"/>
      <c r="P229" s="26"/>
      <c r="Q229" s="26"/>
      <c r="R229" s="26"/>
      <c r="S229" s="26"/>
      <c r="T229" s="26"/>
      <c r="U229" s="26"/>
      <c r="V229" s="26"/>
      <c r="W229" s="28"/>
      <c r="X229" s="28"/>
      <c r="Y229" s="26"/>
      <c r="Z229" s="26"/>
      <c r="AA229" s="26"/>
      <c r="AB229" s="26"/>
      <c r="AC229" s="26"/>
      <c r="AD229" s="26"/>
      <c r="AE229" s="26"/>
      <c r="AF229" s="26"/>
      <c r="AG229" s="26"/>
      <c r="AH229" s="26"/>
      <c r="AI229" s="26"/>
      <c r="AJ229" s="15" t="str">
        <f>IF(COUNTA(B229,E229,H229,I229,J229,K229,L229,M229,N229,O229,P229,Q229,R229,S229,T229,U229,V229,W229,X229,Y229,Z229,AA229,AB229,AC229,AD229,AE229,AF229,AG229,AH229,AI229)=0,"",IF(OR(B229="",E229="",H229="",J229="",K229="",L229="",M229="",O229="",P229="",Q229="",R229="",S229="",T229="",U229="",W229="",X229="",Y229="",AB229="",AC229="",AE229="",AF229=""),"Incompleta: faltan campos obligatorios",IF(AND(LEFT(H229,6)="PROPIA",I229=""),"Falta el nombre de la acción propia del área",IF(AND(LEFT(H229,3)="A27",IFERROR(INDEX(Catalogos!$T$5:$T$207,MATCH(H229,Catalogos!$U$5:$U$207,0)),"x")&lt;&gt;LEFT(E229,7)),"La acción no corresponde a la meta seleccionada",IF(OR(NOT(ISNUMBER(M229)),M229&lt;10000000,M229&gt;99999999),"Código UNSPSC inválido: registre 8 dígitos",IF(MOD(M229,10000)=0,"UNSPSC a nivel de segmento o familia: use clase o producto",IF(IFERROR(MATCH(P229,L_MESES,0)&lt;MATCH(O229,L_MESES,0),TRUE()),"El mes de ofertas es anterior al de inicio del proceso",IF(OR(NOT(ISNUMBER(Q229)),Q229&lt;=0),"Duración inválida",IF(OR(NOT(ISNUMBER(W229)),NOT(ISNUMBER(X229))),"Valor inválido: registre solo números",IF(OR(W229&lt;=0,X229&lt;=0),"Valor inválido: debe ser mayor que cero",IF(X229&gt;W229,"El valor de la vigencia 2027 supera el valor total",IF(AND(X229&lt;W229,Y229="No"),"El valor total supera el de 2027: requiere vigencias futuras",IF(AND(Y229="Sí",OR(Z229="",Z229="No aplica")),"Indique el estado de la solicitud de vigencias futuras",IF(IF(AND(S229="Mínima cuantía",ISNUMBER(P_TOPE_MINIMA)),W229&gt;P_TOPE_MINIMA,FALSE()),"El valor supera el tope de mínima cuantía 2027",IF(IF(AND(S229="Selección abreviada de menor cuantía",ISNUMBER(P_TOPE_MENOR)),W229&gt;P_TOPE_MENOR,FALSE()),"El valor supera el tope de menor cuantía 2027",IF(OR(ISERROR(SEARCH("@itc.edu.co",AE229)),SUMPRODUCT(--ISNUMBER(SEARCH({"á","é","í","ó","ú","ñ"," "},AE229)))&gt;0),"El correo del responsable no es institucional válido",IF(AND(AF229="Sí",AG229=""),"Indique el N.° de registro 2026 que continúa","OK")))))))))))))))))</f>
        <v/>
      </c>
      <c r="AK229" s="15" t="str">
        <f>IF(AJ229="OK",COUNTIF($AJ$7:AJ229,"OK"),"")</f>
        <v/>
      </c>
    </row>
    <row r="230" spans="1:37" x14ac:dyDescent="0.3">
      <c r="A230" s="13" t="str">
        <f t="shared" si="3"/>
        <v>PN27-224</v>
      </c>
      <c r="B230" s="26"/>
      <c r="C230" s="13" t="str">
        <f>IF(B230="","",IFERROR(INDEX(Catalogos!$R$5:$R$51,MATCH(B230,L_AREAS,0)),""))</f>
        <v/>
      </c>
      <c r="D230" s="13" t="str">
        <f>IF(B230="","",IFERROR(INDEX(Catalogos!$O$5:$O$51,MATCH(B230,L_AREAS,0)),""))</f>
        <v/>
      </c>
      <c r="E230" s="26"/>
      <c r="F230" s="13" t="str">
        <f>IF(E230="","",IFERROR(INDEX(Catalogos!$C$5:$C$49,MATCH(E230,L_METAS,0)),""))</f>
        <v/>
      </c>
      <c r="G230" s="13" t="str">
        <f>IF(E230="","",IFERROR(INDEX(Catalogos!$E$5:$E$49,MATCH(E230,L_METAS,0)),""))</f>
        <v/>
      </c>
      <c r="H230" s="26"/>
      <c r="I230" s="26"/>
      <c r="J230" s="26"/>
      <c r="K230" s="26"/>
      <c r="L230" s="26"/>
      <c r="M230" s="27"/>
      <c r="N230" s="26"/>
      <c r="O230" s="26"/>
      <c r="P230" s="26"/>
      <c r="Q230" s="26"/>
      <c r="R230" s="26"/>
      <c r="S230" s="26"/>
      <c r="T230" s="26"/>
      <c r="U230" s="26"/>
      <c r="V230" s="26"/>
      <c r="W230" s="28"/>
      <c r="X230" s="28"/>
      <c r="Y230" s="26"/>
      <c r="Z230" s="26"/>
      <c r="AA230" s="26"/>
      <c r="AB230" s="26"/>
      <c r="AC230" s="26"/>
      <c r="AD230" s="26"/>
      <c r="AE230" s="26"/>
      <c r="AF230" s="26"/>
      <c r="AG230" s="26"/>
      <c r="AH230" s="26"/>
      <c r="AI230" s="26"/>
      <c r="AJ230" s="15" t="str">
        <f>IF(COUNTA(B230,E230,H230,I230,J230,K230,L230,M230,N230,O230,P230,Q230,R230,S230,T230,U230,V230,W230,X230,Y230,Z230,AA230,AB230,AC230,AD230,AE230,AF230,AG230,AH230,AI230)=0,"",IF(OR(B230="",E230="",H230="",J230="",K230="",L230="",M230="",O230="",P230="",Q230="",R230="",S230="",T230="",U230="",W230="",X230="",Y230="",AB230="",AC230="",AE230="",AF230=""),"Incompleta: faltan campos obligatorios",IF(AND(LEFT(H230,6)="PROPIA",I230=""),"Falta el nombre de la acción propia del área",IF(AND(LEFT(H230,3)="A27",IFERROR(INDEX(Catalogos!$T$5:$T$207,MATCH(H230,Catalogos!$U$5:$U$207,0)),"x")&lt;&gt;LEFT(E230,7)),"La acción no corresponde a la meta seleccionada",IF(OR(NOT(ISNUMBER(M230)),M230&lt;10000000,M230&gt;99999999),"Código UNSPSC inválido: registre 8 dígitos",IF(MOD(M230,10000)=0,"UNSPSC a nivel de segmento o familia: use clase o producto",IF(IFERROR(MATCH(P230,L_MESES,0)&lt;MATCH(O230,L_MESES,0),TRUE()),"El mes de ofertas es anterior al de inicio del proceso",IF(OR(NOT(ISNUMBER(Q230)),Q230&lt;=0),"Duración inválida",IF(OR(NOT(ISNUMBER(W230)),NOT(ISNUMBER(X230))),"Valor inválido: registre solo números",IF(OR(W230&lt;=0,X230&lt;=0),"Valor inválido: debe ser mayor que cero",IF(X230&gt;W230,"El valor de la vigencia 2027 supera el valor total",IF(AND(X230&lt;W230,Y230="No"),"El valor total supera el de 2027: requiere vigencias futuras",IF(AND(Y230="Sí",OR(Z230="",Z230="No aplica")),"Indique el estado de la solicitud de vigencias futuras",IF(IF(AND(S230="Mínima cuantía",ISNUMBER(P_TOPE_MINIMA)),W230&gt;P_TOPE_MINIMA,FALSE()),"El valor supera el tope de mínima cuantía 2027",IF(IF(AND(S230="Selección abreviada de menor cuantía",ISNUMBER(P_TOPE_MENOR)),W230&gt;P_TOPE_MENOR,FALSE()),"El valor supera el tope de menor cuantía 2027",IF(OR(ISERROR(SEARCH("@itc.edu.co",AE230)),SUMPRODUCT(--ISNUMBER(SEARCH({"á","é","í","ó","ú","ñ"," "},AE230)))&gt;0),"El correo del responsable no es institucional válido",IF(AND(AF230="Sí",AG230=""),"Indique el N.° de registro 2026 que continúa","OK")))))))))))))))))</f>
        <v/>
      </c>
      <c r="AK230" s="15" t="str">
        <f>IF(AJ230="OK",COUNTIF($AJ$7:AJ230,"OK"),"")</f>
        <v/>
      </c>
    </row>
    <row r="231" spans="1:37" x14ac:dyDescent="0.3">
      <c r="A231" s="13" t="str">
        <f t="shared" si="3"/>
        <v>PN27-225</v>
      </c>
      <c r="B231" s="26"/>
      <c r="C231" s="13" t="str">
        <f>IF(B231="","",IFERROR(INDEX(Catalogos!$R$5:$R$51,MATCH(B231,L_AREAS,0)),""))</f>
        <v/>
      </c>
      <c r="D231" s="13" t="str">
        <f>IF(B231="","",IFERROR(INDEX(Catalogos!$O$5:$O$51,MATCH(B231,L_AREAS,0)),""))</f>
        <v/>
      </c>
      <c r="E231" s="26"/>
      <c r="F231" s="13" t="str">
        <f>IF(E231="","",IFERROR(INDEX(Catalogos!$C$5:$C$49,MATCH(E231,L_METAS,0)),""))</f>
        <v/>
      </c>
      <c r="G231" s="13" t="str">
        <f>IF(E231="","",IFERROR(INDEX(Catalogos!$E$5:$E$49,MATCH(E231,L_METAS,0)),""))</f>
        <v/>
      </c>
      <c r="H231" s="26"/>
      <c r="I231" s="26"/>
      <c r="J231" s="26"/>
      <c r="K231" s="26"/>
      <c r="L231" s="26"/>
      <c r="M231" s="27"/>
      <c r="N231" s="26"/>
      <c r="O231" s="26"/>
      <c r="P231" s="26"/>
      <c r="Q231" s="26"/>
      <c r="R231" s="26"/>
      <c r="S231" s="26"/>
      <c r="T231" s="26"/>
      <c r="U231" s="26"/>
      <c r="V231" s="26"/>
      <c r="W231" s="28"/>
      <c r="X231" s="28"/>
      <c r="Y231" s="26"/>
      <c r="Z231" s="26"/>
      <c r="AA231" s="26"/>
      <c r="AB231" s="26"/>
      <c r="AC231" s="26"/>
      <c r="AD231" s="26"/>
      <c r="AE231" s="26"/>
      <c r="AF231" s="26"/>
      <c r="AG231" s="26"/>
      <c r="AH231" s="26"/>
      <c r="AI231" s="26"/>
      <c r="AJ231" s="15" t="str">
        <f>IF(COUNTA(B231,E231,H231,I231,J231,K231,L231,M231,N231,O231,P231,Q231,R231,S231,T231,U231,V231,W231,X231,Y231,Z231,AA231,AB231,AC231,AD231,AE231,AF231,AG231,AH231,AI231)=0,"",IF(OR(B231="",E231="",H231="",J231="",K231="",L231="",M231="",O231="",P231="",Q231="",R231="",S231="",T231="",U231="",W231="",X231="",Y231="",AB231="",AC231="",AE231="",AF231=""),"Incompleta: faltan campos obligatorios",IF(AND(LEFT(H231,6)="PROPIA",I231=""),"Falta el nombre de la acción propia del área",IF(AND(LEFT(H231,3)="A27",IFERROR(INDEX(Catalogos!$T$5:$T$207,MATCH(H231,Catalogos!$U$5:$U$207,0)),"x")&lt;&gt;LEFT(E231,7)),"La acción no corresponde a la meta seleccionada",IF(OR(NOT(ISNUMBER(M231)),M231&lt;10000000,M231&gt;99999999),"Código UNSPSC inválido: registre 8 dígitos",IF(MOD(M231,10000)=0,"UNSPSC a nivel de segmento o familia: use clase o producto",IF(IFERROR(MATCH(P231,L_MESES,0)&lt;MATCH(O231,L_MESES,0),TRUE()),"El mes de ofertas es anterior al de inicio del proceso",IF(OR(NOT(ISNUMBER(Q231)),Q231&lt;=0),"Duración inválida",IF(OR(NOT(ISNUMBER(W231)),NOT(ISNUMBER(X231))),"Valor inválido: registre solo números",IF(OR(W231&lt;=0,X231&lt;=0),"Valor inválido: debe ser mayor que cero",IF(X231&gt;W231,"El valor de la vigencia 2027 supera el valor total",IF(AND(X231&lt;W231,Y231="No"),"El valor total supera el de 2027: requiere vigencias futuras",IF(AND(Y231="Sí",OR(Z231="",Z231="No aplica")),"Indique el estado de la solicitud de vigencias futuras",IF(IF(AND(S231="Mínima cuantía",ISNUMBER(P_TOPE_MINIMA)),W231&gt;P_TOPE_MINIMA,FALSE()),"El valor supera el tope de mínima cuantía 2027",IF(IF(AND(S231="Selección abreviada de menor cuantía",ISNUMBER(P_TOPE_MENOR)),W231&gt;P_TOPE_MENOR,FALSE()),"El valor supera el tope de menor cuantía 2027",IF(OR(ISERROR(SEARCH("@itc.edu.co",AE231)),SUMPRODUCT(--ISNUMBER(SEARCH({"á","é","í","ó","ú","ñ"," "},AE231)))&gt;0),"El correo del responsable no es institucional válido",IF(AND(AF231="Sí",AG231=""),"Indique el N.° de registro 2026 que continúa","OK")))))))))))))))))</f>
        <v/>
      </c>
      <c r="AK231" s="15" t="str">
        <f>IF(AJ231="OK",COUNTIF($AJ$7:AJ231,"OK"),"")</f>
        <v/>
      </c>
    </row>
    <row r="232" spans="1:37" x14ac:dyDescent="0.3">
      <c r="A232" s="13" t="str">
        <f t="shared" si="3"/>
        <v>PN27-226</v>
      </c>
      <c r="B232" s="26"/>
      <c r="C232" s="13" t="str">
        <f>IF(B232="","",IFERROR(INDEX(Catalogos!$R$5:$R$51,MATCH(B232,L_AREAS,0)),""))</f>
        <v/>
      </c>
      <c r="D232" s="13" t="str">
        <f>IF(B232="","",IFERROR(INDEX(Catalogos!$O$5:$O$51,MATCH(B232,L_AREAS,0)),""))</f>
        <v/>
      </c>
      <c r="E232" s="26"/>
      <c r="F232" s="13" t="str">
        <f>IF(E232="","",IFERROR(INDEX(Catalogos!$C$5:$C$49,MATCH(E232,L_METAS,0)),""))</f>
        <v/>
      </c>
      <c r="G232" s="13" t="str">
        <f>IF(E232="","",IFERROR(INDEX(Catalogos!$E$5:$E$49,MATCH(E232,L_METAS,0)),""))</f>
        <v/>
      </c>
      <c r="H232" s="26"/>
      <c r="I232" s="26"/>
      <c r="J232" s="26"/>
      <c r="K232" s="26"/>
      <c r="L232" s="26"/>
      <c r="M232" s="27"/>
      <c r="N232" s="26"/>
      <c r="O232" s="26"/>
      <c r="P232" s="26"/>
      <c r="Q232" s="26"/>
      <c r="R232" s="26"/>
      <c r="S232" s="26"/>
      <c r="T232" s="26"/>
      <c r="U232" s="26"/>
      <c r="V232" s="26"/>
      <c r="W232" s="28"/>
      <c r="X232" s="28"/>
      <c r="Y232" s="26"/>
      <c r="Z232" s="26"/>
      <c r="AA232" s="26"/>
      <c r="AB232" s="26"/>
      <c r="AC232" s="26"/>
      <c r="AD232" s="26"/>
      <c r="AE232" s="26"/>
      <c r="AF232" s="26"/>
      <c r="AG232" s="26"/>
      <c r="AH232" s="26"/>
      <c r="AI232" s="26"/>
      <c r="AJ232" s="15" t="str">
        <f>IF(COUNTA(B232,E232,H232,I232,J232,K232,L232,M232,N232,O232,P232,Q232,R232,S232,T232,U232,V232,W232,X232,Y232,Z232,AA232,AB232,AC232,AD232,AE232,AF232,AG232,AH232,AI232)=0,"",IF(OR(B232="",E232="",H232="",J232="",K232="",L232="",M232="",O232="",P232="",Q232="",R232="",S232="",T232="",U232="",W232="",X232="",Y232="",AB232="",AC232="",AE232="",AF232=""),"Incompleta: faltan campos obligatorios",IF(AND(LEFT(H232,6)="PROPIA",I232=""),"Falta el nombre de la acción propia del área",IF(AND(LEFT(H232,3)="A27",IFERROR(INDEX(Catalogos!$T$5:$T$207,MATCH(H232,Catalogos!$U$5:$U$207,0)),"x")&lt;&gt;LEFT(E232,7)),"La acción no corresponde a la meta seleccionada",IF(OR(NOT(ISNUMBER(M232)),M232&lt;10000000,M232&gt;99999999),"Código UNSPSC inválido: registre 8 dígitos",IF(MOD(M232,10000)=0,"UNSPSC a nivel de segmento o familia: use clase o producto",IF(IFERROR(MATCH(P232,L_MESES,0)&lt;MATCH(O232,L_MESES,0),TRUE()),"El mes de ofertas es anterior al de inicio del proceso",IF(OR(NOT(ISNUMBER(Q232)),Q232&lt;=0),"Duración inválida",IF(OR(NOT(ISNUMBER(W232)),NOT(ISNUMBER(X232))),"Valor inválido: registre solo números",IF(OR(W232&lt;=0,X232&lt;=0),"Valor inválido: debe ser mayor que cero",IF(X232&gt;W232,"El valor de la vigencia 2027 supera el valor total",IF(AND(X232&lt;W232,Y232="No"),"El valor total supera el de 2027: requiere vigencias futuras",IF(AND(Y232="Sí",OR(Z232="",Z232="No aplica")),"Indique el estado de la solicitud de vigencias futuras",IF(IF(AND(S232="Mínima cuantía",ISNUMBER(P_TOPE_MINIMA)),W232&gt;P_TOPE_MINIMA,FALSE()),"El valor supera el tope de mínima cuantía 2027",IF(IF(AND(S232="Selección abreviada de menor cuantía",ISNUMBER(P_TOPE_MENOR)),W232&gt;P_TOPE_MENOR,FALSE()),"El valor supera el tope de menor cuantía 2027",IF(OR(ISERROR(SEARCH("@itc.edu.co",AE232)),SUMPRODUCT(--ISNUMBER(SEARCH({"á","é","í","ó","ú","ñ"," "},AE232)))&gt;0),"El correo del responsable no es institucional válido",IF(AND(AF232="Sí",AG232=""),"Indique el N.° de registro 2026 que continúa","OK")))))))))))))))))</f>
        <v/>
      </c>
      <c r="AK232" s="15" t="str">
        <f>IF(AJ232="OK",COUNTIF($AJ$7:AJ232,"OK"),"")</f>
        <v/>
      </c>
    </row>
    <row r="233" spans="1:37" x14ac:dyDescent="0.3">
      <c r="A233" s="13" t="str">
        <f t="shared" si="3"/>
        <v>PN27-227</v>
      </c>
      <c r="B233" s="26"/>
      <c r="C233" s="13" t="str">
        <f>IF(B233="","",IFERROR(INDEX(Catalogos!$R$5:$R$51,MATCH(B233,L_AREAS,0)),""))</f>
        <v/>
      </c>
      <c r="D233" s="13" t="str">
        <f>IF(B233="","",IFERROR(INDEX(Catalogos!$O$5:$O$51,MATCH(B233,L_AREAS,0)),""))</f>
        <v/>
      </c>
      <c r="E233" s="26"/>
      <c r="F233" s="13" t="str">
        <f>IF(E233="","",IFERROR(INDEX(Catalogos!$C$5:$C$49,MATCH(E233,L_METAS,0)),""))</f>
        <v/>
      </c>
      <c r="G233" s="13" t="str">
        <f>IF(E233="","",IFERROR(INDEX(Catalogos!$E$5:$E$49,MATCH(E233,L_METAS,0)),""))</f>
        <v/>
      </c>
      <c r="H233" s="26"/>
      <c r="I233" s="26"/>
      <c r="J233" s="26"/>
      <c r="K233" s="26"/>
      <c r="L233" s="26"/>
      <c r="M233" s="27"/>
      <c r="N233" s="26"/>
      <c r="O233" s="26"/>
      <c r="P233" s="26"/>
      <c r="Q233" s="26"/>
      <c r="R233" s="26"/>
      <c r="S233" s="26"/>
      <c r="T233" s="26"/>
      <c r="U233" s="26"/>
      <c r="V233" s="26"/>
      <c r="W233" s="28"/>
      <c r="X233" s="28"/>
      <c r="Y233" s="26"/>
      <c r="Z233" s="26"/>
      <c r="AA233" s="26"/>
      <c r="AB233" s="26"/>
      <c r="AC233" s="26"/>
      <c r="AD233" s="26"/>
      <c r="AE233" s="26"/>
      <c r="AF233" s="26"/>
      <c r="AG233" s="26"/>
      <c r="AH233" s="26"/>
      <c r="AI233" s="26"/>
      <c r="AJ233" s="15" t="str">
        <f>IF(COUNTA(B233,E233,H233,I233,J233,K233,L233,M233,N233,O233,P233,Q233,R233,S233,T233,U233,V233,W233,X233,Y233,Z233,AA233,AB233,AC233,AD233,AE233,AF233,AG233,AH233,AI233)=0,"",IF(OR(B233="",E233="",H233="",J233="",K233="",L233="",M233="",O233="",P233="",Q233="",R233="",S233="",T233="",U233="",W233="",X233="",Y233="",AB233="",AC233="",AE233="",AF233=""),"Incompleta: faltan campos obligatorios",IF(AND(LEFT(H233,6)="PROPIA",I233=""),"Falta el nombre de la acción propia del área",IF(AND(LEFT(H233,3)="A27",IFERROR(INDEX(Catalogos!$T$5:$T$207,MATCH(H233,Catalogos!$U$5:$U$207,0)),"x")&lt;&gt;LEFT(E233,7)),"La acción no corresponde a la meta seleccionada",IF(OR(NOT(ISNUMBER(M233)),M233&lt;10000000,M233&gt;99999999),"Código UNSPSC inválido: registre 8 dígitos",IF(MOD(M233,10000)=0,"UNSPSC a nivel de segmento o familia: use clase o producto",IF(IFERROR(MATCH(P233,L_MESES,0)&lt;MATCH(O233,L_MESES,0),TRUE()),"El mes de ofertas es anterior al de inicio del proceso",IF(OR(NOT(ISNUMBER(Q233)),Q233&lt;=0),"Duración inválida",IF(OR(NOT(ISNUMBER(W233)),NOT(ISNUMBER(X233))),"Valor inválido: registre solo números",IF(OR(W233&lt;=0,X233&lt;=0),"Valor inválido: debe ser mayor que cero",IF(X233&gt;W233,"El valor de la vigencia 2027 supera el valor total",IF(AND(X233&lt;W233,Y233="No"),"El valor total supera el de 2027: requiere vigencias futuras",IF(AND(Y233="Sí",OR(Z233="",Z233="No aplica")),"Indique el estado de la solicitud de vigencias futuras",IF(IF(AND(S233="Mínima cuantía",ISNUMBER(P_TOPE_MINIMA)),W233&gt;P_TOPE_MINIMA,FALSE()),"El valor supera el tope de mínima cuantía 2027",IF(IF(AND(S233="Selección abreviada de menor cuantía",ISNUMBER(P_TOPE_MENOR)),W233&gt;P_TOPE_MENOR,FALSE()),"El valor supera el tope de menor cuantía 2027",IF(OR(ISERROR(SEARCH("@itc.edu.co",AE233)),SUMPRODUCT(--ISNUMBER(SEARCH({"á","é","í","ó","ú","ñ"," "},AE233)))&gt;0),"El correo del responsable no es institucional válido",IF(AND(AF233="Sí",AG233=""),"Indique el N.° de registro 2026 que continúa","OK")))))))))))))))))</f>
        <v/>
      </c>
      <c r="AK233" s="15" t="str">
        <f>IF(AJ233="OK",COUNTIF($AJ$7:AJ233,"OK"),"")</f>
        <v/>
      </c>
    </row>
    <row r="234" spans="1:37" x14ac:dyDescent="0.3">
      <c r="A234" s="13" t="str">
        <f t="shared" si="3"/>
        <v>PN27-228</v>
      </c>
      <c r="B234" s="26"/>
      <c r="C234" s="13" t="str">
        <f>IF(B234="","",IFERROR(INDEX(Catalogos!$R$5:$R$51,MATCH(B234,L_AREAS,0)),""))</f>
        <v/>
      </c>
      <c r="D234" s="13" t="str">
        <f>IF(B234="","",IFERROR(INDEX(Catalogos!$O$5:$O$51,MATCH(B234,L_AREAS,0)),""))</f>
        <v/>
      </c>
      <c r="E234" s="26"/>
      <c r="F234" s="13" t="str">
        <f>IF(E234="","",IFERROR(INDEX(Catalogos!$C$5:$C$49,MATCH(E234,L_METAS,0)),""))</f>
        <v/>
      </c>
      <c r="G234" s="13" t="str">
        <f>IF(E234="","",IFERROR(INDEX(Catalogos!$E$5:$E$49,MATCH(E234,L_METAS,0)),""))</f>
        <v/>
      </c>
      <c r="H234" s="26"/>
      <c r="I234" s="26"/>
      <c r="J234" s="26"/>
      <c r="K234" s="26"/>
      <c r="L234" s="26"/>
      <c r="M234" s="27"/>
      <c r="N234" s="26"/>
      <c r="O234" s="26"/>
      <c r="P234" s="26"/>
      <c r="Q234" s="26"/>
      <c r="R234" s="26"/>
      <c r="S234" s="26"/>
      <c r="T234" s="26"/>
      <c r="U234" s="26"/>
      <c r="V234" s="26"/>
      <c r="W234" s="28"/>
      <c r="X234" s="28"/>
      <c r="Y234" s="26"/>
      <c r="Z234" s="26"/>
      <c r="AA234" s="26"/>
      <c r="AB234" s="26"/>
      <c r="AC234" s="26"/>
      <c r="AD234" s="26"/>
      <c r="AE234" s="26"/>
      <c r="AF234" s="26"/>
      <c r="AG234" s="26"/>
      <c r="AH234" s="26"/>
      <c r="AI234" s="26"/>
      <c r="AJ234" s="15" t="str">
        <f>IF(COUNTA(B234,E234,H234,I234,J234,K234,L234,M234,N234,O234,P234,Q234,R234,S234,T234,U234,V234,W234,X234,Y234,Z234,AA234,AB234,AC234,AD234,AE234,AF234,AG234,AH234,AI234)=0,"",IF(OR(B234="",E234="",H234="",J234="",K234="",L234="",M234="",O234="",P234="",Q234="",R234="",S234="",T234="",U234="",W234="",X234="",Y234="",AB234="",AC234="",AE234="",AF234=""),"Incompleta: faltan campos obligatorios",IF(AND(LEFT(H234,6)="PROPIA",I234=""),"Falta el nombre de la acción propia del área",IF(AND(LEFT(H234,3)="A27",IFERROR(INDEX(Catalogos!$T$5:$T$207,MATCH(H234,Catalogos!$U$5:$U$207,0)),"x")&lt;&gt;LEFT(E234,7)),"La acción no corresponde a la meta seleccionada",IF(OR(NOT(ISNUMBER(M234)),M234&lt;10000000,M234&gt;99999999),"Código UNSPSC inválido: registre 8 dígitos",IF(MOD(M234,10000)=0,"UNSPSC a nivel de segmento o familia: use clase o producto",IF(IFERROR(MATCH(P234,L_MESES,0)&lt;MATCH(O234,L_MESES,0),TRUE()),"El mes de ofertas es anterior al de inicio del proceso",IF(OR(NOT(ISNUMBER(Q234)),Q234&lt;=0),"Duración inválida",IF(OR(NOT(ISNUMBER(W234)),NOT(ISNUMBER(X234))),"Valor inválido: registre solo números",IF(OR(W234&lt;=0,X234&lt;=0),"Valor inválido: debe ser mayor que cero",IF(X234&gt;W234,"El valor de la vigencia 2027 supera el valor total",IF(AND(X234&lt;W234,Y234="No"),"El valor total supera el de 2027: requiere vigencias futuras",IF(AND(Y234="Sí",OR(Z234="",Z234="No aplica")),"Indique el estado de la solicitud de vigencias futuras",IF(IF(AND(S234="Mínima cuantía",ISNUMBER(P_TOPE_MINIMA)),W234&gt;P_TOPE_MINIMA,FALSE()),"El valor supera el tope de mínima cuantía 2027",IF(IF(AND(S234="Selección abreviada de menor cuantía",ISNUMBER(P_TOPE_MENOR)),W234&gt;P_TOPE_MENOR,FALSE()),"El valor supera el tope de menor cuantía 2027",IF(OR(ISERROR(SEARCH("@itc.edu.co",AE234)),SUMPRODUCT(--ISNUMBER(SEARCH({"á","é","í","ó","ú","ñ"," "},AE234)))&gt;0),"El correo del responsable no es institucional válido",IF(AND(AF234="Sí",AG234=""),"Indique el N.° de registro 2026 que continúa","OK")))))))))))))))))</f>
        <v/>
      </c>
      <c r="AK234" s="15" t="str">
        <f>IF(AJ234="OK",COUNTIF($AJ$7:AJ234,"OK"),"")</f>
        <v/>
      </c>
    </row>
    <row r="235" spans="1:37" x14ac:dyDescent="0.3">
      <c r="A235" s="13" t="str">
        <f t="shared" si="3"/>
        <v>PN27-229</v>
      </c>
      <c r="B235" s="26"/>
      <c r="C235" s="13" t="str">
        <f>IF(B235="","",IFERROR(INDEX(Catalogos!$R$5:$R$51,MATCH(B235,L_AREAS,0)),""))</f>
        <v/>
      </c>
      <c r="D235" s="13" t="str">
        <f>IF(B235="","",IFERROR(INDEX(Catalogos!$O$5:$O$51,MATCH(B235,L_AREAS,0)),""))</f>
        <v/>
      </c>
      <c r="E235" s="26"/>
      <c r="F235" s="13" t="str">
        <f>IF(E235="","",IFERROR(INDEX(Catalogos!$C$5:$C$49,MATCH(E235,L_METAS,0)),""))</f>
        <v/>
      </c>
      <c r="G235" s="13" t="str">
        <f>IF(E235="","",IFERROR(INDEX(Catalogos!$E$5:$E$49,MATCH(E235,L_METAS,0)),""))</f>
        <v/>
      </c>
      <c r="H235" s="26"/>
      <c r="I235" s="26"/>
      <c r="J235" s="26"/>
      <c r="K235" s="26"/>
      <c r="L235" s="26"/>
      <c r="M235" s="27"/>
      <c r="N235" s="26"/>
      <c r="O235" s="26"/>
      <c r="P235" s="26"/>
      <c r="Q235" s="26"/>
      <c r="R235" s="26"/>
      <c r="S235" s="26"/>
      <c r="T235" s="26"/>
      <c r="U235" s="26"/>
      <c r="V235" s="26"/>
      <c r="W235" s="28"/>
      <c r="X235" s="28"/>
      <c r="Y235" s="26"/>
      <c r="Z235" s="26"/>
      <c r="AA235" s="26"/>
      <c r="AB235" s="26"/>
      <c r="AC235" s="26"/>
      <c r="AD235" s="26"/>
      <c r="AE235" s="26"/>
      <c r="AF235" s="26"/>
      <c r="AG235" s="26"/>
      <c r="AH235" s="26"/>
      <c r="AI235" s="26"/>
      <c r="AJ235" s="15" t="str">
        <f>IF(COUNTA(B235,E235,H235,I235,J235,K235,L235,M235,N235,O235,P235,Q235,R235,S235,T235,U235,V235,W235,X235,Y235,Z235,AA235,AB235,AC235,AD235,AE235,AF235,AG235,AH235,AI235)=0,"",IF(OR(B235="",E235="",H235="",J235="",K235="",L235="",M235="",O235="",P235="",Q235="",R235="",S235="",T235="",U235="",W235="",X235="",Y235="",AB235="",AC235="",AE235="",AF235=""),"Incompleta: faltan campos obligatorios",IF(AND(LEFT(H235,6)="PROPIA",I235=""),"Falta el nombre de la acción propia del área",IF(AND(LEFT(H235,3)="A27",IFERROR(INDEX(Catalogos!$T$5:$T$207,MATCH(H235,Catalogos!$U$5:$U$207,0)),"x")&lt;&gt;LEFT(E235,7)),"La acción no corresponde a la meta seleccionada",IF(OR(NOT(ISNUMBER(M235)),M235&lt;10000000,M235&gt;99999999),"Código UNSPSC inválido: registre 8 dígitos",IF(MOD(M235,10000)=0,"UNSPSC a nivel de segmento o familia: use clase o producto",IF(IFERROR(MATCH(P235,L_MESES,0)&lt;MATCH(O235,L_MESES,0),TRUE()),"El mes de ofertas es anterior al de inicio del proceso",IF(OR(NOT(ISNUMBER(Q235)),Q235&lt;=0),"Duración inválida",IF(OR(NOT(ISNUMBER(W235)),NOT(ISNUMBER(X235))),"Valor inválido: registre solo números",IF(OR(W235&lt;=0,X235&lt;=0),"Valor inválido: debe ser mayor que cero",IF(X235&gt;W235,"El valor de la vigencia 2027 supera el valor total",IF(AND(X235&lt;W235,Y235="No"),"El valor total supera el de 2027: requiere vigencias futuras",IF(AND(Y235="Sí",OR(Z235="",Z235="No aplica")),"Indique el estado de la solicitud de vigencias futuras",IF(IF(AND(S235="Mínima cuantía",ISNUMBER(P_TOPE_MINIMA)),W235&gt;P_TOPE_MINIMA,FALSE()),"El valor supera el tope de mínima cuantía 2027",IF(IF(AND(S235="Selección abreviada de menor cuantía",ISNUMBER(P_TOPE_MENOR)),W235&gt;P_TOPE_MENOR,FALSE()),"El valor supera el tope de menor cuantía 2027",IF(OR(ISERROR(SEARCH("@itc.edu.co",AE235)),SUMPRODUCT(--ISNUMBER(SEARCH({"á","é","í","ó","ú","ñ"," "},AE235)))&gt;0),"El correo del responsable no es institucional válido",IF(AND(AF235="Sí",AG235=""),"Indique el N.° de registro 2026 que continúa","OK")))))))))))))))))</f>
        <v/>
      </c>
      <c r="AK235" s="15" t="str">
        <f>IF(AJ235="OK",COUNTIF($AJ$7:AJ235,"OK"),"")</f>
        <v/>
      </c>
    </row>
    <row r="236" spans="1:37" x14ac:dyDescent="0.3">
      <c r="A236" s="13" t="str">
        <f t="shared" si="3"/>
        <v>PN27-230</v>
      </c>
      <c r="B236" s="26"/>
      <c r="C236" s="13" t="str">
        <f>IF(B236="","",IFERROR(INDEX(Catalogos!$R$5:$R$51,MATCH(B236,L_AREAS,0)),""))</f>
        <v/>
      </c>
      <c r="D236" s="13" t="str">
        <f>IF(B236="","",IFERROR(INDEX(Catalogos!$O$5:$O$51,MATCH(B236,L_AREAS,0)),""))</f>
        <v/>
      </c>
      <c r="E236" s="26"/>
      <c r="F236" s="13" t="str">
        <f>IF(E236="","",IFERROR(INDEX(Catalogos!$C$5:$C$49,MATCH(E236,L_METAS,0)),""))</f>
        <v/>
      </c>
      <c r="G236" s="13" t="str">
        <f>IF(E236="","",IFERROR(INDEX(Catalogos!$E$5:$E$49,MATCH(E236,L_METAS,0)),""))</f>
        <v/>
      </c>
      <c r="H236" s="26"/>
      <c r="I236" s="26"/>
      <c r="J236" s="26"/>
      <c r="K236" s="26"/>
      <c r="L236" s="26"/>
      <c r="M236" s="27"/>
      <c r="N236" s="26"/>
      <c r="O236" s="26"/>
      <c r="P236" s="26"/>
      <c r="Q236" s="26"/>
      <c r="R236" s="26"/>
      <c r="S236" s="26"/>
      <c r="T236" s="26"/>
      <c r="U236" s="26"/>
      <c r="V236" s="26"/>
      <c r="W236" s="28"/>
      <c r="X236" s="28"/>
      <c r="Y236" s="26"/>
      <c r="Z236" s="26"/>
      <c r="AA236" s="26"/>
      <c r="AB236" s="26"/>
      <c r="AC236" s="26"/>
      <c r="AD236" s="26"/>
      <c r="AE236" s="26"/>
      <c r="AF236" s="26"/>
      <c r="AG236" s="26"/>
      <c r="AH236" s="26"/>
      <c r="AI236" s="26"/>
      <c r="AJ236" s="15" t="str">
        <f>IF(COUNTA(B236,E236,H236,I236,J236,K236,L236,M236,N236,O236,P236,Q236,R236,S236,T236,U236,V236,W236,X236,Y236,Z236,AA236,AB236,AC236,AD236,AE236,AF236,AG236,AH236,AI236)=0,"",IF(OR(B236="",E236="",H236="",J236="",K236="",L236="",M236="",O236="",P236="",Q236="",R236="",S236="",T236="",U236="",W236="",X236="",Y236="",AB236="",AC236="",AE236="",AF236=""),"Incompleta: faltan campos obligatorios",IF(AND(LEFT(H236,6)="PROPIA",I236=""),"Falta el nombre de la acción propia del área",IF(AND(LEFT(H236,3)="A27",IFERROR(INDEX(Catalogos!$T$5:$T$207,MATCH(H236,Catalogos!$U$5:$U$207,0)),"x")&lt;&gt;LEFT(E236,7)),"La acción no corresponde a la meta seleccionada",IF(OR(NOT(ISNUMBER(M236)),M236&lt;10000000,M236&gt;99999999),"Código UNSPSC inválido: registre 8 dígitos",IF(MOD(M236,10000)=0,"UNSPSC a nivel de segmento o familia: use clase o producto",IF(IFERROR(MATCH(P236,L_MESES,0)&lt;MATCH(O236,L_MESES,0),TRUE()),"El mes de ofertas es anterior al de inicio del proceso",IF(OR(NOT(ISNUMBER(Q236)),Q236&lt;=0),"Duración inválida",IF(OR(NOT(ISNUMBER(W236)),NOT(ISNUMBER(X236))),"Valor inválido: registre solo números",IF(OR(W236&lt;=0,X236&lt;=0),"Valor inválido: debe ser mayor que cero",IF(X236&gt;W236,"El valor de la vigencia 2027 supera el valor total",IF(AND(X236&lt;W236,Y236="No"),"El valor total supera el de 2027: requiere vigencias futuras",IF(AND(Y236="Sí",OR(Z236="",Z236="No aplica")),"Indique el estado de la solicitud de vigencias futuras",IF(IF(AND(S236="Mínima cuantía",ISNUMBER(P_TOPE_MINIMA)),W236&gt;P_TOPE_MINIMA,FALSE()),"El valor supera el tope de mínima cuantía 2027",IF(IF(AND(S236="Selección abreviada de menor cuantía",ISNUMBER(P_TOPE_MENOR)),W236&gt;P_TOPE_MENOR,FALSE()),"El valor supera el tope de menor cuantía 2027",IF(OR(ISERROR(SEARCH("@itc.edu.co",AE236)),SUMPRODUCT(--ISNUMBER(SEARCH({"á","é","í","ó","ú","ñ"," "},AE236)))&gt;0),"El correo del responsable no es institucional válido",IF(AND(AF236="Sí",AG236=""),"Indique el N.° de registro 2026 que continúa","OK")))))))))))))))))</f>
        <v/>
      </c>
      <c r="AK236" s="15" t="str">
        <f>IF(AJ236="OK",COUNTIF($AJ$7:AJ236,"OK"),"")</f>
        <v/>
      </c>
    </row>
    <row r="237" spans="1:37" x14ac:dyDescent="0.3">
      <c r="A237" s="13" t="str">
        <f t="shared" si="3"/>
        <v>PN27-231</v>
      </c>
      <c r="B237" s="26"/>
      <c r="C237" s="13" t="str">
        <f>IF(B237="","",IFERROR(INDEX(Catalogos!$R$5:$R$51,MATCH(B237,L_AREAS,0)),""))</f>
        <v/>
      </c>
      <c r="D237" s="13" t="str">
        <f>IF(B237="","",IFERROR(INDEX(Catalogos!$O$5:$O$51,MATCH(B237,L_AREAS,0)),""))</f>
        <v/>
      </c>
      <c r="E237" s="26"/>
      <c r="F237" s="13" t="str">
        <f>IF(E237="","",IFERROR(INDEX(Catalogos!$C$5:$C$49,MATCH(E237,L_METAS,0)),""))</f>
        <v/>
      </c>
      <c r="G237" s="13" t="str">
        <f>IF(E237="","",IFERROR(INDEX(Catalogos!$E$5:$E$49,MATCH(E237,L_METAS,0)),""))</f>
        <v/>
      </c>
      <c r="H237" s="26"/>
      <c r="I237" s="26"/>
      <c r="J237" s="26"/>
      <c r="K237" s="26"/>
      <c r="L237" s="26"/>
      <c r="M237" s="27"/>
      <c r="N237" s="26"/>
      <c r="O237" s="26"/>
      <c r="P237" s="26"/>
      <c r="Q237" s="26"/>
      <c r="R237" s="26"/>
      <c r="S237" s="26"/>
      <c r="T237" s="26"/>
      <c r="U237" s="26"/>
      <c r="V237" s="26"/>
      <c r="W237" s="28"/>
      <c r="X237" s="28"/>
      <c r="Y237" s="26"/>
      <c r="Z237" s="26"/>
      <c r="AA237" s="26"/>
      <c r="AB237" s="26"/>
      <c r="AC237" s="26"/>
      <c r="AD237" s="26"/>
      <c r="AE237" s="26"/>
      <c r="AF237" s="26"/>
      <c r="AG237" s="26"/>
      <c r="AH237" s="26"/>
      <c r="AI237" s="26"/>
      <c r="AJ237" s="15" t="str">
        <f>IF(COUNTA(B237,E237,H237,I237,J237,K237,L237,M237,N237,O237,P237,Q237,R237,S237,T237,U237,V237,W237,X237,Y237,Z237,AA237,AB237,AC237,AD237,AE237,AF237,AG237,AH237,AI237)=0,"",IF(OR(B237="",E237="",H237="",J237="",K237="",L237="",M237="",O237="",P237="",Q237="",R237="",S237="",T237="",U237="",W237="",X237="",Y237="",AB237="",AC237="",AE237="",AF237=""),"Incompleta: faltan campos obligatorios",IF(AND(LEFT(H237,6)="PROPIA",I237=""),"Falta el nombre de la acción propia del área",IF(AND(LEFT(H237,3)="A27",IFERROR(INDEX(Catalogos!$T$5:$T$207,MATCH(H237,Catalogos!$U$5:$U$207,0)),"x")&lt;&gt;LEFT(E237,7)),"La acción no corresponde a la meta seleccionada",IF(OR(NOT(ISNUMBER(M237)),M237&lt;10000000,M237&gt;99999999),"Código UNSPSC inválido: registre 8 dígitos",IF(MOD(M237,10000)=0,"UNSPSC a nivel de segmento o familia: use clase o producto",IF(IFERROR(MATCH(P237,L_MESES,0)&lt;MATCH(O237,L_MESES,0),TRUE()),"El mes de ofertas es anterior al de inicio del proceso",IF(OR(NOT(ISNUMBER(Q237)),Q237&lt;=0),"Duración inválida",IF(OR(NOT(ISNUMBER(W237)),NOT(ISNUMBER(X237))),"Valor inválido: registre solo números",IF(OR(W237&lt;=0,X237&lt;=0),"Valor inválido: debe ser mayor que cero",IF(X237&gt;W237,"El valor de la vigencia 2027 supera el valor total",IF(AND(X237&lt;W237,Y237="No"),"El valor total supera el de 2027: requiere vigencias futuras",IF(AND(Y237="Sí",OR(Z237="",Z237="No aplica")),"Indique el estado de la solicitud de vigencias futuras",IF(IF(AND(S237="Mínima cuantía",ISNUMBER(P_TOPE_MINIMA)),W237&gt;P_TOPE_MINIMA,FALSE()),"El valor supera el tope de mínima cuantía 2027",IF(IF(AND(S237="Selección abreviada de menor cuantía",ISNUMBER(P_TOPE_MENOR)),W237&gt;P_TOPE_MENOR,FALSE()),"El valor supera el tope de menor cuantía 2027",IF(OR(ISERROR(SEARCH("@itc.edu.co",AE237)),SUMPRODUCT(--ISNUMBER(SEARCH({"á","é","í","ó","ú","ñ"," "},AE237)))&gt;0),"El correo del responsable no es institucional válido",IF(AND(AF237="Sí",AG237=""),"Indique el N.° de registro 2026 que continúa","OK")))))))))))))))))</f>
        <v/>
      </c>
      <c r="AK237" s="15" t="str">
        <f>IF(AJ237="OK",COUNTIF($AJ$7:AJ237,"OK"),"")</f>
        <v/>
      </c>
    </row>
    <row r="238" spans="1:37" x14ac:dyDescent="0.3">
      <c r="A238" s="13" t="str">
        <f t="shared" si="3"/>
        <v>PN27-232</v>
      </c>
      <c r="B238" s="26"/>
      <c r="C238" s="13" t="str">
        <f>IF(B238="","",IFERROR(INDEX(Catalogos!$R$5:$R$51,MATCH(B238,L_AREAS,0)),""))</f>
        <v/>
      </c>
      <c r="D238" s="13" t="str">
        <f>IF(B238="","",IFERROR(INDEX(Catalogos!$O$5:$O$51,MATCH(B238,L_AREAS,0)),""))</f>
        <v/>
      </c>
      <c r="E238" s="26"/>
      <c r="F238" s="13" t="str">
        <f>IF(E238="","",IFERROR(INDEX(Catalogos!$C$5:$C$49,MATCH(E238,L_METAS,0)),""))</f>
        <v/>
      </c>
      <c r="G238" s="13" t="str">
        <f>IF(E238="","",IFERROR(INDEX(Catalogos!$E$5:$E$49,MATCH(E238,L_METAS,0)),""))</f>
        <v/>
      </c>
      <c r="H238" s="26"/>
      <c r="I238" s="26"/>
      <c r="J238" s="26"/>
      <c r="K238" s="26"/>
      <c r="L238" s="26"/>
      <c r="M238" s="27"/>
      <c r="N238" s="26"/>
      <c r="O238" s="26"/>
      <c r="P238" s="26"/>
      <c r="Q238" s="26"/>
      <c r="R238" s="26"/>
      <c r="S238" s="26"/>
      <c r="T238" s="26"/>
      <c r="U238" s="26"/>
      <c r="V238" s="26"/>
      <c r="W238" s="28"/>
      <c r="X238" s="28"/>
      <c r="Y238" s="26"/>
      <c r="Z238" s="26"/>
      <c r="AA238" s="26"/>
      <c r="AB238" s="26"/>
      <c r="AC238" s="26"/>
      <c r="AD238" s="26"/>
      <c r="AE238" s="26"/>
      <c r="AF238" s="26"/>
      <c r="AG238" s="26"/>
      <c r="AH238" s="26"/>
      <c r="AI238" s="26"/>
      <c r="AJ238" s="15" t="str">
        <f>IF(COUNTA(B238,E238,H238,I238,J238,K238,L238,M238,N238,O238,P238,Q238,R238,S238,T238,U238,V238,W238,X238,Y238,Z238,AA238,AB238,AC238,AD238,AE238,AF238,AG238,AH238,AI238)=0,"",IF(OR(B238="",E238="",H238="",J238="",K238="",L238="",M238="",O238="",P238="",Q238="",R238="",S238="",T238="",U238="",W238="",X238="",Y238="",AB238="",AC238="",AE238="",AF238=""),"Incompleta: faltan campos obligatorios",IF(AND(LEFT(H238,6)="PROPIA",I238=""),"Falta el nombre de la acción propia del área",IF(AND(LEFT(H238,3)="A27",IFERROR(INDEX(Catalogos!$T$5:$T$207,MATCH(H238,Catalogos!$U$5:$U$207,0)),"x")&lt;&gt;LEFT(E238,7)),"La acción no corresponde a la meta seleccionada",IF(OR(NOT(ISNUMBER(M238)),M238&lt;10000000,M238&gt;99999999),"Código UNSPSC inválido: registre 8 dígitos",IF(MOD(M238,10000)=0,"UNSPSC a nivel de segmento o familia: use clase o producto",IF(IFERROR(MATCH(P238,L_MESES,0)&lt;MATCH(O238,L_MESES,0),TRUE()),"El mes de ofertas es anterior al de inicio del proceso",IF(OR(NOT(ISNUMBER(Q238)),Q238&lt;=0),"Duración inválida",IF(OR(NOT(ISNUMBER(W238)),NOT(ISNUMBER(X238))),"Valor inválido: registre solo números",IF(OR(W238&lt;=0,X238&lt;=0),"Valor inválido: debe ser mayor que cero",IF(X238&gt;W238,"El valor de la vigencia 2027 supera el valor total",IF(AND(X238&lt;W238,Y238="No"),"El valor total supera el de 2027: requiere vigencias futuras",IF(AND(Y238="Sí",OR(Z238="",Z238="No aplica")),"Indique el estado de la solicitud de vigencias futuras",IF(IF(AND(S238="Mínima cuantía",ISNUMBER(P_TOPE_MINIMA)),W238&gt;P_TOPE_MINIMA,FALSE()),"El valor supera el tope de mínima cuantía 2027",IF(IF(AND(S238="Selección abreviada de menor cuantía",ISNUMBER(P_TOPE_MENOR)),W238&gt;P_TOPE_MENOR,FALSE()),"El valor supera el tope de menor cuantía 2027",IF(OR(ISERROR(SEARCH("@itc.edu.co",AE238)),SUMPRODUCT(--ISNUMBER(SEARCH({"á","é","í","ó","ú","ñ"," "},AE238)))&gt;0),"El correo del responsable no es institucional válido",IF(AND(AF238="Sí",AG238=""),"Indique el N.° de registro 2026 que continúa","OK")))))))))))))))))</f>
        <v/>
      </c>
      <c r="AK238" s="15" t="str">
        <f>IF(AJ238="OK",COUNTIF($AJ$7:AJ238,"OK"),"")</f>
        <v/>
      </c>
    </row>
    <row r="239" spans="1:37" x14ac:dyDescent="0.3">
      <c r="A239" s="13" t="str">
        <f t="shared" si="3"/>
        <v>PN27-233</v>
      </c>
      <c r="B239" s="26"/>
      <c r="C239" s="13" t="str">
        <f>IF(B239="","",IFERROR(INDEX(Catalogos!$R$5:$R$51,MATCH(B239,L_AREAS,0)),""))</f>
        <v/>
      </c>
      <c r="D239" s="13" t="str">
        <f>IF(B239="","",IFERROR(INDEX(Catalogos!$O$5:$O$51,MATCH(B239,L_AREAS,0)),""))</f>
        <v/>
      </c>
      <c r="E239" s="26"/>
      <c r="F239" s="13" t="str">
        <f>IF(E239="","",IFERROR(INDEX(Catalogos!$C$5:$C$49,MATCH(E239,L_METAS,0)),""))</f>
        <v/>
      </c>
      <c r="G239" s="13" t="str">
        <f>IF(E239="","",IFERROR(INDEX(Catalogos!$E$5:$E$49,MATCH(E239,L_METAS,0)),""))</f>
        <v/>
      </c>
      <c r="H239" s="26"/>
      <c r="I239" s="26"/>
      <c r="J239" s="26"/>
      <c r="K239" s="26"/>
      <c r="L239" s="26"/>
      <c r="M239" s="27"/>
      <c r="N239" s="26"/>
      <c r="O239" s="26"/>
      <c r="P239" s="26"/>
      <c r="Q239" s="26"/>
      <c r="R239" s="26"/>
      <c r="S239" s="26"/>
      <c r="T239" s="26"/>
      <c r="U239" s="26"/>
      <c r="V239" s="26"/>
      <c r="W239" s="28"/>
      <c r="X239" s="28"/>
      <c r="Y239" s="26"/>
      <c r="Z239" s="26"/>
      <c r="AA239" s="26"/>
      <c r="AB239" s="26"/>
      <c r="AC239" s="26"/>
      <c r="AD239" s="26"/>
      <c r="AE239" s="26"/>
      <c r="AF239" s="26"/>
      <c r="AG239" s="26"/>
      <c r="AH239" s="26"/>
      <c r="AI239" s="26"/>
      <c r="AJ239" s="15" t="str">
        <f>IF(COUNTA(B239,E239,H239,I239,J239,K239,L239,M239,N239,O239,P239,Q239,R239,S239,T239,U239,V239,W239,X239,Y239,Z239,AA239,AB239,AC239,AD239,AE239,AF239,AG239,AH239,AI239)=0,"",IF(OR(B239="",E239="",H239="",J239="",K239="",L239="",M239="",O239="",P239="",Q239="",R239="",S239="",T239="",U239="",W239="",X239="",Y239="",AB239="",AC239="",AE239="",AF239=""),"Incompleta: faltan campos obligatorios",IF(AND(LEFT(H239,6)="PROPIA",I239=""),"Falta el nombre de la acción propia del área",IF(AND(LEFT(H239,3)="A27",IFERROR(INDEX(Catalogos!$T$5:$T$207,MATCH(H239,Catalogos!$U$5:$U$207,0)),"x")&lt;&gt;LEFT(E239,7)),"La acción no corresponde a la meta seleccionada",IF(OR(NOT(ISNUMBER(M239)),M239&lt;10000000,M239&gt;99999999),"Código UNSPSC inválido: registre 8 dígitos",IF(MOD(M239,10000)=0,"UNSPSC a nivel de segmento o familia: use clase o producto",IF(IFERROR(MATCH(P239,L_MESES,0)&lt;MATCH(O239,L_MESES,0),TRUE()),"El mes de ofertas es anterior al de inicio del proceso",IF(OR(NOT(ISNUMBER(Q239)),Q239&lt;=0),"Duración inválida",IF(OR(NOT(ISNUMBER(W239)),NOT(ISNUMBER(X239))),"Valor inválido: registre solo números",IF(OR(W239&lt;=0,X239&lt;=0),"Valor inválido: debe ser mayor que cero",IF(X239&gt;W239,"El valor de la vigencia 2027 supera el valor total",IF(AND(X239&lt;W239,Y239="No"),"El valor total supera el de 2027: requiere vigencias futuras",IF(AND(Y239="Sí",OR(Z239="",Z239="No aplica")),"Indique el estado de la solicitud de vigencias futuras",IF(IF(AND(S239="Mínima cuantía",ISNUMBER(P_TOPE_MINIMA)),W239&gt;P_TOPE_MINIMA,FALSE()),"El valor supera el tope de mínima cuantía 2027",IF(IF(AND(S239="Selección abreviada de menor cuantía",ISNUMBER(P_TOPE_MENOR)),W239&gt;P_TOPE_MENOR,FALSE()),"El valor supera el tope de menor cuantía 2027",IF(OR(ISERROR(SEARCH("@itc.edu.co",AE239)),SUMPRODUCT(--ISNUMBER(SEARCH({"á","é","í","ó","ú","ñ"," "},AE239)))&gt;0),"El correo del responsable no es institucional válido",IF(AND(AF239="Sí",AG239=""),"Indique el N.° de registro 2026 que continúa","OK")))))))))))))))))</f>
        <v/>
      </c>
      <c r="AK239" s="15" t="str">
        <f>IF(AJ239="OK",COUNTIF($AJ$7:AJ239,"OK"),"")</f>
        <v/>
      </c>
    </row>
    <row r="240" spans="1:37" x14ac:dyDescent="0.3">
      <c r="A240" s="13" t="str">
        <f t="shared" si="3"/>
        <v>PN27-234</v>
      </c>
      <c r="B240" s="26"/>
      <c r="C240" s="13" t="str">
        <f>IF(B240="","",IFERROR(INDEX(Catalogos!$R$5:$R$51,MATCH(B240,L_AREAS,0)),""))</f>
        <v/>
      </c>
      <c r="D240" s="13" t="str">
        <f>IF(B240="","",IFERROR(INDEX(Catalogos!$O$5:$O$51,MATCH(B240,L_AREAS,0)),""))</f>
        <v/>
      </c>
      <c r="E240" s="26"/>
      <c r="F240" s="13" t="str">
        <f>IF(E240="","",IFERROR(INDEX(Catalogos!$C$5:$C$49,MATCH(E240,L_METAS,0)),""))</f>
        <v/>
      </c>
      <c r="G240" s="13" t="str">
        <f>IF(E240="","",IFERROR(INDEX(Catalogos!$E$5:$E$49,MATCH(E240,L_METAS,0)),""))</f>
        <v/>
      </c>
      <c r="H240" s="26"/>
      <c r="I240" s="26"/>
      <c r="J240" s="26"/>
      <c r="K240" s="26"/>
      <c r="L240" s="26"/>
      <c r="M240" s="27"/>
      <c r="N240" s="26"/>
      <c r="O240" s="26"/>
      <c r="P240" s="26"/>
      <c r="Q240" s="26"/>
      <c r="R240" s="26"/>
      <c r="S240" s="26"/>
      <c r="T240" s="26"/>
      <c r="U240" s="26"/>
      <c r="V240" s="26"/>
      <c r="W240" s="28"/>
      <c r="X240" s="28"/>
      <c r="Y240" s="26"/>
      <c r="Z240" s="26"/>
      <c r="AA240" s="26"/>
      <c r="AB240" s="26"/>
      <c r="AC240" s="26"/>
      <c r="AD240" s="26"/>
      <c r="AE240" s="26"/>
      <c r="AF240" s="26"/>
      <c r="AG240" s="26"/>
      <c r="AH240" s="26"/>
      <c r="AI240" s="26"/>
      <c r="AJ240" s="15" t="str">
        <f>IF(COUNTA(B240,E240,H240,I240,J240,K240,L240,M240,N240,O240,P240,Q240,R240,S240,T240,U240,V240,W240,X240,Y240,Z240,AA240,AB240,AC240,AD240,AE240,AF240,AG240,AH240,AI240)=0,"",IF(OR(B240="",E240="",H240="",J240="",K240="",L240="",M240="",O240="",P240="",Q240="",R240="",S240="",T240="",U240="",W240="",X240="",Y240="",AB240="",AC240="",AE240="",AF240=""),"Incompleta: faltan campos obligatorios",IF(AND(LEFT(H240,6)="PROPIA",I240=""),"Falta el nombre de la acción propia del área",IF(AND(LEFT(H240,3)="A27",IFERROR(INDEX(Catalogos!$T$5:$T$207,MATCH(H240,Catalogos!$U$5:$U$207,0)),"x")&lt;&gt;LEFT(E240,7)),"La acción no corresponde a la meta seleccionada",IF(OR(NOT(ISNUMBER(M240)),M240&lt;10000000,M240&gt;99999999),"Código UNSPSC inválido: registre 8 dígitos",IF(MOD(M240,10000)=0,"UNSPSC a nivel de segmento o familia: use clase o producto",IF(IFERROR(MATCH(P240,L_MESES,0)&lt;MATCH(O240,L_MESES,0),TRUE()),"El mes de ofertas es anterior al de inicio del proceso",IF(OR(NOT(ISNUMBER(Q240)),Q240&lt;=0),"Duración inválida",IF(OR(NOT(ISNUMBER(W240)),NOT(ISNUMBER(X240))),"Valor inválido: registre solo números",IF(OR(W240&lt;=0,X240&lt;=0),"Valor inválido: debe ser mayor que cero",IF(X240&gt;W240,"El valor de la vigencia 2027 supera el valor total",IF(AND(X240&lt;W240,Y240="No"),"El valor total supera el de 2027: requiere vigencias futuras",IF(AND(Y240="Sí",OR(Z240="",Z240="No aplica")),"Indique el estado de la solicitud de vigencias futuras",IF(IF(AND(S240="Mínima cuantía",ISNUMBER(P_TOPE_MINIMA)),W240&gt;P_TOPE_MINIMA,FALSE()),"El valor supera el tope de mínima cuantía 2027",IF(IF(AND(S240="Selección abreviada de menor cuantía",ISNUMBER(P_TOPE_MENOR)),W240&gt;P_TOPE_MENOR,FALSE()),"El valor supera el tope de menor cuantía 2027",IF(OR(ISERROR(SEARCH("@itc.edu.co",AE240)),SUMPRODUCT(--ISNUMBER(SEARCH({"á","é","í","ó","ú","ñ"," "},AE240)))&gt;0),"El correo del responsable no es institucional válido",IF(AND(AF240="Sí",AG240=""),"Indique el N.° de registro 2026 que continúa","OK")))))))))))))))))</f>
        <v/>
      </c>
      <c r="AK240" s="15" t="str">
        <f>IF(AJ240="OK",COUNTIF($AJ$7:AJ240,"OK"),"")</f>
        <v/>
      </c>
    </row>
    <row r="241" spans="1:37" x14ac:dyDescent="0.3">
      <c r="A241" s="13" t="str">
        <f t="shared" si="3"/>
        <v>PN27-235</v>
      </c>
      <c r="B241" s="26"/>
      <c r="C241" s="13" t="str">
        <f>IF(B241="","",IFERROR(INDEX(Catalogos!$R$5:$R$51,MATCH(B241,L_AREAS,0)),""))</f>
        <v/>
      </c>
      <c r="D241" s="13" t="str">
        <f>IF(B241="","",IFERROR(INDEX(Catalogos!$O$5:$O$51,MATCH(B241,L_AREAS,0)),""))</f>
        <v/>
      </c>
      <c r="E241" s="26"/>
      <c r="F241" s="13" t="str">
        <f>IF(E241="","",IFERROR(INDEX(Catalogos!$C$5:$C$49,MATCH(E241,L_METAS,0)),""))</f>
        <v/>
      </c>
      <c r="G241" s="13" t="str">
        <f>IF(E241="","",IFERROR(INDEX(Catalogos!$E$5:$E$49,MATCH(E241,L_METAS,0)),""))</f>
        <v/>
      </c>
      <c r="H241" s="26"/>
      <c r="I241" s="26"/>
      <c r="J241" s="26"/>
      <c r="K241" s="26"/>
      <c r="L241" s="26"/>
      <c r="M241" s="27"/>
      <c r="N241" s="26"/>
      <c r="O241" s="26"/>
      <c r="P241" s="26"/>
      <c r="Q241" s="26"/>
      <c r="R241" s="26"/>
      <c r="S241" s="26"/>
      <c r="T241" s="26"/>
      <c r="U241" s="26"/>
      <c r="V241" s="26"/>
      <c r="W241" s="28"/>
      <c r="X241" s="28"/>
      <c r="Y241" s="26"/>
      <c r="Z241" s="26"/>
      <c r="AA241" s="26"/>
      <c r="AB241" s="26"/>
      <c r="AC241" s="26"/>
      <c r="AD241" s="26"/>
      <c r="AE241" s="26"/>
      <c r="AF241" s="26"/>
      <c r="AG241" s="26"/>
      <c r="AH241" s="26"/>
      <c r="AI241" s="26"/>
      <c r="AJ241" s="15" t="str">
        <f>IF(COUNTA(B241,E241,H241,I241,J241,K241,L241,M241,N241,O241,P241,Q241,R241,S241,T241,U241,V241,W241,X241,Y241,Z241,AA241,AB241,AC241,AD241,AE241,AF241,AG241,AH241,AI241)=0,"",IF(OR(B241="",E241="",H241="",J241="",K241="",L241="",M241="",O241="",P241="",Q241="",R241="",S241="",T241="",U241="",W241="",X241="",Y241="",AB241="",AC241="",AE241="",AF241=""),"Incompleta: faltan campos obligatorios",IF(AND(LEFT(H241,6)="PROPIA",I241=""),"Falta el nombre de la acción propia del área",IF(AND(LEFT(H241,3)="A27",IFERROR(INDEX(Catalogos!$T$5:$T$207,MATCH(H241,Catalogos!$U$5:$U$207,0)),"x")&lt;&gt;LEFT(E241,7)),"La acción no corresponde a la meta seleccionada",IF(OR(NOT(ISNUMBER(M241)),M241&lt;10000000,M241&gt;99999999),"Código UNSPSC inválido: registre 8 dígitos",IF(MOD(M241,10000)=0,"UNSPSC a nivel de segmento o familia: use clase o producto",IF(IFERROR(MATCH(P241,L_MESES,0)&lt;MATCH(O241,L_MESES,0),TRUE()),"El mes de ofertas es anterior al de inicio del proceso",IF(OR(NOT(ISNUMBER(Q241)),Q241&lt;=0),"Duración inválida",IF(OR(NOT(ISNUMBER(W241)),NOT(ISNUMBER(X241))),"Valor inválido: registre solo números",IF(OR(W241&lt;=0,X241&lt;=0),"Valor inválido: debe ser mayor que cero",IF(X241&gt;W241,"El valor de la vigencia 2027 supera el valor total",IF(AND(X241&lt;W241,Y241="No"),"El valor total supera el de 2027: requiere vigencias futuras",IF(AND(Y241="Sí",OR(Z241="",Z241="No aplica")),"Indique el estado de la solicitud de vigencias futuras",IF(IF(AND(S241="Mínima cuantía",ISNUMBER(P_TOPE_MINIMA)),W241&gt;P_TOPE_MINIMA,FALSE()),"El valor supera el tope de mínima cuantía 2027",IF(IF(AND(S241="Selección abreviada de menor cuantía",ISNUMBER(P_TOPE_MENOR)),W241&gt;P_TOPE_MENOR,FALSE()),"El valor supera el tope de menor cuantía 2027",IF(OR(ISERROR(SEARCH("@itc.edu.co",AE241)),SUMPRODUCT(--ISNUMBER(SEARCH({"á","é","í","ó","ú","ñ"," "},AE241)))&gt;0),"El correo del responsable no es institucional válido",IF(AND(AF241="Sí",AG241=""),"Indique el N.° de registro 2026 que continúa","OK")))))))))))))))))</f>
        <v/>
      </c>
      <c r="AK241" s="15" t="str">
        <f>IF(AJ241="OK",COUNTIF($AJ$7:AJ241,"OK"),"")</f>
        <v/>
      </c>
    </row>
    <row r="242" spans="1:37" x14ac:dyDescent="0.3">
      <c r="A242" s="13" t="str">
        <f t="shared" si="3"/>
        <v>PN27-236</v>
      </c>
      <c r="B242" s="26"/>
      <c r="C242" s="13" t="str">
        <f>IF(B242="","",IFERROR(INDEX(Catalogos!$R$5:$R$51,MATCH(B242,L_AREAS,0)),""))</f>
        <v/>
      </c>
      <c r="D242" s="13" t="str">
        <f>IF(B242="","",IFERROR(INDEX(Catalogos!$O$5:$O$51,MATCH(B242,L_AREAS,0)),""))</f>
        <v/>
      </c>
      <c r="E242" s="26"/>
      <c r="F242" s="13" t="str">
        <f>IF(E242="","",IFERROR(INDEX(Catalogos!$C$5:$C$49,MATCH(E242,L_METAS,0)),""))</f>
        <v/>
      </c>
      <c r="G242" s="13" t="str">
        <f>IF(E242="","",IFERROR(INDEX(Catalogos!$E$5:$E$49,MATCH(E242,L_METAS,0)),""))</f>
        <v/>
      </c>
      <c r="H242" s="26"/>
      <c r="I242" s="26"/>
      <c r="J242" s="26"/>
      <c r="K242" s="26"/>
      <c r="L242" s="26"/>
      <c r="M242" s="27"/>
      <c r="N242" s="26"/>
      <c r="O242" s="26"/>
      <c r="P242" s="26"/>
      <c r="Q242" s="26"/>
      <c r="R242" s="26"/>
      <c r="S242" s="26"/>
      <c r="T242" s="26"/>
      <c r="U242" s="26"/>
      <c r="V242" s="26"/>
      <c r="W242" s="28"/>
      <c r="X242" s="28"/>
      <c r="Y242" s="26"/>
      <c r="Z242" s="26"/>
      <c r="AA242" s="26"/>
      <c r="AB242" s="26"/>
      <c r="AC242" s="26"/>
      <c r="AD242" s="26"/>
      <c r="AE242" s="26"/>
      <c r="AF242" s="26"/>
      <c r="AG242" s="26"/>
      <c r="AH242" s="26"/>
      <c r="AI242" s="26"/>
      <c r="AJ242" s="15" t="str">
        <f>IF(COUNTA(B242,E242,H242,I242,J242,K242,L242,M242,N242,O242,P242,Q242,R242,S242,T242,U242,V242,W242,X242,Y242,Z242,AA242,AB242,AC242,AD242,AE242,AF242,AG242,AH242,AI242)=0,"",IF(OR(B242="",E242="",H242="",J242="",K242="",L242="",M242="",O242="",P242="",Q242="",R242="",S242="",T242="",U242="",W242="",X242="",Y242="",AB242="",AC242="",AE242="",AF242=""),"Incompleta: faltan campos obligatorios",IF(AND(LEFT(H242,6)="PROPIA",I242=""),"Falta el nombre de la acción propia del área",IF(AND(LEFT(H242,3)="A27",IFERROR(INDEX(Catalogos!$T$5:$T$207,MATCH(H242,Catalogos!$U$5:$U$207,0)),"x")&lt;&gt;LEFT(E242,7)),"La acción no corresponde a la meta seleccionada",IF(OR(NOT(ISNUMBER(M242)),M242&lt;10000000,M242&gt;99999999),"Código UNSPSC inválido: registre 8 dígitos",IF(MOD(M242,10000)=0,"UNSPSC a nivel de segmento o familia: use clase o producto",IF(IFERROR(MATCH(P242,L_MESES,0)&lt;MATCH(O242,L_MESES,0),TRUE()),"El mes de ofertas es anterior al de inicio del proceso",IF(OR(NOT(ISNUMBER(Q242)),Q242&lt;=0),"Duración inválida",IF(OR(NOT(ISNUMBER(W242)),NOT(ISNUMBER(X242))),"Valor inválido: registre solo números",IF(OR(W242&lt;=0,X242&lt;=0),"Valor inválido: debe ser mayor que cero",IF(X242&gt;W242,"El valor de la vigencia 2027 supera el valor total",IF(AND(X242&lt;W242,Y242="No"),"El valor total supera el de 2027: requiere vigencias futuras",IF(AND(Y242="Sí",OR(Z242="",Z242="No aplica")),"Indique el estado de la solicitud de vigencias futuras",IF(IF(AND(S242="Mínima cuantía",ISNUMBER(P_TOPE_MINIMA)),W242&gt;P_TOPE_MINIMA,FALSE()),"El valor supera el tope de mínima cuantía 2027",IF(IF(AND(S242="Selección abreviada de menor cuantía",ISNUMBER(P_TOPE_MENOR)),W242&gt;P_TOPE_MENOR,FALSE()),"El valor supera el tope de menor cuantía 2027",IF(OR(ISERROR(SEARCH("@itc.edu.co",AE242)),SUMPRODUCT(--ISNUMBER(SEARCH({"á","é","í","ó","ú","ñ"," "},AE242)))&gt;0),"El correo del responsable no es institucional válido",IF(AND(AF242="Sí",AG242=""),"Indique el N.° de registro 2026 que continúa","OK")))))))))))))))))</f>
        <v/>
      </c>
      <c r="AK242" s="15" t="str">
        <f>IF(AJ242="OK",COUNTIF($AJ$7:AJ242,"OK"),"")</f>
        <v/>
      </c>
    </row>
    <row r="243" spans="1:37" x14ac:dyDescent="0.3">
      <c r="A243" s="13" t="str">
        <f t="shared" si="3"/>
        <v>PN27-237</v>
      </c>
      <c r="B243" s="26"/>
      <c r="C243" s="13" t="str">
        <f>IF(B243="","",IFERROR(INDEX(Catalogos!$R$5:$R$51,MATCH(B243,L_AREAS,0)),""))</f>
        <v/>
      </c>
      <c r="D243" s="13" t="str">
        <f>IF(B243="","",IFERROR(INDEX(Catalogos!$O$5:$O$51,MATCH(B243,L_AREAS,0)),""))</f>
        <v/>
      </c>
      <c r="E243" s="26"/>
      <c r="F243" s="13" t="str">
        <f>IF(E243="","",IFERROR(INDEX(Catalogos!$C$5:$C$49,MATCH(E243,L_METAS,0)),""))</f>
        <v/>
      </c>
      <c r="G243" s="13" t="str">
        <f>IF(E243="","",IFERROR(INDEX(Catalogos!$E$5:$E$49,MATCH(E243,L_METAS,0)),""))</f>
        <v/>
      </c>
      <c r="H243" s="26"/>
      <c r="I243" s="26"/>
      <c r="J243" s="26"/>
      <c r="K243" s="26"/>
      <c r="L243" s="26"/>
      <c r="M243" s="27"/>
      <c r="N243" s="26"/>
      <c r="O243" s="26"/>
      <c r="P243" s="26"/>
      <c r="Q243" s="26"/>
      <c r="R243" s="26"/>
      <c r="S243" s="26"/>
      <c r="T243" s="26"/>
      <c r="U243" s="26"/>
      <c r="V243" s="26"/>
      <c r="W243" s="28"/>
      <c r="X243" s="28"/>
      <c r="Y243" s="26"/>
      <c r="Z243" s="26"/>
      <c r="AA243" s="26"/>
      <c r="AB243" s="26"/>
      <c r="AC243" s="26"/>
      <c r="AD243" s="26"/>
      <c r="AE243" s="26"/>
      <c r="AF243" s="26"/>
      <c r="AG243" s="26"/>
      <c r="AH243" s="26"/>
      <c r="AI243" s="26"/>
      <c r="AJ243" s="15" t="str">
        <f>IF(COUNTA(B243,E243,H243,I243,J243,K243,L243,M243,N243,O243,P243,Q243,R243,S243,T243,U243,V243,W243,X243,Y243,Z243,AA243,AB243,AC243,AD243,AE243,AF243,AG243,AH243,AI243)=0,"",IF(OR(B243="",E243="",H243="",J243="",K243="",L243="",M243="",O243="",P243="",Q243="",R243="",S243="",T243="",U243="",W243="",X243="",Y243="",AB243="",AC243="",AE243="",AF243=""),"Incompleta: faltan campos obligatorios",IF(AND(LEFT(H243,6)="PROPIA",I243=""),"Falta el nombre de la acción propia del área",IF(AND(LEFT(H243,3)="A27",IFERROR(INDEX(Catalogos!$T$5:$T$207,MATCH(H243,Catalogos!$U$5:$U$207,0)),"x")&lt;&gt;LEFT(E243,7)),"La acción no corresponde a la meta seleccionada",IF(OR(NOT(ISNUMBER(M243)),M243&lt;10000000,M243&gt;99999999),"Código UNSPSC inválido: registre 8 dígitos",IF(MOD(M243,10000)=0,"UNSPSC a nivel de segmento o familia: use clase o producto",IF(IFERROR(MATCH(P243,L_MESES,0)&lt;MATCH(O243,L_MESES,0),TRUE()),"El mes de ofertas es anterior al de inicio del proceso",IF(OR(NOT(ISNUMBER(Q243)),Q243&lt;=0),"Duración inválida",IF(OR(NOT(ISNUMBER(W243)),NOT(ISNUMBER(X243))),"Valor inválido: registre solo números",IF(OR(W243&lt;=0,X243&lt;=0),"Valor inválido: debe ser mayor que cero",IF(X243&gt;W243,"El valor de la vigencia 2027 supera el valor total",IF(AND(X243&lt;W243,Y243="No"),"El valor total supera el de 2027: requiere vigencias futuras",IF(AND(Y243="Sí",OR(Z243="",Z243="No aplica")),"Indique el estado de la solicitud de vigencias futuras",IF(IF(AND(S243="Mínima cuantía",ISNUMBER(P_TOPE_MINIMA)),W243&gt;P_TOPE_MINIMA,FALSE()),"El valor supera el tope de mínima cuantía 2027",IF(IF(AND(S243="Selección abreviada de menor cuantía",ISNUMBER(P_TOPE_MENOR)),W243&gt;P_TOPE_MENOR,FALSE()),"El valor supera el tope de menor cuantía 2027",IF(OR(ISERROR(SEARCH("@itc.edu.co",AE243)),SUMPRODUCT(--ISNUMBER(SEARCH({"á","é","í","ó","ú","ñ"," "},AE243)))&gt;0),"El correo del responsable no es institucional válido",IF(AND(AF243="Sí",AG243=""),"Indique el N.° de registro 2026 que continúa","OK")))))))))))))))))</f>
        <v/>
      </c>
      <c r="AK243" s="15" t="str">
        <f>IF(AJ243="OK",COUNTIF($AJ$7:AJ243,"OK"),"")</f>
        <v/>
      </c>
    </row>
    <row r="244" spans="1:37" x14ac:dyDescent="0.3">
      <c r="A244" s="13" t="str">
        <f t="shared" si="3"/>
        <v>PN27-238</v>
      </c>
      <c r="B244" s="26"/>
      <c r="C244" s="13" t="str">
        <f>IF(B244="","",IFERROR(INDEX(Catalogos!$R$5:$R$51,MATCH(B244,L_AREAS,0)),""))</f>
        <v/>
      </c>
      <c r="D244" s="13" t="str">
        <f>IF(B244="","",IFERROR(INDEX(Catalogos!$O$5:$O$51,MATCH(B244,L_AREAS,0)),""))</f>
        <v/>
      </c>
      <c r="E244" s="26"/>
      <c r="F244" s="13" t="str">
        <f>IF(E244="","",IFERROR(INDEX(Catalogos!$C$5:$C$49,MATCH(E244,L_METAS,0)),""))</f>
        <v/>
      </c>
      <c r="G244" s="13" t="str">
        <f>IF(E244="","",IFERROR(INDEX(Catalogos!$E$5:$E$49,MATCH(E244,L_METAS,0)),""))</f>
        <v/>
      </c>
      <c r="H244" s="26"/>
      <c r="I244" s="26"/>
      <c r="J244" s="26"/>
      <c r="K244" s="26"/>
      <c r="L244" s="26"/>
      <c r="M244" s="27"/>
      <c r="N244" s="26"/>
      <c r="O244" s="26"/>
      <c r="P244" s="26"/>
      <c r="Q244" s="26"/>
      <c r="R244" s="26"/>
      <c r="S244" s="26"/>
      <c r="T244" s="26"/>
      <c r="U244" s="26"/>
      <c r="V244" s="26"/>
      <c r="W244" s="28"/>
      <c r="X244" s="28"/>
      <c r="Y244" s="26"/>
      <c r="Z244" s="26"/>
      <c r="AA244" s="26"/>
      <c r="AB244" s="26"/>
      <c r="AC244" s="26"/>
      <c r="AD244" s="26"/>
      <c r="AE244" s="26"/>
      <c r="AF244" s="26"/>
      <c r="AG244" s="26"/>
      <c r="AH244" s="26"/>
      <c r="AI244" s="26"/>
      <c r="AJ244" s="15" t="str">
        <f>IF(COUNTA(B244,E244,H244,I244,J244,K244,L244,M244,N244,O244,P244,Q244,R244,S244,T244,U244,V244,W244,X244,Y244,Z244,AA244,AB244,AC244,AD244,AE244,AF244,AG244,AH244,AI244)=0,"",IF(OR(B244="",E244="",H244="",J244="",K244="",L244="",M244="",O244="",P244="",Q244="",R244="",S244="",T244="",U244="",W244="",X244="",Y244="",AB244="",AC244="",AE244="",AF244=""),"Incompleta: faltan campos obligatorios",IF(AND(LEFT(H244,6)="PROPIA",I244=""),"Falta el nombre de la acción propia del área",IF(AND(LEFT(H244,3)="A27",IFERROR(INDEX(Catalogos!$T$5:$T$207,MATCH(H244,Catalogos!$U$5:$U$207,0)),"x")&lt;&gt;LEFT(E244,7)),"La acción no corresponde a la meta seleccionada",IF(OR(NOT(ISNUMBER(M244)),M244&lt;10000000,M244&gt;99999999),"Código UNSPSC inválido: registre 8 dígitos",IF(MOD(M244,10000)=0,"UNSPSC a nivel de segmento o familia: use clase o producto",IF(IFERROR(MATCH(P244,L_MESES,0)&lt;MATCH(O244,L_MESES,0),TRUE()),"El mes de ofertas es anterior al de inicio del proceso",IF(OR(NOT(ISNUMBER(Q244)),Q244&lt;=0),"Duración inválida",IF(OR(NOT(ISNUMBER(W244)),NOT(ISNUMBER(X244))),"Valor inválido: registre solo números",IF(OR(W244&lt;=0,X244&lt;=0),"Valor inválido: debe ser mayor que cero",IF(X244&gt;W244,"El valor de la vigencia 2027 supera el valor total",IF(AND(X244&lt;W244,Y244="No"),"El valor total supera el de 2027: requiere vigencias futuras",IF(AND(Y244="Sí",OR(Z244="",Z244="No aplica")),"Indique el estado de la solicitud de vigencias futuras",IF(IF(AND(S244="Mínima cuantía",ISNUMBER(P_TOPE_MINIMA)),W244&gt;P_TOPE_MINIMA,FALSE()),"El valor supera el tope de mínima cuantía 2027",IF(IF(AND(S244="Selección abreviada de menor cuantía",ISNUMBER(P_TOPE_MENOR)),W244&gt;P_TOPE_MENOR,FALSE()),"El valor supera el tope de menor cuantía 2027",IF(OR(ISERROR(SEARCH("@itc.edu.co",AE244)),SUMPRODUCT(--ISNUMBER(SEARCH({"á","é","í","ó","ú","ñ"," "},AE244)))&gt;0),"El correo del responsable no es institucional válido",IF(AND(AF244="Sí",AG244=""),"Indique el N.° de registro 2026 que continúa","OK")))))))))))))))))</f>
        <v/>
      </c>
      <c r="AK244" s="15" t="str">
        <f>IF(AJ244="OK",COUNTIF($AJ$7:AJ244,"OK"),"")</f>
        <v/>
      </c>
    </row>
    <row r="245" spans="1:37" x14ac:dyDescent="0.3">
      <c r="A245" s="13" t="str">
        <f t="shared" si="3"/>
        <v>PN27-239</v>
      </c>
      <c r="B245" s="26"/>
      <c r="C245" s="13" t="str">
        <f>IF(B245="","",IFERROR(INDEX(Catalogos!$R$5:$R$51,MATCH(B245,L_AREAS,0)),""))</f>
        <v/>
      </c>
      <c r="D245" s="13" t="str">
        <f>IF(B245="","",IFERROR(INDEX(Catalogos!$O$5:$O$51,MATCH(B245,L_AREAS,0)),""))</f>
        <v/>
      </c>
      <c r="E245" s="26"/>
      <c r="F245" s="13" t="str">
        <f>IF(E245="","",IFERROR(INDEX(Catalogos!$C$5:$C$49,MATCH(E245,L_METAS,0)),""))</f>
        <v/>
      </c>
      <c r="G245" s="13" t="str">
        <f>IF(E245="","",IFERROR(INDEX(Catalogos!$E$5:$E$49,MATCH(E245,L_METAS,0)),""))</f>
        <v/>
      </c>
      <c r="H245" s="26"/>
      <c r="I245" s="26"/>
      <c r="J245" s="26"/>
      <c r="K245" s="26"/>
      <c r="L245" s="26"/>
      <c r="M245" s="27"/>
      <c r="N245" s="26"/>
      <c r="O245" s="26"/>
      <c r="P245" s="26"/>
      <c r="Q245" s="26"/>
      <c r="R245" s="26"/>
      <c r="S245" s="26"/>
      <c r="T245" s="26"/>
      <c r="U245" s="26"/>
      <c r="V245" s="26"/>
      <c r="W245" s="28"/>
      <c r="X245" s="28"/>
      <c r="Y245" s="26"/>
      <c r="Z245" s="26"/>
      <c r="AA245" s="26"/>
      <c r="AB245" s="26"/>
      <c r="AC245" s="26"/>
      <c r="AD245" s="26"/>
      <c r="AE245" s="26"/>
      <c r="AF245" s="26"/>
      <c r="AG245" s="26"/>
      <c r="AH245" s="26"/>
      <c r="AI245" s="26"/>
      <c r="AJ245" s="15" t="str">
        <f>IF(COUNTA(B245,E245,H245,I245,J245,K245,L245,M245,N245,O245,P245,Q245,R245,S245,T245,U245,V245,W245,X245,Y245,Z245,AA245,AB245,AC245,AD245,AE245,AF245,AG245,AH245,AI245)=0,"",IF(OR(B245="",E245="",H245="",J245="",K245="",L245="",M245="",O245="",P245="",Q245="",R245="",S245="",T245="",U245="",W245="",X245="",Y245="",AB245="",AC245="",AE245="",AF245=""),"Incompleta: faltan campos obligatorios",IF(AND(LEFT(H245,6)="PROPIA",I245=""),"Falta el nombre de la acción propia del área",IF(AND(LEFT(H245,3)="A27",IFERROR(INDEX(Catalogos!$T$5:$T$207,MATCH(H245,Catalogos!$U$5:$U$207,0)),"x")&lt;&gt;LEFT(E245,7)),"La acción no corresponde a la meta seleccionada",IF(OR(NOT(ISNUMBER(M245)),M245&lt;10000000,M245&gt;99999999),"Código UNSPSC inválido: registre 8 dígitos",IF(MOD(M245,10000)=0,"UNSPSC a nivel de segmento o familia: use clase o producto",IF(IFERROR(MATCH(P245,L_MESES,0)&lt;MATCH(O245,L_MESES,0),TRUE()),"El mes de ofertas es anterior al de inicio del proceso",IF(OR(NOT(ISNUMBER(Q245)),Q245&lt;=0),"Duración inválida",IF(OR(NOT(ISNUMBER(W245)),NOT(ISNUMBER(X245))),"Valor inválido: registre solo números",IF(OR(W245&lt;=0,X245&lt;=0),"Valor inválido: debe ser mayor que cero",IF(X245&gt;W245,"El valor de la vigencia 2027 supera el valor total",IF(AND(X245&lt;W245,Y245="No"),"El valor total supera el de 2027: requiere vigencias futuras",IF(AND(Y245="Sí",OR(Z245="",Z245="No aplica")),"Indique el estado de la solicitud de vigencias futuras",IF(IF(AND(S245="Mínima cuantía",ISNUMBER(P_TOPE_MINIMA)),W245&gt;P_TOPE_MINIMA,FALSE()),"El valor supera el tope de mínima cuantía 2027",IF(IF(AND(S245="Selección abreviada de menor cuantía",ISNUMBER(P_TOPE_MENOR)),W245&gt;P_TOPE_MENOR,FALSE()),"El valor supera el tope de menor cuantía 2027",IF(OR(ISERROR(SEARCH("@itc.edu.co",AE245)),SUMPRODUCT(--ISNUMBER(SEARCH({"á","é","í","ó","ú","ñ"," "},AE245)))&gt;0),"El correo del responsable no es institucional válido",IF(AND(AF245="Sí",AG245=""),"Indique el N.° de registro 2026 que continúa","OK")))))))))))))))))</f>
        <v/>
      </c>
      <c r="AK245" s="15" t="str">
        <f>IF(AJ245="OK",COUNTIF($AJ$7:AJ245,"OK"),"")</f>
        <v/>
      </c>
    </row>
    <row r="246" spans="1:37" x14ac:dyDescent="0.3">
      <c r="A246" s="13" t="str">
        <f t="shared" si="3"/>
        <v>PN27-240</v>
      </c>
      <c r="B246" s="26"/>
      <c r="C246" s="13" t="str">
        <f>IF(B246="","",IFERROR(INDEX(Catalogos!$R$5:$R$51,MATCH(B246,L_AREAS,0)),""))</f>
        <v/>
      </c>
      <c r="D246" s="13" t="str">
        <f>IF(B246="","",IFERROR(INDEX(Catalogos!$O$5:$O$51,MATCH(B246,L_AREAS,0)),""))</f>
        <v/>
      </c>
      <c r="E246" s="26"/>
      <c r="F246" s="13" t="str">
        <f>IF(E246="","",IFERROR(INDEX(Catalogos!$C$5:$C$49,MATCH(E246,L_METAS,0)),""))</f>
        <v/>
      </c>
      <c r="G246" s="13" t="str">
        <f>IF(E246="","",IFERROR(INDEX(Catalogos!$E$5:$E$49,MATCH(E246,L_METAS,0)),""))</f>
        <v/>
      </c>
      <c r="H246" s="26"/>
      <c r="I246" s="26"/>
      <c r="J246" s="26"/>
      <c r="K246" s="26"/>
      <c r="L246" s="26"/>
      <c r="M246" s="27"/>
      <c r="N246" s="26"/>
      <c r="O246" s="26"/>
      <c r="P246" s="26"/>
      <c r="Q246" s="26"/>
      <c r="R246" s="26"/>
      <c r="S246" s="26"/>
      <c r="T246" s="26"/>
      <c r="U246" s="26"/>
      <c r="V246" s="26"/>
      <c r="W246" s="28"/>
      <c r="X246" s="28"/>
      <c r="Y246" s="26"/>
      <c r="Z246" s="26"/>
      <c r="AA246" s="26"/>
      <c r="AB246" s="26"/>
      <c r="AC246" s="26"/>
      <c r="AD246" s="26"/>
      <c r="AE246" s="26"/>
      <c r="AF246" s="26"/>
      <c r="AG246" s="26"/>
      <c r="AH246" s="26"/>
      <c r="AI246" s="26"/>
      <c r="AJ246" s="15" t="str">
        <f>IF(COUNTA(B246,E246,H246,I246,J246,K246,L246,M246,N246,O246,P246,Q246,R246,S246,T246,U246,V246,W246,X246,Y246,Z246,AA246,AB246,AC246,AD246,AE246,AF246,AG246,AH246,AI246)=0,"",IF(OR(B246="",E246="",H246="",J246="",K246="",L246="",M246="",O246="",P246="",Q246="",R246="",S246="",T246="",U246="",W246="",X246="",Y246="",AB246="",AC246="",AE246="",AF246=""),"Incompleta: faltan campos obligatorios",IF(AND(LEFT(H246,6)="PROPIA",I246=""),"Falta el nombre de la acción propia del área",IF(AND(LEFT(H246,3)="A27",IFERROR(INDEX(Catalogos!$T$5:$T$207,MATCH(H246,Catalogos!$U$5:$U$207,0)),"x")&lt;&gt;LEFT(E246,7)),"La acción no corresponde a la meta seleccionada",IF(OR(NOT(ISNUMBER(M246)),M246&lt;10000000,M246&gt;99999999),"Código UNSPSC inválido: registre 8 dígitos",IF(MOD(M246,10000)=0,"UNSPSC a nivel de segmento o familia: use clase o producto",IF(IFERROR(MATCH(P246,L_MESES,0)&lt;MATCH(O246,L_MESES,0),TRUE()),"El mes de ofertas es anterior al de inicio del proceso",IF(OR(NOT(ISNUMBER(Q246)),Q246&lt;=0),"Duración inválida",IF(OR(NOT(ISNUMBER(W246)),NOT(ISNUMBER(X246))),"Valor inválido: registre solo números",IF(OR(W246&lt;=0,X246&lt;=0),"Valor inválido: debe ser mayor que cero",IF(X246&gt;W246,"El valor de la vigencia 2027 supera el valor total",IF(AND(X246&lt;W246,Y246="No"),"El valor total supera el de 2027: requiere vigencias futuras",IF(AND(Y246="Sí",OR(Z246="",Z246="No aplica")),"Indique el estado de la solicitud de vigencias futuras",IF(IF(AND(S246="Mínima cuantía",ISNUMBER(P_TOPE_MINIMA)),W246&gt;P_TOPE_MINIMA,FALSE()),"El valor supera el tope de mínima cuantía 2027",IF(IF(AND(S246="Selección abreviada de menor cuantía",ISNUMBER(P_TOPE_MENOR)),W246&gt;P_TOPE_MENOR,FALSE()),"El valor supera el tope de menor cuantía 2027",IF(OR(ISERROR(SEARCH("@itc.edu.co",AE246)),SUMPRODUCT(--ISNUMBER(SEARCH({"á","é","í","ó","ú","ñ"," "},AE246)))&gt;0),"El correo del responsable no es institucional válido",IF(AND(AF246="Sí",AG246=""),"Indique el N.° de registro 2026 que continúa","OK")))))))))))))))))</f>
        <v/>
      </c>
      <c r="AK246" s="15" t="str">
        <f>IF(AJ246="OK",COUNTIF($AJ$7:AJ246,"OK"),"")</f>
        <v/>
      </c>
    </row>
    <row r="247" spans="1:37" x14ac:dyDescent="0.3">
      <c r="A247" s="13" t="str">
        <f t="shared" si="3"/>
        <v>PN27-241</v>
      </c>
      <c r="B247" s="26"/>
      <c r="C247" s="13" t="str">
        <f>IF(B247="","",IFERROR(INDEX(Catalogos!$R$5:$R$51,MATCH(B247,L_AREAS,0)),""))</f>
        <v/>
      </c>
      <c r="D247" s="13" t="str">
        <f>IF(B247="","",IFERROR(INDEX(Catalogos!$O$5:$O$51,MATCH(B247,L_AREAS,0)),""))</f>
        <v/>
      </c>
      <c r="E247" s="26"/>
      <c r="F247" s="13" t="str">
        <f>IF(E247="","",IFERROR(INDEX(Catalogos!$C$5:$C$49,MATCH(E247,L_METAS,0)),""))</f>
        <v/>
      </c>
      <c r="G247" s="13" t="str">
        <f>IF(E247="","",IFERROR(INDEX(Catalogos!$E$5:$E$49,MATCH(E247,L_METAS,0)),""))</f>
        <v/>
      </c>
      <c r="H247" s="26"/>
      <c r="I247" s="26"/>
      <c r="J247" s="26"/>
      <c r="K247" s="26"/>
      <c r="L247" s="26"/>
      <c r="M247" s="27"/>
      <c r="N247" s="26"/>
      <c r="O247" s="26"/>
      <c r="P247" s="26"/>
      <c r="Q247" s="26"/>
      <c r="R247" s="26"/>
      <c r="S247" s="26"/>
      <c r="T247" s="26"/>
      <c r="U247" s="26"/>
      <c r="V247" s="26"/>
      <c r="W247" s="28"/>
      <c r="X247" s="28"/>
      <c r="Y247" s="26"/>
      <c r="Z247" s="26"/>
      <c r="AA247" s="26"/>
      <c r="AB247" s="26"/>
      <c r="AC247" s="26"/>
      <c r="AD247" s="26"/>
      <c r="AE247" s="26"/>
      <c r="AF247" s="26"/>
      <c r="AG247" s="26"/>
      <c r="AH247" s="26"/>
      <c r="AI247" s="26"/>
      <c r="AJ247" s="15" t="str">
        <f>IF(COUNTA(B247,E247,H247,I247,J247,K247,L247,M247,N247,O247,P247,Q247,R247,S247,T247,U247,V247,W247,X247,Y247,Z247,AA247,AB247,AC247,AD247,AE247,AF247,AG247,AH247,AI247)=0,"",IF(OR(B247="",E247="",H247="",J247="",K247="",L247="",M247="",O247="",P247="",Q247="",R247="",S247="",T247="",U247="",W247="",X247="",Y247="",AB247="",AC247="",AE247="",AF247=""),"Incompleta: faltan campos obligatorios",IF(AND(LEFT(H247,6)="PROPIA",I247=""),"Falta el nombre de la acción propia del área",IF(AND(LEFT(H247,3)="A27",IFERROR(INDEX(Catalogos!$T$5:$T$207,MATCH(H247,Catalogos!$U$5:$U$207,0)),"x")&lt;&gt;LEFT(E247,7)),"La acción no corresponde a la meta seleccionada",IF(OR(NOT(ISNUMBER(M247)),M247&lt;10000000,M247&gt;99999999),"Código UNSPSC inválido: registre 8 dígitos",IF(MOD(M247,10000)=0,"UNSPSC a nivel de segmento o familia: use clase o producto",IF(IFERROR(MATCH(P247,L_MESES,0)&lt;MATCH(O247,L_MESES,0),TRUE()),"El mes de ofertas es anterior al de inicio del proceso",IF(OR(NOT(ISNUMBER(Q247)),Q247&lt;=0),"Duración inválida",IF(OR(NOT(ISNUMBER(W247)),NOT(ISNUMBER(X247))),"Valor inválido: registre solo números",IF(OR(W247&lt;=0,X247&lt;=0),"Valor inválido: debe ser mayor que cero",IF(X247&gt;W247,"El valor de la vigencia 2027 supera el valor total",IF(AND(X247&lt;W247,Y247="No"),"El valor total supera el de 2027: requiere vigencias futuras",IF(AND(Y247="Sí",OR(Z247="",Z247="No aplica")),"Indique el estado de la solicitud de vigencias futuras",IF(IF(AND(S247="Mínima cuantía",ISNUMBER(P_TOPE_MINIMA)),W247&gt;P_TOPE_MINIMA,FALSE()),"El valor supera el tope de mínima cuantía 2027",IF(IF(AND(S247="Selección abreviada de menor cuantía",ISNUMBER(P_TOPE_MENOR)),W247&gt;P_TOPE_MENOR,FALSE()),"El valor supera el tope de menor cuantía 2027",IF(OR(ISERROR(SEARCH("@itc.edu.co",AE247)),SUMPRODUCT(--ISNUMBER(SEARCH({"á","é","í","ó","ú","ñ"," "},AE247)))&gt;0),"El correo del responsable no es institucional válido",IF(AND(AF247="Sí",AG247=""),"Indique el N.° de registro 2026 que continúa","OK")))))))))))))))))</f>
        <v/>
      </c>
      <c r="AK247" s="15" t="str">
        <f>IF(AJ247="OK",COUNTIF($AJ$7:AJ247,"OK"),"")</f>
        <v/>
      </c>
    </row>
    <row r="248" spans="1:37" x14ac:dyDescent="0.3">
      <c r="A248" s="13" t="str">
        <f t="shared" si="3"/>
        <v>PN27-242</v>
      </c>
      <c r="B248" s="26"/>
      <c r="C248" s="13" t="str">
        <f>IF(B248="","",IFERROR(INDEX(Catalogos!$R$5:$R$51,MATCH(B248,L_AREAS,0)),""))</f>
        <v/>
      </c>
      <c r="D248" s="13" t="str">
        <f>IF(B248="","",IFERROR(INDEX(Catalogos!$O$5:$O$51,MATCH(B248,L_AREAS,0)),""))</f>
        <v/>
      </c>
      <c r="E248" s="26"/>
      <c r="F248" s="13" t="str">
        <f>IF(E248="","",IFERROR(INDEX(Catalogos!$C$5:$C$49,MATCH(E248,L_METAS,0)),""))</f>
        <v/>
      </c>
      <c r="G248" s="13" t="str">
        <f>IF(E248="","",IFERROR(INDEX(Catalogos!$E$5:$E$49,MATCH(E248,L_METAS,0)),""))</f>
        <v/>
      </c>
      <c r="H248" s="26"/>
      <c r="I248" s="26"/>
      <c r="J248" s="26"/>
      <c r="K248" s="26"/>
      <c r="L248" s="26"/>
      <c r="M248" s="27"/>
      <c r="N248" s="26"/>
      <c r="O248" s="26"/>
      <c r="P248" s="26"/>
      <c r="Q248" s="26"/>
      <c r="R248" s="26"/>
      <c r="S248" s="26"/>
      <c r="T248" s="26"/>
      <c r="U248" s="26"/>
      <c r="V248" s="26"/>
      <c r="W248" s="28"/>
      <c r="X248" s="28"/>
      <c r="Y248" s="26"/>
      <c r="Z248" s="26"/>
      <c r="AA248" s="26"/>
      <c r="AB248" s="26"/>
      <c r="AC248" s="26"/>
      <c r="AD248" s="26"/>
      <c r="AE248" s="26"/>
      <c r="AF248" s="26"/>
      <c r="AG248" s="26"/>
      <c r="AH248" s="26"/>
      <c r="AI248" s="26"/>
      <c r="AJ248" s="15" t="str">
        <f>IF(COUNTA(B248,E248,H248,I248,J248,K248,L248,M248,N248,O248,P248,Q248,R248,S248,T248,U248,V248,W248,X248,Y248,Z248,AA248,AB248,AC248,AD248,AE248,AF248,AG248,AH248,AI248)=0,"",IF(OR(B248="",E248="",H248="",J248="",K248="",L248="",M248="",O248="",P248="",Q248="",R248="",S248="",T248="",U248="",W248="",X248="",Y248="",AB248="",AC248="",AE248="",AF248=""),"Incompleta: faltan campos obligatorios",IF(AND(LEFT(H248,6)="PROPIA",I248=""),"Falta el nombre de la acción propia del área",IF(AND(LEFT(H248,3)="A27",IFERROR(INDEX(Catalogos!$T$5:$T$207,MATCH(H248,Catalogos!$U$5:$U$207,0)),"x")&lt;&gt;LEFT(E248,7)),"La acción no corresponde a la meta seleccionada",IF(OR(NOT(ISNUMBER(M248)),M248&lt;10000000,M248&gt;99999999),"Código UNSPSC inválido: registre 8 dígitos",IF(MOD(M248,10000)=0,"UNSPSC a nivel de segmento o familia: use clase o producto",IF(IFERROR(MATCH(P248,L_MESES,0)&lt;MATCH(O248,L_MESES,0),TRUE()),"El mes de ofertas es anterior al de inicio del proceso",IF(OR(NOT(ISNUMBER(Q248)),Q248&lt;=0),"Duración inválida",IF(OR(NOT(ISNUMBER(W248)),NOT(ISNUMBER(X248))),"Valor inválido: registre solo números",IF(OR(W248&lt;=0,X248&lt;=0),"Valor inválido: debe ser mayor que cero",IF(X248&gt;W248,"El valor de la vigencia 2027 supera el valor total",IF(AND(X248&lt;W248,Y248="No"),"El valor total supera el de 2027: requiere vigencias futuras",IF(AND(Y248="Sí",OR(Z248="",Z248="No aplica")),"Indique el estado de la solicitud de vigencias futuras",IF(IF(AND(S248="Mínima cuantía",ISNUMBER(P_TOPE_MINIMA)),W248&gt;P_TOPE_MINIMA,FALSE()),"El valor supera el tope de mínima cuantía 2027",IF(IF(AND(S248="Selección abreviada de menor cuantía",ISNUMBER(P_TOPE_MENOR)),W248&gt;P_TOPE_MENOR,FALSE()),"El valor supera el tope de menor cuantía 2027",IF(OR(ISERROR(SEARCH("@itc.edu.co",AE248)),SUMPRODUCT(--ISNUMBER(SEARCH({"á","é","í","ó","ú","ñ"," "},AE248)))&gt;0),"El correo del responsable no es institucional válido",IF(AND(AF248="Sí",AG248=""),"Indique el N.° de registro 2026 que continúa","OK")))))))))))))))))</f>
        <v/>
      </c>
      <c r="AK248" s="15" t="str">
        <f>IF(AJ248="OK",COUNTIF($AJ$7:AJ248,"OK"),"")</f>
        <v/>
      </c>
    </row>
    <row r="249" spans="1:37" x14ac:dyDescent="0.3">
      <c r="A249" s="13" t="str">
        <f t="shared" si="3"/>
        <v>PN27-243</v>
      </c>
      <c r="B249" s="26"/>
      <c r="C249" s="13" t="str">
        <f>IF(B249="","",IFERROR(INDEX(Catalogos!$R$5:$R$51,MATCH(B249,L_AREAS,0)),""))</f>
        <v/>
      </c>
      <c r="D249" s="13" t="str">
        <f>IF(B249="","",IFERROR(INDEX(Catalogos!$O$5:$O$51,MATCH(B249,L_AREAS,0)),""))</f>
        <v/>
      </c>
      <c r="E249" s="26"/>
      <c r="F249" s="13" t="str">
        <f>IF(E249="","",IFERROR(INDEX(Catalogos!$C$5:$C$49,MATCH(E249,L_METAS,0)),""))</f>
        <v/>
      </c>
      <c r="G249" s="13" t="str">
        <f>IF(E249="","",IFERROR(INDEX(Catalogos!$E$5:$E$49,MATCH(E249,L_METAS,0)),""))</f>
        <v/>
      </c>
      <c r="H249" s="26"/>
      <c r="I249" s="26"/>
      <c r="J249" s="26"/>
      <c r="K249" s="26"/>
      <c r="L249" s="26"/>
      <c r="M249" s="27"/>
      <c r="N249" s="26"/>
      <c r="O249" s="26"/>
      <c r="P249" s="26"/>
      <c r="Q249" s="26"/>
      <c r="R249" s="26"/>
      <c r="S249" s="26"/>
      <c r="T249" s="26"/>
      <c r="U249" s="26"/>
      <c r="V249" s="26"/>
      <c r="W249" s="28"/>
      <c r="X249" s="28"/>
      <c r="Y249" s="26"/>
      <c r="Z249" s="26"/>
      <c r="AA249" s="26"/>
      <c r="AB249" s="26"/>
      <c r="AC249" s="26"/>
      <c r="AD249" s="26"/>
      <c r="AE249" s="26"/>
      <c r="AF249" s="26"/>
      <c r="AG249" s="26"/>
      <c r="AH249" s="26"/>
      <c r="AI249" s="26"/>
      <c r="AJ249" s="15" t="str">
        <f>IF(COUNTA(B249,E249,H249,I249,J249,K249,L249,M249,N249,O249,P249,Q249,R249,S249,T249,U249,V249,W249,X249,Y249,Z249,AA249,AB249,AC249,AD249,AE249,AF249,AG249,AH249,AI249)=0,"",IF(OR(B249="",E249="",H249="",J249="",K249="",L249="",M249="",O249="",P249="",Q249="",R249="",S249="",T249="",U249="",W249="",X249="",Y249="",AB249="",AC249="",AE249="",AF249=""),"Incompleta: faltan campos obligatorios",IF(AND(LEFT(H249,6)="PROPIA",I249=""),"Falta el nombre de la acción propia del área",IF(AND(LEFT(H249,3)="A27",IFERROR(INDEX(Catalogos!$T$5:$T$207,MATCH(H249,Catalogos!$U$5:$U$207,0)),"x")&lt;&gt;LEFT(E249,7)),"La acción no corresponde a la meta seleccionada",IF(OR(NOT(ISNUMBER(M249)),M249&lt;10000000,M249&gt;99999999),"Código UNSPSC inválido: registre 8 dígitos",IF(MOD(M249,10000)=0,"UNSPSC a nivel de segmento o familia: use clase o producto",IF(IFERROR(MATCH(P249,L_MESES,0)&lt;MATCH(O249,L_MESES,0),TRUE()),"El mes de ofertas es anterior al de inicio del proceso",IF(OR(NOT(ISNUMBER(Q249)),Q249&lt;=0),"Duración inválida",IF(OR(NOT(ISNUMBER(W249)),NOT(ISNUMBER(X249))),"Valor inválido: registre solo números",IF(OR(W249&lt;=0,X249&lt;=0),"Valor inválido: debe ser mayor que cero",IF(X249&gt;W249,"El valor de la vigencia 2027 supera el valor total",IF(AND(X249&lt;W249,Y249="No"),"El valor total supera el de 2027: requiere vigencias futuras",IF(AND(Y249="Sí",OR(Z249="",Z249="No aplica")),"Indique el estado de la solicitud de vigencias futuras",IF(IF(AND(S249="Mínima cuantía",ISNUMBER(P_TOPE_MINIMA)),W249&gt;P_TOPE_MINIMA,FALSE()),"El valor supera el tope de mínima cuantía 2027",IF(IF(AND(S249="Selección abreviada de menor cuantía",ISNUMBER(P_TOPE_MENOR)),W249&gt;P_TOPE_MENOR,FALSE()),"El valor supera el tope de menor cuantía 2027",IF(OR(ISERROR(SEARCH("@itc.edu.co",AE249)),SUMPRODUCT(--ISNUMBER(SEARCH({"á","é","í","ó","ú","ñ"," "},AE249)))&gt;0),"El correo del responsable no es institucional válido",IF(AND(AF249="Sí",AG249=""),"Indique el N.° de registro 2026 que continúa","OK")))))))))))))))))</f>
        <v/>
      </c>
      <c r="AK249" s="15" t="str">
        <f>IF(AJ249="OK",COUNTIF($AJ$7:AJ249,"OK"),"")</f>
        <v/>
      </c>
    </row>
    <row r="250" spans="1:37" x14ac:dyDescent="0.3">
      <c r="A250" s="13" t="str">
        <f t="shared" si="3"/>
        <v>PN27-244</v>
      </c>
      <c r="B250" s="26"/>
      <c r="C250" s="13" t="str">
        <f>IF(B250="","",IFERROR(INDEX(Catalogos!$R$5:$R$51,MATCH(B250,L_AREAS,0)),""))</f>
        <v/>
      </c>
      <c r="D250" s="13" t="str">
        <f>IF(B250="","",IFERROR(INDEX(Catalogos!$O$5:$O$51,MATCH(B250,L_AREAS,0)),""))</f>
        <v/>
      </c>
      <c r="E250" s="26"/>
      <c r="F250" s="13" t="str">
        <f>IF(E250="","",IFERROR(INDEX(Catalogos!$C$5:$C$49,MATCH(E250,L_METAS,0)),""))</f>
        <v/>
      </c>
      <c r="G250" s="13" t="str">
        <f>IF(E250="","",IFERROR(INDEX(Catalogos!$E$5:$E$49,MATCH(E250,L_METAS,0)),""))</f>
        <v/>
      </c>
      <c r="H250" s="26"/>
      <c r="I250" s="26"/>
      <c r="J250" s="26"/>
      <c r="K250" s="26"/>
      <c r="L250" s="26"/>
      <c r="M250" s="27"/>
      <c r="N250" s="26"/>
      <c r="O250" s="26"/>
      <c r="P250" s="26"/>
      <c r="Q250" s="26"/>
      <c r="R250" s="26"/>
      <c r="S250" s="26"/>
      <c r="T250" s="26"/>
      <c r="U250" s="26"/>
      <c r="V250" s="26"/>
      <c r="W250" s="28"/>
      <c r="X250" s="28"/>
      <c r="Y250" s="26"/>
      <c r="Z250" s="26"/>
      <c r="AA250" s="26"/>
      <c r="AB250" s="26"/>
      <c r="AC250" s="26"/>
      <c r="AD250" s="26"/>
      <c r="AE250" s="26"/>
      <c r="AF250" s="26"/>
      <c r="AG250" s="26"/>
      <c r="AH250" s="26"/>
      <c r="AI250" s="26"/>
      <c r="AJ250" s="15" t="str">
        <f>IF(COUNTA(B250,E250,H250,I250,J250,K250,L250,M250,N250,O250,P250,Q250,R250,S250,T250,U250,V250,W250,X250,Y250,Z250,AA250,AB250,AC250,AD250,AE250,AF250,AG250,AH250,AI250)=0,"",IF(OR(B250="",E250="",H250="",J250="",K250="",L250="",M250="",O250="",P250="",Q250="",R250="",S250="",T250="",U250="",W250="",X250="",Y250="",AB250="",AC250="",AE250="",AF250=""),"Incompleta: faltan campos obligatorios",IF(AND(LEFT(H250,6)="PROPIA",I250=""),"Falta el nombre de la acción propia del área",IF(AND(LEFT(H250,3)="A27",IFERROR(INDEX(Catalogos!$T$5:$T$207,MATCH(H250,Catalogos!$U$5:$U$207,0)),"x")&lt;&gt;LEFT(E250,7)),"La acción no corresponde a la meta seleccionada",IF(OR(NOT(ISNUMBER(M250)),M250&lt;10000000,M250&gt;99999999),"Código UNSPSC inválido: registre 8 dígitos",IF(MOD(M250,10000)=0,"UNSPSC a nivel de segmento o familia: use clase o producto",IF(IFERROR(MATCH(P250,L_MESES,0)&lt;MATCH(O250,L_MESES,0),TRUE()),"El mes de ofertas es anterior al de inicio del proceso",IF(OR(NOT(ISNUMBER(Q250)),Q250&lt;=0),"Duración inválida",IF(OR(NOT(ISNUMBER(W250)),NOT(ISNUMBER(X250))),"Valor inválido: registre solo números",IF(OR(W250&lt;=0,X250&lt;=0),"Valor inválido: debe ser mayor que cero",IF(X250&gt;W250,"El valor de la vigencia 2027 supera el valor total",IF(AND(X250&lt;W250,Y250="No"),"El valor total supera el de 2027: requiere vigencias futuras",IF(AND(Y250="Sí",OR(Z250="",Z250="No aplica")),"Indique el estado de la solicitud de vigencias futuras",IF(IF(AND(S250="Mínima cuantía",ISNUMBER(P_TOPE_MINIMA)),W250&gt;P_TOPE_MINIMA,FALSE()),"El valor supera el tope de mínima cuantía 2027",IF(IF(AND(S250="Selección abreviada de menor cuantía",ISNUMBER(P_TOPE_MENOR)),W250&gt;P_TOPE_MENOR,FALSE()),"El valor supera el tope de menor cuantía 2027",IF(OR(ISERROR(SEARCH("@itc.edu.co",AE250)),SUMPRODUCT(--ISNUMBER(SEARCH({"á","é","í","ó","ú","ñ"," "},AE250)))&gt;0),"El correo del responsable no es institucional válido",IF(AND(AF250="Sí",AG250=""),"Indique el N.° de registro 2026 que continúa","OK")))))))))))))))))</f>
        <v/>
      </c>
      <c r="AK250" s="15" t="str">
        <f>IF(AJ250="OK",COUNTIF($AJ$7:AJ250,"OK"),"")</f>
        <v/>
      </c>
    </row>
    <row r="251" spans="1:37" x14ac:dyDescent="0.3">
      <c r="A251" s="13" t="str">
        <f t="shared" si="3"/>
        <v>PN27-245</v>
      </c>
      <c r="B251" s="26"/>
      <c r="C251" s="13" t="str">
        <f>IF(B251="","",IFERROR(INDEX(Catalogos!$R$5:$R$51,MATCH(B251,L_AREAS,0)),""))</f>
        <v/>
      </c>
      <c r="D251" s="13" t="str">
        <f>IF(B251="","",IFERROR(INDEX(Catalogos!$O$5:$O$51,MATCH(B251,L_AREAS,0)),""))</f>
        <v/>
      </c>
      <c r="E251" s="26"/>
      <c r="F251" s="13" t="str">
        <f>IF(E251="","",IFERROR(INDEX(Catalogos!$C$5:$C$49,MATCH(E251,L_METAS,0)),""))</f>
        <v/>
      </c>
      <c r="G251" s="13" t="str">
        <f>IF(E251="","",IFERROR(INDEX(Catalogos!$E$5:$E$49,MATCH(E251,L_METAS,0)),""))</f>
        <v/>
      </c>
      <c r="H251" s="26"/>
      <c r="I251" s="26"/>
      <c r="J251" s="26"/>
      <c r="K251" s="26"/>
      <c r="L251" s="26"/>
      <c r="M251" s="27"/>
      <c r="N251" s="26"/>
      <c r="O251" s="26"/>
      <c r="P251" s="26"/>
      <c r="Q251" s="26"/>
      <c r="R251" s="26"/>
      <c r="S251" s="26"/>
      <c r="T251" s="26"/>
      <c r="U251" s="26"/>
      <c r="V251" s="26"/>
      <c r="W251" s="28"/>
      <c r="X251" s="28"/>
      <c r="Y251" s="26"/>
      <c r="Z251" s="26"/>
      <c r="AA251" s="26"/>
      <c r="AB251" s="26"/>
      <c r="AC251" s="26"/>
      <c r="AD251" s="26"/>
      <c r="AE251" s="26"/>
      <c r="AF251" s="26"/>
      <c r="AG251" s="26"/>
      <c r="AH251" s="26"/>
      <c r="AI251" s="26"/>
      <c r="AJ251" s="15" t="str">
        <f>IF(COUNTA(B251,E251,H251,I251,J251,K251,L251,M251,N251,O251,P251,Q251,R251,S251,T251,U251,V251,W251,X251,Y251,Z251,AA251,AB251,AC251,AD251,AE251,AF251,AG251,AH251,AI251)=0,"",IF(OR(B251="",E251="",H251="",J251="",K251="",L251="",M251="",O251="",P251="",Q251="",R251="",S251="",T251="",U251="",W251="",X251="",Y251="",AB251="",AC251="",AE251="",AF251=""),"Incompleta: faltan campos obligatorios",IF(AND(LEFT(H251,6)="PROPIA",I251=""),"Falta el nombre de la acción propia del área",IF(AND(LEFT(H251,3)="A27",IFERROR(INDEX(Catalogos!$T$5:$T$207,MATCH(H251,Catalogos!$U$5:$U$207,0)),"x")&lt;&gt;LEFT(E251,7)),"La acción no corresponde a la meta seleccionada",IF(OR(NOT(ISNUMBER(M251)),M251&lt;10000000,M251&gt;99999999),"Código UNSPSC inválido: registre 8 dígitos",IF(MOD(M251,10000)=0,"UNSPSC a nivel de segmento o familia: use clase o producto",IF(IFERROR(MATCH(P251,L_MESES,0)&lt;MATCH(O251,L_MESES,0),TRUE()),"El mes de ofertas es anterior al de inicio del proceso",IF(OR(NOT(ISNUMBER(Q251)),Q251&lt;=0),"Duración inválida",IF(OR(NOT(ISNUMBER(W251)),NOT(ISNUMBER(X251))),"Valor inválido: registre solo números",IF(OR(W251&lt;=0,X251&lt;=0),"Valor inválido: debe ser mayor que cero",IF(X251&gt;W251,"El valor de la vigencia 2027 supera el valor total",IF(AND(X251&lt;W251,Y251="No"),"El valor total supera el de 2027: requiere vigencias futuras",IF(AND(Y251="Sí",OR(Z251="",Z251="No aplica")),"Indique el estado de la solicitud de vigencias futuras",IF(IF(AND(S251="Mínima cuantía",ISNUMBER(P_TOPE_MINIMA)),W251&gt;P_TOPE_MINIMA,FALSE()),"El valor supera el tope de mínima cuantía 2027",IF(IF(AND(S251="Selección abreviada de menor cuantía",ISNUMBER(P_TOPE_MENOR)),W251&gt;P_TOPE_MENOR,FALSE()),"El valor supera el tope de menor cuantía 2027",IF(OR(ISERROR(SEARCH("@itc.edu.co",AE251)),SUMPRODUCT(--ISNUMBER(SEARCH({"á","é","í","ó","ú","ñ"," "},AE251)))&gt;0),"El correo del responsable no es institucional válido",IF(AND(AF251="Sí",AG251=""),"Indique el N.° de registro 2026 que continúa","OK")))))))))))))))))</f>
        <v/>
      </c>
      <c r="AK251" s="15" t="str">
        <f>IF(AJ251="OK",COUNTIF($AJ$7:AJ251,"OK"),"")</f>
        <v/>
      </c>
    </row>
    <row r="252" spans="1:37" x14ac:dyDescent="0.3">
      <c r="A252" s="13" t="str">
        <f t="shared" si="3"/>
        <v>PN27-246</v>
      </c>
      <c r="B252" s="26"/>
      <c r="C252" s="13" t="str">
        <f>IF(B252="","",IFERROR(INDEX(Catalogos!$R$5:$R$51,MATCH(B252,L_AREAS,0)),""))</f>
        <v/>
      </c>
      <c r="D252" s="13" t="str">
        <f>IF(B252="","",IFERROR(INDEX(Catalogos!$O$5:$O$51,MATCH(B252,L_AREAS,0)),""))</f>
        <v/>
      </c>
      <c r="E252" s="26"/>
      <c r="F252" s="13" t="str">
        <f>IF(E252="","",IFERROR(INDEX(Catalogos!$C$5:$C$49,MATCH(E252,L_METAS,0)),""))</f>
        <v/>
      </c>
      <c r="G252" s="13" t="str">
        <f>IF(E252="","",IFERROR(INDEX(Catalogos!$E$5:$E$49,MATCH(E252,L_METAS,0)),""))</f>
        <v/>
      </c>
      <c r="H252" s="26"/>
      <c r="I252" s="26"/>
      <c r="J252" s="26"/>
      <c r="K252" s="26"/>
      <c r="L252" s="26"/>
      <c r="M252" s="27"/>
      <c r="N252" s="26"/>
      <c r="O252" s="26"/>
      <c r="P252" s="26"/>
      <c r="Q252" s="26"/>
      <c r="R252" s="26"/>
      <c r="S252" s="26"/>
      <c r="T252" s="26"/>
      <c r="U252" s="26"/>
      <c r="V252" s="26"/>
      <c r="W252" s="28"/>
      <c r="X252" s="28"/>
      <c r="Y252" s="26"/>
      <c r="Z252" s="26"/>
      <c r="AA252" s="26"/>
      <c r="AB252" s="26"/>
      <c r="AC252" s="26"/>
      <c r="AD252" s="26"/>
      <c r="AE252" s="26"/>
      <c r="AF252" s="26"/>
      <c r="AG252" s="26"/>
      <c r="AH252" s="26"/>
      <c r="AI252" s="26"/>
      <c r="AJ252" s="15" t="str">
        <f>IF(COUNTA(B252,E252,H252,I252,J252,K252,L252,M252,N252,O252,P252,Q252,R252,S252,T252,U252,V252,W252,X252,Y252,Z252,AA252,AB252,AC252,AD252,AE252,AF252,AG252,AH252,AI252)=0,"",IF(OR(B252="",E252="",H252="",J252="",K252="",L252="",M252="",O252="",P252="",Q252="",R252="",S252="",T252="",U252="",W252="",X252="",Y252="",AB252="",AC252="",AE252="",AF252=""),"Incompleta: faltan campos obligatorios",IF(AND(LEFT(H252,6)="PROPIA",I252=""),"Falta el nombre de la acción propia del área",IF(AND(LEFT(H252,3)="A27",IFERROR(INDEX(Catalogos!$T$5:$T$207,MATCH(H252,Catalogos!$U$5:$U$207,0)),"x")&lt;&gt;LEFT(E252,7)),"La acción no corresponde a la meta seleccionada",IF(OR(NOT(ISNUMBER(M252)),M252&lt;10000000,M252&gt;99999999),"Código UNSPSC inválido: registre 8 dígitos",IF(MOD(M252,10000)=0,"UNSPSC a nivel de segmento o familia: use clase o producto",IF(IFERROR(MATCH(P252,L_MESES,0)&lt;MATCH(O252,L_MESES,0),TRUE()),"El mes de ofertas es anterior al de inicio del proceso",IF(OR(NOT(ISNUMBER(Q252)),Q252&lt;=0),"Duración inválida",IF(OR(NOT(ISNUMBER(W252)),NOT(ISNUMBER(X252))),"Valor inválido: registre solo números",IF(OR(W252&lt;=0,X252&lt;=0),"Valor inválido: debe ser mayor que cero",IF(X252&gt;W252,"El valor de la vigencia 2027 supera el valor total",IF(AND(X252&lt;W252,Y252="No"),"El valor total supera el de 2027: requiere vigencias futuras",IF(AND(Y252="Sí",OR(Z252="",Z252="No aplica")),"Indique el estado de la solicitud de vigencias futuras",IF(IF(AND(S252="Mínima cuantía",ISNUMBER(P_TOPE_MINIMA)),W252&gt;P_TOPE_MINIMA,FALSE()),"El valor supera el tope de mínima cuantía 2027",IF(IF(AND(S252="Selección abreviada de menor cuantía",ISNUMBER(P_TOPE_MENOR)),W252&gt;P_TOPE_MENOR,FALSE()),"El valor supera el tope de menor cuantía 2027",IF(OR(ISERROR(SEARCH("@itc.edu.co",AE252)),SUMPRODUCT(--ISNUMBER(SEARCH({"á","é","í","ó","ú","ñ"," "},AE252)))&gt;0),"El correo del responsable no es institucional válido",IF(AND(AF252="Sí",AG252=""),"Indique el N.° de registro 2026 que continúa","OK")))))))))))))))))</f>
        <v/>
      </c>
      <c r="AK252" s="15" t="str">
        <f>IF(AJ252="OK",COUNTIF($AJ$7:AJ252,"OK"),"")</f>
        <v/>
      </c>
    </row>
    <row r="253" spans="1:37" x14ac:dyDescent="0.3">
      <c r="A253" s="13" t="str">
        <f t="shared" si="3"/>
        <v>PN27-247</v>
      </c>
      <c r="B253" s="26"/>
      <c r="C253" s="13" t="str">
        <f>IF(B253="","",IFERROR(INDEX(Catalogos!$R$5:$R$51,MATCH(B253,L_AREAS,0)),""))</f>
        <v/>
      </c>
      <c r="D253" s="13" t="str">
        <f>IF(B253="","",IFERROR(INDEX(Catalogos!$O$5:$O$51,MATCH(B253,L_AREAS,0)),""))</f>
        <v/>
      </c>
      <c r="E253" s="26"/>
      <c r="F253" s="13" t="str">
        <f>IF(E253="","",IFERROR(INDEX(Catalogos!$C$5:$C$49,MATCH(E253,L_METAS,0)),""))</f>
        <v/>
      </c>
      <c r="G253" s="13" t="str">
        <f>IF(E253="","",IFERROR(INDEX(Catalogos!$E$5:$E$49,MATCH(E253,L_METAS,0)),""))</f>
        <v/>
      </c>
      <c r="H253" s="26"/>
      <c r="I253" s="26"/>
      <c r="J253" s="26"/>
      <c r="K253" s="26"/>
      <c r="L253" s="26"/>
      <c r="M253" s="27"/>
      <c r="N253" s="26"/>
      <c r="O253" s="26"/>
      <c r="P253" s="26"/>
      <c r="Q253" s="26"/>
      <c r="R253" s="26"/>
      <c r="S253" s="26"/>
      <c r="T253" s="26"/>
      <c r="U253" s="26"/>
      <c r="V253" s="26"/>
      <c r="W253" s="28"/>
      <c r="X253" s="28"/>
      <c r="Y253" s="26"/>
      <c r="Z253" s="26"/>
      <c r="AA253" s="26"/>
      <c r="AB253" s="26"/>
      <c r="AC253" s="26"/>
      <c r="AD253" s="26"/>
      <c r="AE253" s="26"/>
      <c r="AF253" s="26"/>
      <c r="AG253" s="26"/>
      <c r="AH253" s="26"/>
      <c r="AI253" s="26"/>
      <c r="AJ253" s="15" t="str">
        <f>IF(COUNTA(B253,E253,H253,I253,J253,K253,L253,M253,N253,O253,P253,Q253,R253,S253,T253,U253,V253,W253,X253,Y253,Z253,AA253,AB253,AC253,AD253,AE253,AF253,AG253,AH253,AI253)=0,"",IF(OR(B253="",E253="",H253="",J253="",K253="",L253="",M253="",O253="",P253="",Q253="",R253="",S253="",T253="",U253="",W253="",X253="",Y253="",AB253="",AC253="",AE253="",AF253=""),"Incompleta: faltan campos obligatorios",IF(AND(LEFT(H253,6)="PROPIA",I253=""),"Falta el nombre de la acción propia del área",IF(AND(LEFT(H253,3)="A27",IFERROR(INDEX(Catalogos!$T$5:$T$207,MATCH(H253,Catalogos!$U$5:$U$207,0)),"x")&lt;&gt;LEFT(E253,7)),"La acción no corresponde a la meta seleccionada",IF(OR(NOT(ISNUMBER(M253)),M253&lt;10000000,M253&gt;99999999),"Código UNSPSC inválido: registre 8 dígitos",IF(MOD(M253,10000)=0,"UNSPSC a nivel de segmento o familia: use clase o producto",IF(IFERROR(MATCH(P253,L_MESES,0)&lt;MATCH(O253,L_MESES,0),TRUE()),"El mes de ofertas es anterior al de inicio del proceso",IF(OR(NOT(ISNUMBER(Q253)),Q253&lt;=0),"Duración inválida",IF(OR(NOT(ISNUMBER(W253)),NOT(ISNUMBER(X253))),"Valor inválido: registre solo números",IF(OR(W253&lt;=0,X253&lt;=0),"Valor inválido: debe ser mayor que cero",IF(X253&gt;W253,"El valor de la vigencia 2027 supera el valor total",IF(AND(X253&lt;W253,Y253="No"),"El valor total supera el de 2027: requiere vigencias futuras",IF(AND(Y253="Sí",OR(Z253="",Z253="No aplica")),"Indique el estado de la solicitud de vigencias futuras",IF(IF(AND(S253="Mínima cuantía",ISNUMBER(P_TOPE_MINIMA)),W253&gt;P_TOPE_MINIMA,FALSE()),"El valor supera el tope de mínima cuantía 2027",IF(IF(AND(S253="Selección abreviada de menor cuantía",ISNUMBER(P_TOPE_MENOR)),W253&gt;P_TOPE_MENOR,FALSE()),"El valor supera el tope de menor cuantía 2027",IF(OR(ISERROR(SEARCH("@itc.edu.co",AE253)),SUMPRODUCT(--ISNUMBER(SEARCH({"á","é","í","ó","ú","ñ"," "},AE253)))&gt;0),"El correo del responsable no es institucional válido",IF(AND(AF253="Sí",AG253=""),"Indique el N.° de registro 2026 que continúa","OK")))))))))))))))))</f>
        <v/>
      </c>
      <c r="AK253" s="15" t="str">
        <f>IF(AJ253="OK",COUNTIF($AJ$7:AJ253,"OK"),"")</f>
        <v/>
      </c>
    </row>
    <row r="254" spans="1:37" x14ac:dyDescent="0.3">
      <c r="A254" s="13" t="str">
        <f t="shared" si="3"/>
        <v>PN27-248</v>
      </c>
      <c r="B254" s="26"/>
      <c r="C254" s="13" t="str">
        <f>IF(B254="","",IFERROR(INDEX(Catalogos!$R$5:$R$51,MATCH(B254,L_AREAS,0)),""))</f>
        <v/>
      </c>
      <c r="D254" s="13" t="str">
        <f>IF(B254="","",IFERROR(INDEX(Catalogos!$O$5:$O$51,MATCH(B254,L_AREAS,0)),""))</f>
        <v/>
      </c>
      <c r="E254" s="26"/>
      <c r="F254" s="13" t="str">
        <f>IF(E254="","",IFERROR(INDEX(Catalogos!$C$5:$C$49,MATCH(E254,L_METAS,0)),""))</f>
        <v/>
      </c>
      <c r="G254" s="13" t="str">
        <f>IF(E254="","",IFERROR(INDEX(Catalogos!$E$5:$E$49,MATCH(E254,L_METAS,0)),""))</f>
        <v/>
      </c>
      <c r="H254" s="26"/>
      <c r="I254" s="26"/>
      <c r="J254" s="26"/>
      <c r="K254" s="26"/>
      <c r="L254" s="26"/>
      <c r="M254" s="27"/>
      <c r="N254" s="26"/>
      <c r="O254" s="26"/>
      <c r="P254" s="26"/>
      <c r="Q254" s="26"/>
      <c r="R254" s="26"/>
      <c r="S254" s="26"/>
      <c r="T254" s="26"/>
      <c r="U254" s="26"/>
      <c r="V254" s="26"/>
      <c r="W254" s="28"/>
      <c r="X254" s="28"/>
      <c r="Y254" s="26"/>
      <c r="Z254" s="26"/>
      <c r="AA254" s="26"/>
      <c r="AB254" s="26"/>
      <c r="AC254" s="26"/>
      <c r="AD254" s="26"/>
      <c r="AE254" s="26"/>
      <c r="AF254" s="26"/>
      <c r="AG254" s="26"/>
      <c r="AH254" s="26"/>
      <c r="AI254" s="26"/>
      <c r="AJ254" s="15" t="str">
        <f>IF(COUNTA(B254,E254,H254,I254,J254,K254,L254,M254,N254,O254,P254,Q254,R254,S254,T254,U254,V254,W254,X254,Y254,Z254,AA254,AB254,AC254,AD254,AE254,AF254,AG254,AH254,AI254)=0,"",IF(OR(B254="",E254="",H254="",J254="",K254="",L254="",M254="",O254="",P254="",Q254="",R254="",S254="",T254="",U254="",W254="",X254="",Y254="",AB254="",AC254="",AE254="",AF254=""),"Incompleta: faltan campos obligatorios",IF(AND(LEFT(H254,6)="PROPIA",I254=""),"Falta el nombre de la acción propia del área",IF(AND(LEFT(H254,3)="A27",IFERROR(INDEX(Catalogos!$T$5:$T$207,MATCH(H254,Catalogos!$U$5:$U$207,0)),"x")&lt;&gt;LEFT(E254,7)),"La acción no corresponde a la meta seleccionada",IF(OR(NOT(ISNUMBER(M254)),M254&lt;10000000,M254&gt;99999999),"Código UNSPSC inválido: registre 8 dígitos",IF(MOD(M254,10000)=0,"UNSPSC a nivel de segmento o familia: use clase o producto",IF(IFERROR(MATCH(P254,L_MESES,0)&lt;MATCH(O254,L_MESES,0),TRUE()),"El mes de ofertas es anterior al de inicio del proceso",IF(OR(NOT(ISNUMBER(Q254)),Q254&lt;=0),"Duración inválida",IF(OR(NOT(ISNUMBER(W254)),NOT(ISNUMBER(X254))),"Valor inválido: registre solo números",IF(OR(W254&lt;=0,X254&lt;=0),"Valor inválido: debe ser mayor que cero",IF(X254&gt;W254,"El valor de la vigencia 2027 supera el valor total",IF(AND(X254&lt;W254,Y254="No"),"El valor total supera el de 2027: requiere vigencias futuras",IF(AND(Y254="Sí",OR(Z254="",Z254="No aplica")),"Indique el estado de la solicitud de vigencias futuras",IF(IF(AND(S254="Mínima cuantía",ISNUMBER(P_TOPE_MINIMA)),W254&gt;P_TOPE_MINIMA,FALSE()),"El valor supera el tope de mínima cuantía 2027",IF(IF(AND(S254="Selección abreviada de menor cuantía",ISNUMBER(P_TOPE_MENOR)),W254&gt;P_TOPE_MENOR,FALSE()),"El valor supera el tope de menor cuantía 2027",IF(OR(ISERROR(SEARCH("@itc.edu.co",AE254)),SUMPRODUCT(--ISNUMBER(SEARCH({"á","é","í","ó","ú","ñ"," "},AE254)))&gt;0),"El correo del responsable no es institucional válido",IF(AND(AF254="Sí",AG254=""),"Indique el N.° de registro 2026 que continúa","OK")))))))))))))))))</f>
        <v/>
      </c>
      <c r="AK254" s="15" t="str">
        <f>IF(AJ254="OK",COUNTIF($AJ$7:AJ254,"OK"),"")</f>
        <v/>
      </c>
    </row>
    <row r="255" spans="1:37" x14ac:dyDescent="0.3">
      <c r="A255" s="13" t="str">
        <f t="shared" si="3"/>
        <v>PN27-249</v>
      </c>
      <c r="B255" s="26"/>
      <c r="C255" s="13" t="str">
        <f>IF(B255="","",IFERROR(INDEX(Catalogos!$R$5:$R$51,MATCH(B255,L_AREAS,0)),""))</f>
        <v/>
      </c>
      <c r="D255" s="13" t="str">
        <f>IF(B255="","",IFERROR(INDEX(Catalogos!$O$5:$O$51,MATCH(B255,L_AREAS,0)),""))</f>
        <v/>
      </c>
      <c r="E255" s="26"/>
      <c r="F255" s="13" t="str">
        <f>IF(E255="","",IFERROR(INDEX(Catalogos!$C$5:$C$49,MATCH(E255,L_METAS,0)),""))</f>
        <v/>
      </c>
      <c r="G255" s="13" t="str">
        <f>IF(E255="","",IFERROR(INDEX(Catalogos!$E$5:$E$49,MATCH(E255,L_METAS,0)),""))</f>
        <v/>
      </c>
      <c r="H255" s="26"/>
      <c r="I255" s="26"/>
      <c r="J255" s="26"/>
      <c r="K255" s="26"/>
      <c r="L255" s="26"/>
      <c r="M255" s="27"/>
      <c r="N255" s="26"/>
      <c r="O255" s="26"/>
      <c r="P255" s="26"/>
      <c r="Q255" s="26"/>
      <c r="R255" s="26"/>
      <c r="S255" s="26"/>
      <c r="T255" s="26"/>
      <c r="U255" s="26"/>
      <c r="V255" s="26"/>
      <c r="W255" s="28"/>
      <c r="X255" s="28"/>
      <c r="Y255" s="26"/>
      <c r="Z255" s="26"/>
      <c r="AA255" s="26"/>
      <c r="AB255" s="26"/>
      <c r="AC255" s="26"/>
      <c r="AD255" s="26"/>
      <c r="AE255" s="26"/>
      <c r="AF255" s="26"/>
      <c r="AG255" s="26"/>
      <c r="AH255" s="26"/>
      <c r="AI255" s="26"/>
      <c r="AJ255" s="15" t="str">
        <f>IF(COUNTA(B255,E255,H255,I255,J255,K255,L255,M255,N255,O255,P255,Q255,R255,S255,T255,U255,V255,W255,X255,Y255,Z255,AA255,AB255,AC255,AD255,AE255,AF255,AG255,AH255,AI255)=0,"",IF(OR(B255="",E255="",H255="",J255="",K255="",L255="",M255="",O255="",P255="",Q255="",R255="",S255="",T255="",U255="",W255="",X255="",Y255="",AB255="",AC255="",AE255="",AF255=""),"Incompleta: faltan campos obligatorios",IF(AND(LEFT(H255,6)="PROPIA",I255=""),"Falta el nombre de la acción propia del área",IF(AND(LEFT(H255,3)="A27",IFERROR(INDEX(Catalogos!$T$5:$T$207,MATCH(H255,Catalogos!$U$5:$U$207,0)),"x")&lt;&gt;LEFT(E255,7)),"La acción no corresponde a la meta seleccionada",IF(OR(NOT(ISNUMBER(M255)),M255&lt;10000000,M255&gt;99999999),"Código UNSPSC inválido: registre 8 dígitos",IF(MOD(M255,10000)=0,"UNSPSC a nivel de segmento o familia: use clase o producto",IF(IFERROR(MATCH(P255,L_MESES,0)&lt;MATCH(O255,L_MESES,0),TRUE()),"El mes de ofertas es anterior al de inicio del proceso",IF(OR(NOT(ISNUMBER(Q255)),Q255&lt;=0),"Duración inválida",IF(OR(NOT(ISNUMBER(W255)),NOT(ISNUMBER(X255))),"Valor inválido: registre solo números",IF(OR(W255&lt;=0,X255&lt;=0),"Valor inválido: debe ser mayor que cero",IF(X255&gt;W255,"El valor de la vigencia 2027 supera el valor total",IF(AND(X255&lt;W255,Y255="No"),"El valor total supera el de 2027: requiere vigencias futuras",IF(AND(Y255="Sí",OR(Z255="",Z255="No aplica")),"Indique el estado de la solicitud de vigencias futuras",IF(IF(AND(S255="Mínima cuantía",ISNUMBER(P_TOPE_MINIMA)),W255&gt;P_TOPE_MINIMA,FALSE()),"El valor supera el tope de mínima cuantía 2027",IF(IF(AND(S255="Selección abreviada de menor cuantía",ISNUMBER(P_TOPE_MENOR)),W255&gt;P_TOPE_MENOR,FALSE()),"El valor supera el tope de menor cuantía 2027",IF(OR(ISERROR(SEARCH("@itc.edu.co",AE255)),SUMPRODUCT(--ISNUMBER(SEARCH({"á","é","í","ó","ú","ñ"," "},AE255)))&gt;0),"El correo del responsable no es institucional válido",IF(AND(AF255="Sí",AG255=""),"Indique el N.° de registro 2026 que continúa","OK")))))))))))))))))</f>
        <v/>
      </c>
      <c r="AK255" s="15" t="str">
        <f>IF(AJ255="OK",COUNTIF($AJ$7:AJ255,"OK"),"")</f>
        <v/>
      </c>
    </row>
    <row r="256" spans="1:37" x14ac:dyDescent="0.3">
      <c r="A256" s="13" t="str">
        <f t="shared" si="3"/>
        <v>PN27-250</v>
      </c>
      <c r="B256" s="26"/>
      <c r="C256" s="13" t="str">
        <f>IF(B256="","",IFERROR(INDEX(Catalogos!$R$5:$R$51,MATCH(B256,L_AREAS,0)),""))</f>
        <v/>
      </c>
      <c r="D256" s="13" t="str">
        <f>IF(B256="","",IFERROR(INDEX(Catalogos!$O$5:$O$51,MATCH(B256,L_AREAS,0)),""))</f>
        <v/>
      </c>
      <c r="E256" s="26"/>
      <c r="F256" s="13" t="str">
        <f>IF(E256="","",IFERROR(INDEX(Catalogos!$C$5:$C$49,MATCH(E256,L_METAS,0)),""))</f>
        <v/>
      </c>
      <c r="G256" s="13" t="str">
        <f>IF(E256="","",IFERROR(INDEX(Catalogos!$E$5:$E$49,MATCH(E256,L_METAS,0)),""))</f>
        <v/>
      </c>
      <c r="H256" s="26"/>
      <c r="I256" s="26"/>
      <c r="J256" s="26"/>
      <c r="K256" s="26"/>
      <c r="L256" s="26"/>
      <c r="M256" s="27"/>
      <c r="N256" s="26"/>
      <c r="O256" s="26"/>
      <c r="P256" s="26"/>
      <c r="Q256" s="26"/>
      <c r="R256" s="26"/>
      <c r="S256" s="26"/>
      <c r="T256" s="26"/>
      <c r="U256" s="26"/>
      <c r="V256" s="26"/>
      <c r="W256" s="28"/>
      <c r="X256" s="28"/>
      <c r="Y256" s="26"/>
      <c r="Z256" s="26"/>
      <c r="AA256" s="26"/>
      <c r="AB256" s="26"/>
      <c r="AC256" s="26"/>
      <c r="AD256" s="26"/>
      <c r="AE256" s="26"/>
      <c r="AF256" s="26"/>
      <c r="AG256" s="26"/>
      <c r="AH256" s="26"/>
      <c r="AI256" s="26"/>
      <c r="AJ256" s="15" t="str">
        <f>IF(COUNTA(B256,E256,H256,I256,J256,K256,L256,M256,N256,O256,P256,Q256,R256,S256,T256,U256,V256,W256,X256,Y256,Z256,AA256,AB256,AC256,AD256,AE256,AF256,AG256,AH256,AI256)=0,"",IF(OR(B256="",E256="",H256="",J256="",K256="",L256="",M256="",O256="",P256="",Q256="",R256="",S256="",T256="",U256="",W256="",X256="",Y256="",AB256="",AC256="",AE256="",AF256=""),"Incompleta: faltan campos obligatorios",IF(AND(LEFT(H256,6)="PROPIA",I256=""),"Falta el nombre de la acción propia del área",IF(AND(LEFT(H256,3)="A27",IFERROR(INDEX(Catalogos!$T$5:$T$207,MATCH(H256,Catalogos!$U$5:$U$207,0)),"x")&lt;&gt;LEFT(E256,7)),"La acción no corresponde a la meta seleccionada",IF(OR(NOT(ISNUMBER(M256)),M256&lt;10000000,M256&gt;99999999),"Código UNSPSC inválido: registre 8 dígitos",IF(MOD(M256,10000)=0,"UNSPSC a nivel de segmento o familia: use clase o producto",IF(IFERROR(MATCH(P256,L_MESES,0)&lt;MATCH(O256,L_MESES,0),TRUE()),"El mes de ofertas es anterior al de inicio del proceso",IF(OR(NOT(ISNUMBER(Q256)),Q256&lt;=0),"Duración inválida",IF(OR(NOT(ISNUMBER(W256)),NOT(ISNUMBER(X256))),"Valor inválido: registre solo números",IF(OR(W256&lt;=0,X256&lt;=0),"Valor inválido: debe ser mayor que cero",IF(X256&gt;W256,"El valor de la vigencia 2027 supera el valor total",IF(AND(X256&lt;W256,Y256="No"),"El valor total supera el de 2027: requiere vigencias futuras",IF(AND(Y256="Sí",OR(Z256="",Z256="No aplica")),"Indique el estado de la solicitud de vigencias futuras",IF(IF(AND(S256="Mínima cuantía",ISNUMBER(P_TOPE_MINIMA)),W256&gt;P_TOPE_MINIMA,FALSE()),"El valor supera el tope de mínima cuantía 2027",IF(IF(AND(S256="Selección abreviada de menor cuantía",ISNUMBER(P_TOPE_MENOR)),W256&gt;P_TOPE_MENOR,FALSE()),"El valor supera el tope de menor cuantía 2027",IF(OR(ISERROR(SEARCH("@itc.edu.co",AE256)),SUMPRODUCT(--ISNUMBER(SEARCH({"á","é","í","ó","ú","ñ"," "},AE256)))&gt;0),"El correo del responsable no es institucional válido",IF(AND(AF256="Sí",AG256=""),"Indique el N.° de registro 2026 que continúa","OK")))))))))))))))))</f>
        <v/>
      </c>
      <c r="AK256" s="15" t="str">
        <f>IF(AJ256="OK",COUNTIF($AJ$7:AJ256,"OK"),"")</f>
        <v/>
      </c>
    </row>
    <row r="257" spans="1:37" x14ac:dyDescent="0.3">
      <c r="A257" s="13" t="str">
        <f t="shared" si="3"/>
        <v>PN27-251</v>
      </c>
      <c r="B257" s="26"/>
      <c r="C257" s="13" t="str">
        <f>IF(B257="","",IFERROR(INDEX(Catalogos!$R$5:$R$51,MATCH(B257,L_AREAS,0)),""))</f>
        <v/>
      </c>
      <c r="D257" s="13" t="str">
        <f>IF(B257="","",IFERROR(INDEX(Catalogos!$O$5:$O$51,MATCH(B257,L_AREAS,0)),""))</f>
        <v/>
      </c>
      <c r="E257" s="26"/>
      <c r="F257" s="13" t="str">
        <f>IF(E257="","",IFERROR(INDEX(Catalogos!$C$5:$C$49,MATCH(E257,L_METAS,0)),""))</f>
        <v/>
      </c>
      <c r="G257" s="13" t="str">
        <f>IF(E257="","",IFERROR(INDEX(Catalogos!$E$5:$E$49,MATCH(E257,L_METAS,0)),""))</f>
        <v/>
      </c>
      <c r="H257" s="26"/>
      <c r="I257" s="26"/>
      <c r="J257" s="26"/>
      <c r="K257" s="26"/>
      <c r="L257" s="26"/>
      <c r="M257" s="27"/>
      <c r="N257" s="26"/>
      <c r="O257" s="26"/>
      <c r="P257" s="26"/>
      <c r="Q257" s="26"/>
      <c r="R257" s="26"/>
      <c r="S257" s="26"/>
      <c r="T257" s="26"/>
      <c r="U257" s="26"/>
      <c r="V257" s="26"/>
      <c r="W257" s="28"/>
      <c r="X257" s="28"/>
      <c r="Y257" s="26"/>
      <c r="Z257" s="26"/>
      <c r="AA257" s="26"/>
      <c r="AB257" s="26"/>
      <c r="AC257" s="26"/>
      <c r="AD257" s="26"/>
      <c r="AE257" s="26"/>
      <c r="AF257" s="26"/>
      <c r="AG257" s="26"/>
      <c r="AH257" s="26"/>
      <c r="AI257" s="26"/>
      <c r="AJ257" s="15" t="str">
        <f>IF(COUNTA(B257,E257,H257,I257,J257,K257,L257,M257,N257,O257,P257,Q257,R257,S257,T257,U257,V257,W257,X257,Y257,Z257,AA257,AB257,AC257,AD257,AE257,AF257,AG257,AH257,AI257)=0,"",IF(OR(B257="",E257="",H257="",J257="",K257="",L257="",M257="",O257="",P257="",Q257="",R257="",S257="",T257="",U257="",W257="",X257="",Y257="",AB257="",AC257="",AE257="",AF257=""),"Incompleta: faltan campos obligatorios",IF(AND(LEFT(H257,6)="PROPIA",I257=""),"Falta el nombre de la acción propia del área",IF(AND(LEFT(H257,3)="A27",IFERROR(INDEX(Catalogos!$T$5:$T$207,MATCH(H257,Catalogos!$U$5:$U$207,0)),"x")&lt;&gt;LEFT(E257,7)),"La acción no corresponde a la meta seleccionada",IF(OR(NOT(ISNUMBER(M257)),M257&lt;10000000,M257&gt;99999999),"Código UNSPSC inválido: registre 8 dígitos",IF(MOD(M257,10000)=0,"UNSPSC a nivel de segmento o familia: use clase o producto",IF(IFERROR(MATCH(P257,L_MESES,0)&lt;MATCH(O257,L_MESES,0),TRUE()),"El mes de ofertas es anterior al de inicio del proceso",IF(OR(NOT(ISNUMBER(Q257)),Q257&lt;=0),"Duración inválida",IF(OR(NOT(ISNUMBER(W257)),NOT(ISNUMBER(X257))),"Valor inválido: registre solo números",IF(OR(W257&lt;=0,X257&lt;=0),"Valor inválido: debe ser mayor que cero",IF(X257&gt;W257,"El valor de la vigencia 2027 supera el valor total",IF(AND(X257&lt;W257,Y257="No"),"El valor total supera el de 2027: requiere vigencias futuras",IF(AND(Y257="Sí",OR(Z257="",Z257="No aplica")),"Indique el estado de la solicitud de vigencias futuras",IF(IF(AND(S257="Mínima cuantía",ISNUMBER(P_TOPE_MINIMA)),W257&gt;P_TOPE_MINIMA,FALSE()),"El valor supera el tope de mínima cuantía 2027",IF(IF(AND(S257="Selección abreviada de menor cuantía",ISNUMBER(P_TOPE_MENOR)),W257&gt;P_TOPE_MENOR,FALSE()),"El valor supera el tope de menor cuantía 2027",IF(OR(ISERROR(SEARCH("@itc.edu.co",AE257)),SUMPRODUCT(--ISNUMBER(SEARCH({"á","é","í","ó","ú","ñ"," "},AE257)))&gt;0),"El correo del responsable no es institucional válido",IF(AND(AF257="Sí",AG257=""),"Indique el N.° de registro 2026 que continúa","OK")))))))))))))))))</f>
        <v/>
      </c>
      <c r="AK257" s="15" t="str">
        <f>IF(AJ257="OK",COUNTIF($AJ$7:AJ257,"OK"),"")</f>
        <v/>
      </c>
    </row>
    <row r="258" spans="1:37" x14ac:dyDescent="0.3">
      <c r="A258" s="13" t="str">
        <f t="shared" si="3"/>
        <v>PN27-252</v>
      </c>
      <c r="B258" s="26"/>
      <c r="C258" s="13" t="str">
        <f>IF(B258="","",IFERROR(INDEX(Catalogos!$R$5:$R$51,MATCH(B258,L_AREAS,0)),""))</f>
        <v/>
      </c>
      <c r="D258" s="13" t="str">
        <f>IF(B258="","",IFERROR(INDEX(Catalogos!$O$5:$O$51,MATCH(B258,L_AREAS,0)),""))</f>
        <v/>
      </c>
      <c r="E258" s="26"/>
      <c r="F258" s="13" t="str">
        <f>IF(E258="","",IFERROR(INDEX(Catalogos!$C$5:$C$49,MATCH(E258,L_METAS,0)),""))</f>
        <v/>
      </c>
      <c r="G258" s="13" t="str">
        <f>IF(E258="","",IFERROR(INDEX(Catalogos!$E$5:$E$49,MATCH(E258,L_METAS,0)),""))</f>
        <v/>
      </c>
      <c r="H258" s="26"/>
      <c r="I258" s="26"/>
      <c r="J258" s="26"/>
      <c r="K258" s="26"/>
      <c r="L258" s="26"/>
      <c r="M258" s="27"/>
      <c r="N258" s="26"/>
      <c r="O258" s="26"/>
      <c r="P258" s="26"/>
      <c r="Q258" s="26"/>
      <c r="R258" s="26"/>
      <c r="S258" s="26"/>
      <c r="T258" s="26"/>
      <c r="U258" s="26"/>
      <c r="V258" s="26"/>
      <c r="W258" s="28"/>
      <c r="X258" s="28"/>
      <c r="Y258" s="26"/>
      <c r="Z258" s="26"/>
      <c r="AA258" s="26"/>
      <c r="AB258" s="26"/>
      <c r="AC258" s="26"/>
      <c r="AD258" s="26"/>
      <c r="AE258" s="26"/>
      <c r="AF258" s="26"/>
      <c r="AG258" s="26"/>
      <c r="AH258" s="26"/>
      <c r="AI258" s="26"/>
      <c r="AJ258" s="15" t="str">
        <f>IF(COUNTA(B258,E258,H258,I258,J258,K258,L258,M258,N258,O258,P258,Q258,R258,S258,T258,U258,V258,W258,X258,Y258,Z258,AA258,AB258,AC258,AD258,AE258,AF258,AG258,AH258,AI258)=0,"",IF(OR(B258="",E258="",H258="",J258="",K258="",L258="",M258="",O258="",P258="",Q258="",R258="",S258="",T258="",U258="",W258="",X258="",Y258="",AB258="",AC258="",AE258="",AF258=""),"Incompleta: faltan campos obligatorios",IF(AND(LEFT(H258,6)="PROPIA",I258=""),"Falta el nombre de la acción propia del área",IF(AND(LEFT(H258,3)="A27",IFERROR(INDEX(Catalogos!$T$5:$T$207,MATCH(H258,Catalogos!$U$5:$U$207,0)),"x")&lt;&gt;LEFT(E258,7)),"La acción no corresponde a la meta seleccionada",IF(OR(NOT(ISNUMBER(M258)),M258&lt;10000000,M258&gt;99999999),"Código UNSPSC inválido: registre 8 dígitos",IF(MOD(M258,10000)=0,"UNSPSC a nivel de segmento o familia: use clase o producto",IF(IFERROR(MATCH(P258,L_MESES,0)&lt;MATCH(O258,L_MESES,0),TRUE()),"El mes de ofertas es anterior al de inicio del proceso",IF(OR(NOT(ISNUMBER(Q258)),Q258&lt;=0),"Duración inválida",IF(OR(NOT(ISNUMBER(W258)),NOT(ISNUMBER(X258))),"Valor inválido: registre solo números",IF(OR(W258&lt;=0,X258&lt;=0),"Valor inválido: debe ser mayor que cero",IF(X258&gt;W258,"El valor de la vigencia 2027 supera el valor total",IF(AND(X258&lt;W258,Y258="No"),"El valor total supera el de 2027: requiere vigencias futuras",IF(AND(Y258="Sí",OR(Z258="",Z258="No aplica")),"Indique el estado de la solicitud de vigencias futuras",IF(IF(AND(S258="Mínima cuantía",ISNUMBER(P_TOPE_MINIMA)),W258&gt;P_TOPE_MINIMA,FALSE()),"El valor supera el tope de mínima cuantía 2027",IF(IF(AND(S258="Selección abreviada de menor cuantía",ISNUMBER(P_TOPE_MENOR)),W258&gt;P_TOPE_MENOR,FALSE()),"El valor supera el tope de menor cuantía 2027",IF(OR(ISERROR(SEARCH("@itc.edu.co",AE258)),SUMPRODUCT(--ISNUMBER(SEARCH({"á","é","í","ó","ú","ñ"," "},AE258)))&gt;0),"El correo del responsable no es institucional válido",IF(AND(AF258="Sí",AG258=""),"Indique el N.° de registro 2026 que continúa","OK")))))))))))))))))</f>
        <v/>
      </c>
      <c r="AK258" s="15" t="str">
        <f>IF(AJ258="OK",COUNTIF($AJ$7:AJ258,"OK"),"")</f>
        <v/>
      </c>
    </row>
    <row r="259" spans="1:37" x14ac:dyDescent="0.3">
      <c r="A259" s="13" t="str">
        <f t="shared" si="3"/>
        <v>PN27-253</v>
      </c>
      <c r="B259" s="26"/>
      <c r="C259" s="13" t="str">
        <f>IF(B259="","",IFERROR(INDEX(Catalogos!$R$5:$R$51,MATCH(B259,L_AREAS,0)),""))</f>
        <v/>
      </c>
      <c r="D259" s="13" t="str">
        <f>IF(B259="","",IFERROR(INDEX(Catalogos!$O$5:$O$51,MATCH(B259,L_AREAS,0)),""))</f>
        <v/>
      </c>
      <c r="E259" s="26"/>
      <c r="F259" s="13" t="str">
        <f>IF(E259="","",IFERROR(INDEX(Catalogos!$C$5:$C$49,MATCH(E259,L_METAS,0)),""))</f>
        <v/>
      </c>
      <c r="G259" s="13" t="str">
        <f>IF(E259="","",IFERROR(INDEX(Catalogos!$E$5:$E$49,MATCH(E259,L_METAS,0)),""))</f>
        <v/>
      </c>
      <c r="H259" s="26"/>
      <c r="I259" s="26"/>
      <c r="J259" s="26"/>
      <c r="K259" s="26"/>
      <c r="L259" s="26"/>
      <c r="M259" s="27"/>
      <c r="N259" s="26"/>
      <c r="O259" s="26"/>
      <c r="P259" s="26"/>
      <c r="Q259" s="26"/>
      <c r="R259" s="26"/>
      <c r="S259" s="26"/>
      <c r="T259" s="26"/>
      <c r="U259" s="26"/>
      <c r="V259" s="26"/>
      <c r="W259" s="28"/>
      <c r="X259" s="28"/>
      <c r="Y259" s="26"/>
      <c r="Z259" s="26"/>
      <c r="AA259" s="26"/>
      <c r="AB259" s="26"/>
      <c r="AC259" s="26"/>
      <c r="AD259" s="26"/>
      <c r="AE259" s="26"/>
      <c r="AF259" s="26"/>
      <c r="AG259" s="26"/>
      <c r="AH259" s="26"/>
      <c r="AI259" s="26"/>
      <c r="AJ259" s="15" t="str">
        <f>IF(COUNTA(B259,E259,H259,I259,J259,K259,L259,M259,N259,O259,P259,Q259,R259,S259,T259,U259,V259,W259,X259,Y259,Z259,AA259,AB259,AC259,AD259,AE259,AF259,AG259,AH259,AI259)=0,"",IF(OR(B259="",E259="",H259="",J259="",K259="",L259="",M259="",O259="",P259="",Q259="",R259="",S259="",T259="",U259="",W259="",X259="",Y259="",AB259="",AC259="",AE259="",AF259=""),"Incompleta: faltan campos obligatorios",IF(AND(LEFT(H259,6)="PROPIA",I259=""),"Falta el nombre de la acción propia del área",IF(AND(LEFT(H259,3)="A27",IFERROR(INDEX(Catalogos!$T$5:$T$207,MATCH(H259,Catalogos!$U$5:$U$207,0)),"x")&lt;&gt;LEFT(E259,7)),"La acción no corresponde a la meta seleccionada",IF(OR(NOT(ISNUMBER(M259)),M259&lt;10000000,M259&gt;99999999),"Código UNSPSC inválido: registre 8 dígitos",IF(MOD(M259,10000)=0,"UNSPSC a nivel de segmento o familia: use clase o producto",IF(IFERROR(MATCH(P259,L_MESES,0)&lt;MATCH(O259,L_MESES,0),TRUE()),"El mes de ofertas es anterior al de inicio del proceso",IF(OR(NOT(ISNUMBER(Q259)),Q259&lt;=0),"Duración inválida",IF(OR(NOT(ISNUMBER(W259)),NOT(ISNUMBER(X259))),"Valor inválido: registre solo números",IF(OR(W259&lt;=0,X259&lt;=0),"Valor inválido: debe ser mayor que cero",IF(X259&gt;W259,"El valor de la vigencia 2027 supera el valor total",IF(AND(X259&lt;W259,Y259="No"),"El valor total supera el de 2027: requiere vigencias futuras",IF(AND(Y259="Sí",OR(Z259="",Z259="No aplica")),"Indique el estado de la solicitud de vigencias futuras",IF(IF(AND(S259="Mínima cuantía",ISNUMBER(P_TOPE_MINIMA)),W259&gt;P_TOPE_MINIMA,FALSE()),"El valor supera el tope de mínima cuantía 2027",IF(IF(AND(S259="Selección abreviada de menor cuantía",ISNUMBER(P_TOPE_MENOR)),W259&gt;P_TOPE_MENOR,FALSE()),"El valor supera el tope de menor cuantía 2027",IF(OR(ISERROR(SEARCH("@itc.edu.co",AE259)),SUMPRODUCT(--ISNUMBER(SEARCH({"á","é","í","ó","ú","ñ"," "},AE259)))&gt;0),"El correo del responsable no es institucional válido",IF(AND(AF259="Sí",AG259=""),"Indique el N.° de registro 2026 que continúa","OK")))))))))))))))))</f>
        <v/>
      </c>
      <c r="AK259" s="15" t="str">
        <f>IF(AJ259="OK",COUNTIF($AJ$7:AJ259,"OK"),"")</f>
        <v/>
      </c>
    </row>
    <row r="260" spans="1:37" x14ac:dyDescent="0.3">
      <c r="A260" s="13" t="str">
        <f t="shared" si="3"/>
        <v>PN27-254</v>
      </c>
      <c r="B260" s="26"/>
      <c r="C260" s="13" t="str">
        <f>IF(B260="","",IFERROR(INDEX(Catalogos!$R$5:$R$51,MATCH(B260,L_AREAS,0)),""))</f>
        <v/>
      </c>
      <c r="D260" s="13" t="str">
        <f>IF(B260="","",IFERROR(INDEX(Catalogos!$O$5:$O$51,MATCH(B260,L_AREAS,0)),""))</f>
        <v/>
      </c>
      <c r="E260" s="26"/>
      <c r="F260" s="13" t="str">
        <f>IF(E260="","",IFERROR(INDEX(Catalogos!$C$5:$C$49,MATCH(E260,L_METAS,0)),""))</f>
        <v/>
      </c>
      <c r="G260" s="13" t="str">
        <f>IF(E260="","",IFERROR(INDEX(Catalogos!$E$5:$E$49,MATCH(E260,L_METAS,0)),""))</f>
        <v/>
      </c>
      <c r="H260" s="26"/>
      <c r="I260" s="26"/>
      <c r="J260" s="26"/>
      <c r="K260" s="26"/>
      <c r="L260" s="26"/>
      <c r="M260" s="27"/>
      <c r="N260" s="26"/>
      <c r="O260" s="26"/>
      <c r="P260" s="26"/>
      <c r="Q260" s="26"/>
      <c r="R260" s="26"/>
      <c r="S260" s="26"/>
      <c r="T260" s="26"/>
      <c r="U260" s="26"/>
      <c r="V260" s="26"/>
      <c r="W260" s="28"/>
      <c r="X260" s="28"/>
      <c r="Y260" s="26"/>
      <c r="Z260" s="26"/>
      <c r="AA260" s="26"/>
      <c r="AB260" s="26"/>
      <c r="AC260" s="26"/>
      <c r="AD260" s="26"/>
      <c r="AE260" s="26"/>
      <c r="AF260" s="26"/>
      <c r="AG260" s="26"/>
      <c r="AH260" s="26"/>
      <c r="AI260" s="26"/>
      <c r="AJ260" s="15" t="str">
        <f>IF(COUNTA(B260,E260,H260,I260,J260,K260,L260,M260,N260,O260,P260,Q260,R260,S260,T260,U260,V260,W260,X260,Y260,Z260,AA260,AB260,AC260,AD260,AE260,AF260,AG260,AH260,AI260)=0,"",IF(OR(B260="",E260="",H260="",J260="",K260="",L260="",M260="",O260="",P260="",Q260="",R260="",S260="",T260="",U260="",W260="",X260="",Y260="",AB260="",AC260="",AE260="",AF260=""),"Incompleta: faltan campos obligatorios",IF(AND(LEFT(H260,6)="PROPIA",I260=""),"Falta el nombre de la acción propia del área",IF(AND(LEFT(H260,3)="A27",IFERROR(INDEX(Catalogos!$T$5:$T$207,MATCH(H260,Catalogos!$U$5:$U$207,0)),"x")&lt;&gt;LEFT(E260,7)),"La acción no corresponde a la meta seleccionada",IF(OR(NOT(ISNUMBER(M260)),M260&lt;10000000,M260&gt;99999999),"Código UNSPSC inválido: registre 8 dígitos",IF(MOD(M260,10000)=0,"UNSPSC a nivel de segmento o familia: use clase o producto",IF(IFERROR(MATCH(P260,L_MESES,0)&lt;MATCH(O260,L_MESES,0),TRUE()),"El mes de ofertas es anterior al de inicio del proceso",IF(OR(NOT(ISNUMBER(Q260)),Q260&lt;=0),"Duración inválida",IF(OR(NOT(ISNUMBER(W260)),NOT(ISNUMBER(X260))),"Valor inválido: registre solo números",IF(OR(W260&lt;=0,X260&lt;=0),"Valor inválido: debe ser mayor que cero",IF(X260&gt;W260,"El valor de la vigencia 2027 supera el valor total",IF(AND(X260&lt;W260,Y260="No"),"El valor total supera el de 2027: requiere vigencias futuras",IF(AND(Y260="Sí",OR(Z260="",Z260="No aplica")),"Indique el estado de la solicitud de vigencias futuras",IF(IF(AND(S260="Mínima cuantía",ISNUMBER(P_TOPE_MINIMA)),W260&gt;P_TOPE_MINIMA,FALSE()),"El valor supera el tope de mínima cuantía 2027",IF(IF(AND(S260="Selección abreviada de menor cuantía",ISNUMBER(P_TOPE_MENOR)),W260&gt;P_TOPE_MENOR,FALSE()),"El valor supera el tope de menor cuantía 2027",IF(OR(ISERROR(SEARCH("@itc.edu.co",AE260)),SUMPRODUCT(--ISNUMBER(SEARCH({"á","é","í","ó","ú","ñ"," "},AE260)))&gt;0),"El correo del responsable no es institucional válido",IF(AND(AF260="Sí",AG260=""),"Indique el N.° de registro 2026 que continúa","OK")))))))))))))))))</f>
        <v/>
      </c>
      <c r="AK260" s="15" t="str">
        <f>IF(AJ260="OK",COUNTIF($AJ$7:AJ260,"OK"),"")</f>
        <v/>
      </c>
    </row>
    <row r="261" spans="1:37" x14ac:dyDescent="0.3">
      <c r="A261" s="13" t="str">
        <f t="shared" si="3"/>
        <v>PN27-255</v>
      </c>
      <c r="B261" s="26"/>
      <c r="C261" s="13" t="str">
        <f>IF(B261="","",IFERROR(INDEX(Catalogos!$R$5:$R$51,MATCH(B261,L_AREAS,0)),""))</f>
        <v/>
      </c>
      <c r="D261" s="13" t="str">
        <f>IF(B261="","",IFERROR(INDEX(Catalogos!$O$5:$O$51,MATCH(B261,L_AREAS,0)),""))</f>
        <v/>
      </c>
      <c r="E261" s="26"/>
      <c r="F261" s="13" t="str">
        <f>IF(E261="","",IFERROR(INDEX(Catalogos!$C$5:$C$49,MATCH(E261,L_METAS,0)),""))</f>
        <v/>
      </c>
      <c r="G261" s="13" t="str">
        <f>IF(E261="","",IFERROR(INDEX(Catalogos!$E$5:$E$49,MATCH(E261,L_METAS,0)),""))</f>
        <v/>
      </c>
      <c r="H261" s="26"/>
      <c r="I261" s="26"/>
      <c r="J261" s="26"/>
      <c r="K261" s="26"/>
      <c r="L261" s="26"/>
      <c r="M261" s="27"/>
      <c r="N261" s="26"/>
      <c r="O261" s="26"/>
      <c r="P261" s="26"/>
      <c r="Q261" s="26"/>
      <c r="R261" s="26"/>
      <c r="S261" s="26"/>
      <c r="T261" s="26"/>
      <c r="U261" s="26"/>
      <c r="V261" s="26"/>
      <c r="W261" s="28"/>
      <c r="X261" s="28"/>
      <c r="Y261" s="26"/>
      <c r="Z261" s="26"/>
      <c r="AA261" s="26"/>
      <c r="AB261" s="26"/>
      <c r="AC261" s="26"/>
      <c r="AD261" s="26"/>
      <c r="AE261" s="26"/>
      <c r="AF261" s="26"/>
      <c r="AG261" s="26"/>
      <c r="AH261" s="26"/>
      <c r="AI261" s="26"/>
      <c r="AJ261" s="15" t="str">
        <f>IF(COUNTA(B261,E261,H261,I261,J261,K261,L261,M261,N261,O261,P261,Q261,R261,S261,T261,U261,V261,W261,X261,Y261,Z261,AA261,AB261,AC261,AD261,AE261,AF261,AG261,AH261,AI261)=0,"",IF(OR(B261="",E261="",H261="",J261="",K261="",L261="",M261="",O261="",P261="",Q261="",R261="",S261="",T261="",U261="",W261="",X261="",Y261="",AB261="",AC261="",AE261="",AF261=""),"Incompleta: faltan campos obligatorios",IF(AND(LEFT(H261,6)="PROPIA",I261=""),"Falta el nombre de la acción propia del área",IF(AND(LEFT(H261,3)="A27",IFERROR(INDEX(Catalogos!$T$5:$T$207,MATCH(H261,Catalogos!$U$5:$U$207,0)),"x")&lt;&gt;LEFT(E261,7)),"La acción no corresponde a la meta seleccionada",IF(OR(NOT(ISNUMBER(M261)),M261&lt;10000000,M261&gt;99999999),"Código UNSPSC inválido: registre 8 dígitos",IF(MOD(M261,10000)=0,"UNSPSC a nivel de segmento o familia: use clase o producto",IF(IFERROR(MATCH(P261,L_MESES,0)&lt;MATCH(O261,L_MESES,0),TRUE()),"El mes de ofertas es anterior al de inicio del proceso",IF(OR(NOT(ISNUMBER(Q261)),Q261&lt;=0),"Duración inválida",IF(OR(NOT(ISNUMBER(W261)),NOT(ISNUMBER(X261))),"Valor inválido: registre solo números",IF(OR(W261&lt;=0,X261&lt;=0),"Valor inválido: debe ser mayor que cero",IF(X261&gt;W261,"El valor de la vigencia 2027 supera el valor total",IF(AND(X261&lt;W261,Y261="No"),"El valor total supera el de 2027: requiere vigencias futuras",IF(AND(Y261="Sí",OR(Z261="",Z261="No aplica")),"Indique el estado de la solicitud de vigencias futuras",IF(IF(AND(S261="Mínima cuantía",ISNUMBER(P_TOPE_MINIMA)),W261&gt;P_TOPE_MINIMA,FALSE()),"El valor supera el tope de mínima cuantía 2027",IF(IF(AND(S261="Selección abreviada de menor cuantía",ISNUMBER(P_TOPE_MENOR)),W261&gt;P_TOPE_MENOR,FALSE()),"El valor supera el tope de menor cuantía 2027",IF(OR(ISERROR(SEARCH("@itc.edu.co",AE261)),SUMPRODUCT(--ISNUMBER(SEARCH({"á","é","í","ó","ú","ñ"," "},AE261)))&gt;0),"El correo del responsable no es institucional válido",IF(AND(AF261="Sí",AG261=""),"Indique el N.° de registro 2026 que continúa","OK")))))))))))))))))</f>
        <v/>
      </c>
      <c r="AK261" s="15" t="str">
        <f>IF(AJ261="OK",COUNTIF($AJ$7:AJ261,"OK"),"")</f>
        <v/>
      </c>
    </row>
    <row r="262" spans="1:37" x14ac:dyDescent="0.3">
      <c r="A262" s="13" t="str">
        <f t="shared" si="3"/>
        <v>PN27-256</v>
      </c>
      <c r="B262" s="26"/>
      <c r="C262" s="13" t="str">
        <f>IF(B262="","",IFERROR(INDEX(Catalogos!$R$5:$R$51,MATCH(B262,L_AREAS,0)),""))</f>
        <v/>
      </c>
      <c r="D262" s="13" t="str">
        <f>IF(B262="","",IFERROR(INDEX(Catalogos!$O$5:$O$51,MATCH(B262,L_AREAS,0)),""))</f>
        <v/>
      </c>
      <c r="E262" s="26"/>
      <c r="F262" s="13" t="str">
        <f>IF(E262="","",IFERROR(INDEX(Catalogos!$C$5:$C$49,MATCH(E262,L_METAS,0)),""))</f>
        <v/>
      </c>
      <c r="G262" s="13" t="str">
        <f>IF(E262="","",IFERROR(INDEX(Catalogos!$E$5:$E$49,MATCH(E262,L_METAS,0)),""))</f>
        <v/>
      </c>
      <c r="H262" s="26"/>
      <c r="I262" s="26"/>
      <c r="J262" s="26"/>
      <c r="K262" s="26"/>
      <c r="L262" s="26"/>
      <c r="M262" s="27"/>
      <c r="N262" s="26"/>
      <c r="O262" s="26"/>
      <c r="P262" s="26"/>
      <c r="Q262" s="26"/>
      <c r="R262" s="26"/>
      <c r="S262" s="26"/>
      <c r="T262" s="26"/>
      <c r="U262" s="26"/>
      <c r="V262" s="26"/>
      <c r="W262" s="28"/>
      <c r="X262" s="28"/>
      <c r="Y262" s="26"/>
      <c r="Z262" s="26"/>
      <c r="AA262" s="26"/>
      <c r="AB262" s="26"/>
      <c r="AC262" s="26"/>
      <c r="AD262" s="26"/>
      <c r="AE262" s="26"/>
      <c r="AF262" s="26"/>
      <c r="AG262" s="26"/>
      <c r="AH262" s="26"/>
      <c r="AI262" s="26"/>
      <c r="AJ262" s="15" t="str">
        <f>IF(COUNTA(B262,E262,H262,I262,J262,K262,L262,M262,N262,O262,P262,Q262,R262,S262,T262,U262,V262,W262,X262,Y262,Z262,AA262,AB262,AC262,AD262,AE262,AF262,AG262,AH262,AI262)=0,"",IF(OR(B262="",E262="",H262="",J262="",K262="",L262="",M262="",O262="",P262="",Q262="",R262="",S262="",T262="",U262="",W262="",X262="",Y262="",AB262="",AC262="",AE262="",AF262=""),"Incompleta: faltan campos obligatorios",IF(AND(LEFT(H262,6)="PROPIA",I262=""),"Falta el nombre de la acción propia del área",IF(AND(LEFT(H262,3)="A27",IFERROR(INDEX(Catalogos!$T$5:$T$207,MATCH(H262,Catalogos!$U$5:$U$207,0)),"x")&lt;&gt;LEFT(E262,7)),"La acción no corresponde a la meta seleccionada",IF(OR(NOT(ISNUMBER(M262)),M262&lt;10000000,M262&gt;99999999),"Código UNSPSC inválido: registre 8 dígitos",IF(MOD(M262,10000)=0,"UNSPSC a nivel de segmento o familia: use clase o producto",IF(IFERROR(MATCH(P262,L_MESES,0)&lt;MATCH(O262,L_MESES,0),TRUE()),"El mes de ofertas es anterior al de inicio del proceso",IF(OR(NOT(ISNUMBER(Q262)),Q262&lt;=0),"Duración inválida",IF(OR(NOT(ISNUMBER(W262)),NOT(ISNUMBER(X262))),"Valor inválido: registre solo números",IF(OR(W262&lt;=0,X262&lt;=0),"Valor inválido: debe ser mayor que cero",IF(X262&gt;W262,"El valor de la vigencia 2027 supera el valor total",IF(AND(X262&lt;W262,Y262="No"),"El valor total supera el de 2027: requiere vigencias futuras",IF(AND(Y262="Sí",OR(Z262="",Z262="No aplica")),"Indique el estado de la solicitud de vigencias futuras",IF(IF(AND(S262="Mínima cuantía",ISNUMBER(P_TOPE_MINIMA)),W262&gt;P_TOPE_MINIMA,FALSE()),"El valor supera el tope de mínima cuantía 2027",IF(IF(AND(S262="Selección abreviada de menor cuantía",ISNUMBER(P_TOPE_MENOR)),W262&gt;P_TOPE_MENOR,FALSE()),"El valor supera el tope de menor cuantía 2027",IF(OR(ISERROR(SEARCH("@itc.edu.co",AE262)),SUMPRODUCT(--ISNUMBER(SEARCH({"á","é","í","ó","ú","ñ"," "},AE262)))&gt;0),"El correo del responsable no es institucional válido",IF(AND(AF262="Sí",AG262=""),"Indique el N.° de registro 2026 que continúa","OK")))))))))))))))))</f>
        <v/>
      </c>
      <c r="AK262" s="15" t="str">
        <f>IF(AJ262="OK",COUNTIF($AJ$7:AJ262,"OK"),"")</f>
        <v/>
      </c>
    </row>
    <row r="263" spans="1:37" x14ac:dyDescent="0.3">
      <c r="A263" s="13" t="str">
        <f t="shared" ref="A263:A326" si="4">"PN27-"&amp;TEXT(ROW()-6,"000")</f>
        <v>PN27-257</v>
      </c>
      <c r="B263" s="26"/>
      <c r="C263" s="13" t="str">
        <f>IF(B263="","",IFERROR(INDEX(Catalogos!$R$5:$R$51,MATCH(B263,L_AREAS,0)),""))</f>
        <v/>
      </c>
      <c r="D263" s="13" t="str">
        <f>IF(B263="","",IFERROR(INDEX(Catalogos!$O$5:$O$51,MATCH(B263,L_AREAS,0)),""))</f>
        <v/>
      </c>
      <c r="E263" s="26"/>
      <c r="F263" s="13" t="str">
        <f>IF(E263="","",IFERROR(INDEX(Catalogos!$C$5:$C$49,MATCH(E263,L_METAS,0)),""))</f>
        <v/>
      </c>
      <c r="G263" s="13" t="str">
        <f>IF(E263="","",IFERROR(INDEX(Catalogos!$E$5:$E$49,MATCH(E263,L_METAS,0)),""))</f>
        <v/>
      </c>
      <c r="H263" s="26"/>
      <c r="I263" s="26"/>
      <c r="J263" s="26"/>
      <c r="K263" s="26"/>
      <c r="L263" s="26"/>
      <c r="M263" s="27"/>
      <c r="N263" s="26"/>
      <c r="O263" s="26"/>
      <c r="P263" s="26"/>
      <c r="Q263" s="26"/>
      <c r="R263" s="26"/>
      <c r="S263" s="26"/>
      <c r="T263" s="26"/>
      <c r="U263" s="26"/>
      <c r="V263" s="26"/>
      <c r="W263" s="28"/>
      <c r="X263" s="28"/>
      <c r="Y263" s="26"/>
      <c r="Z263" s="26"/>
      <c r="AA263" s="26"/>
      <c r="AB263" s="26"/>
      <c r="AC263" s="26"/>
      <c r="AD263" s="26"/>
      <c r="AE263" s="26"/>
      <c r="AF263" s="26"/>
      <c r="AG263" s="26"/>
      <c r="AH263" s="26"/>
      <c r="AI263" s="26"/>
      <c r="AJ263" s="15" t="str">
        <f>IF(COUNTA(B263,E263,H263,I263,J263,K263,L263,M263,N263,O263,P263,Q263,R263,S263,T263,U263,V263,W263,X263,Y263,Z263,AA263,AB263,AC263,AD263,AE263,AF263,AG263,AH263,AI263)=0,"",IF(OR(B263="",E263="",H263="",J263="",K263="",L263="",M263="",O263="",P263="",Q263="",R263="",S263="",T263="",U263="",W263="",X263="",Y263="",AB263="",AC263="",AE263="",AF263=""),"Incompleta: faltan campos obligatorios",IF(AND(LEFT(H263,6)="PROPIA",I263=""),"Falta el nombre de la acción propia del área",IF(AND(LEFT(H263,3)="A27",IFERROR(INDEX(Catalogos!$T$5:$T$207,MATCH(H263,Catalogos!$U$5:$U$207,0)),"x")&lt;&gt;LEFT(E263,7)),"La acción no corresponde a la meta seleccionada",IF(OR(NOT(ISNUMBER(M263)),M263&lt;10000000,M263&gt;99999999),"Código UNSPSC inválido: registre 8 dígitos",IF(MOD(M263,10000)=0,"UNSPSC a nivel de segmento o familia: use clase o producto",IF(IFERROR(MATCH(P263,L_MESES,0)&lt;MATCH(O263,L_MESES,0),TRUE()),"El mes de ofertas es anterior al de inicio del proceso",IF(OR(NOT(ISNUMBER(Q263)),Q263&lt;=0),"Duración inválida",IF(OR(NOT(ISNUMBER(W263)),NOT(ISNUMBER(X263))),"Valor inválido: registre solo números",IF(OR(W263&lt;=0,X263&lt;=0),"Valor inválido: debe ser mayor que cero",IF(X263&gt;W263,"El valor de la vigencia 2027 supera el valor total",IF(AND(X263&lt;W263,Y263="No"),"El valor total supera el de 2027: requiere vigencias futuras",IF(AND(Y263="Sí",OR(Z263="",Z263="No aplica")),"Indique el estado de la solicitud de vigencias futuras",IF(IF(AND(S263="Mínima cuantía",ISNUMBER(P_TOPE_MINIMA)),W263&gt;P_TOPE_MINIMA,FALSE()),"El valor supera el tope de mínima cuantía 2027",IF(IF(AND(S263="Selección abreviada de menor cuantía",ISNUMBER(P_TOPE_MENOR)),W263&gt;P_TOPE_MENOR,FALSE()),"El valor supera el tope de menor cuantía 2027",IF(OR(ISERROR(SEARCH("@itc.edu.co",AE263)),SUMPRODUCT(--ISNUMBER(SEARCH({"á","é","í","ó","ú","ñ"," "},AE263)))&gt;0),"El correo del responsable no es institucional válido",IF(AND(AF263="Sí",AG263=""),"Indique el N.° de registro 2026 que continúa","OK")))))))))))))))))</f>
        <v/>
      </c>
      <c r="AK263" s="15" t="str">
        <f>IF(AJ263="OK",COUNTIF($AJ$7:AJ263,"OK"),"")</f>
        <v/>
      </c>
    </row>
    <row r="264" spans="1:37" x14ac:dyDescent="0.3">
      <c r="A264" s="13" t="str">
        <f t="shared" si="4"/>
        <v>PN27-258</v>
      </c>
      <c r="B264" s="26"/>
      <c r="C264" s="13" t="str">
        <f>IF(B264="","",IFERROR(INDEX(Catalogos!$R$5:$R$51,MATCH(B264,L_AREAS,0)),""))</f>
        <v/>
      </c>
      <c r="D264" s="13" t="str">
        <f>IF(B264="","",IFERROR(INDEX(Catalogos!$O$5:$O$51,MATCH(B264,L_AREAS,0)),""))</f>
        <v/>
      </c>
      <c r="E264" s="26"/>
      <c r="F264" s="13" t="str">
        <f>IF(E264="","",IFERROR(INDEX(Catalogos!$C$5:$C$49,MATCH(E264,L_METAS,0)),""))</f>
        <v/>
      </c>
      <c r="G264" s="13" t="str">
        <f>IF(E264="","",IFERROR(INDEX(Catalogos!$E$5:$E$49,MATCH(E264,L_METAS,0)),""))</f>
        <v/>
      </c>
      <c r="H264" s="26"/>
      <c r="I264" s="26"/>
      <c r="J264" s="26"/>
      <c r="K264" s="26"/>
      <c r="L264" s="26"/>
      <c r="M264" s="27"/>
      <c r="N264" s="26"/>
      <c r="O264" s="26"/>
      <c r="P264" s="26"/>
      <c r="Q264" s="26"/>
      <c r="R264" s="26"/>
      <c r="S264" s="26"/>
      <c r="T264" s="26"/>
      <c r="U264" s="26"/>
      <c r="V264" s="26"/>
      <c r="W264" s="28"/>
      <c r="X264" s="28"/>
      <c r="Y264" s="26"/>
      <c r="Z264" s="26"/>
      <c r="AA264" s="26"/>
      <c r="AB264" s="26"/>
      <c r="AC264" s="26"/>
      <c r="AD264" s="26"/>
      <c r="AE264" s="26"/>
      <c r="AF264" s="26"/>
      <c r="AG264" s="26"/>
      <c r="AH264" s="26"/>
      <c r="AI264" s="26"/>
      <c r="AJ264" s="15" t="str">
        <f>IF(COUNTA(B264,E264,H264,I264,J264,K264,L264,M264,N264,O264,P264,Q264,R264,S264,T264,U264,V264,W264,X264,Y264,Z264,AA264,AB264,AC264,AD264,AE264,AF264,AG264,AH264,AI264)=0,"",IF(OR(B264="",E264="",H264="",J264="",K264="",L264="",M264="",O264="",P264="",Q264="",R264="",S264="",T264="",U264="",W264="",X264="",Y264="",AB264="",AC264="",AE264="",AF264=""),"Incompleta: faltan campos obligatorios",IF(AND(LEFT(H264,6)="PROPIA",I264=""),"Falta el nombre de la acción propia del área",IF(AND(LEFT(H264,3)="A27",IFERROR(INDEX(Catalogos!$T$5:$T$207,MATCH(H264,Catalogos!$U$5:$U$207,0)),"x")&lt;&gt;LEFT(E264,7)),"La acción no corresponde a la meta seleccionada",IF(OR(NOT(ISNUMBER(M264)),M264&lt;10000000,M264&gt;99999999),"Código UNSPSC inválido: registre 8 dígitos",IF(MOD(M264,10000)=0,"UNSPSC a nivel de segmento o familia: use clase o producto",IF(IFERROR(MATCH(P264,L_MESES,0)&lt;MATCH(O264,L_MESES,0),TRUE()),"El mes de ofertas es anterior al de inicio del proceso",IF(OR(NOT(ISNUMBER(Q264)),Q264&lt;=0),"Duración inválida",IF(OR(NOT(ISNUMBER(W264)),NOT(ISNUMBER(X264))),"Valor inválido: registre solo números",IF(OR(W264&lt;=0,X264&lt;=0),"Valor inválido: debe ser mayor que cero",IF(X264&gt;W264,"El valor de la vigencia 2027 supera el valor total",IF(AND(X264&lt;W264,Y264="No"),"El valor total supera el de 2027: requiere vigencias futuras",IF(AND(Y264="Sí",OR(Z264="",Z264="No aplica")),"Indique el estado de la solicitud de vigencias futuras",IF(IF(AND(S264="Mínima cuantía",ISNUMBER(P_TOPE_MINIMA)),W264&gt;P_TOPE_MINIMA,FALSE()),"El valor supera el tope de mínima cuantía 2027",IF(IF(AND(S264="Selección abreviada de menor cuantía",ISNUMBER(P_TOPE_MENOR)),W264&gt;P_TOPE_MENOR,FALSE()),"El valor supera el tope de menor cuantía 2027",IF(OR(ISERROR(SEARCH("@itc.edu.co",AE264)),SUMPRODUCT(--ISNUMBER(SEARCH({"á","é","í","ó","ú","ñ"," "},AE264)))&gt;0),"El correo del responsable no es institucional válido",IF(AND(AF264="Sí",AG264=""),"Indique el N.° de registro 2026 que continúa","OK")))))))))))))))))</f>
        <v/>
      </c>
      <c r="AK264" s="15" t="str">
        <f>IF(AJ264="OK",COUNTIF($AJ$7:AJ264,"OK"),"")</f>
        <v/>
      </c>
    </row>
    <row r="265" spans="1:37" x14ac:dyDescent="0.3">
      <c r="A265" s="13" t="str">
        <f t="shared" si="4"/>
        <v>PN27-259</v>
      </c>
      <c r="B265" s="26"/>
      <c r="C265" s="13" t="str">
        <f>IF(B265="","",IFERROR(INDEX(Catalogos!$R$5:$R$51,MATCH(B265,L_AREAS,0)),""))</f>
        <v/>
      </c>
      <c r="D265" s="13" t="str">
        <f>IF(B265="","",IFERROR(INDEX(Catalogos!$O$5:$O$51,MATCH(B265,L_AREAS,0)),""))</f>
        <v/>
      </c>
      <c r="E265" s="26"/>
      <c r="F265" s="13" t="str">
        <f>IF(E265="","",IFERROR(INDEX(Catalogos!$C$5:$C$49,MATCH(E265,L_METAS,0)),""))</f>
        <v/>
      </c>
      <c r="G265" s="13" t="str">
        <f>IF(E265="","",IFERROR(INDEX(Catalogos!$E$5:$E$49,MATCH(E265,L_METAS,0)),""))</f>
        <v/>
      </c>
      <c r="H265" s="26"/>
      <c r="I265" s="26"/>
      <c r="J265" s="26"/>
      <c r="K265" s="26"/>
      <c r="L265" s="26"/>
      <c r="M265" s="27"/>
      <c r="N265" s="26"/>
      <c r="O265" s="26"/>
      <c r="P265" s="26"/>
      <c r="Q265" s="26"/>
      <c r="R265" s="26"/>
      <c r="S265" s="26"/>
      <c r="T265" s="26"/>
      <c r="U265" s="26"/>
      <c r="V265" s="26"/>
      <c r="W265" s="28"/>
      <c r="X265" s="28"/>
      <c r="Y265" s="26"/>
      <c r="Z265" s="26"/>
      <c r="AA265" s="26"/>
      <c r="AB265" s="26"/>
      <c r="AC265" s="26"/>
      <c r="AD265" s="26"/>
      <c r="AE265" s="26"/>
      <c r="AF265" s="26"/>
      <c r="AG265" s="26"/>
      <c r="AH265" s="26"/>
      <c r="AI265" s="26"/>
      <c r="AJ265" s="15" t="str">
        <f>IF(COUNTA(B265,E265,H265,I265,J265,K265,L265,M265,N265,O265,P265,Q265,R265,S265,T265,U265,V265,W265,X265,Y265,Z265,AA265,AB265,AC265,AD265,AE265,AF265,AG265,AH265,AI265)=0,"",IF(OR(B265="",E265="",H265="",J265="",K265="",L265="",M265="",O265="",P265="",Q265="",R265="",S265="",T265="",U265="",W265="",X265="",Y265="",AB265="",AC265="",AE265="",AF265=""),"Incompleta: faltan campos obligatorios",IF(AND(LEFT(H265,6)="PROPIA",I265=""),"Falta el nombre de la acción propia del área",IF(AND(LEFT(H265,3)="A27",IFERROR(INDEX(Catalogos!$T$5:$T$207,MATCH(H265,Catalogos!$U$5:$U$207,0)),"x")&lt;&gt;LEFT(E265,7)),"La acción no corresponde a la meta seleccionada",IF(OR(NOT(ISNUMBER(M265)),M265&lt;10000000,M265&gt;99999999),"Código UNSPSC inválido: registre 8 dígitos",IF(MOD(M265,10000)=0,"UNSPSC a nivel de segmento o familia: use clase o producto",IF(IFERROR(MATCH(P265,L_MESES,0)&lt;MATCH(O265,L_MESES,0),TRUE()),"El mes de ofertas es anterior al de inicio del proceso",IF(OR(NOT(ISNUMBER(Q265)),Q265&lt;=0),"Duración inválida",IF(OR(NOT(ISNUMBER(W265)),NOT(ISNUMBER(X265))),"Valor inválido: registre solo números",IF(OR(W265&lt;=0,X265&lt;=0),"Valor inválido: debe ser mayor que cero",IF(X265&gt;W265,"El valor de la vigencia 2027 supera el valor total",IF(AND(X265&lt;W265,Y265="No"),"El valor total supera el de 2027: requiere vigencias futuras",IF(AND(Y265="Sí",OR(Z265="",Z265="No aplica")),"Indique el estado de la solicitud de vigencias futuras",IF(IF(AND(S265="Mínima cuantía",ISNUMBER(P_TOPE_MINIMA)),W265&gt;P_TOPE_MINIMA,FALSE()),"El valor supera el tope de mínima cuantía 2027",IF(IF(AND(S265="Selección abreviada de menor cuantía",ISNUMBER(P_TOPE_MENOR)),W265&gt;P_TOPE_MENOR,FALSE()),"El valor supera el tope de menor cuantía 2027",IF(OR(ISERROR(SEARCH("@itc.edu.co",AE265)),SUMPRODUCT(--ISNUMBER(SEARCH({"á","é","í","ó","ú","ñ"," "},AE265)))&gt;0),"El correo del responsable no es institucional válido",IF(AND(AF265="Sí",AG265=""),"Indique el N.° de registro 2026 que continúa","OK")))))))))))))))))</f>
        <v/>
      </c>
      <c r="AK265" s="15" t="str">
        <f>IF(AJ265="OK",COUNTIF($AJ$7:AJ265,"OK"),"")</f>
        <v/>
      </c>
    </row>
    <row r="266" spans="1:37" x14ac:dyDescent="0.3">
      <c r="A266" s="13" t="str">
        <f t="shared" si="4"/>
        <v>PN27-260</v>
      </c>
      <c r="B266" s="26"/>
      <c r="C266" s="13" t="str">
        <f>IF(B266="","",IFERROR(INDEX(Catalogos!$R$5:$R$51,MATCH(B266,L_AREAS,0)),""))</f>
        <v/>
      </c>
      <c r="D266" s="13" t="str">
        <f>IF(B266="","",IFERROR(INDEX(Catalogos!$O$5:$O$51,MATCH(B266,L_AREAS,0)),""))</f>
        <v/>
      </c>
      <c r="E266" s="26"/>
      <c r="F266" s="13" t="str">
        <f>IF(E266="","",IFERROR(INDEX(Catalogos!$C$5:$C$49,MATCH(E266,L_METAS,0)),""))</f>
        <v/>
      </c>
      <c r="G266" s="13" t="str">
        <f>IF(E266="","",IFERROR(INDEX(Catalogos!$E$5:$E$49,MATCH(E266,L_METAS,0)),""))</f>
        <v/>
      </c>
      <c r="H266" s="26"/>
      <c r="I266" s="26"/>
      <c r="J266" s="26"/>
      <c r="K266" s="26"/>
      <c r="L266" s="26"/>
      <c r="M266" s="27"/>
      <c r="N266" s="26"/>
      <c r="O266" s="26"/>
      <c r="P266" s="26"/>
      <c r="Q266" s="26"/>
      <c r="R266" s="26"/>
      <c r="S266" s="26"/>
      <c r="T266" s="26"/>
      <c r="U266" s="26"/>
      <c r="V266" s="26"/>
      <c r="W266" s="28"/>
      <c r="X266" s="28"/>
      <c r="Y266" s="26"/>
      <c r="Z266" s="26"/>
      <c r="AA266" s="26"/>
      <c r="AB266" s="26"/>
      <c r="AC266" s="26"/>
      <c r="AD266" s="26"/>
      <c r="AE266" s="26"/>
      <c r="AF266" s="26"/>
      <c r="AG266" s="26"/>
      <c r="AH266" s="26"/>
      <c r="AI266" s="26"/>
      <c r="AJ266" s="15" t="str">
        <f>IF(COUNTA(B266,E266,H266,I266,J266,K266,L266,M266,N266,O266,P266,Q266,R266,S266,T266,U266,V266,W266,X266,Y266,Z266,AA266,AB266,AC266,AD266,AE266,AF266,AG266,AH266,AI266)=0,"",IF(OR(B266="",E266="",H266="",J266="",K266="",L266="",M266="",O266="",P266="",Q266="",R266="",S266="",T266="",U266="",W266="",X266="",Y266="",AB266="",AC266="",AE266="",AF266=""),"Incompleta: faltan campos obligatorios",IF(AND(LEFT(H266,6)="PROPIA",I266=""),"Falta el nombre de la acción propia del área",IF(AND(LEFT(H266,3)="A27",IFERROR(INDEX(Catalogos!$T$5:$T$207,MATCH(H266,Catalogos!$U$5:$U$207,0)),"x")&lt;&gt;LEFT(E266,7)),"La acción no corresponde a la meta seleccionada",IF(OR(NOT(ISNUMBER(M266)),M266&lt;10000000,M266&gt;99999999),"Código UNSPSC inválido: registre 8 dígitos",IF(MOD(M266,10000)=0,"UNSPSC a nivel de segmento o familia: use clase o producto",IF(IFERROR(MATCH(P266,L_MESES,0)&lt;MATCH(O266,L_MESES,0),TRUE()),"El mes de ofertas es anterior al de inicio del proceso",IF(OR(NOT(ISNUMBER(Q266)),Q266&lt;=0),"Duración inválida",IF(OR(NOT(ISNUMBER(W266)),NOT(ISNUMBER(X266))),"Valor inválido: registre solo números",IF(OR(W266&lt;=0,X266&lt;=0),"Valor inválido: debe ser mayor que cero",IF(X266&gt;W266,"El valor de la vigencia 2027 supera el valor total",IF(AND(X266&lt;W266,Y266="No"),"El valor total supera el de 2027: requiere vigencias futuras",IF(AND(Y266="Sí",OR(Z266="",Z266="No aplica")),"Indique el estado de la solicitud de vigencias futuras",IF(IF(AND(S266="Mínima cuantía",ISNUMBER(P_TOPE_MINIMA)),W266&gt;P_TOPE_MINIMA,FALSE()),"El valor supera el tope de mínima cuantía 2027",IF(IF(AND(S266="Selección abreviada de menor cuantía",ISNUMBER(P_TOPE_MENOR)),W266&gt;P_TOPE_MENOR,FALSE()),"El valor supera el tope de menor cuantía 2027",IF(OR(ISERROR(SEARCH("@itc.edu.co",AE266)),SUMPRODUCT(--ISNUMBER(SEARCH({"á","é","í","ó","ú","ñ"," "},AE266)))&gt;0),"El correo del responsable no es institucional válido",IF(AND(AF266="Sí",AG266=""),"Indique el N.° de registro 2026 que continúa","OK")))))))))))))))))</f>
        <v/>
      </c>
      <c r="AK266" s="15" t="str">
        <f>IF(AJ266="OK",COUNTIF($AJ$7:AJ266,"OK"),"")</f>
        <v/>
      </c>
    </row>
    <row r="267" spans="1:37" x14ac:dyDescent="0.3">
      <c r="A267" s="13" t="str">
        <f t="shared" si="4"/>
        <v>PN27-261</v>
      </c>
      <c r="B267" s="26"/>
      <c r="C267" s="13" t="str">
        <f>IF(B267="","",IFERROR(INDEX(Catalogos!$R$5:$R$51,MATCH(B267,L_AREAS,0)),""))</f>
        <v/>
      </c>
      <c r="D267" s="13" t="str">
        <f>IF(B267="","",IFERROR(INDEX(Catalogos!$O$5:$O$51,MATCH(B267,L_AREAS,0)),""))</f>
        <v/>
      </c>
      <c r="E267" s="26"/>
      <c r="F267" s="13" t="str">
        <f>IF(E267="","",IFERROR(INDEX(Catalogos!$C$5:$C$49,MATCH(E267,L_METAS,0)),""))</f>
        <v/>
      </c>
      <c r="G267" s="13" t="str">
        <f>IF(E267="","",IFERROR(INDEX(Catalogos!$E$5:$E$49,MATCH(E267,L_METAS,0)),""))</f>
        <v/>
      </c>
      <c r="H267" s="26"/>
      <c r="I267" s="26"/>
      <c r="J267" s="26"/>
      <c r="K267" s="26"/>
      <c r="L267" s="26"/>
      <c r="M267" s="27"/>
      <c r="N267" s="26"/>
      <c r="O267" s="26"/>
      <c r="P267" s="26"/>
      <c r="Q267" s="26"/>
      <c r="R267" s="26"/>
      <c r="S267" s="26"/>
      <c r="T267" s="26"/>
      <c r="U267" s="26"/>
      <c r="V267" s="26"/>
      <c r="W267" s="28"/>
      <c r="X267" s="28"/>
      <c r="Y267" s="26"/>
      <c r="Z267" s="26"/>
      <c r="AA267" s="26"/>
      <c r="AB267" s="26"/>
      <c r="AC267" s="26"/>
      <c r="AD267" s="26"/>
      <c r="AE267" s="26"/>
      <c r="AF267" s="26"/>
      <c r="AG267" s="26"/>
      <c r="AH267" s="26"/>
      <c r="AI267" s="26"/>
      <c r="AJ267" s="15" t="str">
        <f>IF(COUNTA(B267,E267,H267,I267,J267,K267,L267,M267,N267,O267,P267,Q267,R267,S267,T267,U267,V267,W267,X267,Y267,Z267,AA267,AB267,AC267,AD267,AE267,AF267,AG267,AH267,AI267)=0,"",IF(OR(B267="",E267="",H267="",J267="",K267="",L267="",M267="",O267="",P267="",Q267="",R267="",S267="",T267="",U267="",W267="",X267="",Y267="",AB267="",AC267="",AE267="",AF267=""),"Incompleta: faltan campos obligatorios",IF(AND(LEFT(H267,6)="PROPIA",I267=""),"Falta el nombre de la acción propia del área",IF(AND(LEFT(H267,3)="A27",IFERROR(INDEX(Catalogos!$T$5:$T$207,MATCH(H267,Catalogos!$U$5:$U$207,0)),"x")&lt;&gt;LEFT(E267,7)),"La acción no corresponde a la meta seleccionada",IF(OR(NOT(ISNUMBER(M267)),M267&lt;10000000,M267&gt;99999999),"Código UNSPSC inválido: registre 8 dígitos",IF(MOD(M267,10000)=0,"UNSPSC a nivel de segmento o familia: use clase o producto",IF(IFERROR(MATCH(P267,L_MESES,0)&lt;MATCH(O267,L_MESES,0),TRUE()),"El mes de ofertas es anterior al de inicio del proceso",IF(OR(NOT(ISNUMBER(Q267)),Q267&lt;=0),"Duración inválida",IF(OR(NOT(ISNUMBER(W267)),NOT(ISNUMBER(X267))),"Valor inválido: registre solo números",IF(OR(W267&lt;=0,X267&lt;=0),"Valor inválido: debe ser mayor que cero",IF(X267&gt;W267,"El valor de la vigencia 2027 supera el valor total",IF(AND(X267&lt;W267,Y267="No"),"El valor total supera el de 2027: requiere vigencias futuras",IF(AND(Y267="Sí",OR(Z267="",Z267="No aplica")),"Indique el estado de la solicitud de vigencias futuras",IF(IF(AND(S267="Mínima cuantía",ISNUMBER(P_TOPE_MINIMA)),W267&gt;P_TOPE_MINIMA,FALSE()),"El valor supera el tope de mínima cuantía 2027",IF(IF(AND(S267="Selección abreviada de menor cuantía",ISNUMBER(P_TOPE_MENOR)),W267&gt;P_TOPE_MENOR,FALSE()),"El valor supera el tope de menor cuantía 2027",IF(OR(ISERROR(SEARCH("@itc.edu.co",AE267)),SUMPRODUCT(--ISNUMBER(SEARCH({"á","é","í","ó","ú","ñ"," "},AE267)))&gt;0),"El correo del responsable no es institucional válido",IF(AND(AF267="Sí",AG267=""),"Indique el N.° de registro 2026 que continúa","OK")))))))))))))))))</f>
        <v/>
      </c>
      <c r="AK267" s="15" t="str">
        <f>IF(AJ267="OK",COUNTIF($AJ$7:AJ267,"OK"),"")</f>
        <v/>
      </c>
    </row>
    <row r="268" spans="1:37" x14ac:dyDescent="0.3">
      <c r="A268" s="13" t="str">
        <f t="shared" si="4"/>
        <v>PN27-262</v>
      </c>
      <c r="B268" s="26"/>
      <c r="C268" s="13" t="str">
        <f>IF(B268="","",IFERROR(INDEX(Catalogos!$R$5:$R$51,MATCH(B268,L_AREAS,0)),""))</f>
        <v/>
      </c>
      <c r="D268" s="13" t="str">
        <f>IF(B268="","",IFERROR(INDEX(Catalogos!$O$5:$O$51,MATCH(B268,L_AREAS,0)),""))</f>
        <v/>
      </c>
      <c r="E268" s="26"/>
      <c r="F268" s="13" t="str">
        <f>IF(E268="","",IFERROR(INDEX(Catalogos!$C$5:$C$49,MATCH(E268,L_METAS,0)),""))</f>
        <v/>
      </c>
      <c r="G268" s="13" t="str">
        <f>IF(E268="","",IFERROR(INDEX(Catalogos!$E$5:$E$49,MATCH(E268,L_METAS,0)),""))</f>
        <v/>
      </c>
      <c r="H268" s="26"/>
      <c r="I268" s="26"/>
      <c r="J268" s="26"/>
      <c r="K268" s="26"/>
      <c r="L268" s="26"/>
      <c r="M268" s="27"/>
      <c r="N268" s="26"/>
      <c r="O268" s="26"/>
      <c r="P268" s="26"/>
      <c r="Q268" s="26"/>
      <c r="R268" s="26"/>
      <c r="S268" s="26"/>
      <c r="T268" s="26"/>
      <c r="U268" s="26"/>
      <c r="V268" s="26"/>
      <c r="W268" s="28"/>
      <c r="X268" s="28"/>
      <c r="Y268" s="26"/>
      <c r="Z268" s="26"/>
      <c r="AA268" s="26"/>
      <c r="AB268" s="26"/>
      <c r="AC268" s="26"/>
      <c r="AD268" s="26"/>
      <c r="AE268" s="26"/>
      <c r="AF268" s="26"/>
      <c r="AG268" s="26"/>
      <c r="AH268" s="26"/>
      <c r="AI268" s="26"/>
      <c r="AJ268" s="15" t="str">
        <f>IF(COUNTA(B268,E268,H268,I268,J268,K268,L268,M268,N268,O268,P268,Q268,R268,S268,T268,U268,V268,W268,X268,Y268,Z268,AA268,AB268,AC268,AD268,AE268,AF268,AG268,AH268,AI268)=0,"",IF(OR(B268="",E268="",H268="",J268="",K268="",L268="",M268="",O268="",P268="",Q268="",R268="",S268="",T268="",U268="",W268="",X268="",Y268="",AB268="",AC268="",AE268="",AF268=""),"Incompleta: faltan campos obligatorios",IF(AND(LEFT(H268,6)="PROPIA",I268=""),"Falta el nombre de la acción propia del área",IF(AND(LEFT(H268,3)="A27",IFERROR(INDEX(Catalogos!$T$5:$T$207,MATCH(H268,Catalogos!$U$5:$U$207,0)),"x")&lt;&gt;LEFT(E268,7)),"La acción no corresponde a la meta seleccionada",IF(OR(NOT(ISNUMBER(M268)),M268&lt;10000000,M268&gt;99999999),"Código UNSPSC inválido: registre 8 dígitos",IF(MOD(M268,10000)=0,"UNSPSC a nivel de segmento o familia: use clase o producto",IF(IFERROR(MATCH(P268,L_MESES,0)&lt;MATCH(O268,L_MESES,0),TRUE()),"El mes de ofertas es anterior al de inicio del proceso",IF(OR(NOT(ISNUMBER(Q268)),Q268&lt;=0),"Duración inválida",IF(OR(NOT(ISNUMBER(W268)),NOT(ISNUMBER(X268))),"Valor inválido: registre solo números",IF(OR(W268&lt;=0,X268&lt;=0),"Valor inválido: debe ser mayor que cero",IF(X268&gt;W268,"El valor de la vigencia 2027 supera el valor total",IF(AND(X268&lt;W268,Y268="No"),"El valor total supera el de 2027: requiere vigencias futuras",IF(AND(Y268="Sí",OR(Z268="",Z268="No aplica")),"Indique el estado de la solicitud de vigencias futuras",IF(IF(AND(S268="Mínima cuantía",ISNUMBER(P_TOPE_MINIMA)),W268&gt;P_TOPE_MINIMA,FALSE()),"El valor supera el tope de mínima cuantía 2027",IF(IF(AND(S268="Selección abreviada de menor cuantía",ISNUMBER(P_TOPE_MENOR)),W268&gt;P_TOPE_MENOR,FALSE()),"El valor supera el tope de menor cuantía 2027",IF(OR(ISERROR(SEARCH("@itc.edu.co",AE268)),SUMPRODUCT(--ISNUMBER(SEARCH({"á","é","í","ó","ú","ñ"," "},AE268)))&gt;0),"El correo del responsable no es institucional válido",IF(AND(AF268="Sí",AG268=""),"Indique el N.° de registro 2026 que continúa","OK")))))))))))))))))</f>
        <v/>
      </c>
      <c r="AK268" s="15" t="str">
        <f>IF(AJ268="OK",COUNTIF($AJ$7:AJ268,"OK"),"")</f>
        <v/>
      </c>
    </row>
    <row r="269" spans="1:37" x14ac:dyDescent="0.3">
      <c r="A269" s="13" t="str">
        <f t="shared" si="4"/>
        <v>PN27-263</v>
      </c>
      <c r="B269" s="26"/>
      <c r="C269" s="13" t="str">
        <f>IF(B269="","",IFERROR(INDEX(Catalogos!$R$5:$R$51,MATCH(B269,L_AREAS,0)),""))</f>
        <v/>
      </c>
      <c r="D269" s="13" t="str">
        <f>IF(B269="","",IFERROR(INDEX(Catalogos!$O$5:$O$51,MATCH(B269,L_AREAS,0)),""))</f>
        <v/>
      </c>
      <c r="E269" s="26"/>
      <c r="F269" s="13" t="str">
        <f>IF(E269="","",IFERROR(INDEX(Catalogos!$C$5:$C$49,MATCH(E269,L_METAS,0)),""))</f>
        <v/>
      </c>
      <c r="G269" s="13" t="str">
        <f>IF(E269="","",IFERROR(INDEX(Catalogos!$E$5:$E$49,MATCH(E269,L_METAS,0)),""))</f>
        <v/>
      </c>
      <c r="H269" s="26"/>
      <c r="I269" s="26"/>
      <c r="J269" s="26"/>
      <c r="K269" s="26"/>
      <c r="L269" s="26"/>
      <c r="M269" s="27"/>
      <c r="N269" s="26"/>
      <c r="O269" s="26"/>
      <c r="P269" s="26"/>
      <c r="Q269" s="26"/>
      <c r="R269" s="26"/>
      <c r="S269" s="26"/>
      <c r="T269" s="26"/>
      <c r="U269" s="26"/>
      <c r="V269" s="26"/>
      <c r="W269" s="28"/>
      <c r="X269" s="28"/>
      <c r="Y269" s="26"/>
      <c r="Z269" s="26"/>
      <c r="AA269" s="26"/>
      <c r="AB269" s="26"/>
      <c r="AC269" s="26"/>
      <c r="AD269" s="26"/>
      <c r="AE269" s="26"/>
      <c r="AF269" s="26"/>
      <c r="AG269" s="26"/>
      <c r="AH269" s="26"/>
      <c r="AI269" s="26"/>
      <c r="AJ269" s="15" t="str">
        <f>IF(COUNTA(B269,E269,H269,I269,J269,K269,L269,M269,N269,O269,P269,Q269,R269,S269,T269,U269,V269,W269,X269,Y269,Z269,AA269,AB269,AC269,AD269,AE269,AF269,AG269,AH269,AI269)=0,"",IF(OR(B269="",E269="",H269="",J269="",K269="",L269="",M269="",O269="",P269="",Q269="",R269="",S269="",T269="",U269="",W269="",X269="",Y269="",AB269="",AC269="",AE269="",AF269=""),"Incompleta: faltan campos obligatorios",IF(AND(LEFT(H269,6)="PROPIA",I269=""),"Falta el nombre de la acción propia del área",IF(AND(LEFT(H269,3)="A27",IFERROR(INDEX(Catalogos!$T$5:$T$207,MATCH(H269,Catalogos!$U$5:$U$207,0)),"x")&lt;&gt;LEFT(E269,7)),"La acción no corresponde a la meta seleccionada",IF(OR(NOT(ISNUMBER(M269)),M269&lt;10000000,M269&gt;99999999),"Código UNSPSC inválido: registre 8 dígitos",IF(MOD(M269,10000)=0,"UNSPSC a nivel de segmento o familia: use clase o producto",IF(IFERROR(MATCH(P269,L_MESES,0)&lt;MATCH(O269,L_MESES,0),TRUE()),"El mes de ofertas es anterior al de inicio del proceso",IF(OR(NOT(ISNUMBER(Q269)),Q269&lt;=0),"Duración inválida",IF(OR(NOT(ISNUMBER(W269)),NOT(ISNUMBER(X269))),"Valor inválido: registre solo números",IF(OR(W269&lt;=0,X269&lt;=0),"Valor inválido: debe ser mayor que cero",IF(X269&gt;W269,"El valor de la vigencia 2027 supera el valor total",IF(AND(X269&lt;W269,Y269="No"),"El valor total supera el de 2027: requiere vigencias futuras",IF(AND(Y269="Sí",OR(Z269="",Z269="No aplica")),"Indique el estado de la solicitud de vigencias futuras",IF(IF(AND(S269="Mínima cuantía",ISNUMBER(P_TOPE_MINIMA)),W269&gt;P_TOPE_MINIMA,FALSE()),"El valor supera el tope de mínima cuantía 2027",IF(IF(AND(S269="Selección abreviada de menor cuantía",ISNUMBER(P_TOPE_MENOR)),W269&gt;P_TOPE_MENOR,FALSE()),"El valor supera el tope de menor cuantía 2027",IF(OR(ISERROR(SEARCH("@itc.edu.co",AE269)),SUMPRODUCT(--ISNUMBER(SEARCH({"á","é","í","ó","ú","ñ"," "},AE269)))&gt;0),"El correo del responsable no es institucional válido",IF(AND(AF269="Sí",AG269=""),"Indique el N.° de registro 2026 que continúa","OK")))))))))))))))))</f>
        <v/>
      </c>
      <c r="AK269" s="15" t="str">
        <f>IF(AJ269="OK",COUNTIF($AJ$7:AJ269,"OK"),"")</f>
        <v/>
      </c>
    </row>
    <row r="270" spans="1:37" x14ac:dyDescent="0.3">
      <c r="A270" s="13" t="str">
        <f t="shared" si="4"/>
        <v>PN27-264</v>
      </c>
      <c r="B270" s="26"/>
      <c r="C270" s="13" t="str">
        <f>IF(B270="","",IFERROR(INDEX(Catalogos!$R$5:$R$51,MATCH(B270,L_AREAS,0)),""))</f>
        <v/>
      </c>
      <c r="D270" s="13" t="str">
        <f>IF(B270="","",IFERROR(INDEX(Catalogos!$O$5:$O$51,MATCH(B270,L_AREAS,0)),""))</f>
        <v/>
      </c>
      <c r="E270" s="26"/>
      <c r="F270" s="13" t="str">
        <f>IF(E270="","",IFERROR(INDEX(Catalogos!$C$5:$C$49,MATCH(E270,L_METAS,0)),""))</f>
        <v/>
      </c>
      <c r="G270" s="13" t="str">
        <f>IF(E270="","",IFERROR(INDEX(Catalogos!$E$5:$E$49,MATCH(E270,L_METAS,0)),""))</f>
        <v/>
      </c>
      <c r="H270" s="26"/>
      <c r="I270" s="26"/>
      <c r="J270" s="26"/>
      <c r="K270" s="26"/>
      <c r="L270" s="26"/>
      <c r="M270" s="27"/>
      <c r="N270" s="26"/>
      <c r="O270" s="26"/>
      <c r="P270" s="26"/>
      <c r="Q270" s="26"/>
      <c r="R270" s="26"/>
      <c r="S270" s="26"/>
      <c r="T270" s="26"/>
      <c r="U270" s="26"/>
      <c r="V270" s="26"/>
      <c r="W270" s="28"/>
      <c r="X270" s="28"/>
      <c r="Y270" s="26"/>
      <c r="Z270" s="26"/>
      <c r="AA270" s="26"/>
      <c r="AB270" s="26"/>
      <c r="AC270" s="26"/>
      <c r="AD270" s="26"/>
      <c r="AE270" s="26"/>
      <c r="AF270" s="26"/>
      <c r="AG270" s="26"/>
      <c r="AH270" s="26"/>
      <c r="AI270" s="26"/>
      <c r="AJ270" s="15" t="str">
        <f>IF(COUNTA(B270,E270,H270,I270,J270,K270,L270,M270,N270,O270,P270,Q270,R270,S270,T270,U270,V270,W270,X270,Y270,Z270,AA270,AB270,AC270,AD270,AE270,AF270,AG270,AH270,AI270)=0,"",IF(OR(B270="",E270="",H270="",J270="",K270="",L270="",M270="",O270="",P270="",Q270="",R270="",S270="",T270="",U270="",W270="",X270="",Y270="",AB270="",AC270="",AE270="",AF270=""),"Incompleta: faltan campos obligatorios",IF(AND(LEFT(H270,6)="PROPIA",I270=""),"Falta el nombre de la acción propia del área",IF(AND(LEFT(H270,3)="A27",IFERROR(INDEX(Catalogos!$T$5:$T$207,MATCH(H270,Catalogos!$U$5:$U$207,0)),"x")&lt;&gt;LEFT(E270,7)),"La acción no corresponde a la meta seleccionada",IF(OR(NOT(ISNUMBER(M270)),M270&lt;10000000,M270&gt;99999999),"Código UNSPSC inválido: registre 8 dígitos",IF(MOD(M270,10000)=0,"UNSPSC a nivel de segmento o familia: use clase o producto",IF(IFERROR(MATCH(P270,L_MESES,0)&lt;MATCH(O270,L_MESES,0),TRUE()),"El mes de ofertas es anterior al de inicio del proceso",IF(OR(NOT(ISNUMBER(Q270)),Q270&lt;=0),"Duración inválida",IF(OR(NOT(ISNUMBER(W270)),NOT(ISNUMBER(X270))),"Valor inválido: registre solo números",IF(OR(W270&lt;=0,X270&lt;=0),"Valor inválido: debe ser mayor que cero",IF(X270&gt;W270,"El valor de la vigencia 2027 supera el valor total",IF(AND(X270&lt;W270,Y270="No"),"El valor total supera el de 2027: requiere vigencias futuras",IF(AND(Y270="Sí",OR(Z270="",Z270="No aplica")),"Indique el estado de la solicitud de vigencias futuras",IF(IF(AND(S270="Mínima cuantía",ISNUMBER(P_TOPE_MINIMA)),W270&gt;P_TOPE_MINIMA,FALSE()),"El valor supera el tope de mínima cuantía 2027",IF(IF(AND(S270="Selección abreviada de menor cuantía",ISNUMBER(P_TOPE_MENOR)),W270&gt;P_TOPE_MENOR,FALSE()),"El valor supera el tope de menor cuantía 2027",IF(OR(ISERROR(SEARCH("@itc.edu.co",AE270)),SUMPRODUCT(--ISNUMBER(SEARCH({"á","é","í","ó","ú","ñ"," "},AE270)))&gt;0),"El correo del responsable no es institucional válido",IF(AND(AF270="Sí",AG270=""),"Indique el N.° de registro 2026 que continúa","OK")))))))))))))))))</f>
        <v/>
      </c>
      <c r="AK270" s="15" t="str">
        <f>IF(AJ270="OK",COUNTIF($AJ$7:AJ270,"OK"),"")</f>
        <v/>
      </c>
    </row>
    <row r="271" spans="1:37" x14ac:dyDescent="0.3">
      <c r="A271" s="13" t="str">
        <f t="shared" si="4"/>
        <v>PN27-265</v>
      </c>
      <c r="B271" s="26"/>
      <c r="C271" s="13" t="str">
        <f>IF(B271="","",IFERROR(INDEX(Catalogos!$R$5:$R$51,MATCH(B271,L_AREAS,0)),""))</f>
        <v/>
      </c>
      <c r="D271" s="13" t="str">
        <f>IF(B271="","",IFERROR(INDEX(Catalogos!$O$5:$O$51,MATCH(B271,L_AREAS,0)),""))</f>
        <v/>
      </c>
      <c r="E271" s="26"/>
      <c r="F271" s="13" t="str">
        <f>IF(E271="","",IFERROR(INDEX(Catalogos!$C$5:$C$49,MATCH(E271,L_METAS,0)),""))</f>
        <v/>
      </c>
      <c r="G271" s="13" t="str">
        <f>IF(E271="","",IFERROR(INDEX(Catalogos!$E$5:$E$49,MATCH(E271,L_METAS,0)),""))</f>
        <v/>
      </c>
      <c r="H271" s="26"/>
      <c r="I271" s="26"/>
      <c r="J271" s="26"/>
      <c r="K271" s="26"/>
      <c r="L271" s="26"/>
      <c r="M271" s="27"/>
      <c r="N271" s="26"/>
      <c r="O271" s="26"/>
      <c r="P271" s="26"/>
      <c r="Q271" s="26"/>
      <c r="R271" s="26"/>
      <c r="S271" s="26"/>
      <c r="T271" s="26"/>
      <c r="U271" s="26"/>
      <c r="V271" s="26"/>
      <c r="W271" s="28"/>
      <c r="X271" s="28"/>
      <c r="Y271" s="26"/>
      <c r="Z271" s="26"/>
      <c r="AA271" s="26"/>
      <c r="AB271" s="26"/>
      <c r="AC271" s="26"/>
      <c r="AD271" s="26"/>
      <c r="AE271" s="26"/>
      <c r="AF271" s="26"/>
      <c r="AG271" s="26"/>
      <c r="AH271" s="26"/>
      <c r="AI271" s="26"/>
      <c r="AJ271" s="15" t="str">
        <f>IF(COUNTA(B271,E271,H271,I271,J271,K271,L271,M271,N271,O271,P271,Q271,R271,S271,T271,U271,V271,W271,X271,Y271,Z271,AA271,AB271,AC271,AD271,AE271,AF271,AG271,AH271,AI271)=0,"",IF(OR(B271="",E271="",H271="",J271="",K271="",L271="",M271="",O271="",P271="",Q271="",R271="",S271="",T271="",U271="",W271="",X271="",Y271="",AB271="",AC271="",AE271="",AF271=""),"Incompleta: faltan campos obligatorios",IF(AND(LEFT(H271,6)="PROPIA",I271=""),"Falta el nombre de la acción propia del área",IF(AND(LEFT(H271,3)="A27",IFERROR(INDEX(Catalogos!$T$5:$T$207,MATCH(H271,Catalogos!$U$5:$U$207,0)),"x")&lt;&gt;LEFT(E271,7)),"La acción no corresponde a la meta seleccionada",IF(OR(NOT(ISNUMBER(M271)),M271&lt;10000000,M271&gt;99999999),"Código UNSPSC inválido: registre 8 dígitos",IF(MOD(M271,10000)=0,"UNSPSC a nivel de segmento o familia: use clase o producto",IF(IFERROR(MATCH(P271,L_MESES,0)&lt;MATCH(O271,L_MESES,0),TRUE()),"El mes de ofertas es anterior al de inicio del proceso",IF(OR(NOT(ISNUMBER(Q271)),Q271&lt;=0),"Duración inválida",IF(OR(NOT(ISNUMBER(W271)),NOT(ISNUMBER(X271))),"Valor inválido: registre solo números",IF(OR(W271&lt;=0,X271&lt;=0),"Valor inválido: debe ser mayor que cero",IF(X271&gt;W271,"El valor de la vigencia 2027 supera el valor total",IF(AND(X271&lt;W271,Y271="No"),"El valor total supera el de 2027: requiere vigencias futuras",IF(AND(Y271="Sí",OR(Z271="",Z271="No aplica")),"Indique el estado de la solicitud de vigencias futuras",IF(IF(AND(S271="Mínima cuantía",ISNUMBER(P_TOPE_MINIMA)),W271&gt;P_TOPE_MINIMA,FALSE()),"El valor supera el tope de mínima cuantía 2027",IF(IF(AND(S271="Selección abreviada de menor cuantía",ISNUMBER(P_TOPE_MENOR)),W271&gt;P_TOPE_MENOR,FALSE()),"El valor supera el tope de menor cuantía 2027",IF(OR(ISERROR(SEARCH("@itc.edu.co",AE271)),SUMPRODUCT(--ISNUMBER(SEARCH({"á","é","í","ó","ú","ñ"," "},AE271)))&gt;0),"El correo del responsable no es institucional válido",IF(AND(AF271="Sí",AG271=""),"Indique el N.° de registro 2026 que continúa","OK")))))))))))))))))</f>
        <v/>
      </c>
      <c r="AK271" s="15" t="str">
        <f>IF(AJ271="OK",COUNTIF($AJ$7:AJ271,"OK"),"")</f>
        <v/>
      </c>
    </row>
    <row r="272" spans="1:37" x14ac:dyDescent="0.3">
      <c r="A272" s="13" t="str">
        <f t="shared" si="4"/>
        <v>PN27-266</v>
      </c>
      <c r="B272" s="26"/>
      <c r="C272" s="13" t="str">
        <f>IF(B272="","",IFERROR(INDEX(Catalogos!$R$5:$R$51,MATCH(B272,L_AREAS,0)),""))</f>
        <v/>
      </c>
      <c r="D272" s="13" t="str">
        <f>IF(B272="","",IFERROR(INDEX(Catalogos!$O$5:$O$51,MATCH(B272,L_AREAS,0)),""))</f>
        <v/>
      </c>
      <c r="E272" s="26"/>
      <c r="F272" s="13" t="str">
        <f>IF(E272="","",IFERROR(INDEX(Catalogos!$C$5:$C$49,MATCH(E272,L_METAS,0)),""))</f>
        <v/>
      </c>
      <c r="G272" s="13" t="str">
        <f>IF(E272="","",IFERROR(INDEX(Catalogos!$E$5:$E$49,MATCH(E272,L_METAS,0)),""))</f>
        <v/>
      </c>
      <c r="H272" s="26"/>
      <c r="I272" s="26"/>
      <c r="J272" s="26"/>
      <c r="K272" s="26"/>
      <c r="L272" s="26"/>
      <c r="M272" s="27"/>
      <c r="N272" s="26"/>
      <c r="O272" s="26"/>
      <c r="P272" s="26"/>
      <c r="Q272" s="26"/>
      <c r="R272" s="26"/>
      <c r="S272" s="26"/>
      <c r="T272" s="26"/>
      <c r="U272" s="26"/>
      <c r="V272" s="26"/>
      <c r="W272" s="28"/>
      <c r="X272" s="28"/>
      <c r="Y272" s="26"/>
      <c r="Z272" s="26"/>
      <c r="AA272" s="26"/>
      <c r="AB272" s="26"/>
      <c r="AC272" s="26"/>
      <c r="AD272" s="26"/>
      <c r="AE272" s="26"/>
      <c r="AF272" s="26"/>
      <c r="AG272" s="26"/>
      <c r="AH272" s="26"/>
      <c r="AI272" s="26"/>
      <c r="AJ272" s="15" t="str">
        <f>IF(COUNTA(B272,E272,H272,I272,J272,K272,L272,M272,N272,O272,P272,Q272,R272,S272,T272,U272,V272,W272,X272,Y272,Z272,AA272,AB272,AC272,AD272,AE272,AF272,AG272,AH272,AI272)=0,"",IF(OR(B272="",E272="",H272="",J272="",K272="",L272="",M272="",O272="",P272="",Q272="",R272="",S272="",T272="",U272="",W272="",X272="",Y272="",AB272="",AC272="",AE272="",AF272=""),"Incompleta: faltan campos obligatorios",IF(AND(LEFT(H272,6)="PROPIA",I272=""),"Falta el nombre de la acción propia del área",IF(AND(LEFT(H272,3)="A27",IFERROR(INDEX(Catalogos!$T$5:$T$207,MATCH(H272,Catalogos!$U$5:$U$207,0)),"x")&lt;&gt;LEFT(E272,7)),"La acción no corresponde a la meta seleccionada",IF(OR(NOT(ISNUMBER(M272)),M272&lt;10000000,M272&gt;99999999),"Código UNSPSC inválido: registre 8 dígitos",IF(MOD(M272,10000)=0,"UNSPSC a nivel de segmento o familia: use clase o producto",IF(IFERROR(MATCH(P272,L_MESES,0)&lt;MATCH(O272,L_MESES,0),TRUE()),"El mes de ofertas es anterior al de inicio del proceso",IF(OR(NOT(ISNUMBER(Q272)),Q272&lt;=0),"Duración inválida",IF(OR(NOT(ISNUMBER(W272)),NOT(ISNUMBER(X272))),"Valor inválido: registre solo números",IF(OR(W272&lt;=0,X272&lt;=0),"Valor inválido: debe ser mayor que cero",IF(X272&gt;W272,"El valor de la vigencia 2027 supera el valor total",IF(AND(X272&lt;W272,Y272="No"),"El valor total supera el de 2027: requiere vigencias futuras",IF(AND(Y272="Sí",OR(Z272="",Z272="No aplica")),"Indique el estado de la solicitud de vigencias futuras",IF(IF(AND(S272="Mínima cuantía",ISNUMBER(P_TOPE_MINIMA)),W272&gt;P_TOPE_MINIMA,FALSE()),"El valor supera el tope de mínima cuantía 2027",IF(IF(AND(S272="Selección abreviada de menor cuantía",ISNUMBER(P_TOPE_MENOR)),W272&gt;P_TOPE_MENOR,FALSE()),"El valor supera el tope de menor cuantía 2027",IF(OR(ISERROR(SEARCH("@itc.edu.co",AE272)),SUMPRODUCT(--ISNUMBER(SEARCH({"á","é","í","ó","ú","ñ"," "},AE272)))&gt;0),"El correo del responsable no es institucional válido",IF(AND(AF272="Sí",AG272=""),"Indique el N.° de registro 2026 que continúa","OK")))))))))))))))))</f>
        <v/>
      </c>
      <c r="AK272" s="15" t="str">
        <f>IF(AJ272="OK",COUNTIF($AJ$7:AJ272,"OK"),"")</f>
        <v/>
      </c>
    </row>
    <row r="273" spans="1:37" x14ac:dyDescent="0.3">
      <c r="A273" s="13" t="str">
        <f t="shared" si="4"/>
        <v>PN27-267</v>
      </c>
      <c r="B273" s="26"/>
      <c r="C273" s="13" t="str">
        <f>IF(B273="","",IFERROR(INDEX(Catalogos!$R$5:$R$51,MATCH(B273,L_AREAS,0)),""))</f>
        <v/>
      </c>
      <c r="D273" s="13" t="str">
        <f>IF(B273="","",IFERROR(INDEX(Catalogos!$O$5:$O$51,MATCH(B273,L_AREAS,0)),""))</f>
        <v/>
      </c>
      <c r="E273" s="26"/>
      <c r="F273" s="13" t="str">
        <f>IF(E273="","",IFERROR(INDEX(Catalogos!$C$5:$C$49,MATCH(E273,L_METAS,0)),""))</f>
        <v/>
      </c>
      <c r="G273" s="13" t="str">
        <f>IF(E273="","",IFERROR(INDEX(Catalogos!$E$5:$E$49,MATCH(E273,L_METAS,0)),""))</f>
        <v/>
      </c>
      <c r="H273" s="26"/>
      <c r="I273" s="26"/>
      <c r="J273" s="26"/>
      <c r="K273" s="26"/>
      <c r="L273" s="26"/>
      <c r="M273" s="27"/>
      <c r="N273" s="26"/>
      <c r="O273" s="26"/>
      <c r="P273" s="26"/>
      <c r="Q273" s="26"/>
      <c r="R273" s="26"/>
      <c r="S273" s="26"/>
      <c r="T273" s="26"/>
      <c r="U273" s="26"/>
      <c r="V273" s="26"/>
      <c r="W273" s="28"/>
      <c r="X273" s="28"/>
      <c r="Y273" s="26"/>
      <c r="Z273" s="26"/>
      <c r="AA273" s="26"/>
      <c r="AB273" s="26"/>
      <c r="AC273" s="26"/>
      <c r="AD273" s="26"/>
      <c r="AE273" s="26"/>
      <c r="AF273" s="26"/>
      <c r="AG273" s="26"/>
      <c r="AH273" s="26"/>
      <c r="AI273" s="26"/>
      <c r="AJ273" s="15" t="str">
        <f>IF(COUNTA(B273,E273,H273,I273,J273,K273,L273,M273,N273,O273,P273,Q273,R273,S273,T273,U273,V273,W273,X273,Y273,Z273,AA273,AB273,AC273,AD273,AE273,AF273,AG273,AH273,AI273)=0,"",IF(OR(B273="",E273="",H273="",J273="",K273="",L273="",M273="",O273="",P273="",Q273="",R273="",S273="",T273="",U273="",W273="",X273="",Y273="",AB273="",AC273="",AE273="",AF273=""),"Incompleta: faltan campos obligatorios",IF(AND(LEFT(H273,6)="PROPIA",I273=""),"Falta el nombre de la acción propia del área",IF(AND(LEFT(H273,3)="A27",IFERROR(INDEX(Catalogos!$T$5:$T$207,MATCH(H273,Catalogos!$U$5:$U$207,0)),"x")&lt;&gt;LEFT(E273,7)),"La acción no corresponde a la meta seleccionada",IF(OR(NOT(ISNUMBER(M273)),M273&lt;10000000,M273&gt;99999999),"Código UNSPSC inválido: registre 8 dígitos",IF(MOD(M273,10000)=0,"UNSPSC a nivel de segmento o familia: use clase o producto",IF(IFERROR(MATCH(P273,L_MESES,0)&lt;MATCH(O273,L_MESES,0),TRUE()),"El mes de ofertas es anterior al de inicio del proceso",IF(OR(NOT(ISNUMBER(Q273)),Q273&lt;=0),"Duración inválida",IF(OR(NOT(ISNUMBER(W273)),NOT(ISNUMBER(X273))),"Valor inválido: registre solo números",IF(OR(W273&lt;=0,X273&lt;=0),"Valor inválido: debe ser mayor que cero",IF(X273&gt;W273,"El valor de la vigencia 2027 supera el valor total",IF(AND(X273&lt;W273,Y273="No"),"El valor total supera el de 2027: requiere vigencias futuras",IF(AND(Y273="Sí",OR(Z273="",Z273="No aplica")),"Indique el estado de la solicitud de vigencias futuras",IF(IF(AND(S273="Mínima cuantía",ISNUMBER(P_TOPE_MINIMA)),W273&gt;P_TOPE_MINIMA,FALSE()),"El valor supera el tope de mínima cuantía 2027",IF(IF(AND(S273="Selección abreviada de menor cuantía",ISNUMBER(P_TOPE_MENOR)),W273&gt;P_TOPE_MENOR,FALSE()),"El valor supera el tope de menor cuantía 2027",IF(OR(ISERROR(SEARCH("@itc.edu.co",AE273)),SUMPRODUCT(--ISNUMBER(SEARCH({"á","é","í","ó","ú","ñ"," "},AE273)))&gt;0),"El correo del responsable no es institucional válido",IF(AND(AF273="Sí",AG273=""),"Indique el N.° de registro 2026 que continúa","OK")))))))))))))))))</f>
        <v/>
      </c>
      <c r="AK273" s="15" t="str">
        <f>IF(AJ273="OK",COUNTIF($AJ$7:AJ273,"OK"),"")</f>
        <v/>
      </c>
    </row>
    <row r="274" spans="1:37" x14ac:dyDescent="0.3">
      <c r="A274" s="13" t="str">
        <f t="shared" si="4"/>
        <v>PN27-268</v>
      </c>
      <c r="B274" s="26"/>
      <c r="C274" s="13" t="str">
        <f>IF(B274="","",IFERROR(INDEX(Catalogos!$R$5:$R$51,MATCH(B274,L_AREAS,0)),""))</f>
        <v/>
      </c>
      <c r="D274" s="13" t="str">
        <f>IF(B274="","",IFERROR(INDEX(Catalogos!$O$5:$O$51,MATCH(B274,L_AREAS,0)),""))</f>
        <v/>
      </c>
      <c r="E274" s="26"/>
      <c r="F274" s="13" t="str">
        <f>IF(E274="","",IFERROR(INDEX(Catalogos!$C$5:$C$49,MATCH(E274,L_METAS,0)),""))</f>
        <v/>
      </c>
      <c r="G274" s="13" t="str">
        <f>IF(E274="","",IFERROR(INDEX(Catalogos!$E$5:$E$49,MATCH(E274,L_METAS,0)),""))</f>
        <v/>
      </c>
      <c r="H274" s="26"/>
      <c r="I274" s="26"/>
      <c r="J274" s="26"/>
      <c r="K274" s="26"/>
      <c r="L274" s="26"/>
      <c r="M274" s="27"/>
      <c r="N274" s="26"/>
      <c r="O274" s="26"/>
      <c r="P274" s="26"/>
      <c r="Q274" s="26"/>
      <c r="R274" s="26"/>
      <c r="S274" s="26"/>
      <c r="T274" s="26"/>
      <c r="U274" s="26"/>
      <c r="V274" s="26"/>
      <c r="W274" s="28"/>
      <c r="X274" s="28"/>
      <c r="Y274" s="26"/>
      <c r="Z274" s="26"/>
      <c r="AA274" s="26"/>
      <c r="AB274" s="26"/>
      <c r="AC274" s="26"/>
      <c r="AD274" s="26"/>
      <c r="AE274" s="26"/>
      <c r="AF274" s="26"/>
      <c r="AG274" s="26"/>
      <c r="AH274" s="26"/>
      <c r="AI274" s="26"/>
      <c r="AJ274" s="15" t="str">
        <f>IF(COUNTA(B274,E274,H274,I274,J274,K274,L274,M274,N274,O274,P274,Q274,R274,S274,T274,U274,V274,W274,X274,Y274,Z274,AA274,AB274,AC274,AD274,AE274,AF274,AG274,AH274,AI274)=0,"",IF(OR(B274="",E274="",H274="",J274="",K274="",L274="",M274="",O274="",P274="",Q274="",R274="",S274="",T274="",U274="",W274="",X274="",Y274="",AB274="",AC274="",AE274="",AF274=""),"Incompleta: faltan campos obligatorios",IF(AND(LEFT(H274,6)="PROPIA",I274=""),"Falta el nombre de la acción propia del área",IF(AND(LEFT(H274,3)="A27",IFERROR(INDEX(Catalogos!$T$5:$T$207,MATCH(H274,Catalogos!$U$5:$U$207,0)),"x")&lt;&gt;LEFT(E274,7)),"La acción no corresponde a la meta seleccionada",IF(OR(NOT(ISNUMBER(M274)),M274&lt;10000000,M274&gt;99999999),"Código UNSPSC inválido: registre 8 dígitos",IF(MOD(M274,10000)=0,"UNSPSC a nivel de segmento o familia: use clase o producto",IF(IFERROR(MATCH(P274,L_MESES,0)&lt;MATCH(O274,L_MESES,0),TRUE()),"El mes de ofertas es anterior al de inicio del proceso",IF(OR(NOT(ISNUMBER(Q274)),Q274&lt;=0),"Duración inválida",IF(OR(NOT(ISNUMBER(W274)),NOT(ISNUMBER(X274))),"Valor inválido: registre solo números",IF(OR(W274&lt;=0,X274&lt;=0),"Valor inválido: debe ser mayor que cero",IF(X274&gt;W274,"El valor de la vigencia 2027 supera el valor total",IF(AND(X274&lt;W274,Y274="No"),"El valor total supera el de 2027: requiere vigencias futuras",IF(AND(Y274="Sí",OR(Z274="",Z274="No aplica")),"Indique el estado de la solicitud de vigencias futuras",IF(IF(AND(S274="Mínima cuantía",ISNUMBER(P_TOPE_MINIMA)),W274&gt;P_TOPE_MINIMA,FALSE()),"El valor supera el tope de mínima cuantía 2027",IF(IF(AND(S274="Selección abreviada de menor cuantía",ISNUMBER(P_TOPE_MENOR)),W274&gt;P_TOPE_MENOR,FALSE()),"El valor supera el tope de menor cuantía 2027",IF(OR(ISERROR(SEARCH("@itc.edu.co",AE274)),SUMPRODUCT(--ISNUMBER(SEARCH({"á","é","í","ó","ú","ñ"," "},AE274)))&gt;0),"El correo del responsable no es institucional válido",IF(AND(AF274="Sí",AG274=""),"Indique el N.° de registro 2026 que continúa","OK")))))))))))))))))</f>
        <v/>
      </c>
      <c r="AK274" s="15" t="str">
        <f>IF(AJ274="OK",COUNTIF($AJ$7:AJ274,"OK"),"")</f>
        <v/>
      </c>
    </row>
    <row r="275" spans="1:37" x14ac:dyDescent="0.3">
      <c r="A275" s="13" t="str">
        <f t="shared" si="4"/>
        <v>PN27-269</v>
      </c>
      <c r="B275" s="26"/>
      <c r="C275" s="13" t="str">
        <f>IF(B275="","",IFERROR(INDEX(Catalogos!$R$5:$R$51,MATCH(B275,L_AREAS,0)),""))</f>
        <v/>
      </c>
      <c r="D275" s="13" t="str">
        <f>IF(B275="","",IFERROR(INDEX(Catalogos!$O$5:$O$51,MATCH(B275,L_AREAS,0)),""))</f>
        <v/>
      </c>
      <c r="E275" s="26"/>
      <c r="F275" s="13" t="str">
        <f>IF(E275="","",IFERROR(INDEX(Catalogos!$C$5:$C$49,MATCH(E275,L_METAS,0)),""))</f>
        <v/>
      </c>
      <c r="G275" s="13" t="str">
        <f>IF(E275="","",IFERROR(INDEX(Catalogos!$E$5:$E$49,MATCH(E275,L_METAS,0)),""))</f>
        <v/>
      </c>
      <c r="H275" s="26"/>
      <c r="I275" s="26"/>
      <c r="J275" s="26"/>
      <c r="K275" s="26"/>
      <c r="L275" s="26"/>
      <c r="M275" s="27"/>
      <c r="N275" s="26"/>
      <c r="O275" s="26"/>
      <c r="P275" s="26"/>
      <c r="Q275" s="26"/>
      <c r="R275" s="26"/>
      <c r="S275" s="26"/>
      <c r="T275" s="26"/>
      <c r="U275" s="26"/>
      <c r="V275" s="26"/>
      <c r="W275" s="28"/>
      <c r="X275" s="28"/>
      <c r="Y275" s="26"/>
      <c r="Z275" s="26"/>
      <c r="AA275" s="26"/>
      <c r="AB275" s="26"/>
      <c r="AC275" s="26"/>
      <c r="AD275" s="26"/>
      <c r="AE275" s="26"/>
      <c r="AF275" s="26"/>
      <c r="AG275" s="26"/>
      <c r="AH275" s="26"/>
      <c r="AI275" s="26"/>
      <c r="AJ275" s="15" t="str">
        <f>IF(COUNTA(B275,E275,H275,I275,J275,K275,L275,M275,N275,O275,P275,Q275,R275,S275,T275,U275,V275,W275,X275,Y275,Z275,AA275,AB275,AC275,AD275,AE275,AF275,AG275,AH275,AI275)=0,"",IF(OR(B275="",E275="",H275="",J275="",K275="",L275="",M275="",O275="",P275="",Q275="",R275="",S275="",T275="",U275="",W275="",X275="",Y275="",AB275="",AC275="",AE275="",AF275=""),"Incompleta: faltan campos obligatorios",IF(AND(LEFT(H275,6)="PROPIA",I275=""),"Falta el nombre de la acción propia del área",IF(AND(LEFT(H275,3)="A27",IFERROR(INDEX(Catalogos!$T$5:$T$207,MATCH(H275,Catalogos!$U$5:$U$207,0)),"x")&lt;&gt;LEFT(E275,7)),"La acción no corresponde a la meta seleccionada",IF(OR(NOT(ISNUMBER(M275)),M275&lt;10000000,M275&gt;99999999),"Código UNSPSC inválido: registre 8 dígitos",IF(MOD(M275,10000)=0,"UNSPSC a nivel de segmento o familia: use clase o producto",IF(IFERROR(MATCH(P275,L_MESES,0)&lt;MATCH(O275,L_MESES,0),TRUE()),"El mes de ofertas es anterior al de inicio del proceso",IF(OR(NOT(ISNUMBER(Q275)),Q275&lt;=0),"Duración inválida",IF(OR(NOT(ISNUMBER(W275)),NOT(ISNUMBER(X275))),"Valor inválido: registre solo números",IF(OR(W275&lt;=0,X275&lt;=0),"Valor inválido: debe ser mayor que cero",IF(X275&gt;W275,"El valor de la vigencia 2027 supera el valor total",IF(AND(X275&lt;W275,Y275="No"),"El valor total supera el de 2027: requiere vigencias futuras",IF(AND(Y275="Sí",OR(Z275="",Z275="No aplica")),"Indique el estado de la solicitud de vigencias futuras",IF(IF(AND(S275="Mínima cuantía",ISNUMBER(P_TOPE_MINIMA)),W275&gt;P_TOPE_MINIMA,FALSE()),"El valor supera el tope de mínima cuantía 2027",IF(IF(AND(S275="Selección abreviada de menor cuantía",ISNUMBER(P_TOPE_MENOR)),W275&gt;P_TOPE_MENOR,FALSE()),"El valor supera el tope de menor cuantía 2027",IF(OR(ISERROR(SEARCH("@itc.edu.co",AE275)),SUMPRODUCT(--ISNUMBER(SEARCH({"á","é","í","ó","ú","ñ"," "},AE275)))&gt;0),"El correo del responsable no es institucional válido",IF(AND(AF275="Sí",AG275=""),"Indique el N.° de registro 2026 que continúa","OK")))))))))))))))))</f>
        <v/>
      </c>
      <c r="AK275" s="15" t="str">
        <f>IF(AJ275="OK",COUNTIF($AJ$7:AJ275,"OK"),"")</f>
        <v/>
      </c>
    </row>
    <row r="276" spans="1:37" x14ac:dyDescent="0.3">
      <c r="A276" s="13" t="str">
        <f t="shared" si="4"/>
        <v>PN27-270</v>
      </c>
      <c r="B276" s="26"/>
      <c r="C276" s="13" t="str">
        <f>IF(B276="","",IFERROR(INDEX(Catalogos!$R$5:$R$51,MATCH(B276,L_AREAS,0)),""))</f>
        <v/>
      </c>
      <c r="D276" s="13" t="str">
        <f>IF(B276="","",IFERROR(INDEX(Catalogos!$O$5:$O$51,MATCH(B276,L_AREAS,0)),""))</f>
        <v/>
      </c>
      <c r="E276" s="26"/>
      <c r="F276" s="13" t="str">
        <f>IF(E276="","",IFERROR(INDEX(Catalogos!$C$5:$C$49,MATCH(E276,L_METAS,0)),""))</f>
        <v/>
      </c>
      <c r="G276" s="13" t="str">
        <f>IF(E276="","",IFERROR(INDEX(Catalogos!$E$5:$E$49,MATCH(E276,L_METAS,0)),""))</f>
        <v/>
      </c>
      <c r="H276" s="26"/>
      <c r="I276" s="26"/>
      <c r="J276" s="26"/>
      <c r="K276" s="26"/>
      <c r="L276" s="26"/>
      <c r="M276" s="27"/>
      <c r="N276" s="26"/>
      <c r="O276" s="26"/>
      <c r="P276" s="26"/>
      <c r="Q276" s="26"/>
      <c r="R276" s="26"/>
      <c r="S276" s="26"/>
      <c r="T276" s="26"/>
      <c r="U276" s="26"/>
      <c r="V276" s="26"/>
      <c r="W276" s="28"/>
      <c r="X276" s="28"/>
      <c r="Y276" s="26"/>
      <c r="Z276" s="26"/>
      <c r="AA276" s="26"/>
      <c r="AB276" s="26"/>
      <c r="AC276" s="26"/>
      <c r="AD276" s="26"/>
      <c r="AE276" s="26"/>
      <c r="AF276" s="26"/>
      <c r="AG276" s="26"/>
      <c r="AH276" s="26"/>
      <c r="AI276" s="26"/>
      <c r="AJ276" s="15" t="str">
        <f>IF(COUNTA(B276,E276,H276,I276,J276,K276,L276,M276,N276,O276,P276,Q276,R276,S276,T276,U276,V276,W276,X276,Y276,Z276,AA276,AB276,AC276,AD276,AE276,AF276,AG276,AH276,AI276)=0,"",IF(OR(B276="",E276="",H276="",J276="",K276="",L276="",M276="",O276="",P276="",Q276="",R276="",S276="",T276="",U276="",W276="",X276="",Y276="",AB276="",AC276="",AE276="",AF276=""),"Incompleta: faltan campos obligatorios",IF(AND(LEFT(H276,6)="PROPIA",I276=""),"Falta el nombre de la acción propia del área",IF(AND(LEFT(H276,3)="A27",IFERROR(INDEX(Catalogos!$T$5:$T$207,MATCH(H276,Catalogos!$U$5:$U$207,0)),"x")&lt;&gt;LEFT(E276,7)),"La acción no corresponde a la meta seleccionada",IF(OR(NOT(ISNUMBER(M276)),M276&lt;10000000,M276&gt;99999999),"Código UNSPSC inválido: registre 8 dígitos",IF(MOD(M276,10000)=0,"UNSPSC a nivel de segmento o familia: use clase o producto",IF(IFERROR(MATCH(P276,L_MESES,0)&lt;MATCH(O276,L_MESES,0),TRUE()),"El mes de ofertas es anterior al de inicio del proceso",IF(OR(NOT(ISNUMBER(Q276)),Q276&lt;=0),"Duración inválida",IF(OR(NOT(ISNUMBER(W276)),NOT(ISNUMBER(X276))),"Valor inválido: registre solo números",IF(OR(W276&lt;=0,X276&lt;=0),"Valor inválido: debe ser mayor que cero",IF(X276&gt;W276,"El valor de la vigencia 2027 supera el valor total",IF(AND(X276&lt;W276,Y276="No"),"El valor total supera el de 2027: requiere vigencias futuras",IF(AND(Y276="Sí",OR(Z276="",Z276="No aplica")),"Indique el estado de la solicitud de vigencias futuras",IF(IF(AND(S276="Mínima cuantía",ISNUMBER(P_TOPE_MINIMA)),W276&gt;P_TOPE_MINIMA,FALSE()),"El valor supera el tope de mínima cuantía 2027",IF(IF(AND(S276="Selección abreviada de menor cuantía",ISNUMBER(P_TOPE_MENOR)),W276&gt;P_TOPE_MENOR,FALSE()),"El valor supera el tope de menor cuantía 2027",IF(OR(ISERROR(SEARCH("@itc.edu.co",AE276)),SUMPRODUCT(--ISNUMBER(SEARCH({"á","é","í","ó","ú","ñ"," "},AE276)))&gt;0),"El correo del responsable no es institucional válido",IF(AND(AF276="Sí",AG276=""),"Indique el N.° de registro 2026 que continúa","OK")))))))))))))))))</f>
        <v/>
      </c>
      <c r="AK276" s="15" t="str">
        <f>IF(AJ276="OK",COUNTIF($AJ$7:AJ276,"OK"),"")</f>
        <v/>
      </c>
    </row>
    <row r="277" spans="1:37" x14ac:dyDescent="0.3">
      <c r="A277" s="13" t="str">
        <f t="shared" si="4"/>
        <v>PN27-271</v>
      </c>
      <c r="B277" s="26"/>
      <c r="C277" s="13" t="str">
        <f>IF(B277="","",IFERROR(INDEX(Catalogos!$R$5:$R$51,MATCH(B277,L_AREAS,0)),""))</f>
        <v/>
      </c>
      <c r="D277" s="13" t="str">
        <f>IF(B277="","",IFERROR(INDEX(Catalogos!$O$5:$O$51,MATCH(B277,L_AREAS,0)),""))</f>
        <v/>
      </c>
      <c r="E277" s="26"/>
      <c r="F277" s="13" t="str">
        <f>IF(E277="","",IFERROR(INDEX(Catalogos!$C$5:$C$49,MATCH(E277,L_METAS,0)),""))</f>
        <v/>
      </c>
      <c r="G277" s="13" t="str">
        <f>IF(E277="","",IFERROR(INDEX(Catalogos!$E$5:$E$49,MATCH(E277,L_METAS,0)),""))</f>
        <v/>
      </c>
      <c r="H277" s="26"/>
      <c r="I277" s="26"/>
      <c r="J277" s="26"/>
      <c r="K277" s="26"/>
      <c r="L277" s="26"/>
      <c r="M277" s="27"/>
      <c r="N277" s="26"/>
      <c r="O277" s="26"/>
      <c r="P277" s="26"/>
      <c r="Q277" s="26"/>
      <c r="R277" s="26"/>
      <c r="S277" s="26"/>
      <c r="T277" s="26"/>
      <c r="U277" s="26"/>
      <c r="V277" s="26"/>
      <c r="W277" s="28"/>
      <c r="X277" s="28"/>
      <c r="Y277" s="26"/>
      <c r="Z277" s="26"/>
      <c r="AA277" s="26"/>
      <c r="AB277" s="26"/>
      <c r="AC277" s="26"/>
      <c r="AD277" s="26"/>
      <c r="AE277" s="26"/>
      <c r="AF277" s="26"/>
      <c r="AG277" s="26"/>
      <c r="AH277" s="26"/>
      <c r="AI277" s="26"/>
      <c r="AJ277" s="15" t="str">
        <f>IF(COUNTA(B277,E277,H277,I277,J277,K277,L277,M277,N277,O277,P277,Q277,R277,S277,T277,U277,V277,W277,X277,Y277,Z277,AA277,AB277,AC277,AD277,AE277,AF277,AG277,AH277,AI277)=0,"",IF(OR(B277="",E277="",H277="",J277="",K277="",L277="",M277="",O277="",P277="",Q277="",R277="",S277="",T277="",U277="",W277="",X277="",Y277="",AB277="",AC277="",AE277="",AF277=""),"Incompleta: faltan campos obligatorios",IF(AND(LEFT(H277,6)="PROPIA",I277=""),"Falta el nombre de la acción propia del área",IF(AND(LEFT(H277,3)="A27",IFERROR(INDEX(Catalogos!$T$5:$T$207,MATCH(H277,Catalogos!$U$5:$U$207,0)),"x")&lt;&gt;LEFT(E277,7)),"La acción no corresponde a la meta seleccionada",IF(OR(NOT(ISNUMBER(M277)),M277&lt;10000000,M277&gt;99999999),"Código UNSPSC inválido: registre 8 dígitos",IF(MOD(M277,10000)=0,"UNSPSC a nivel de segmento o familia: use clase o producto",IF(IFERROR(MATCH(P277,L_MESES,0)&lt;MATCH(O277,L_MESES,0),TRUE()),"El mes de ofertas es anterior al de inicio del proceso",IF(OR(NOT(ISNUMBER(Q277)),Q277&lt;=0),"Duración inválida",IF(OR(NOT(ISNUMBER(W277)),NOT(ISNUMBER(X277))),"Valor inválido: registre solo números",IF(OR(W277&lt;=0,X277&lt;=0),"Valor inválido: debe ser mayor que cero",IF(X277&gt;W277,"El valor de la vigencia 2027 supera el valor total",IF(AND(X277&lt;W277,Y277="No"),"El valor total supera el de 2027: requiere vigencias futuras",IF(AND(Y277="Sí",OR(Z277="",Z277="No aplica")),"Indique el estado de la solicitud de vigencias futuras",IF(IF(AND(S277="Mínima cuantía",ISNUMBER(P_TOPE_MINIMA)),W277&gt;P_TOPE_MINIMA,FALSE()),"El valor supera el tope de mínima cuantía 2027",IF(IF(AND(S277="Selección abreviada de menor cuantía",ISNUMBER(P_TOPE_MENOR)),W277&gt;P_TOPE_MENOR,FALSE()),"El valor supera el tope de menor cuantía 2027",IF(OR(ISERROR(SEARCH("@itc.edu.co",AE277)),SUMPRODUCT(--ISNUMBER(SEARCH({"á","é","í","ó","ú","ñ"," "},AE277)))&gt;0),"El correo del responsable no es institucional válido",IF(AND(AF277="Sí",AG277=""),"Indique el N.° de registro 2026 que continúa","OK")))))))))))))))))</f>
        <v/>
      </c>
      <c r="AK277" s="15" t="str">
        <f>IF(AJ277="OK",COUNTIF($AJ$7:AJ277,"OK"),"")</f>
        <v/>
      </c>
    </row>
    <row r="278" spans="1:37" x14ac:dyDescent="0.3">
      <c r="A278" s="13" t="str">
        <f t="shared" si="4"/>
        <v>PN27-272</v>
      </c>
      <c r="B278" s="26"/>
      <c r="C278" s="13" t="str">
        <f>IF(B278="","",IFERROR(INDEX(Catalogos!$R$5:$R$51,MATCH(B278,L_AREAS,0)),""))</f>
        <v/>
      </c>
      <c r="D278" s="13" t="str">
        <f>IF(B278="","",IFERROR(INDEX(Catalogos!$O$5:$O$51,MATCH(B278,L_AREAS,0)),""))</f>
        <v/>
      </c>
      <c r="E278" s="26"/>
      <c r="F278" s="13" t="str">
        <f>IF(E278="","",IFERROR(INDEX(Catalogos!$C$5:$C$49,MATCH(E278,L_METAS,0)),""))</f>
        <v/>
      </c>
      <c r="G278" s="13" t="str">
        <f>IF(E278="","",IFERROR(INDEX(Catalogos!$E$5:$E$49,MATCH(E278,L_METAS,0)),""))</f>
        <v/>
      </c>
      <c r="H278" s="26"/>
      <c r="I278" s="26"/>
      <c r="J278" s="26"/>
      <c r="K278" s="26"/>
      <c r="L278" s="26"/>
      <c r="M278" s="27"/>
      <c r="N278" s="26"/>
      <c r="O278" s="26"/>
      <c r="P278" s="26"/>
      <c r="Q278" s="26"/>
      <c r="R278" s="26"/>
      <c r="S278" s="26"/>
      <c r="T278" s="26"/>
      <c r="U278" s="26"/>
      <c r="V278" s="26"/>
      <c r="W278" s="28"/>
      <c r="X278" s="28"/>
      <c r="Y278" s="26"/>
      <c r="Z278" s="26"/>
      <c r="AA278" s="26"/>
      <c r="AB278" s="26"/>
      <c r="AC278" s="26"/>
      <c r="AD278" s="26"/>
      <c r="AE278" s="26"/>
      <c r="AF278" s="26"/>
      <c r="AG278" s="26"/>
      <c r="AH278" s="26"/>
      <c r="AI278" s="26"/>
      <c r="AJ278" s="15" t="str">
        <f>IF(COUNTA(B278,E278,H278,I278,J278,K278,L278,M278,N278,O278,P278,Q278,R278,S278,T278,U278,V278,W278,X278,Y278,Z278,AA278,AB278,AC278,AD278,AE278,AF278,AG278,AH278,AI278)=0,"",IF(OR(B278="",E278="",H278="",J278="",K278="",L278="",M278="",O278="",P278="",Q278="",R278="",S278="",T278="",U278="",W278="",X278="",Y278="",AB278="",AC278="",AE278="",AF278=""),"Incompleta: faltan campos obligatorios",IF(AND(LEFT(H278,6)="PROPIA",I278=""),"Falta el nombre de la acción propia del área",IF(AND(LEFT(H278,3)="A27",IFERROR(INDEX(Catalogos!$T$5:$T$207,MATCH(H278,Catalogos!$U$5:$U$207,0)),"x")&lt;&gt;LEFT(E278,7)),"La acción no corresponde a la meta seleccionada",IF(OR(NOT(ISNUMBER(M278)),M278&lt;10000000,M278&gt;99999999),"Código UNSPSC inválido: registre 8 dígitos",IF(MOD(M278,10000)=0,"UNSPSC a nivel de segmento o familia: use clase o producto",IF(IFERROR(MATCH(P278,L_MESES,0)&lt;MATCH(O278,L_MESES,0),TRUE()),"El mes de ofertas es anterior al de inicio del proceso",IF(OR(NOT(ISNUMBER(Q278)),Q278&lt;=0),"Duración inválida",IF(OR(NOT(ISNUMBER(W278)),NOT(ISNUMBER(X278))),"Valor inválido: registre solo números",IF(OR(W278&lt;=0,X278&lt;=0),"Valor inválido: debe ser mayor que cero",IF(X278&gt;W278,"El valor de la vigencia 2027 supera el valor total",IF(AND(X278&lt;W278,Y278="No"),"El valor total supera el de 2027: requiere vigencias futuras",IF(AND(Y278="Sí",OR(Z278="",Z278="No aplica")),"Indique el estado de la solicitud de vigencias futuras",IF(IF(AND(S278="Mínima cuantía",ISNUMBER(P_TOPE_MINIMA)),W278&gt;P_TOPE_MINIMA,FALSE()),"El valor supera el tope de mínima cuantía 2027",IF(IF(AND(S278="Selección abreviada de menor cuantía",ISNUMBER(P_TOPE_MENOR)),W278&gt;P_TOPE_MENOR,FALSE()),"El valor supera el tope de menor cuantía 2027",IF(OR(ISERROR(SEARCH("@itc.edu.co",AE278)),SUMPRODUCT(--ISNUMBER(SEARCH({"á","é","í","ó","ú","ñ"," "},AE278)))&gt;0),"El correo del responsable no es institucional válido",IF(AND(AF278="Sí",AG278=""),"Indique el N.° de registro 2026 que continúa","OK")))))))))))))))))</f>
        <v/>
      </c>
      <c r="AK278" s="15" t="str">
        <f>IF(AJ278="OK",COUNTIF($AJ$7:AJ278,"OK"),"")</f>
        <v/>
      </c>
    </row>
    <row r="279" spans="1:37" x14ac:dyDescent="0.3">
      <c r="A279" s="13" t="str">
        <f t="shared" si="4"/>
        <v>PN27-273</v>
      </c>
      <c r="B279" s="26"/>
      <c r="C279" s="13" t="str">
        <f>IF(B279="","",IFERROR(INDEX(Catalogos!$R$5:$R$51,MATCH(B279,L_AREAS,0)),""))</f>
        <v/>
      </c>
      <c r="D279" s="13" t="str">
        <f>IF(B279="","",IFERROR(INDEX(Catalogos!$O$5:$O$51,MATCH(B279,L_AREAS,0)),""))</f>
        <v/>
      </c>
      <c r="E279" s="26"/>
      <c r="F279" s="13" t="str">
        <f>IF(E279="","",IFERROR(INDEX(Catalogos!$C$5:$C$49,MATCH(E279,L_METAS,0)),""))</f>
        <v/>
      </c>
      <c r="G279" s="13" t="str">
        <f>IF(E279="","",IFERROR(INDEX(Catalogos!$E$5:$E$49,MATCH(E279,L_METAS,0)),""))</f>
        <v/>
      </c>
      <c r="H279" s="26"/>
      <c r="I279" s="26"/>
      <c r="J279" s="26"/>
      <c r="K279" s="26"/>
      <c r="L279" s="26"/>
      <c r="M279" s="27"/>
      <c r="N279" s="26"/>
      <c r="O279" s="26"/>
      <c r="P279" s="26"/>
      <c r="Q279" s="26"/>
      <c r="R279" s="26"/>
      <c r="S279" s="26"/>
      <c r="T279" s="26"/>
      <c r="U279" s="26"/>
      <c r="V279" s="26"/>
      <c r="W279" s="28"/>
      <c r="X279" s="28"/>
      <c r="Y279" s="26"/>
      <c r="Z279" s="26"/>
      <c r="AA279" s="26"/>
      <c r="AB279" s="26"/>
      <c r="AC279" s="26"/>
      <c r="AD279" s="26"/>
      <c r="AE279" s="26"/>
      <c r="AF279" s="26"/>
      <c r="AG279" s="26"/>
      <c r="AH279" s="26"/>
      <c r="AI279" s="26"/>
      <c r="AJ279" s="15" t="str">
        <f>IF(COUNTA(B279,E279,H279,I279,J279,K279,L279,M279,N279,O279,P279,Q279,R279,S279,T279,U279,V279,W279,X279,Y279,Z279,AA279,AB279,AC279,AD279,AE279,AF279,AG279,AH279,AI279)=0,"",IF(OR(B279="",E279="",H279="",J279="",K279="",L279="",M279="",O279="",P279="",Q279="",R279="",S279="",T279="",U279="",W279="",X279="",Y279="",AB279="",AC279="",AE279="",AF279=""),"Incompleta: faltan campos obligatorios",IF(AND(LEFT(H279,6)="PROPIA",I279=""),"Falta el nombre de la acción propia del área",IF(AND(LEFT(H279,3)="A27",IFERROR(INDEX(Catalogos!$T$5:$T$207,MATCH(H279,Catalogos!$U$5:$U$207,0)),"x")&lt;&gt;LEFT(E279,7)),"La acción no corresponde a la meta seleccionada",IF(OR(NOT(ISNUMBER(M279)),M279&lt;10000000,M279&gt;99999999),"Código UNSPSC inválido: registre 8 dígitos",IF(MOD(M279,10000)=0,"UNSPSC a nivel de segmento o familia: use clase o producto",IF(IFERROR(MATCH(P279,L_MESES,0)&lt;MATCH(O279,L_MESES,0),TRUE()),"El mes de ofertas es anterior al de inicio del proceso",IF(OR(NOT(ISNUMBER(Q279)),Q279&lt;=0),"Duración inválida",IF(OR(NOT(ISNUMBER(W279)),NOT(ISNUMBER(X279))),"Valor inválido: registre solo números",IF(OR(W279&lt;=0,X279&lt;=0),"Valor inválido: debe ser mayor que cero",IF(X279&gt;W279,"El valor de la vigencia 2027 supera el valor total",IF(AND(X279&lt;W279,Y279="No"),"El valor total supera el de 2027: requiere vigencias futuras",IF(AND(Y279="Sí",OR(Z279="",Z279="No aplica")),"Indique el estado de la solicitud de vigencias futuras",IF(IF(AND(S279="Mínima cuantía",ISNUMBER(P_TOPE_MINIMA)),W279&gt;P_TOPE_MINIMA,FALSE()),"El valor supera el tope de mínima cuantía 2027",IF(IF(AND(S279="Selección abreviada de menor cuantía",ISNUMBER(P_TOPE_MENOR)),W279&gt;P_TOPE_MENOR,FALSE()),"El valor supera el tope de menor cuantía 2027",IF(OR(ISERROR(SEARCH("@itc.edu.co",AE279)),SUMPRODUCT(--ISNUMBER(SEARCH({"á","é","í","ó","ú","ñ"," "},AE279)))&gt;0),"El correo del responsable no es institucional válido",IF(AND(AF279="Sí",AG279=""),"Indique el N.° de registro 2026 que continúa","OK")))))))))))))))))</f>
        <v/>
      </c>
      <c r="AK279" s="15" t="str">
        <f>IF(AJ279="OK",COUNTIF($AJ$7:AJ279,"OK"),"")</f>
        <v/>
      </c>
    </row>
    <row r="280" spans="1:37" x14ac:dyDescent="0.3">
      <c r="A280" s="13" t="str">
        <f t="shared" si="4"/>
        <v>PN27-274</v>
      </c>
      <c r="B280" s="26"/>
      <c r="C280" s="13" t="str">
        <f>IF(B280="","",IFERROR(INDEX(Catalogos!$R$5:$R$51,MATCH(B280,L_AREAS,0)),""))</f>
        <v/>
      </c>
      <c r="D280" s="13" t="str">
        <f>IF(B280="","",IFERROR(INDEX(Catalogos!$O$5:$O$51,MATCH(B280,L_AREAS,0)),""))</f>
        <v/>
      </c>
      <c r="E280" s="26"/>
      <c r="F280" s="13" t="str">
        <f>IF(E280="","",IFERROR(INDEX(Catalogos!$C$5:$C$49,MATCH(E280,L_METAS,0)),""))</f>
        <v/>
      </c>
      <c r="G280" s="13" t="str">
        <f>IF(E280="","",IFERROR(INDEX(Catalogos!$E$5:$E$49,MATCH(E280,L_METAS,0)),""))</f>
        <v/>
      </c>
      <c r="H280" s="26"/>
      <c r="I280" s="26"/>
      <c r="J280" s="26"/>
      <c r="K280" s="26"/>
      <c r="L280" s="26"/>
      <c r="M280" s="27"/>
      <c r="N280" s="26"/>
      <c r="O280" s="26"/>
      <c r="P280" s="26"/>
      <c r="Q280" s="26"/>
      <c r="R280" s="26"/>
      <c r="S280" s="26"/>
      <c r="T280" s="26"/>
      <c r="U280" s="26"/>
      <c r="V280" s="26"/>
      <c r="W280" s="28"/>
      <c r="X280" s="28"/>
      <c r="Y280" s="26"/>
      <c r="Z280" s="26"/>
      <c r="AA280" s="26"/>
      <c r="AB280" s="26"/>
      <c r="AC280" s="26"/>
      <c r="AD280" s="26"/>
      <c r="AE280" s="26"/>
      <c r="AF280" s="26"/>
      <c r="AG280" s="26"/>
      <c r="AH280" s="26"/>
      <c r="AI280" s="26"/>
      <c r="AJ280" s="15" t="str">
        <f>IF(COUNTA(B280,E280,H280,I280,J280,K280,L280,M280,N280,O280,P280,Q280,R280,S280,T280,U280,V280,W280,X280,Y280,Z280,AA280,AB280,AC280,AD280,AE280,AF280,AG280,AH280,AI280)=0,"",IF(OR(B280="",E280="",H280="",J280="",K280="",L280="",M280="",O280="",P280="",Q280="",R280="",S280="",T280="",U280="",W280="",X280="",Y280="",AB280="",AC280="",AE280="",AF280=""),"Incompleta: faltan campos obligatorios",IF(AND(LEFT(H280,6)="PROPIA",I280=""),"Falta el nombre de la acción propia del área",IF(AND(LEFT(H280,3)="A27",IFERROR(INDEX(Catalogos!$T$5:$T$207,MATCH(H280,Catalogos!$U$5:$U$207,0)),"x")&lt;&gt;LEFT(E280,7)),"La acción no corresponde a la meta seleccionada",IF(OR(NOT(ISNUMBER(M280)),M280&lt;10000000,M280&gt;99999999),"Código UNSPSC inválido: registre 8 dígitos",IF(MOD(M280,10000)=0,"UNSPSC a nivel de segmento o familia: use clase o producto",IF(IFERROR(MATCH(P280,L_MESES,0)&lt;MATCH(O280,L_MESES,0),TRUE()),"El mes de ofertas es anterior al de inicio del proceso",IF(OR(NOT(ISNUMBER(Q280)),Q280&lt;=0),"Duración inválida",IF(OR(NOT(ISNUMBER(W280)),NOT(ISNUMBER(X280))),"Valor inválido: registre solo números",IF(OR(W280&lt;=0,X280&lt;=0),"Valor inválido: debe ser mayor que cero",IF(X280&gt;W280,"El valor de la vigencia 2027 supera el valor total",IF(AND(X280&lt;W280,Y280="No"),"El valor total supera el de 2027: requiere vigencias futuras",IF(AND(Y280="Sí",OR(Z280="",Z280="No aplica")),"Indique el estado de la solicitud de vigencias futuras",IF(IF(AND(S280="Mínima cuantía",ISNUMBER(P_TOPE_MINIMA)),W280&gt;P_TOPE_MINIMA,FALSE()),"El valor supera el tope de mínima cuantía 2027",IF(IF(AND(S280="Selección abreviada de menor cuantía",ISNUMBER(P_TOPE_MENOR)),W280&gt;P_TOPE_MENOR,FALSE()),"El valor supera el tope de menor cuantía 2027",IF(OR(ISERROR(SEARCH("@itc.edu.co",AE280)),SUMPRODUCT(--ISNUMBER(SEARCH({"á","é","í","ó","ú","ñ"," "},AE280)))&gt;0),"El correo del responsable no es institucional válido",IF(AND(AF280="Sí",AG280=""),"Indique el N.° de registro 2026 que continúa","OK")))))))))))))))))</f>
        <v/>
      </c>
      <c r="AK280" s="15" t="str">
        <f>IF(AJ280="OK",COUNTIF($AJ$7:AJ280,"OK"),"")</f>
        <v/>
      </c>
    </row>
    <row r="281" spans="1:37" x14ac:dyDescent="0.3">
      <c r="A281" s="13" t="str">
        <f t="shared" si="4"/>
        <v>PN27-275</v>
      </c>
      <c r="B281" s="26"/>
      <c r="C281" s="13" t="str">
        <f>IF(B281="","",IFERROR(INDEX(Catalogos!$R$5:$R$51,MATCH(B281,L_AREAS,0)),""))</f>
        <v/>
      </c>
      <c r="D281" s="13" t="str">
        <f>IF(B281="","",IFERROR(INDEX(Catalogos!$O$5:$O$51,MATCH(B281,L_AREAS,0)),""))</f>
        <v/>
      </c>
      <c r="E281" s="26"/>
      <c r="F281" s="13" t="str">
        <f>IF(E281="","",IFERROR(INDEX(Catalogos!$C$5:$C$49,MATCH(E281,L_METAS,0)),""))</f>
        <v/>
      </c>
      <c r="G281" s="13" t="str">
        <f>IF(E281="","",IFERROR(INDEX(Catalogos!$E$5:$E$49,MATCH(E281,L_METAS,0)),""))</f>
        <v/>
      </c>
      <c r="H281" s="26"/>
      <c r="I281" s="26"/>
      <c r="J281" s="26"/>
      <c r="K281" s="26"/>
      <c r="L281" s="26"/>
      <c r="M281" s="27"/>
      <c r="N281" s="26"/>
      <c r="O281" s="26"/>
      <c r="P281" s="26"/>
      <c r="Q281" s="26"/>
      <c r="R281" s="26"/>
      <c r="S281" s="26"/>
      <c r="T281" s="26"/>
      <c r="U281" s="26"/>
      <c r="V281" s="26"/>
      <c r="W281" s="28"/>
      <c r="X281" s="28"/>
      <c r="Y281" s="26"/>
      <c r="Z281" s="26"/>
      <c r="AA281" s="26"/>
      <c r="AB281" s="26"/>
      <c r="AC281" s="26"/>
      <c r="AD281" s="26"/>
      <c r="AE281" s="26"/>
      <c r="AF281" s="26"/>
      <c r="AG281" s="26"/>
      <c r="AH281" s="26"/>
      <c r="AI281" s="26"/>
      <c r="AJ281" s="15" t="str">
        <f>IF(COUNTA(B281,E281,H281,I281,J281,K281,L281,M281,N281,O281,P281,Q281,R281,S281,T281,U281,V281,W281,X281,Y281,Z281,AA281,AB281,AC281,AD281,AE281,AF281,AG281,AH281,AI281)=0,"",IF(OR(B281="",E281="",H281="",J281="",K281="",L281="",M281="",O281="",P281="",Q281="",R281="",S281="",T281="",U281="",W281="",X281="",Y281="",AB281="",AC281="",AE281="",AF281=""),"Incompleta: faltan campos obligatorios",IF(AND(LEFT(H281,6)="PROPIA",I281=""),"Falta el nombre de la acción propia del área",IF(AND(LEFT(H281,3)="A27",IFERROR(INDEX(Catalogos!$T$5:$T$207,MATCH(H281,Catalogos!$U$5:$U$207,0)),"x")&lt;&gt;LEFT(E281,7)),"La acción no corresponde a la meta seleccionada",IF(OR(NOT(ISNUMBER(M281)),M281&lt;10000000,M281&gt;99999999),"Código UNSPSC inválido: registre 8 dígitos",IF(MOD(M281,10000)=0,"UNSPSC a nivel de segmento o familia: use clase o producto",IF(IFERROR(MATCH(P281,L_MESES,0)&lt;MATCH(O281,L_MESES,0),TRUE()),"El mes de ofertas es anterior al de inicio del proceso",IF(OR(NOT(ISNUMBER(Q281)),Q281&lt;=0),"Duración inválida",IF(OR(NOT(ISNUMBER(W281)),NOT(ISNUMBER(X281))),"Valor inválido: registre solo números",IF(OR(W281&lt;=0,X281&lt;=0),"Valor inválido: debe ser mayor que cero",IF(X281&gt;W281,"El valor de la vigencia 2027 supera el valor total",IF(AND(X281&lt;W281,Y281="No"),"El valor total supera el de 2027: requiere vigencias futuras",IF(AND(Y281="Sí",OR(Z281="",Z281="No aplica")),"Indique el estado de la solicitud de vigencias futuras",IF(IF(AND(S281="Mínima cuantía",ISNUMBER(P_TOPE_MINIMA)),W281&gt;P_TOPE_MINIMA,FALSE()),"El valor supera el tope de mínima cuantía 2027",IF(IF(AND(S281="Selección abreviada de menor cuantía",ISNUMBER(P_TOPE_MENOR)),W281&gt;P_TOPE_MENOR,FALSE()),"El valor supera el tope de menor cuantía 2027",IF(OR(ISERROR(SEARCH("@itc.edu.co",AE281)),SUMPRODUCT(--ISNUMBER(SEARCH({"á","é","í","ó","ú","ñ"," "},AE281)))&gt;0),"El correo del responsable no es institucional válido",IF(AND(AF281="Sí",AG281=""),"Indique el N.° de registro 2026 que continúa","OK")))))))))))))))))</f>
        <v/>
      </c>
      <c r="AK281" s="15" t="str">
        <f>IF(AJ281="OK",COUNTIF($AJ$7:AJ281,"OK"),"")</f>
        <v/>
      </c>
    </row>
    <row r="282" spans="1:37" x14ac:dyDescent="0.3">
      <c r="A282" s="13" t="str">
        <f t="shared" si="4"/>
        <v>PN27-276</v>
      </c>
      <c r="B282" s="26"/>
      <c r="C282" s="13" t="str">
        <f>IF(B282="","",IFERROR(INDEX(Catalogos!$R$5:$R$51,MATCH(B282,L_AREAS,0)),""))</f>
        <v/>
      </c>
      <c r="D282" s="13" t="str">
        <f>IF(B282="","",IFERROR(INDEX(Catalogos!$O$5:$O$51,MATCH(B282,L_AREAS,0)),""))</f>
        <v/>
      </c>
      <c r="E282" s="26"/>
      <c r="F282" s="13" t="str">
        <f>IF(E282="","",IFERROR(INDEX(Catalogos!$C$5:$C$49,MATCH(E282,L_METAS,0)),""))</f>
        <v/>
      </c>
      <c r="G282" s="13" t="str">
        <f>IF(E282="","",IFERROR(INDEX(Catalogos!$E$5:$E$49,MATCH(E282,L_METAS,0)),""))</f>
        <v/>
      </c>
      <c r="H282" s="26"/>
      <c r="I282" s="26"/>
      <c r="J282" s="26"/>
      <c r="K282" s="26"/>
      <c r="L282" s="26"/>
      <c r="M282" s="27"/>
      <c r="N282" s="26"/>
      <c r="O282" s="26"/>
      <c r="P282" s="26"/>
      <c r="Q282" s="26"/>
      <c r="R282" s="26"/>
      <c r="S282" s="26"/>
      <c r="T282" s="26"/>
      <c r="U282" s="26"/>
      <c r="V282" s="26"/>
      <c r="W282" s="28"/>
      <c r="X282" s="28"/>
      <c r="Y282" s="26"/>
      <c r="Z282" s="26"/>
      <c r="AA282" s="26"/>
      <c r="AB282" s="26"/>
      <c r="AC282" s="26"/>
      <c r="AD282" s="26"/>
      <c r="AE282" s="26"/>
      <c r="AF282" s="26"/>
      <c r="AG282" s="26"/>
      <c r="AH282" s="26"/>
      <c r="AI282" s="26"/>
      <c r="AJ282" s="15" t="str">
        <f>IF(COUNTA(B282,E282,H282,I282,J282,K282,L282,M282,N282,O282,P282,Q282,R282,S282,T282,U282,V282,W282,X282,Y282,Z282,AA282,AB282,AC282,AD282,AE282,AF282,AG282,AH282,AI282)=0,"",IF(OR(B282="",E282="",H282="",J282="",K282="",L282="",M282="",O282="",P282="",Q282="",R282="",S282="",T282="",U282="",W282="",X282="",Y282="",AB282="",AC282="",AE282="",AF282=""),"Incompleta: faltan campos obligatorios",IF(AND(LEFT(H282,6)="PROPIA",I282=""),"Falta el nombre de la acción propia del área",IF(AND(LEFT(H282,3)="A27",IFERROR(INDEX(Catalogos!$T$5:$T$207,MATCH(H282,Catalogos!$U$5:$U$207,0)),"x")&lt;&gt;LEFT(E282,7)),"La acción no corresponde a la meta seleccionada",IF(OR(NOT(ISNUMBER(M282)),M282&lt;10000000,M282&gt;99999999),"Código UNSPSC inválido: registre 8 dígitos",IF(MOD(M282,10000)=0,"UNSPSC a nivel de segmento o familia: use clase o producto",IF(IFERROR(MATCH(P282,L_MESES,0)&lt;MATCH(O282,L_MESES,0),TRUE()),"El mes de ofertas es anterior al de inicio del proceso",IF(OR(NOT(ISNUMBER(Q282)),Q282&lt;=0),"Duración inválida",IF(OR(NOT(ISNUMBER(W282)),NOT(ISNUMBER(X282))),"Valor inválido: registre solo números",IF(OR(W282&lt;=0,X282&lt;=0),"Valor inválido: debe ser mayor que cero",IF(X282&gt;W282,"El valor de la vigencia 2027 supera el valor total",IF(AND(X282&lt;W282,Y282="No"),"El valor total supera el de 2027: requiere vigencias futuras",IF(AND(Y282="Sí",OR(Z282="",Z282="No aplica")),"Indique el estado de la solicitud de vigencias futuras",IF(IF(AND(S282="Mínima cuantía",ISNUMBER(P_TOPE_MINIMA)),W282&gt;P_TOPE_MINIMA,FALSE()),"El valor supera el tope de mínima cuantía 2027",IF(IF(AND(S282="Selección abreviada de menor cuantía",ISNUMBER(P_TOPE_MENOR)),W282&gt;P_TOPE_MENOR,FALSE()),"El valor supera el tope de menor cuantía 2027",IF(OR(ISERROR(SEARCH("@itc.edu.co",AE282)),SUMPRODUCT(--ISNUMBER(SEARCH({"á","é","í","ó","ú","ñ"," "},AE282)))&gt;0),"El correo del responsable no es institucional válido",IF(AND(AF282="Sí",AG282=""),"Indique el N.° de registro 2026 que continúa","OK")))))))))))))))))</f>
        <v/>
      </c>
      <c r="AK282" s="15" t="str">
        <f>IF(AJ282="OK",COUNTIF($AJ$7:AJ282,"OK"),"")</f>
        <v/>
      </c>
    </row>
    <row r="283" spans="1:37" x14ac:dyDescent="0.3">
      <c r="A283" s="13" t="str">
        <f t="shared" si="4"/>
        <v>PN27-277</v>
      </c>
      <c r="B283" s="26"/>
      <c r="C283" s="13" t="str">
        <f>IF(B283="","",IFERROR(INDEX(Catalogos!$R$5:$R$51,MATCH(B283,L_AREAS,0)),""))</f>
        <v/>
      </c>
      <c r="D283" s="13" t="str">
        <f>IF(B283="","",IFERROR(INDEX(Catalogos!$O$5:$O$51,MATCH(B283,L_AREAS,0)),""))</f>
        <v/>
      </c>
      <c r="E283" s="26"/>
      <c r="F283" s="13" t="str">
        <f>IF(E283="","",IFERROR(INDEX(Catalogos!$C$5:$C$49,MATCH(E283,L_METAS,0)),""))</f>
        <v/>
      </c>
      <c r="G283" s="13" t="str">
        <f>IF(E283="","",IFERROR(INDEX(Catalogos!$E$5:$E$49,MATCH(E283,L_METAS,0)),""))</f>
        <v/>
      </c>
      <c r="H283" s="26"/>
      <c r="I283" s="26"/>
      <c r="J283" s="26"/>
      <c r="K283" s="26"/>
      <c r="L283" s="26"/>
      <c r="M283" s="27"/>
      <c r="N283" s="26"/>
      <c r="O283" s="26"/>
      <c r="P283" s="26"/>
      <c r="Q283" s="26"/>
      <c r="R283" s="26"/>
      <c r="S283" s="26"/>
      <c r="T283" s="26"/>
      <c r="U283" s="26"/>
      <c r="V283" s="26"/>
      <c r="W283" s="28"/>
      <c r="X283" s="28"/>
      <c r="Y283" s="26"/>
      <c r="Z283" s="26"/>
      <c r="AA283" s="26"/>
      <c r="AB283" s="26"/>
      <c r="AC283" s="26"/>
      <c r="AD283" s="26"/>
      <c r="AE283" s="26"/>
      <c r="AF283" s="26"/>
      <c r="AG283" s="26"/>
      <c r="AH283" s="26"/>
      <c r="AI283" s="26"/>
      <c r="AJ283" s="15" t="str">
        <f>IF(COUNTA(B283,E283,H283,I283,J283,K283,L283,M283,N283,O283,P283,Q283,R283,S283,T283,U283,V283,W283,X283,Y283,Z283,AA283,AB283,AC283,AD283,AE283,AF283,AG283,AH283,AI283)=0,"",IF(OR(B283="",E283="",H283="",J283="",K283="",L283="",M283="",O283="",P283="",Q283="",R283="",S283="",T283="",U283="",W283="",X283="",Y283="",AB283="",AC283="",AE283="",AF283=""),"Incompleta: faltan campos obligatorios",IF(AND(LEFT(H283,6)="PROPIA",I283=""),"Falta el nombre de la acción propia del área",IF(AND(LEFT(H283,3)="A27",IFERROR(INDEX(Catalogos!$T$5:$T$207,MATCH(H283,Catalogos!$U$5:$U$207,0)),"x")&lt;&gt;LEFT(E283,7)),"La acción no corresponde a la meta seleccionada",IF(OR(NOT(ISNUMBER(M283)),M283&lt;10000000,M283&gt;99999999),"Código UNSPSC inválido: registre 8 dígitos",IF(MOD(M283,10000)=0,"UNSPSC a nivel de segmento o familia: use clase o producto",IF(IFERROR(MATCH(P283,L_MESES,0)&lt;MATCH(O283,L_MESES,0),TRUE()),"El mes de ofertas es anterior al de inicio del proceso",IF(OR(NOT(ISNUMBER(Q283)),Q283&lt;=0),"Duración inválida",IF(OR(NOT(ISNUMBER(W283)),NOT(ISNUMBER(X283))),"Valor inválido: registre solo números",IF(OR(W283&lt;=0,X283&lt;=0),"Valor inválido: debe ser mayor que cero",IF(X283&gt;W283,"El valor de la vigencia 2027 supera el valor total",IF(AND(X283&lt;W283,Y283="No"),"El valor total supera el de 2027: requiere vigencias futuras",IF(AND(Y283="Sí",OR(Z283="",Z283="No aplica")),"Indique el estado de la solicitud de vigencias futuras",IF(IF(AND(S283="Mínima cuantía",ISNUMBER(P_TOPE_MINIMA)),W283&gt;P_TOPE_MINIMA,FALSE()),"El valor supera el tope de mínima cuantía 2027",IF(IF(AND(S283="Selección abreviada de menor cuantía",ISNUMBER(P_TOPE_MENOR)),W283&gt;P_TOPE_MENOR,FALSE()),"El valor supera el tope de menor cuantía 2027",IF(OR(ISERROR(SEARCH("@itc.edu.co",AE283)),SUMPRODUCT(--ISNUMBER(SEARCH({"á","é","í","ó","ú","ñ"," "},AE283)))&gt;0),"El correo del responsable no es institucional válido",IF(AND(AF283="Sí",AG283=""),"Indique el N.° de registro 2026 que continúa","OK")))))))))))))))))</f>
        <v/>
      </c>
      <c r="AK283" s="15" t="str">
        <f>IF(AJ283="OK",COUNTIF($AJ$7:AJ283,"OK"),"")</f>
        <v/>
      </c>
    </row>
    <row r="284" spans="1:37" x14ac:dyDescent="0.3">
      <c r="A284" s="13" t="str">
        <f t="shared" si="4"/>
        <v>PN27-278</v>
      </c>
      <c r="B284" s="26"/>
      <c r="C284" s="13" t="str">
        <f>IF(B284="","",IFERROR(INDEX(Catalogos!$R$5:$R$51,MATCH(B284,L_AREAS,0)),""))</f>
        <v/>
      </c>
      <c r="D284" s="13" t="str">
        <f>IF(B284="","",IFERROR(INDEX(Catalogos!$O$5:$O$51,MATCH(B284,L_AREAS,0)),""))</f>
        <v/>
      </c>
      <c r="E284" s="26"/>
      <c r="F284" s="13" t="str">
        <f>IF(E284="","",IFERROR(INDEX(Catalogos!$C$5:$C$49,MATCH(E284,L_METAS,0)),""))</f>
        <v/>
      </c>
      <c r="G284" s="13" t="str">
        <f>IF(E284="","",IFERROR(INDEX(Catalogos!$E$5:$E$49,MATCH(E284,L_METAS,0)),""))</f>
        <v/>
      </c>
      <c r="H284" s="26"/>
      <c r="I284" s="26"/>
      <c r="J284" s="26"/>
      <c r="K284" s="26"/>
      <c r="L284" s="26"/>
      <c r="M284" s="27"/>
      <c r="N284" s="26"/>
      <c r="O284" s="26"/>
      <c r="P284" s="26"/>
      <c r="Q284" s="26"/>
      <c r="R284" s="26"/>
      <c r="S284" s="26"/>
      <c r="T284" s="26"/>
      <c r="U284" s="26"/>
      <c r="V284" s="26"/>
      <c r="W284" s="28"/>
      <c r="X284" s="28"/>
      <c r="Y284" s="26"/>
      <c r="Z284" s="26"/>
      <c r="AA284" s="26"/>
      <c r="AB284" s="26"/>
      <c r="AC284" s="26"/>
      <c r="AD284" s="26"/>
      <c r="AE284" s="26"/>
      <c r="AF284" s="26"/>
      <c r="AG284" s="26"/>
      <c r="AH284" s="26"/>
      <c r="AI284" s="26"/>
      <c r="AJ284" s="15" t="str">
        <f>IF(COUNTA(B284,E284,H284,I284,J284,K284,L284,M284,N284,O284,P284,Q284,R284,S284,T284,U284,V284,W284,X284,Y284,Z284,AA284,AB284,AC284,AD284,AE284,AF284,AG284,AH284,AI284)=0,"",IF(OR(B284="",E284="",H284="",J284="",K284="",L284="",M284="",O284="",P284="",Q284="",R284="",S284="",T284="",U284="",W284="",X284="",Y284="",AB284="",AC284="",AE284="",AF284=""),"Incompleta: faltan campos obligatorios",IF(AND(LEFT(H284,6)="PROPIA",I284=""),"Falta el nombre de la acción propia del área",IF(AND(LEFT(H284,3)="A27",IFERROR(INDEX(Catalogos!$T$5:$T$207,MATCH(H284,Catalogos!$U$5:$U$207,0)),"x")&lt;&gt;LEFT(E284,7)),"La acción no corresponde a la meta seleccionada",IF(OR(NOT(ISNUMBER(M284)),M284&lt;10000000,M284&gt;99999999),"Código UNSPSC inválido: registre 8 dígitos",IF(MOD(M284,10000)=0,"UNSPSC a nivel de segmento o familia: use clase o producto",IF(IFERROR(MATCH(P284,L_MESES,0)&lt;MATCH(O284,L_MESES,0),TRUE()),"El mes de ofertas es anterior al de inicio del proceso",IF(OR(NOT(ISNUMBER(Q284)),Q284&lt;=0),"Duración inválida",IF(OR(NOT(ISNUMBER(W284)),NOT(ISNUMBER(X284))),"Valor inválido: registre solo números",IF(OR(W284&lt;=0,X284&lt;=0),"Valor inválido: debe ser mayor que cero",IF(X284&gt;W284,"El valor de la vigencia 2027 supera el valor total",IF(AND(X284&lt;W284,Y284="No"),"El valor total supera el de 2027: requiere vigencias futuras",IF(AND(Y284="Sí",OR(Z284="",Z284="No aplica")),"Indique el estado de la solicitud de vigencias futuras",IF(IF(AND(S284="Mínima cuantía",ISNUMBER(P_TOPE_MINIMA)),W284&gt;P_TOPE_MINIMA,FALSE()),"El valor supera el tope de mínima cuantía 2027",IF(IF(AND(S284="Selección abreviada de menor cuantía",ISNUMBER(P_TOPE_MENOR)),W284&gt;P_TOPE_MENOR,FALSE()),"El valor supera el tope de menor cuantía 2027",IF(OR(ISERROR(SEARCH("@itc.edu.co",AE284)),SUMPRODUCT(--ISNUMBER(SEARCH({"á","é","í","ó","ú","ñ"," "},AE284)))&gt;0),"El correo del responsable no es institucional válido",IF(AND(AF284="Sí",AG284=""),"Indique el N.° de registro 2026 que continúa","OK")))))))))))))))))</f>
        <v/>
      </c>
      <c r="AK284" s="15" t="str">
        <f>IF(AJ284="OK",COUNTIF($AJ$7:AJ284,"OK"),"")</f>
        <v/>
      </c>
    </row>
    <row r="285" spans="1:37" x14ac:dyDescent="0.3">
      <c r="A285" s="13" t="str">
        <f t="shared" si="4"/>
        <v>PN27-279</v>
      </c>
      <c r="B285" s="26"/>
      <c r="C285" s="13" t="str">
        <f>IF(B285="","",IFERROR(INDEX(Catalogos!$R$5:$R$51,MATCH(B285,L_AREAS,0)),""))</f>
        <v/>
      </c>
      <c r="D285" s="13" t="str">
        <f>IF(B285="","",IFERROR(INDEX(Catalogos!$O$5:$O$51,MATCH(B285,L_AREAS,0)),""))</f>
        <v/>
      </c>
      <c r="E285" s="26"/>
      <c r="F285" s="13" t="str">
        <f>IF(E285="","",IFERROR(INDEX(Catalogos!$C$5:$C$49,MATCH(E285,L_METAS,0)),""))</f>
        <v/>
      </c>
      <c r="G285" s="13" t="str">
        <f>IF(E285="","",IFERROR(INDEX(Catalogos!$E$5:$E$49,MATCH(E285,L_METAS,0)),""))</f>
        <v/>
      </c>
      <c r="H285" s="26"/>
      <c r="I285" s="26"/>
      <c r="J285" s="26"/>
      <c r="K285" s="26"/>
      <c r="L285" s="26"/>
      <c r="M285" s="27"/>
      <c r="N285" s="26"/>
      <c r="O285" s="26"/>
      <c r="P285" s="26"/>
      <c r="Q285" s="26"/>
      <c r="R285" s="26"/>
      <c r="S285" s="26"/>
      <c r="T285" s="26"/>
      <c r="U285" s="26"/>
      <c r="V285" s="26"/>
      <c r="W285" s="28"/>
      <c r="X285" s="28"/>
      <c r="Y285" s="26"/>
      <c r="Z285" s="26"/>
      <c r="AA285" s="26"/>
      <c r="AB285" s="26"/>
      <c r="AC285" s="26"/>
      <c r="AD285" s="26"/>
      <c r="AE285" s="26"/>
      <c r="AF285" s="26"/>
      <c r="AG285" s="26"/>
      <c r="AH285" s="26"/>
      <c r="AI285" s="26"/>
      <c r="AJ285" s="15" t="str">
        <f>IF(COUNTA(B285,E285,H285,I285,J285,K285,L285,M285,N285,O285,P285,Q285,R285,S285,T285,U285,V285,W285,X285,Y285,Z285,AA285,AB285,AC285,AD285,AE285,AF285,AG285,AH285,AI285)=0,"",IF(OR(B285="",E285="",H285="",J285="",K285="",L285="",M285="",O285="",P285="",Q285="",R285="",S285="",T285="",U285="",W285="",X285="",Y285="",AB285="",AC285="",AE285="",AF285=""),"Incompleta: faltan campos obligatorios",IF(AND(LEFT(H285,6)="PROPIA",I285=""),"Falta el nombre de la acción propia del área",IF(AND(LEFT(H285,3)="A27",IFERROR(INDEX(Catalogos!$T$5:$T$207,MATCH(H285,Catalogos!$U$5:$U$207,0)),"x")&lt;&gt;LEFT(E285,7)),"La acción no corresponde a la meta seleccionada",IF(OR(NOT(ISNUMBER(M285)),M285&lt;10000000,M285&gt;99999999),"Código UNSPSC inválido: registre 8 dígitos",IF(MOD(M285,10000)=0,"UNSPSC a nivel de segmento o familia: use clase o producto",IF(IFERROR(MATCH(P285,L_MESES,0)&lt;MATCH(O285,L_MESES,0),TRUE()),"El mes de ofertas es anterior al de inicio del proceso",IF(OR(NOT(ISNUMBER(Q285)),Q285&lt;=0),"Duración inválida",IF(OR(NOT(ISNUMBER(W285)),NOT(ISNUMBER(X285))),"Valor inválido: registre solo números",IF(OR(W285&lt;=0,X285&lt;=0),"Valor inválido: debe ser mayor que cero",IF(X285&gt;W285,"El valor de la vigencia 2027 supera el valor total",IF(AND(X285&lt;W285,Y285="No"),"El valor total supera el de 2027: requiere vigencias futuras",IF(AND(Y285="Sí",OR(Z285="",Z285="No aplica")),"Indique el estado de la solicitud de vigencias futuras",IF(IF(AND(S285="Mínima cuantía",ISNUMBER(P_TOPE_MINIMA)),W285&gt;P_TOPE_MINIMA,FALSE()),"El valor supera el tope de mínima cuantía 2027",IF(IF(AND(S285="Selección abreviada de menor cuantía",ISNUMBER(P_TOPE_MENOR)),W285&gt;P_TOPE_MENOR,FALSE()),"El valor supera el tope de menor cuantía 2027",IF(OR(ISERROR(SEARCH("@itc.edu.co",AE285)),SUMPRODUCT(--ISNUMBER(SEARCH({"á","é","í","ó","ú","ñ"," "},AE285)))&gt;0),"El correo del responsable no es institucional válido",IF(AND(AF285="Sí",AG285=""),"Indique el N.° de registro 2026 que continúa","OK")))))))))))))))))</f>
        <v/>
      </c>
      <c r="AK285" s="15" t="str">
        <f>IF(AJ285="OK",COUNTIF($AJ$7:AJ285,"OK"),"")</f>
        <v/>
      </c>
    </row>
    <row r="286" spans="1:37" x14ac:dyDescent="0.3">
      <c r="A286" s="13" t="str">
        <f t="shared" si="4"/>
        <v>PN27-280</v>
      </c>
      <c r="B286" s="26"/>
      <c r="C286" s="13" t="str">
        <f>IF(B286="","",IFERROR(INDEX(Catalogos!$R$5:$R$51,MATCH(B286,L_AREAS,0)),""))</f>
        <v/>
      </c>
      <c r="D286" s="13" t="str">
        <f>IF(B286="","",IFERROR(INDEX(Catalogos!$O$5:$O$51,MATCH(B286,L_AREAS,0)),""))</f>
        <v/>
      </c>
      <c r="E286" s="26"/>
      <c r="F286" s="13" t="str">
        <f>IF(E286="","",IFERROR(INDEX(Catalogos!$C$5:$C$49,MATCH(E286,L_METAS,0)),""))</f>
        <v/>
      </c>
      <c r="G286" s="13" t="str">
        <f>IF(E286="","",IFERROR(INDEX(Catalogos!$E$5:$E$49,MATCH(E286,L_METAS,0)),""))</f>
        <v/>
      </c>
      <c r="H286" s="26"/>
      <c r="I286" s="26"/>
      <c r="J286" s="26"/>
      <c r="K286" s="26"/>
      <c r="L286" s="26"/>
      <c r="M286" s="27"/>
      <c r="N286" s="26"/>
      <c r="O286" s="26"/>
      <c r="P286" s="26"/>
      <c r="Q286" s="26"/>
      <c r="R286" s="26"/>
      <c r="S286" s="26"/>
      <c r="T286" s="26"/>
      <c r="U286" s="26"/>
      <c r="V286" s="26"/>
      <c r="W286" s="28"/>
      <c r="X286" s="28"/>
      <c r="Y286" s="26"/>
      <c r="Z286" s="26"/>
      <c r="AA286" s="26"/>
      <c r="AB286" s="26"/>
      <c r="AC286" s="26"/>
      <c r="AD286" s="26"/>
      <c r="AE286" s="26"/>
      <c r="AF286" s="26"/>
      <c r="AG286" s="26"/>
      <c r="AH286" s="26"/>
      <c r="AI286" s="26"/>
      <c r="AJ286" s="15" t="str">
        <f>IF(COUNTA(B286,E286,H286,I286,J286,K286,L286,M286,N286,O286,P286,Q286,R286,S286,T286,U286,V286,W286,X286,Y286,Z286,AA286,AB286,AC286,AD286,AE286,AF286,AG286,AH286,AI286)=0,"",IF(OR(B286="",E286="",H286="",J286="",K286="",L286="",M286="",O286="",P286="",Q286="",R286="",S286="",T286="",U286="",W286="",X286="",Y286="",AB286="",AC286="",AE286="",AF286=""),"Incompleta: faltan campos obligatorios",IF(AND(LEFT(H286,6)="PROPIA",I286=""),"Falta el nombre de la acción propia del área",IF(AND(LEFT(H286,3)="A27",IFERROR(INDEX(Catalogos!$T$5:$T$207,MATCH(H286,Catalogos!$U$5:$U$207,0)),"x")&lt;&gt;LEFT(E286,7)),"La acción no corresponde a la meta seleccionada",IF(OR(NOT(ISNUMBER(M286)),M286&lt;10000000,M286&gt;99999999),"Código UNSPSC inválido: registre 8 dígitos",IF(MOD(M286,10000)=0,"UNSPSC a nivel de segmento o familia: use clase o producto",IF(IFERROR(MATCH(P286,L_MESES,0)&lt;MATCH(O286,L_MESES,0),TRUE()),"El mes de ofertas es anterior al de inicio del proceso",IF(OR(NOT(ISNUMBER(Q286)),Q286&lt;=0),"Duración inválida",IF(OR(NOT(ISNUMBER(W286)),NOT(ISNUMBER(X286))),"Valor inválido: registre solo números",IF(OR(W286&lt;=0,X286&lt;=0),"Valor inválido: debe ser mayor que cero",IF(X286&gt;W286,"El valor de la vigencia 2027 supera el valor total",IF(AND(X286&lt;W286,Y286="No"),"El valor total supera el de 2027: requiere vigencias futuras",IF(AND(Y286="Sí",OR(Z286="",Z286="No aplica")),"Indique el estado de la solicitud de vigencias futuras",IF(IF(AND(S286="Mínima cuantía",ISNUMBER(P_TOPE_MINIMA)),W286&gt;P_TOPE_MINIMA,FALSE()),"El valor supera el tope de mínima cuantía 2027",IF(IF(AND(S286="Selección abreviada de menor cuantía",ISNUMBER(P_TOPE_MENOR)),W286&gt;P_TOPE_MENOR,FALSE()),"El valor supera el tope de menor cuantía 2027",IF(OR(ISERROR(SEARCH("@itc.edu.co",AE286)),SUMPRODUCT(--ISNUMBER(SEARCH({"á","é","í","ó","ú","ñ"," "},AE286)))&gt;0),"El correo del responsable no es institucional válido",IF(AND(AF286="Sí",AG286=""),"Indique el N.° de registro 2026 que continúa","OK")))))))))))))))))</f>
        <v/>
      </c>
      <c r="AK286" s="15" t="str">
        <f>IF(AJ286="OK",COUNTIF($AJ$7:AJ286,"OK"),"")</f>
        <v/>
      </c>
    </row>
    <row r="287" spans="1:37" x14ac:dyDescent="0.3">
      <c r="A287" s="13" t="str">
        <f t="shared" si="4"/>
        <v>PN27-281</v>
      </c>
      <c r="B287" s="26"/>
      <c r="C287" s="13" t="str">
        <f>IF(B287="","",IFERROR(INDEX(Catalogos!$R$5:$R$51,MATCH(B287,L_AREAS,0)),""))</f>
        <v/>
      </c>
      <c r="D287" s="13" t="str">
        <f>IF(B287="","",IFERROR(INDEX(Catalogos!$O$5:$O$51,MATCH(B287,L_AREAS,0)),""))</f>
        <v/>
      </c>
      <c r="E287" s="26"/>
      <c r="F287" s="13" t="str">
        <f>IF(E287="","",IFERROR(INDEX(Catalogos!$C$5:$C$49,MATCH(E287,L_METAS,0)),""))</f>
        <v/>
      </c>
      <c r="G287" s="13" t="str">
        <f>IF(E287="","",IFERROR(INDEX(Catalogos!$E$5:$E$49,MATCH(E287,L_METAS,0)),""))</f>
        <v/>
      </c>
      <c r="H287" s="26"/>
      <c r="I287" s="26"/>
      <c r="J287" s="26"/>
      <c r="K287" s="26"/>
      <c r="L287" s="26"/>
      <c r="M287" s="27"/>
      <c r="N287" s="26"/>
      <c r="O287" s="26"/>
      <c r="P287" s="26"/>
      <c r="Q287" s="26"/>
      <c r="R287" s="26"/>
      <c r="S287" s="26"/>
      <c r="T287" s="26"/>
      <c r="U287" s="26"/>
      <c r="V287" s="26"/>
      <c r="W287" s="28"/>
      <c r="X287" s="28"/>
      <c r="Y287" s="26"/>
      <c r="Z287" s="26"/>
      <c r="AA287" s="26"/>
      <c r="AB287" s="26"/>
      <c r="AC287" s="26"/>
      <c r="AD287" s="26"/>
      <c r="AE287" s="26"/>
      <c r="AF287" s="26"/>
      <c r="AG287" s="26"/>
      <c r="AH287" s="26"/>
      <c r="AI287" s="26"/>
      <c r="AJ287" s="15" t="str">
        <f>IF(COUNTA(B287,E287,H287,I287,J287,K287,L287,M287,N287,O287,P287,Q287,R287,S287,T287,U287,V287,W287,X287,Y287,Z287,AA287,AB287,AC287,AD287,AE287,AF287,AG287,AH287,AI287)=0,"",IF(OR(B287="",E287="",H287="",J287="",K287="",L287="",M287="",O287="",P287="",Q287="",R287="",S287="",T287="",U287="",W287="",X287="",Y287="",AB287="",AC287="",AE287="",AF287=""),"Incompleta: faltan campos obligatorios",IF(AND(LEFT(H287,6)="PROPIA",I287=""),"Falta el nombre de la acción propia del área",IF(AND(LEFT(H287,3)="A27",IFERROR(INDEX(Catalogos!$T$5:$T$207,MATCH(H287,Catalogos!$U$5:$U$207,0)),"x")&lt;&gt;LEFT(E287,7)),"La acción no corresponde a la meta seleccionada",IF(OR(NOT(ISNUMBER(M287)),M287&lt;10000000,M287&gt;99999999),"Código UNSPSC inválido: registre 8 dígitos",IF(MOD(M287,10000)=0,"UNSPSC a nivel de segmento o familia: use clase o producto",IF(IFERROR(MATCH(P287,L_MESES,0)&lt;MATCH(O287,L_MESES,0),TRUE()),"El mes de ofertas es anterior al de inicio del proceso",IF(OR(NOT(ISNUMBER(Q287)),Q287&lt;=0),"Duración inválida",IF(OR(NOT(ISNUMBER(W287)),NOT(ISNUMBER(X287))),"Valor inválido: registre solo números",IF(OR(W287&lt;=0,X287&lt;=0),"Valor inválido: debe ser mayor que cero",IF(X287&gt;W287,"El valor de la vigencia 2027 supera el valor total",IF(AND(X287&lt;W287,Y287="No"),"El valor total supera el de 2027: requiere vigencias futuras",IF(AND(Y287="Sí",OR(Z287="",Z287="No aplica")),"Indique el estado de la solicitud de vigencias futuras",IF(IF(AND(S287="Mínima cuantía",ISNUMBER(P_TOPE_MINIMA)),W287&gt;P_TOPE_MINIMA,FALSE()),"El valor supera el tope de mínima cuantía 2027",IF(IF(AND(S287="Selección abreviada de menor cuantía",ISNUMBER(P_TOPE_MENOR)),W287&gt;P_TOPE_MENOR,FALSE()),"El valor supera el tope de menor cuantía 2027",IF(OR(ISERROR(SEARCH("@itc.edu.co",AE287)),SUMPRODUCT(--ISNUMBER(SEARCH({"á","é","í","ó","ú","ñ"," "},AE287)))&gt;0),"El correo del responsable no es institucional válido",IF(AND(AF287="Sí",AG287=""),"Indique el N.° de registro 2026 que continúa","OK")))))))))))))))))</f>
        <v/>
      </c>
      <c r="AK287" s="15" t="str">
        <f>IF(AJ287="OK",COUNTIF($AJ$7:AJ287,"OK"),"")</f>
        <v/>
      </c>
    </row>
    <row r="288" spans="1:37" x14ac:dyDescent="0.3">
      <c r="A288" s="13" t="str">
        <f t="shared" si="4"/>
        <v>PN27-282</v>
      </c>
      <c r="B288" s="26"/>
      <c r="C288" s="13" t="str">
        <f>IF(B288="","",IFERROR(INDEX(Catalogos!$R$5:$R$51,MATCH(B288,L_AREAS,0)),""))</f>
        <v/>
      </c>
      <c r="D288" s="13" t="str">
        <f>IF(B288="","",IFERROR(INDEX(Catalogos!$O$5:$O$51,MATCH(B288,L_AREAS,0)),""))</f>
        <v/>
      </c>
      <c r="E288" s="26"/>
      <c r="F288" s="13" t="str">
        <f>IF(E288="","",IFERROR(INDEX(Catalogos!$C$5:$C$49,MATCH(E288,L_METAS,0)),""))</f>
        <v/>
      </c>
      <c r="G288" s="13" t="str">
        <f>IF(E288="","",IFERROR(INDEX(Catalogos!$E$5:$E$49,MATCH(E288,L_METAS,0)),""))</f>
        <v/>
      </c>
      <c r="H288" s="26"/>
      <c r="I288" s="26"/>
      <c r="J288" s="26"/>
      <c r="K288" s="26"/>
      <c r="L288" s="26"/>
      <c r="M288" s="27"/>
      <c r="N288" s="26"/>
      <c r="O288" s="26"/>
      <c r="P288" s="26"/>
      <c r="Q288" s="26"/>
      <c r="R288" s="26"/>
      <c r="S288" s="26"/>
      <c r="T288" s="26"/>
      <c r="U288" s="26"/>
      <c r="V288" s="26"/>
      <c r="W288" s="28"/>
      <c r="X288" s="28"/>
      <c r="Y288" s="26"/>
      <c r="Z288" s="26"/>
      <c r="AA288" s="26"/>
      <c r="AB288" s="26"/>
      <c r="AC288" s="26"/>
      <c r="AD288" s="26"/>
      <c r="AE288" s="26"/>
      <c r="AF288" s="26"/>
      <c r="AG288" s="26"/>
      <c r="AH288" s="26"/>
      <c r="AI288" s="26"/>
      <c r="AJ288" s="15" t="str">
        <f>IF(COUNTA(B288,E288,H288,I288,J288,K288,L288,M288,N288,O288,P288,Q288,R288,S288,T288,U288,V288,W288,X288,Y288,Z288,AA288,AB288,AC288,AD288,AE288,AF288,AG288,AH288,AI288)=0,"",IF(OR(B288="",E288="",H288="",J288="",K288="",L288="",M288="",O288="",P288="",Q288="",R288="",S288="",T288="",U288="",W288="",X288="",Y288="",AB288="",AC288="",AE288="",AF288=""),"Incompleta: faltan campos obligatorios",IF(AND(LEFT(H288,6)="PROPIA",I288=""),"Falta el nombre de la acción propia del área",IF(AND(LEFT(H288,3)="A27",IFERROR(INDEX(Catalogos!$T$5:$T$207,MATCH(H288,Catalogos!$U$5:$U$207,0)),"x")&lt;&gt;LEFT(E288,7)),"La acción no corresponde a la meta seleccionada",IF(OR(NOT(ISNUMBER(M288)),M288&lt;10000000,M288&gt;99999999),"Código UNSPSC inválido: registre 8 dígitos",IF(MOD(M288,10000)=0,"UNSPSC a nivel de segmento o familia: use clase o producto",IF(IFERROR(MATCH(P288,L_MESES,0)&lt;MATCH(O288,L_MESES,0),TRUE()),"El mes de ofertas es anterior al de inicio del proceso",IF(OR(NOT(ISNUMBER(Q288)),Q288&lt;=0),"Duración inválida",IF(OR(NOT(ISNUMBER(W288)),NOT(ISNUMBER(X288))),"Valor inválido: registre solo números",IF(OR(W288&lt;=0,X288&lt;=0),"Valor inválido: debe ser mayor que cero",IF(X288&gt;W288,"El valor de la vigencia 2027 supera el valor total",IF(AND(X288&lt;W288,Y288="No"),"El valor total supera el de 2027: requiere vigencias futuras",IF(AND(Y288="Sí",OR(Z288="",Z288="No aplica")),"Indique el estado de la solicitud de vigencias futuras",IF(IF(AND(S288="Mínima cuantía",ISNUMBER(P_TOPE_MINIMA)),W288&gt;P_TOPE_MINIMA,FALSE()),"El valor supera el tope de mínima cuantía 2027",IF(IF(AND(S288="Selección abreviada de menor cuantía",ISNUMBER(P_TOPE_MENOR)),W288&gt;P_TOPE_MENOR,FALSE()),"El valor supera el tope de menor cuantía 2027",IF(OR(ISERROR(SEARCH("@itc.edu.co",AE288)),SUMPRODUCT(--ISNUMBER(SEARCH({"á","é","í","ó","ú","ñ"," "},AE288)))&gt;0),"El correo del responsable no es institucional válido",IF(AND(AF288="Sí",AG288=""),"Indique el N.° de registro 2026 que continúa","OK")))))))))))))))))</f>
        <v/>
      </c>
      <c r="AK288" s="15" t="str">
        <f>IF(AJ288="OK",COUNTIF($AJ$7:AJ288,"OK"),"")</f>
        <v/>
      </c>
    </row>
    <row r="289" spans="1:37" x14ac:dyDescent="0.3">
      <c r="A289" s="13" t="str">
        <f t="shared" si="4"/>
        <v>PN27-283</v>
      </c>
      <c r="B289" s="26"/>
      <c r="C289" s="13" t="str">
        <f>IF(B289="","",IFERROR(INDEX(Catalogos!$R$5:$R$51,MATCH(B289,L_AREAS,0)),""))</f>
        <v/>
      </c>
      <c r="D289" s="13" t="str">
        <f>IF(B289="","",IFERROR(INDEX(Catalogos!$O$5:$O$51,MATCH(B289,L_AREAS,0)),""))</f>
        <v/>
      </c>
      <c r="E289" s="26"/>
      <c r="F289" s="13" t="str">
        <f>IF(E289="","",IFERROR(INDEX(Catalogos!$C$5:$C$49,MATCH(E289,L_METAS,0)),""))</f>
        <v/>
      </c>
      <c r="G289" s="13" t="str">
        <f>IF(E289="","",IFERROR(INDEX(Catalogos!$E$5:$E$49,MATCH(E289,L_METAS,0)),""))</f>
        <v/>
      </c>
      <c r="H289" s="26"/>
      <c r="I289" s="26"/>
      <c r="J289" s="26"/>
      <c r="K289" s="26"/>
      <c r="L289" s="26"/>
      <c r="M289" s="27"/>
      <c r="N289" s="26"/>
      <c r="O289" s="26"/>
      <c r="P289" s="26"/>
      <c r="Q289" s="26"/>
      <c r="R289" s="26"/>
      <c r="S289" s="26"/>
      <c r="T289" s="26"/>
      <c r="U289" s="26"/>
      <c r="V289" s="26"/>
      <c r="W289" s="28"/>
      <c r="X289" s="28"/>
      <c r="Y289" s="26"/>
      <c r="Z289" s="26"/>
      <c r="AA289" s="26"/>
      <c r="AB289" s="26"/>
      <c r="AC289" s="26"/>
      <c r="AD289" s="26"/>
      <c r="AE289" s="26"/>
      <c r="AF289" s="26"/>
      <c r="AG289" s="26"/>
      <c r="AH289" s="26"/>
      <c r="AI289" s="26"/>
      <c r="AJ289" s="15" t="str">
        <f>IF(COUNTA(B289,E289,H289,I289,J289,K289,L289,M289,N289,O289,P289,Q289,R289,S289,T289,U289,V289,W289,X289,Y289,Z289,AA289,AB289,AC289,AD289,AE289,AF289,AG289,AH289,AI289)=0,"",IF(OR(B289="",E289="",H289="",J289="",K289="",L289="",M289="",O289="",P289="",Q289="",R289="",S289="",T289="",U289="",W289="",X289="",Y289="",AB289="",AC289="",AE289="",AF289=""),"Incompleta: faltan campos obligatorios",IF(AND(LEFT(H289,6)="PROPIA",I289=""),"Falta el nombre de la acción propia del área",IF(AND(LEFT(H289,3)="A27",IFERROR(INDEX(Catalogos!$T$5:$T$207,MATCH(H289,Catalogos!$U$5:$U$207,0)),"x")&lt;&gt;LEFT(E289,7)),"La acción no corresponde a la meta seleccionada",IF(OR(NOT(ISNUMBER(M289)),M289&lt;10000000,M289&gt;99999999),"Código UNSPSC inválido: registre 8 dígitos",IF(MOD(M289,10000)=0,"UNSPSC a nivel de segmento o familia: use clase o producto",IF(IFERROR(MATCH(P289,L_MESES,0)&lt;MATCH(O289,L_MESES,0),TRUE()),"El mes de ofertas es anterior al de inicio del proceso",IF(OR(NOT(ISNUMBER(Q289)),Q289&lt;=0),"Duración inválida",IF(OR(NOT(ISNUMBER(W289)),NOT(ISNUMBER(X289))),"Valor inválido: registre solo números",IF(OR(W289&lt;=0,X289&lt;=0),"Valor inválido: debe ser mayor que cero",IF(X289&gt;W289,"El valor de la vigencia 2027 supera el valor total",IF(AND(X289&lt;W289,Y289="No"),"El valor total supera el de 2027: requiere vigencias futuras",IF(AND(Y289="Sí",OR(Z289="",Z289="No aplica")),"Indique el estado de la solicitud de vigencias futuras",IF(IF(AND(S289="Mínima cuantía",ISNUMBER(P_TOPE_MINIMA)),W289&gt;P_TOPE_MINIMA,FALSE()),"El valor supera el tope de mínima cuantía 2027",IF(IF(AND(S289="Selección abreviada de menor cuantía",ISNUMBER(P_TOPE_MENOR)),W289&gt;P_TOPE_MENOR,FALSE()),"El valor supera el tope de menor cuantía 2027",IF(OR(ISERROR(SEARCH("@itc.edu.co",AE289)),SUMPRODUCT(--ISNUMBER(SEARCH({"á","é","í","ó","ú","ñ"," "},AE289)))&gt;0),"El correo del responsable no es institucional válido",IF(AND(AF289="Sí",AG289=""),"Indique el N.° de registro 2026 que continúa","OK")))))))))))))))))</f>
        <v/>
      </c>
      <c r="AK289" s="15" t="str">
        <f>IF(AJ289="OK",COUNTIF($AJ$7:AJ289,"OK"),"")</f>
        <v/>
      </c>
    </row>
    <row r="290" spans="1:37" x14ac:dyDescent="0.3">
      <c r="A290" s="13" t="str">
        <f t="shared" si="4"/>
        <v>PN27-284</v>
      </c>
      <c r="B290" s="26"/>
      <c r="C290" s="13" t="str">
        <f>IF(B290="","",IFERROR(INDEX(Catalogos!$R$5:$R$51,MATCH(B290,L_AREAS,0)),""))</f>
        <v/>
      </c>
      <c r="D290" s="13" t="str">
        <f>IF(B290="","",IFERROR(INDEX(Catalogos!$O$5:$O$51,MATCH(B290,L_AREAS,0)),""))</f>
        <v/>
      </c>
      <c r="E290" s="26"/>
      <c r="F290" s="13" t="str">
        <f>IF(E290="","",IFERROR(INDEX(Catalogos!$C$5:$C$49,MATCH(E290,L_METAS,0)),""))</f>
        <v/>
      </c>
      <c r="G290" s="13" t="str">
        <f>IF(E290="","",IFERROR(INDEX(Catalogos!$E$5:$E$49,MATCH(E290,L_METAS,0)),""))</f>
        <v/>
      </c>
      <c r="H290" s="26"/>
      <c r="I290" s="26"/>
      <c r="J290" s="26"/>
      <c r="K290" s="26"/>
      <c r="L290" s="26"/>
      <c r="M290" s="27"/>
      <c r="N290" s="26"/>
      <c r="O290" s="26"/>
      <c r="P290" s="26"/>
      <c r="Q290" s="26"/>
      <c r="R290" s="26"/>
      <c r="S290" s="26"/>
      <c r="T290" s="26"/>
      <c r="U290" s="26"/>
      <c r="V290" s="26"/>
      <c r="W290" s="28"/>
      <c r="X290" s="28"/>
      <c r="Y290" s="26"/>
      <c r="Z290" s="26"/>
      <c r="AA290" s="26"/>
      <c r="AB290" s="26"/>
      <c r="AC290" s="26"/>
      <c r="AD290" s="26"/>
      <c r="AE290" s="26"/>
      <c r="AF290" s="26"/>
      <c r="AG290" s="26"/>
      <c r="AH290" s="26"/>
      <c r="AI290" s="26"/>
      <c r="AJ290" s="15" t="str">
        <f>IF(COUNTA(B290,E290,H290,I290,J290,K290,L290,M290,N290,O290,P290,Q290,R290,S290,T290,U290,V290,W290,X290,Y290,Z290,AA290,AB290,AC290,AD290,AE290,AF290,AG290,AH290,AI290)=0,"",IF(OR(B290="",E290="",H290="",J290="",K290="",L290="",M290="",O290="",P290="",Q290="",R290="",S290="",T290="",U290="",W290="",X290="",Y290="",AB290="",AC290="",AE290="",AF290=""),"Incompleta: faltan campos obligatorios",IF(AND(LEFT(H290,6)="PROPIA",I290=""),"Falta el nombre de la acción propia del área",IF(AND(LEFT(H290,3)="A27",IFERROR(INDEX(Catalogos!$T$5:$T$207,MATCH(H290,Catalogos!$U$5:$U$207,0)),"x")&lt;&gt;LEFT(E290,7)),"La acción no corresponde a la meta seleccionada",IF(OR(NOT(ISNUMBER(M290)),M290&lt;10000000,M290&gt;99999999),"Código UNSPSC inválido: registre 8 dígitos",IF(MOD(M290,10000)=0,"UNSPSC a nivel de segmento o familia: use clase o producto",IF(IFERROR(MATCH(P290,L_MESES,0)&lt;MATCH(O290,L_MESES,0),TRUE()),"El mes de ofertas es anterior al de inicio del proceso",IF(OR(NOT(ISNUMBER(Q290)),Q290&lt;=0),"Duración inválida",IF(OR(NOT(ISNUMBER(W290)),NOT(ISNUMBER(X290))),"Valor inválido: registre solo números",IF(OR(W290&lt;=0,X290&lt;=0),"Valor inválido: debe ser mayor que cero",IF(X290&gt;W290,"El valor de la vigencia 2027 supera el valor total",IF(AND(X290&lt;W290,Y290="No"),"El valor total supera el de 2027: requiere vigencias futuras",IF(AND(Y290="Sí",OR(Z290="",Z290="No aplica")),"Indique el estado de la solicitud de vigencias futuras",IF(IF(AND(S290="Mínima cuantía",ISNUMBER(P_TOPE_MINIMA)),W290&gt;P_TOPE_MINIMA,FALSE()),"El valor supera el tope de mínima cuantía 2027",IF(IF(AND(S290="Selección abreviada de menor cuantía",ISNUMBER(P_TOPE_MENOR)),W290&gt;P_TOPE_MENOR,FALSE()),"El valor supera el tope de menor cuantía 2027",IF(OR(ISERROR(SEARCH("@itc.edu.co",AE290)),SUMPRODUCT(--ISNUMBER(SEARCH({"á","é","í","ó","ú","ñ"," "},AE290)))&gt;0),"El correo del responsable no es institucional válido",IF(AND(AF290="Sí",AG290=""),"Indique el N.° de registro 2026 que continúa","OK")))))))))))))))))</f>
        <v/>
      </c>
      <c r="AK290" s="15" t="str">
        <f>IF(AJ290="OK",COUNTIF($AJ$7:AJ290,"OK"),"")</f>
        <v/>
      </c>
    </row>
    <row r="291" spans="1:37" x14ac:dyDescent="0.3">
      <c r="A291" s="13" t="str">
        <f t="shared" si="4"/>
        <v>PN27-285</v>
      </c>
      <c r="B291" s="26"/>
      <c r="C291" s="13" t="str">
        <f>IF(B291="","",IFERROR(INDEX(Catalogos!$R$5:$R$51,MATCH(B291,L_AREAS,0)),""))</f>
        <v/>
      </c>
      <c r="D291" s="13" t="str">
        <f>IF(B291="","",IFERROR(INDEX(Catalogos!$O$5:$O$51,MATCH(B291,L_AREAS,0)),""))</f>
        <v/>
      </c>
      <c r="E291" s="26"/>
      <c r="F291" s="13" t="str">
        <f>IF(E291="","",IFERROR(INDEX(Catalogos!$C$5:$C$49,MATCH(E291,L_METAS,0)),""))</f>
        <v/>
      </c>
      <c r="G291" s="13" t="str">
        <f>IF(E291="","",IFERROR(INDEX(Catalogos!$E$5:$E$49,MATCH(E291,L_METAS,0)),""))</f>
        <v/>
      </c>
      <c r="H291" s="26"/>
      <c r="I291" s="26"/>
      <c r="J291" s="26"/>
      <c r="K291" s="26"/>
      <c r="L291" s="26"/>
      <c r="M291" s="27"/>
      <c r="N291" s="26"/>
      <c r="O291" s="26"/>
      <c r="P291" s="26"/>
      <c r="Q291" s="26"/>
      <c r="R291" s="26"/>
      <c r="S291" s="26"/>
      <c r="T291" s="26"/>
      <c r="U291" s="26"/>
      <c r="V291" s="26"/>
      <c r="W291" s="28"/>
      <c r="X291" s="28"/>
      <c r="Y291" s="26"/>
      <c r="Z291" s="26"/>
      <c r="AA291" s="26"/>
      <c r="AB291" s="26"/>
      <c r="AC291" s="26"/>
      <c r="AD291" s="26"/>
      <c r="AE291" s="26"/>
      <c r="AF291" s="26"/>
      <c r="AG291" s="26"/>
      <c r="AH291" s="26"/>
      <c r="AI291" s="26"/>
      <c r="AJ291" s="15" t="str">
        <f>IF(COUNTA(B291,E291,H291,I291,J291,K291,L291,M291,N291,O291,P291,Q291,R291,S291,T291,U291,V291,W291,X291,Y291,Z291,AA291,AB291,AC291,AD291,AE291,AF291,AG291,AH291,AI291)=0,"",IF(OR(B291="",E291="",H291="",J291="",K291="",L291="",M291="",O291="",P291="",Q291="",R291="",S291="",T291="",U291="",W291="",X291="",Y291="",AB291="",AC291="",AE291="",AF291=""),"Incompleta: faltan campos obligatorios",IF(AND(LEFT(H291,6)="PROPIA",I291=""),"Falta el nombre de la acción propia del área",IF(AND(LEFT(H291,3)="A27",IFERROR(INDEX(Catalogos!$T$5:$T$207,MATCH(H291,Catalogos!$U$5:$U$207,0)),"x")&lt;&gt;LEFT(E291,7)),"La acción no corresponde a la meta seleccionada",IF(OR(NOT(ISNUMBER(M291)),M291&lt;10000000,M291&gt;99999999),"Código UNSPSC inválido: registre 8 dígitos",IF(MOD(M291,10000)=0,"UNSPSC a nivel de segmento o familia: use clase o producto",IF(IFERROR(MATCH(P291,L_MESES,0)&lt;MATCH(O291,L_MESES,0),TRUE()),"El mes de ofertas es anterior al de inicio del proceso",IF(OR(NOT(ISNUMBER(Q291)),Q291&lt;=0),"Duración inválida",IF(OR(NOT(ISNUMBER(W291)),NOT(ISNUMBER(X291))),"Valor inválido: registre solo números",IF(OR(W291&lt;=0,X291&lt;=0),"Valor inválido: debe ser mayor que cero",IF(X291&gt;W291,"El valor de la vigencia 2027 supera el valor total",IF(AND(X291&lt;W291,Y291="No"),"El valor total supera el de 2027: requiere vigencias futuras",IF(AND(Y291="Sí",OR(Z291="",Z291="No aplica")),"Indique el estado de la solicitud de vigencias futuras",IF(IF(AND(S291="Mínima cuantía",ISNUMBER(P_TOPE_MINIMA)),W291&gt;P_TOPE_MINIMA,FALSE()),"El valor supera el tope de mínima cuantía 2027",IF(IF(AND(S291="Selección abreviada de menor cuantía",ISNUMBER(P_TOPE_MENOR)),W291&gt;P_TOPE_MENOR,FALSE()),"El valor supera el tope de menor cuantía 2027",IF(OR(ISERROR(SEARCH("@itc.edu.co",AE291)),SUMPRODUCT(--ISNUMBER(SEARCH({"á","é","í","ó","ú","ñ"," "},AE291)))&gt;0),"El correo del responsable no es institucional válido",IF(AND(AF291="Sí",AG291=""),"Indique el N.° de registro 2026 que continúa","OK")))))))))))))))))</f>
        <v/>
      </c>
      <c r="AK291" s="15" t="str">
        <f>IF(AJ291="OK",COUNTIF($AJ$7:AJ291,"OK"),"")</f>
        <v/>
      </c>
    </row>
    <row r="292" spans="1:37" x14ac:dyDescent="0.3">
      <c r="A292" s="13" t="str">
        <f t="shared" si="4"/>
        <v>PN27-286</v>
      </c>
      <c r="B292" s="26"/>
      <c r="C292" s="13" t="str">
        <f>IF(B292="","",IFERROR(INDEX(Catalogos!$R$5:$R$51,MATCH(B292,L_AREAS,0)),""))</f>
        <v/>
      </c>
      <c r="D292" s="13" t="str">
        <f>IF(B292="","",IFERROR(INDEX(Catalogos!$O$5:$O$51,MATCH(B292,L_AREAS,0)),""))</f>
        <v/>
      </c>
      <c r="E292" s="26"/>
      <c r="F292" s="13" t="str">
        <f>IF(E292="","",IFERROR(INDEX(Catalogos!$C$5:$C$49,MATCH(E292,L_METAS,0)),""))</f>
        <v/>
      </c>
      <c r="G292" s="13" t="str">
        <f>IF(E292="","",IFERROR(INDEX(Catalogos!$E$5:$E$49,MATCH(E292,L_METAS,0)),""))</f>
        <v/>
      </c>
      <c r="H292" s="26"/>
      <c r="I292" s="26"/>
      <c r="J292" s="26"/>
      <c r="K292" s="26"/>
      <c r="L292" s="26"/>
      <c r="M292" s="27"/>
      <c r="N292" s="26"/>
      <c r="O292" s="26"/>
      <c r="P292" s="26"/>
      <c r="Q292" s="26"/>
      <c r="R292" s="26"/>
      <c r="S292" s="26"/>
      <c r="T292" s="26"/>
      <c r="U292" s="26"/>
      <c r="V292" s="26"/>
      <c r="W292" s="28"/>
      <c r="X292" s="28"/>
      <c r="Y292" s="26"/>
      <c r="Z292" s="26"/>
      <c r="AA292" s="26"/>
      <c r="AB292" s="26"/>
      <c r="AC292" s="26"/>
      <c r="AD292" s="26"/>
      <c r="AE292" s="26"/>
      <c r="AF292" s="26"/>
      <c r="AG292" s="26"/>
      <c r="AH292" s="26"/>
      <c r="AI292" s="26"/>
      <c r="AJ292" s="15" t="str">
        <f>IF(COUNTA(B292,E292,H292,I292,J292,K292,L292,M292,N292,O292,P292,Q292,R292,S292,T292,U292,V292,W292,X292,Y292,Z292,AA292,AB292,AC292,AD292,AE292,AF292,AG292,AH292,AI292)=0,"",IF(OR(B292="",E292="",H292="",J292="",K292="",L292="",M292="",O292="",P292="",Q292="",R292="",S292="",T292="",U292="",W292="",X292="",Y292="",AB292="",AC292="",AE292="",AF292=""),"Incompleta: faltan campos obligatorios",IF(AND(LEFT(H292,6)="PROPIA",I292=""),"Falta el nombre de la acción propia del área",IF(AND(LEFT(H292,3)="A27",IFERROR(INDEX(Catalogos!$T$5:$T$207,MATCH(H292,Catalogos!$U$5:$U$207,0)),"x")&lt;&gt;LEFT(E292,7)),"La acción no corresponde a la meta seleccionada",IF(OR(NOT(ISNUMBER(M292)),M292&lt;10000000,M292&gt;99999999),"Código UNSPSC inválido: registre 8 dígitos",IF(MOD(M292,10000)=0,"UNSPSC a nivel de segmento o familia: use clase o producto",IF(IFERROR(MATCH(P292,L_MESES,0)&lt;MATCH(O292,L_MESES,0),TRUE()),"El mes de ofertas es anterior al de inicio del proceso",IF(OR(NOT(ISNUMBER(Q292)),Q292&lt;=0),"Duración inválida",IF(OR(NOT(ISNUMBER(W292)),NOT(ISNUMBER(X292))),"Valor inválido: registre solo números",IF(OR(W292&lt;=0,X292&lt;=0),"Valor inválido: debe ser mayor que cero",IF(X292&gt;W292,"El valor de la vigencia 2027 supera el valor total",IF(AND(X292&lt;W292,Y292="No"),"El valor total supera el de 2027: requiere vigencias futuras",IF(AND(Y292="Sí",OR(Z292="",Z292="No aplica")),"Indique el estado de la solicitud de vigencias futuras",IF(IF(AND(S292="Mínima cuantía",ISNUMBER(P_TOPE_MINIMA)),W292&gt;P_TOPE_MINIMA,FALSE()),"El valor supera el tope de mínima cuantía 2027",IF(IF(AND(S292="Selección abreviada de menor cuantía",ISNUMBER(P_TOPE_MENOR)),W292&gt;P_TOPE_MENOR,FALSE()),"El valor supera el tope de menor cuantía 2027",IF(OR(ISERROR(SEARCH("@itc.edu.co",AE292)),SUMPRODUCT(--ISNUMBER(SEARCH({"á","é","í","ó","ú","ñ"," "},AE292)))&gt;0),"El correo del responsable no es institucional válido",IF(AND(AF292="Sí",AG292=""),"Indique el N.° de registro 2026 que continúa","OK")))))))))))))))))</f>
        <v/>
      </c>
      <c r="AK292" s="15" t="str">
        <f>IF(AJ292="OK",COUNTIF($AJ$7:AJ292,"OK"),"")</f>
        <v/>
      </c>
    </row>
    <row r="293" spans="1:37" x14ac:dyDescent="0.3">
      <c r="A293" s="13" t="str">
        <f t="shared" si="4"/>
        <v>PN27-287</v>
      </c>
      <c r="B293" s="26"/>
      <c r="C293" s="13" t="str">
        <f>IF(B293="","",IFERROR(INDEX(Catalogos!$R$5:$R$51,MATCH(B293,L_AREAS,0)),""))</f>
        <v/>
      </c>
      <c r="D293" s="13" t="str">
        <f>IF(B293="","",IFERROR(INDEX(Catalogos!$O$5:$O$51,MATCH(B293,L_AREAS,0)),""))</f>
        <v/>
      </c>
      <c r="E293" s="26"/>
      <c r="F293" s="13" t="str">
        <f>IF(E293="","",IFERROR(INDEX(Catalogos!$C$5:$C$49,MATCH(E293,L_METAS,0)),""))</f>
        <v/>
      </c>
      <c r="G293" s="13" t="str">
        <f>IF(E293="","",IFERROR(INDEX(Catalogos!$E$5:$E$49,MATCH(E293,L_METAS,0)),""))</f>
        <v/>
      </c>
      <c r="H293" s="26"/>
      <c r="I293" s="26"/>
      <c r="J293" s="26"/>
      <c r="K293" s="26"/>
      <c r="L293" s="26"/>
      <c r="M293" s="27"/>
      <c r="N293" s="26"/>
      <c r="O293" s="26"/>
      <c r="P293" s="26"/>
      <c r="Q293" s="26"/>
      <c r="R293" s="26"/>
      <c r="S293" s="26"/>
      <c r="T293" s="26"/>
      <c r="U293" s="26"/>
      <c r="V293" s="26"/>
      <c r="W293" s="28"/>
      <c r="X293" s="28"/>
      <c r="Y293" s="26"/>
      <c r="Z293" s="26"/>
      <c r="AA293" s="26"/>
      <c r="AB293" s="26"/>
      <c r="AC293" s="26"/>
      <c r="AD293" s="26"/>
      <c r="AE293" s="26"/>
      <c r="AF293" s="26"/>
      <c r="AG293" s="26"/>
      <c r="AH293" s="26"/>
      <c r="AI293" s="26"/>
      <c r="AJ293" s="15" t="str">
        <f>IF(COUNTA(B293,E293,H293,I293,J293,K293,L293,M293,N293,O293,P293,Q293,R293,S293,T293,U293,V293,W293,X293,Y293,Z293,AA293,AB293,AC293,AD293,AE293,AF293,AG293,AH293,AI293)=0,"",IF(OR(B293="",E293="",H293="",J293="",K293="",L293="",M293="",O293="",P293="",Q293="",R293="",S293="",T293="",U293="",W293="",X293="",Y293="",AB293="",AC293="",AE293="",AF293=""),"Incompleta: faltan campos obligatorios",IF(AND(LEFT(H293,6)="PROPIA",I293=""),"Falta el nombre de la acción propia del área",IF(AND(LEFT(H293,3)="A27",IFERROR(INDEX(Catalogos!$T$5:$T$207,MATCH(H293,Catalogos!$U$5:$U$207,0)),"x")&lt;&gt;LEFT(E293,7)),"La acción no corresponde a la meta seleccionada",IF(OR(NOT(ISNUMBER(M293)),M293&lt;10000000,M293&gt;99999999),"Código UNSPSC inválido: registre 8 dígitos",IF(MOD(M293,10000)=0,"UNSPSC a nivel de segmento o familia: use clase o producto",IF(IFERROR(MATCH(P293,L_MESES,0)&lt;MATCH(O293,L_MESES,0),TRUE()),"El mes de ofertas es anterior al de inicio del proceso",IF(OR(NOT(ISNUMBER(Q293)),Q293&lt;=0),"Duración inválida",IF(OR(NOT(ISNUMBER(W293)),NOT(ISNUMBER(X293))),"Valor inválido: registre solo números",IF(OR(W293&lt;=0,X293&lt;=0),"Valor inválido: debe ser mayor que cero",IF(X293&gt;W293,"El valor de la vigencia 2027 supera el valor total",IF(AND(X293&lt;W293,Y293="No"),"El valor total supera el de 2027: requiere vigencias futuras",IF(AND(Y293="Sí",OR(Z293="",Z293="No aplica")),"Indique el estado de la solicitud de vigencias futuras",IF(IF(AND(S293="Mínima cuantía",ISNUMBER(P_TOPE_MINIMA)),W293&gt;P_TOPE_MINIMA,FALSE()),"El valor supera el tope de mínima cuantía 2027",IF(IF(AND(S293="Selección abreviada de menor cuantía",ISNUMBER(P_TOPE_MENOR)),W293&gt;P_TOPE_MENOR,FALSE()),"El valor supera el tope de menor cuantía 2027",IF(OR(ISERROR(SEARCH("@itc.edu.co",AE293)),SUMPRODUCT(--ISNUMBER(SEARCH({"á","é","í","ó","ú","ñ"," "},AE293)))&gt;0),"El correo del responsable no es institucional válido",IF(AND(AF293="Sí",AG293=""),"Indique el N.° de registro 2026 que continúa","OK")))))))))))))))))</f>
        <v/>
      </c>
      <c r="AK293" s="15" t="str">
        <f>IF(AJ293="OK",COUNTIF($AJ$7:AJ293,"OK"),"")</f>
        <v/>
      </c>
    </row>
    <row r="294" spans="1:37" x14ac:dyDescent="0.3">
      <c r="A294" s="13" t="str">
        <f t="shared" si="4"/>
        <v>PN27-288</v>
      </c>
      <c r="B294" s="26"/>
      <c r="C294" s="13" t="str">
        <f>IF(B294="","",IFERROR(INDEX(Catalogos!$R$5:$R$51,MATCH(B294,L_AREAS,0)),""))</f>
        <v/>
      </c>
      <c r="D294" s="13" t="str">
        <f>IF(B294="","",IFERROR(INDEX(Catalogos!$O$5:$O$51,MATCH(B294,L_AREAS,0)),""))</f>
        <v/>
      </c>
      <c r="E294" s="26"/>
      <c r="F294" s="13" t="str">
        <f>IF(E294="","",IFERROR(INDEX(Catalogos!$C$5:$C$49,MATCH(E294,L_METAS,0)),""))</f>
        <v/>
      </c>
      <c r="G294" s="13" t="str">
        <f>IF(E294="","",IFERROR(INDEX(Catalogos!$E$5:$E$49,MATCH(E294,L_METAS,0)),""))</f>
        <v/>
      </c>
      <c r="H294" s="26"/>
      <c r="I294" s="26"/>
      <c r="J294" s="26"/>
      <c r="K294" s="26"/>
      <c r="L294" s="26"/>
      <c r="M294" s="27"/>
      <c r="N294" s="26"/>
      <c r="O294" s="26"/>
      <c r="P294" s="26"/>
      <c r="Q294" s="26"/>
      <c r="R294" s="26"/>
      <c r="S294" s="26"/>
      <c r="T294" s="26"/>
      <c r="U294" s="26"/>
      <c r="V294" s="26"/>
      <c r="W294" s="28"/>
      <c r="X294" s="28"/>
      <c r="Y294" s="26"/>
      <c r="Z294" s="26"/>
      <c r="AA294" s="26"/>
      <c r="AB294" s="26"/>
      <c r="AC294" s="26"/>
      <c r="AD294" s="26"/>
      <c r="AE294" s="26"/>
      <c r="AF294" s="26"/>
      <c r="AG294" s="26"/>
      <c r="AH294" s="26"/>
      <c r="AI294" s="26"/>
      <c r="AJ294" s="15" t="str">
        <f>IF(COUNTA(B294,E294,H294,I294,J294,K294,L294,M294,N294,O294,P294,Q294,R294,S294,T294,U294,V294,W294,X294,Y294,Z294,AA294,AB294,AC294,AD294,AE294,AF294,AG294,AH294,AI294)=0,"",IF(OR(B294="",E294="",H294="",J294="",K294="",L294="",M294="",O294="",P294="",Q294="",R294="",S294="",T294="",U294="",W294="",X294="",Y294="",AB294="",AC294="",AE294="",AF294=""),"Incompleta: faltan campos obligatorios",IF(AND(LEFT(H294,6)="PROPIA",I294=""),"Falta el nombre de la acción propia del área",IF(AND(LEFT(H294,3)="A27",IFERROR(INDEX(Catalogos!$T$5:$T$207,MATCH(H294,Catalogos!$U$5:$U$207,0)),"x")&lt;&gt;LEFT(E294,7)),"La acción no corresponde a la meta seleccionada",IF(OR(NOT(ISNUMBER(M294)),M294&lt;10000000,M294&gt;99999999),"Código UNSPSC inválido: registre 8 dígitos",IF(MOD(M294,10000)=0,"UNSPSC a nivel de segmento o familia: use clase o producto",IF(IFERROR(MATCH(P294,L_MESES,0)&lt;MATCH(O294,L_MESES,0),TRUE()),"El mes de ofertas es anterior al de inicio del proceso",IF(OR(NOT(ISNUMBER(Q294)),Q294&lt;=0),"Duración inválida",IF(OR(NOT(ISNUMBER(W294)),NOT(ISNUMBER(X294))),"Valor inválido: registre solo números",IF(OR(W294&lt;=0,X294&lt;=0),"Valor inválido: debe ser mayor que cero",IF(X294&gt;W294,"El valor de la vigencia 2027 supera el valor total",IF(AND(X294&lt;W294,Y294="No"),"El valor total supera el de 2027: requiere vigencias futuras",IF(AND(Y294="Sí",OR(Z294="",Z294="No aplica")),"Indique el estado de la solicitud de vigencias futuras",IF(IF(AND(S294="Mínima cuantía",ISNUMBER(P_TOPE_MINIMA)),W294&gt;P_TOPE_MINIMA,FALSE()),"El valor supera el tope de mínima cuantía 2027",IF(IF(AND(S294="Selección abreviada de menor cuantía",ISNUMBER(P_TOPE_MENOR)),W294&gt;P_TOPE_MENOR,FALSE()),"El valor supera el tope de menor cuantía 2027",IF(OR(ISERROR(SEARCH("@itc.edu.co",AE294)),SUMPRODUCT(--ISNUMBER(SEARCH({"á","é","í","ó","ú","ñ"," "},AE294)))&gt;0),"El correo del responsable no es institucional válido",IF(AND(AF294="Sí",AG294=""),"Indique el N.° de registro 2026 que continúa","OK")))))))))))))))))</f>
        <v/>
      </c>
      <c r="AK294" s="15" t="str">
        <f>IF(AJ294="OK",COUNTIF($AJ$7:AJ294,"OK"),"")</f>
        <v/>
      </c>
    </row>
    <row r="295" spans="1:37" x14ac:dyDescent="0.3">
      <c r="A295" s="13" t="str">
        <f t="shared" si="4"/>
        <v>PN27-289</v>
      </c>
      <c r="B295" s="26"/>
      <c r="C295" s="13" t="str">
        <f>IF(B295="","",IFERROR(INDEX(Catalogos!$R$5:$R$51,MATCH(B295,L_AREAS,0)),""))</f>
        <v/>
      </c>
      <c r="D295" s="13" t="str">
        <f>IF(B295="","",IFERROR(INDEX(Catalogos!$O$5:$O$51,MATCH(B295,L_AREAS,0)),""))</f>
        <v/>
      </c>
      <c r="E295" s="26"/>
      <c r="F295" s="13" t="str">
        <f>IF(E295="","",IFERROR(INDEX(Catalogos!$C$5:$C$49,MATCH(E295,L_METAS,0)),""))</f>
        <v/>
      </c>
      <c r="G295" s="13" t="str">
        <f>IF(E295="","",IFERROR(INDEX(Catalogos!$E$5:$E$49,MATCH(E295,L_METAS,0)),""))</f>
        <v/>
      </c>
      <c r="H295" s="26"/>
      <c r="I295" s="26"/>
      <c r="J295" s="26"/>
      <c r="K295" s="26"/>
      <c r="L295" s="26"/>
      <c r="M295" s="27"/>
      <c r="N295" s="26"/>
      <c r="O295" s="26"/>
      <c r="P295" s="26"/>
      <c r="Q295" s="26"/>
      <c r="R295" s="26"/>
      <c r="S295" s="26"/>
      <c r="T295" s="26"/>
      <c r="U295" s="26"/>
      <c r="V295" s="26"/>
      <c r="W295" s="28"/>
      <c r="X295" s="28"/>
      <c r="Y295" s="26"/>
      <c r="Z295" s="26"/>
      <c r="AA295" s="26"/>
      <c r="AB295" s="26"/>
      <c r="AC295" s="26"/>
      <c r="AD295" s="26"/>
      <c r="AE295" s="26"/>
      <c r="AF295" s="26"/>
      <c r="AG295" s="26"/>
      <c r="AH295" s="26"/>
      <c r="AI295" s="26"/>
      <c r="AJ295" s="15" t="str">
        <f>IF(COUNTA(B295,E295,H295,I295,J295,K295,L295,M295,N295,O295,P295,Q295,R295,S295,T295,U295,V295,W295,X295,Y295,Z295,AA295,AB295,AC295,AD295,AE295,AF295,AG295,AH295,AI295)=0,"",IF(OR(B295="",E295="",H295="",J295="",K295="",L295="",M295="",O295="",P295="",Q295="",R295="",S295="",T295="",U295="",W295="",X295="",Y295="",AB295="",AC295="",AE295="",AF295=""),"Incompleta: faltan campos obligatorios",IF(AND(LEFT(H295,6)="PROPIA",I295=""),"Falta el nombre de la acción propia del área",IF(AND(LEFT(H295,3)="A27",IFERROR(INDEX(Catalogos!$T$5:$T$207,MATCH(H295,Catalogos!$U$5:$U$207,0)),"x")&lt;&gt;LEFT(E295,7)),"La acción no corresponde a la meta seleccionada",IF(OR(NOT(ISNUMBER(M295)),M295&lt;10000000,M295&gt;99999999),"Código UNSPSC inválido: registre 8 dígitos",IF(MOD(M295,10000)=0,"UNSPSC a nivel de segmento o familia: use clase o producto",IF(IFERROR(MATCH(P295,L_MESES,0)&lt;MATCH(O295,L_MESES,0),TRUE()),"El mes de ofertas es anterior al de inicio del proceso",IF(OR(NOT(ISNUMBER(Q295)),Q295&lt;=0),"Duración inválida",IF(OR(NOT(ISNUMBER(W295)),NOT(ISNUMBER(X295))),"Valor inválido: registre solo números",IF(OR(W295&lt;=0,X295&lt;=0),"Valor inválido: debe ser mayor que cero",IF(X295&gt;W295,"El valor de la vigencia 2027 supera el valor total",IF(AND(X295&lt;W295,Y295="No"),"El valor total supera el de 2027: requiere vigencias futuras",IF(AND(Y295="Sí",OR(Z295="",Z295="No aplica")),"Indique el estado de la solicitud de vigencias futuras",IF(IF(AND(S295="Mínima cuantía",ISNUMBER(P_TOPE_MINIMA)),W295&gt;P_TOPE_MINIMA,FALSE()),"El valor supera el tope de mínima cuantía 2027",IF(IF(AND(S295="Selección abreviada de menor cuantía",ISNUMBER(P_TOPE_MENOR)),W295&gt;P_TOPE_MENOR,FALSE()),"El valor supera el tope de menor cuantía 2027",IF(OR(ISERROR(SEARCH("@itc.edu.co",AE295)),SUMPRODUCT(--ISNUMBER(SEARCH({"á","é","í","ó","ú","ñ"," "},AE295)))&gt;0),"El correo del responsable no es institucional válido",IF(AND(AF295="Sí",AG295=""),"Indique el N.° de registro 2026 que continúa","OK")))))))))))))))))</f>
        <v/>
      </c>
      <c r="AK295" s="15" t="str">
        <f>IF(AJ295="OK",COUNTIF($AJ$7:AJ295,"OK"),"")</f>
        <v/>
      </c>
    </row>
    <row r="296" spans="1:37" x14ac:dyDescent="0.3">
      <c r="A296" s="13" t="str">
        <f t="shared" si="4"/>
        <v>PN27-290</v>
      </c>
      <c r="B296" s="26"/>
      <c r="C296" s="13" t="str">
        <f>IF(B296="","",IFERROR(INDEX(Catalogos!$R$5:$R$51,MATCH(B296,L_AREAS,0)),""))</f>
        <v/>
      </c>
      <c r="D296" s="13" t="str">
        <f>IF(B296="","",IFERROR(INDEX(Catalogos!$O$5:$O$51,MATCH(B296,L_AREAS,0)),""))</f>
        <v/>
      </c>
      <c r="E296" s="26"/>
      <c r="F296" s="13" t="str">
        <f>IF(E296="","",IFERROR(INDEX(Catalogos!$C$5:$C$49,MATCH(E296,L_METAS,0)),""))</f>
        <v/>
      </c>
      <c r="G296" s="13" t="str">
        <f>IF(E296="","",IFERROR(INDEX(Catalogos!$E$5:$E$49,MATCH(E296,L_METAS,0)),""))</f>
        <v/>
      </c>
      <c r="H296" s="26"/>
      <c r="I296" s="26"/>
      <c r="J296" s="26"/>
      <c r="K296" s="26"/>
      <c r="L296" s="26"/>
      <c r="M296" s="27"/>
      <c r="N296" s="26"/>
      <c r="O296" s="26"/>
      <c r="P296" s="26"/>
      <c r="Q296" s="26"/>
      <c r="R296" s="26"/>
      <c r="S296" s="26"/>
      <c r="T296" s="26"/>
      <c r="U296" s="26"/>
      <c r="V296" s="26"/>
      <c r="W296" s="28"/>
      <c r="X296" s="28"/>
      <c r="Y296" s="26"/>
      <c r="Z296" s="26"/>
      <c r="AA296" s="26"/>
      <c r="AB296" s="26"/>
      <c r="AC296" s="26"/>
      <c r="AD296" s="26"/>
      <c r="AE296" s="26"/>
      <c r="AF296" s="26"/>
      <c r="AG296" s="26"/>
      <c r="AH296" s="26"/>
      <c r="AI296" s="26"/>
      <c r="AJ296" s="15" t="str">
        <f>IF(COUNTA(B296,E296,H296,I296,J296,K296,L296,M296,N296,O296,P296,Q296,R296,S296,T296,U296,V296,W296,X296,Y296,Z296,AA296,AB296,AC296,AD296,AE296,AF296,AG296,AH296,AI296)=0,"",IF(OR(B296="",E296="",H296="",J296="",K296="",L296="",M296="",O296="",P296="",Q296="",R296="",S296="",T296="",U296="",W296="",X296="",Y296="",AB296="",AC296="",AE296="",AF296=""),"Incompleta: faltan campos obligatorios",IF(AND(LEFT(H296,6)="PROPIA",I296=""),"Falta el nombre de la acción propia del área",IF(AND(LEFT(H296,3)="A27",IFERROR(INDEX(Catalogos!$T$5:$T$207,MATCH(H296,Catalogos!$U$5:$U$207,0)),"x")&lt;&gt;LEFT(E296,7)),"La acción no corresponde a la meta seleccionada",IF(OR(NOT(ISNUMBER(M296)),M296&lt;10000000,M296&gt;99999999),"Código UNSPSC inválido: registre 8 dígitos",IF(MOD(M296,10000)=0,"UNSPSC a nivel de segmento o familia: use clase o producto",IF(IFERROR(MATCH(P296,L_MESES,0)&lt;MATCH(O296,L_MESES,0),TRUE()),"El mes de ofertas es anterior al de inicio del proceso",IF(OR(NOT(ISNUMBER(Q296)),Q296&lt;=0),"Duración inválida",IF(OR(NOT(ISNUMBER(W296)),NOT(ISNUMBER(X296))),"Valor inválido: registre solo números",IF(OR(W296&lt;=0,X296&lt;=0),"Valor inválido: debe ser mayor que cero",IF(X296&gt;W296,"El valor de la vigencia 2027 supera el valor total",IF(AND(X296&lt;W296,Y296="No"),"El valor total supera el de 2027: requiere vigencias futuras",IF(AND(Y296="Sí",OR(Z296="",Z296="No aplica")),"Indique el estado de la solicitud de vigencias futuras",IF(IF(AND(S296="Mínima cuantía",ISNUMBER(P_TOPE_MINIMA)),W296&gt;P_TOPE_MINIMA,FALSE()),"El valor supera el tope de mínima cuantía 2027",IF(IF(AND(S296="Selección abreviada de menor cuantía",ISNUMBER(P_TOPE_MENOR)),W296&gt;P_TOPE_MENOR,FALSE()),"El valor supera el tope de menor cuantía 2027",IF(OR(ISERROR(SEARCH("@itc.edu.co",AE296)),SUMPRODUCT(--ISNUMBER(SEARCH({"á","é","í","ó","ú","ñ"," "},AE296)))&gt;0),"El correo del responsable no es institucional válido",IF(AND(AF296="Sí",AG296=""),"Indique el N.° de registro 2026 que continúa","OK")))))))))))))))))</f>
        <v/>
      </c>
      <c r="AK296" s="15" t="str">
        <f>IF(AJ296="OK",COUNTIF($AJ$7:AJ296,"OK"),"")</f>
        <v/>
      </c>
    </row>
    <row r="297" spans="1:37" x14ac:dyDescent="0.3">
      <c r="A297" s="13" t="str">
        <f t="shared" si="4"/>
        <v>PN27-291</v>
      </c>
      <c r="B297" s="26"/>
      <c r="C297" s="13" t="str">
        <f>IF(B297="","",IFERROR(INDEX(Catalogos!$R$5:$R$51,MATCH(B297,L_AREAS,0)),""))</f>
        <v/>
      </c>
      <c r="D297" s="13" t="str">
        <f>IF(B297="","",IFERROR(INDEX(Catalogos!$O$5:$O$51,MATCH(B297,L_AREAS,0)),""))</f>
        <v/>
      </c>
      <c r="E297" s="26"/>
      <c r="F297" s="13" t="str">
        <f>IF(E297="","",IFERROR(INDEX(Catalogos!$C$5:$C$49,MATCH(E297,L_METAS,0)),""))</f>
        <v/>
      </c>
      <c r="G297" s="13" t="str">
        <f>IF(E297="","",IFERROR(INDEX(Catalogos!$E$5:$E$49,MATCH(E297,L_METAS,0)),""))</f>
        <v/>
      </c>
      <c r="H297" s="26"/>
      <c r="I297" s="26"/>
      <c r="J297" s="26"/>
      <c r="K297" s="26"/>
      <c r="L297" s="26"/>
      <c r="M297" s="27"/>
      <c r="N297" s="26"/>
      <c r="O297" s="26"/>
      <c r="P297" s="26"/>
      <c r="Q297" s="26"/>
      <c r="R297" s="26"/>
      <c r="S297" s="26"/>
      <c r="T297" s="26"/>
      <c r="U297" s="26"/>
      <c r="V297" s="26"/>
      <c r="W297" s="28"/>
      <c r="X297" s="28"/>
      <c r="Y297" s="26"/>
      <c r="Z297" s="26"/>
      <c r="AA297" s="26"/>
      <c r="AB297" s="26"/>
      <c r="AC297" s="26"/>
      <c r="AD297" s="26"/>
      <c r="AE297" s="26"/>
      <c r="AF297" s="26"/>
      <c r="AG297" s="26"/>
      <c r="AH297" s="26"/>
      <c r="AI297" s="26"/>
      <c r="AJ297" s="15" t="str">
        <f>IF(COUNTA(B297,E297,H297,I297,J297,K297,L297,M297,N297,O297,P297,Q297,R297,S297,T297,U297,V297,W297,X297,Y297,Z297,AA297,AB297,AC297,AD297,AE297,AF297,AG297,AH297,AI297)=0,"",IF(OR(B297="",E297="",H297="",J297="",K297="",L297="",M297="",O297="",P297="",Q297="",R297="",S297="",T297="",U297="",W297="",X297="",Y297="",AB297="",AC297="",AE297="",AF297=""),"Incompleta: faltan campos obligatorios",IF(AND(LEFT(H297,6)="PROPIA",I297=""),"Falta el nombre de la acción propia del área",IF(AND(LEFT(H297,3)="A27",IFERROR(INDEX(Catalogos!$T$5:$T$207,MATCH(H297,Catalogos!$U$5:$U$207,0)),"x")&lt;&gt;LEFT(E297,7)),"La acción no corresponde a la meta seleccionada",IF(OR(NOT(ISNUMBER(M297)),M297&lt;10000000,M297&gt;99999999),"Código UNSPSC inválido: registre 8 dígitos",IF(MOD(M297,10000)=0,"UNSPSC a nivel de segmento o familia: use clase o producto",IF(IFERROR(MATCH(P297,L_MESES,0)&lt;MATCH(O297,L_MESES,0),TRUE()),"El mes de ofertas es anterior al de inicio del proceso",IF(OR(NOT(ISNUMBER(Q297)),Q297&lt;=0),"Duración inválida",IF(OR(NOT(ISNUMBER(W297)),NOT(ISNUMBER(X297))),"Valor inválido: registre solo números",IF(OR(W297&lt;=0,X297&lt;=0),"Valor inválido: debe ser mayor que cero",IF(X297&gt;W297,"El valor de la vigencia 2027 supera el valor total",IF(AND(X297&lt;W297,Y297="No"),"El valor total supera el de 2027: requiere vigencias futuras",IF(AND(Y297="Sí",OR(Z297="",Z297="No aplica")),"Indique el estado de la solicitud de vigencias futuras",IF(IF(AND(S297="Mínima cuantía",ISNUMBER(P_TOPE_MINIMA)),W297&gt;P_TOPE_MINIMA,FALSE()),"El valor supera el tope de mínima cuantía 2027",IF(IF(AND(S297="Selección abreviada de menor cuantía",ISNUMBER(P_TOPE_MENOR)),W297&gt;P_TOPE_MENOR,FALSE()),"El valor supera el tope de menor cuantía 2027",IF(OR(ISERROR(SEARCH("@itc.edu.co",AE297)),SUMPRODUCT(--ISNUMBER(SEARCH({"á","é","í","ó","ú","ñ"," "},AE297)))&gt;0),"El correo del responsable no es institucional válido",IF(AND(AF297="Sí",AG297=""),"Indique el N.° de registro 2026 que continúa","OK")))))))))))))))))</f>
        <v/>
      </c>
      <c r="AK297" s="15" t="str">
        <f>IF(AJ297="OK",COUNTIF($AJ$7:AJ297,"OK"),"")</f>
        <v/>
      </c>
    </row>
    <row r="298" spans="1:37" x14ac:dyDescent="0.3">
      <c r="A298" s="13" t="str">
        <f t="shared" si="4"/>
        <v>PN27-292</v>
      </c>
      <c r="B298" s="26"/>
      <c r="C298" s="13" t="str">
        <f>IF(B298="","",IFERROR(INDEX(Catalogos!$R$5:$R$51,MATCH(B298,L_AREAS,0)),""))</f>
        <v/>
      </c>
      <c r="D298" s="13" t="str">
        <f>IF(B298="","",IFERROR(INDEX(Catalogos!$O$5:$O$51,MATCH(B298,L_AREAS,0)),""))</f>
        <v/>
      </c>
      <c r="E298" s="26"/>
      <c r="F298" s="13" t="str">
        <f>IF(E298="","",IFERROR(INDEX(Catalogos!$C$5:$C$49,MATCH(E298,L_METAS,0)),""))</f>
        <v/>
      </c>
      <c r="G298" s="13" t="str">
        <f>IF(E298="","",IFERROR(INDEX(Catalogos!$E$5:$E$49,MATCH(E298,L_METAS,0)),""))</f>
        <v/>
      </c>
      <c r="H298" s="26"/>
      <c r="I298" s="26"/>
      <c r="J298" s="26"/>
      <c r="K298" s="26"/>
      <c r="L298" s="26"/>
      <c r="M298" s="27"/>
      <c r="N298" s="26"/>
      <c r="O298" s="26"/>
      <c r="P298" s="26"/>
      <c r="Q298" s="26"/>
      <c r="R298" s="26"/>
      <c r="S298" s="26"/>
      <c r="T298" s="26"/>
      <c r="U298" s="26"/>
      <c r="V298" s="26"/>
      <c r="W298" s="28"/>
      <c r="X298" s="28"/>
      <c r="Y298" s="26"/>
      <c r="Z298" s="26"/>
      <c r="AA298" s="26"/>
      <c r="AB298" s="26"/>
      <c r="AC298" s="26"/>
      <c r="AD298" s="26"/>
      <c r="AE298" s="26"/>
      <c r="AF298" s="26"/>
      <c r="AG298" s="26"/>
      <c r="AH298" s="26"/>
      <c r="AI298" s="26"/>
      <c r="AJ298" s="15" t="str">
        <f>IF(COUNTA(B298,E298,H298,I298,J298,K298,L298,M298,N298,O298,P298,Q298,R298,S298,T298,U298,V298,W298,X298,Y298,Z298,AA298,AB298,AC298,AD298,AE298,AF298,AG298,AH298,AI298)=0,"",IF(OR(B298="",E298="",H298="",J298="",K298="",L298="",M298="",O298="",P298="",Q298="",R298="",S298="",T298="",U298="",W298="",X298="",Y298="",AB298="",AC298="",AE298="",AF298=""),"Incompleta: faltan campos obligatorios",IF(AND(LEFT(H298,6)="PROPIA",I298=""),"Falta el nombre de la acción propia del área",IF(AND(LEFT(H298,3)="A27",IFERROR(INDEX(Catalogos!$T$5:$T$207,MATCH(H298,Catalogos!$U$5:$U$207,0)),"x")&lt;&gt;LEFT(E298,7)),"La acción no corresponde a la meta seleccionada",IF(OR(NOT(ISNUMBER(M298)),M298&lt;10000000,M298&gt;99999999),"Código UNSPSC inválido: registre 8 dígitos",IF(MOD(M298,10000)=0,"UNSPSC a nivel de segmento o familia: use clase o producto",IF(IFERROR(MATCH(P298,L_MESES,0)&lt;MATCH(O298,L_MESES,0),TRUE()),"El mes de ofertas es anterior al de inicio del proceso",IF(OR(NOT(ISNUMBER(Q298)),Q298&lt;=0),"Duración inválida",IF(OR(NOT(ISNUMBER(W298)),NOT(ISNUMBER(X298))),"Valor inválido: registre solo números",IF(OR(W298&lt;=0,X298&lt;=0),"Valor inválido: debe ser mayor que cero",IF(X298&gt;W298,"El valor de la vigencia 2027 supera el valor total",IF(AND(X298&lt;W298,Y298="No"),"El valor total supera el de 2027: requiere vigencias futuras",IF(AND(Y298="Sí",OR(Z298="",Z298="No aplica")),"Indique el estado de la solicitud de vigencias futuras",IF(IF(AND(S298="Mínima cuantía",ISNUMBER(P_TOPE_MINIMA)),W298&gt;P_TOPE_MINIMA,FALSE()),"El valor supera el tope de mínima cuantía 2027",IF(IF(AND(S298="Selección abreviada de menor cuantía",ISNUMBER(P_TOPE_MENOR)),W298&gt;P_TOPE_MENOR,FALSE()),"El valor supera el tope de menor cuantía 2027",IF(OR(ISERROR(SEARCH("@itc.edu.co",AE298)),SUMPRODUCT(--ISNUMBER(SEARCH({"á","é","í","ó","ú","ñ"," "},AE298)))&gt;0),"El correo del responsable no es institucional válido",IF(AND(AF298="Sí",AG298=""),"Indique el N.° de registro 2026 que continúa","OK")))))))))))))))))</f>
        <v/>
      </c>
      <c r="AK298" s="15" t="str">
        <f>IF(AJ298="OK",COUNTIF($AJ$7:AJ298,"OK"),"")</f>
        <v/>
      </c>
    </row>
    <row r="299" spans="1:37" x14ac:dyDescent="0.3">
      <c r="A299" s="13" t="str">
        <f t="shared" si="4"/>
        <v>PN27-293</v>
      </c>
      <c r="B299" s="26"/>
      <c r="C299" s="13" t="str">
        <f>IF(B299="","",IFERROR(INDEX(Catalogos!$R$5:$R$51,MATCH(B299,L_AREAS,0)),""))</f>
        <v/>
      </c>
      <c r="D299" s="13" t="str">
        <f>IF(B299="","",IFERROR(INDEX(Catalogos!$O$5:$O$51,MATCH(B299,L_AREAS,0)),""))</f>
        <v/>
      </c>
      <c r="E299" s="26"/>
      <c r="F299" s="13" t="str">
        <f>IF(E299="","",IFERROR(INDEX(Catalogos!$C$5:$C$49,MATCH(E299,L_METAS,0)),""))</f>
        <v/>
      </c>
      <c r="G299" s="13" t="str">
        <f>IF(E299="","",IFERROR(INDEX(Catalogos!$E$5:$E$49,MATCH(E299,L_METAS,0)),""))</f>
        <v/>
      </c>
      <c r="H299" s="26"/>
      <c r="I299" s="26"/>
      <c r="J299" s="26"/>
      <c r="K299" s="26"/>
      <c r="L299" s="26"/>
      <c r="M299" s="27"/>
      <c r="N299" s="26"/>
      <c r="O299" s="26"/>
      <c r="P299" s="26"/>
      <c r="Q299" s="26"/>
      <c r="R299" s="26"/>
      <c r="S299" s="26"/>
      <c r="T299" s="26"/>
      <c r="U299" s="26"/>
      <c r="V299" s="26"/>
      <c r="W299" s="28"/>
      <c r="X299" s="28"/>
      <c r="Y299" s="26"/>
      <c r="Z299" s="26"/>
      <c r="AA299" s="26"/>
      <c r="AB299" s="26"/>
      <c r="AC299" s="26"/>
      <c r="AD299" s="26"/>
      <c r="AE299" s="26"/>
      <c r="AF299" s="26"/>
      <c r="AG299" s="26"/>
      <c r="AH299" s="26"/>
      <c r="AI299" s="26"/>
      <c r="AJ299" s="15" t="str">
        <f>IF(COUNTA(B299,E299,H299,I299,J299,K299,L299,M299,N299,O299,P299,Q299,R299,S299,T299,U299,V299,W299,X299,Y299,Z299,AA299,AB299,AC299,AD299,AE299,AF299,AG299,AH299,AI299)=0,"",IF(OR(B299="",E299="",H299="",J299="",K299="",L299="",M299="",O299="",P299="",Q299="",R299="",S299="",T299="",U299="",W299="",X299="",Y299="",AB299="",AC299="",AE299="",AF299=""),"Incompleta: faltan campos obligatorios",IF(AND(LEFT(H299,6)="PROPIA",I299=""),"Falta el nombre de la acción propia del área",IF(AND(LEFT(H299,3)="A27",IFERROR(INDEX(Catalogos!$T$5:$T$207,MATCH(H299,Catalogos!$U$5:$U$207,0)),"x")&lt;&gt;LEFT(E299,7)),"La acción no corresponde a la meta seleccionada",IF(OR(NOT(ISNUMBER(M299)),M299&lt;10000000,M299&gt;99999999),"Código UNSPSC inválido: registre 8 dígitos",IF(MOD(M299,10000)=0,"UNSPSC a nivel de segmento o familia: use clase o producto",IF(IFERROR(MATCH(P299,L_MESES,0)&lt;MATCH(O299,L_MESES,0),TRUE()),"El mes de ofertas es anterior al de inicio del proceso",IF(OR(NOT(ISNUMBER(Q299)),Q299&lt;=0),"Duración inválida",IF(OR(NOT(ISNUMBER(W299)),NOT(ISNUMBER(X299))),"Valor inválido: registre solo números",IF(OR(W299&lt;=0,X299&lt;=0),"Valor inválido: debe ser mayor que cero",IF(X299&gt;W299,"El valor de la vigencia 2027 supera el valor total",IF(AND(X299&lt;W299,Y299="No"),"El valor total supera el de 2027: requiere vigencias futuras",IF(AND(Y299="Sí",OR(Z299="",Z299="No aplica")),"Indique el estado de la solicitud de vigencias futuras",IF(IF(AND(S299="Mínima cuantía",ISNUMBER(P_TOPE_MINIMA)),W299&gt;P_TOPE_MINIMA,FALSE()),"El valor supera el tope de mínima cuantía 2027",IF(IF(AND(S299="Selección abreviada de menor cuantía",ISNUMBER(P_TOPE_MENOR)),W299&gt;P_TOPE_MENOR,FALSE()),"El valor supera el tope de menor cuantía 2027",IF(OR(ISERROR(SEARCH("@itc.edu.co",AE299)),SUMPRODUCT(--ISNUMBER(SEARCH({"á","é","í","ó","ú","ñ"," "},AE299)))&gt;0),"El correo del responsable no es institucional válido",IF(AND(AF299="Sí",AG299=""),"Indique el N.° de registro 2026 que continúa","OK")))))))))))))))))</f>
        <v/>
      </c>
      <c r="AK299" s="15" t="str">
        <f>IF(AJ299="OK",COUNTIF($AJ$7:AJ299,"OK"),"")</f>
        <v/>
      </c>
    </row>
    <row r="300" spans="1:37" x14ac:dyDescent="0.3">
      <c r="A300" s="13" t="str">
        <f t="shared" si="4"/>
        <v>PN27-294</v>
      </c>
      <c r="B300" s="26"/>
      <c r="C300" s="13" t="str">
        <f>IF(B300="","",IFERROR(INDEX(Catalogos!$R$5:$R$51,MATCH(B300,L_AREAS,0)),""))</f>
        <v/>
      </c>
      <c r="D300" s="13" t="str">
        <f>IF(B300="","",IFERROR(INDEX(Catalogos!$O$5:$O$51,MATCH(B300,L_AREAS,0)),""))</f>
        <v/>
      </c>
      <c r="E300" s="26"/>
      <c r="F300" s="13" t="str">
        <f>IF(E300="","",IFERROR(INDEX(Catalogos!$C$5:$C$49,MATCH(E300,L_METAS,0)),""))</f>
        <v/>
      </c>
      <c r="G300" s="13" t="str">
        <f>IF(E300="","",IFERROR(INDEX(Catalogos!$E$5:$E$49,MATCH(E300,L_METAS,0)),""))</f>
        <v/>
      </c>
      <c r="H300" s="26"/>
      <c r="I300" s="26"/>
      <c r="J300" s="26"/>
      <c r="K300" s="26"/>
      <c r="L300" s="26"/>
      <c r="M300" s="27"/>
      <c r="N300" s="26"/>
      <c r="O300" s="26"/>
      <c r="P300" s="26"/>
      <c r="Q300" s="26"/>
      <c r="R300" s="26"/>
      <c r="S300" s="26"/>
      <c r="T300" s="26"/>
      <c r="U300" s="26"/>
      <c r="V300" s="26"/>
      <c r="W300" s="28"/>
      <c r="X300" s="28"/>
      <c r="Y300" s="26"/>
      <c r="Z300" s="26"/>
      <c r="AA300" s="26"/>
      <c r="AB300" s="26"/>
      <c r="AC300" s="26"/>
      <c r="AD300" s="26"/>
      <c r="AE300" s="26"/>
      <c r="AF300" s="26"/>
      <c r="AG300" s="26"/>
      <c r="AH300" s="26"/>
      <c r="AI300" s="26"/>
      <c r="AJ300" s="15" t="str">
        <f>IF(COUNTA(B300,E300,H300,I300,J300,K300,L300,M300,N300,O300,P300,Q300,R300,S300,T300,U300,V300,W300,X300,Y300,Z300,AA300,AB300,AC300,AD300,AE300,AF300,AG300,AH300,AI300)=0,"",IF(OR(B300="",E300="",H300="",J300="",K300="",L300="",M300="",O300="",P300="",Q300="",R300="",S300="",T300="",U300="",W300="",X300="",Y300="",AB300="",AC300="",AE300="",AF300=""),"Incompleta: faltan campos obligatorios",IF(AND(LEFT(H300,6)="PROPIA",I300=""),"Falta el nombre de la acción propia del área",IF(AND(LEFT(H300,3)="A27",IFERROR(INDEX(Catalogos!$T$5:$T$207,MATCH(H300,Catalogos!$U$5:$U$207,0)),"x")&lt;&gt;LEFT(E300,7)),"La acción no corresponde a la meta seleccionada",IF(OR(NOT(ISNUMBER(M300)),M300&lt;10000000,M300&gt;99999999),"Código UNSPSC inválido: registre 8 dígitos",IF(MOD(M300,10000)=0,"UNSPSC a nivel de segmento o familia: use clase o producto",IF(IFERROR(MATCH(P300,L_MESES,0)&lt;MATCH(O300,L_MESES,0),TRUE()),"El mes de ofertas es anterior al de inicio del proceso",IF(OR(NOT(ISNUMBER(Q300)),Q300&lt;=0),"Duración inválida",IF(OR(NOT(ISNUMBER(W300)),NOT(ISNUMBER(X300))),"Valor inválido: registre solo números",IF(OR(W300&lt;=0,X300&lt;=0),"Valor inválido: debe ser mayor que cero",IF(X300&gt;W300,"El valor de la vigencia 2027 supera el valor total",IF(AND(X300&lt;W300,Y300="No"),"El valor total supera el de 2027: requiere vigencias futuras",IF(AND(Y300="Sí",OR(Z300="",Z300="No aplica")),"Indique el estado de la solicitud de vigencias futuras",IF(IF(AND(S300="Mínima cuantía",ISNUMBER(P_TOPE_MINIMA)),W300&gt;P_TOPE_MINIMA,FALSE()),"El valor supera el tope de mínima cuantía 2027",IF(IF(AND(S300="Selección abreviada de menor cuantía",ISNUMBER(P_TOPE_MENOR)),W300&gt;P_TOPE_MENOR,FALSE()),"El valor supera el tope de menor cuantía 2027",IF(OR(ISERROR(SEARCH("@itc.edu.co",AE300)),SUMPRODUCT(--ISNUMBER(SEARCH({"á","é","í","ó","ú","ñ"," "},AE300)))&gt;0),"El correo del responsable no es institucional válido",IF(AND(AF300="Sí",AG300=""),"Indique el N.° de registro 2026 que continúa","OK")))))))))))))))))</f>
        <v/>
      </c>
      <c r="AK300" s="15" t="str">
        <f>IF(AJ300="OK",COUNTIF($AJ$7:AJ300,"OK"),"")</f>
        <v/>
      </c>
    </row>
    <row r="301" spans="1:37" x14ac:dyDescent="0.3">
      <c r="A301" s="13" t="str">
        <f t="shared" si="4"/>
        <v>PN27-295</v>
      </c>
      <c r="B301" s="26"/>
      <c r="C301" s="13" t="str">
        <f>IF(B301="","",IFERROR(INDEX(Catalogos!$R$5:$R$51,MATCH(B301,L_AREAS,0)),""))</f>
        <v/>
      </c>
      <c r="D301" s="13" t="str">
        <f>IF(B301="","",IFERROR(INDEX(Catalogos!$O$5:$O$51,MATCH(B301,L_AREAS,0)),""))</f>
        <v/>
      </c>
      <c r="E301" s="26"/>
      <c r="F301" s="13" t="str">
        <f>IF(E301="","",IFERROR(INDEX(Catalogos!$C$5:$C$49,MATCH(E301,L_METAS,0)),""))</f>
        <v/>
      </c>
      <c r="G301" s="13" t="str">
        <f>IF(E301="","",IFERROR(INDEX(Catalogos!$E$5:$E$49,MATCH(E301,L_METAS,0)),""))</f>
        <v/>
      </c>
      <c r="H301" s="26"/>
      <c r="I301" s="26"/>
      <c r="J301" s="26"/>
      <c r="K301" s="26"/>
      <c r="L301" s="26"/>
      <c r="M301" s="27"/>
      <c r="N301" s="26"/>
      <c r="O301" s="26"/>
      <c r="P301" s="26"/>
      <c r="Q301" s="26"/>
      <c r="R301" s="26"/>
      <c r="S301" s="26"/>
      <c r="T301" s="26"/>
      <c r="U301" s="26"/>
      <c r="V301" s="26"/>
      <c r="W301" s="28"/>
      <c r="X301" s="28"/>
      <c r="Y301" s="26"/>
      <c r="Z301" s="26"/>
      <c r="AA301" s="26"/>
      <c r="AB301" s="26"/>
      <c r="AC301" s="26"/>
      <c r="AD301" s="26"/>
      <c r="AE301" s="26"/>
      <c r="AF301" s="26"/>
      <c r="AG301" s="26"/>
      <c r="AH301" s="26"/>
      <c r="AI301" s="26"/>
      <c r="AJ301" s="15" t="str">
        <f>IF(COUNTA(B301,E301,H301,I301,J301,K301,L301,M301,N301,O301,P301,Q301,R301,S301,T301,U301,V301,W301,X301,Y301,Z301,AA301,AB301,AC301,AD301,AE301,AF301,AG301,AH301,AI301)=0,"",IF(OR(B301="",E301="",H301="",J301="",K301="",L301="",M301="",O301="",P301="",Q301="",R301="",S301="",T301="",U301="",W301="",X301="",Y301="",AB301="",AC301="",AE301="",AF301=""),"Incompleta: faltan campos obligatorios",IF(AND(LEFT(H301,6)="PROPIA",I301=""),"Falta el nombre de la acción propia del área",IF(AND(LEFT(H301,3)="A27",IFERROR(INDEX(Catalogos!$T$5:$T$207,MATCH(H301,Catalogos!$U$5:$U$207,0)),"x")&lt;&gt;LEFT(E301,7)),"La acción no corresponde a la meta seleccionada",IF(OR(NOT(ISNUMBER(M301)),M301&lt;10000000,M301&gt;99999999),"Código UNSPSC inválido: registre 8 dígitos",IF(MOD(M301,10000)=0,"UNSPSC a nivel de segmento o familia: use clase o producto",IF(IFERROR(MATCH(P301,L_MESES,0)&lt;MATCH(O301,L_MESES,0),TRUE()),"El mes de ofertas es anterior al de inicio del proceso",IF(OR(NOT(ISNUMBER(Q301)),Q301&lt;=0),"Duración inválida",IF(OR(NOT(ISNUMBER(W301)),NOT(ISNUMBER(X301))),"Valor inválido: registre solo números",IF(OR(W301&lt;=0,X301&lt;=0),"Valor inválido: debe ser mayor que cero",IF(X301&gt;W301,"El valor de la vigencia 2027 supera el valor total",IF(AND(X301&lt;W301,Y301="No"),"El valor total supera el de 2027: requiere vigencias futuras",IF(AND(Y301="Sí",OR(Z301="",Z301="No aplica")),"Indique el estado de la solicitud de vigencias futuras",IF(IF(AND(S301="Mínima cuantía",ISNUMBER(P_TOPE_MINIMA)),W301&gt;P_TOPE_MINIMA,FALSE()),"El valor supera el tope de mínima cuantía 2027",IF(IF(AND(S301="Selección abreviada de menor cuantía",ISNUMBER(P_TOPE_MENOR)),W301&gt;P_TOPE_MENOR,FALSE()),"El valor supera el tope de menor cuantía 2027",IF(OR(ISERROR(SEARCH("@itc.edu.co",AE301)),SUMPRODUCT(--ISNUMBER(SEARCH({"á","é","í","ó","ú","ñ"," "},AE301)))&gt;0),"El correo del responsable no es institucional válido",IF(AND(AF301="Sí",AG301=""),"Indique el N.° de registro 2026 que continúa","OK")))))))))))))))))</f>
        <v/>
      </c>
      <c r="AK301" s="15" t="str">
        <f>IF(AJ301="OK",COUNTIF($AJ$7:AJ301,"OK"),"")</f>
        <v/>
      </c>
    </row>
    <row r="302" spans="1:37" x14ac:dyDescent="0.3">
      <c r="A302" s="13" t="str">
        <f t="shared" si="4"/>
        <v>PN27-296</v>
      </c>
      <c r="B302" s="26"/>
      <c r="C302" s="13" t="str">
        <f>IF(B302="","",IFERROR(INDEX(Catalogos!$R$5:$R$51,MATCH(B302,L_AREAS,0)),""))</f>
        <v/>
      </c>
      <c r="D302" s="13" t="str">
        <f>IF(B302="","",IFERROR(INDEX(Catalogos!$O$5:$O$51,MATCH(B302,L_AREAS,0)),""))</f>
        <v/>
      </c>
      <c r="E302" s="26"/>
      <c r="F302" s="13" t="str">
        <f>IF(E302="","",IFERROR(INDEX(Catalogos!$C$5:$C$49,MATCH(E302,L_METAS,0)),""))</f>
        <v/>
      </c>
      <c r="G302" s="13" t="str">
        <f>IF(E302="","",IFERROR(INDEX(Catalogos!$E$5:$E$49,MATCH(E302,L_METAS,0)),""))</f>
        <v/>
      </c>
      <c r="H302" s="26"/>
      <c r="I302" s="26"/>
      <c r="J302" s="26"/>
      <c r="K302" s="26"/>
      <c r="L302" s="26"/>
      <c r="M302" s="27"/>
      <c r="N302" s="26"/>
      <c r="O302" s="26"/>
      <c r="P302" s="26"/>
      <c r="Q302" s="26"/>
      <c r="R302" s="26"/>
      <c r="S302" s="26"/>
      <c r="T302" s="26"/>
      <c r="U302" s="26"/>
      <c r="V302" s="26"/>
      <c r="W302" s="28"/>
      <c r="X302" s="28"/>
      <c r="Y302" s="26"/>
      <c r="Z302" s="26"/>
      <c r="AA302" s="26"/>
      <c r="AB302" s="26"/>
      <c r="AC302" s="26"/>
      <c r="AD302" s="26"/>
      <c r="AE302" s="26"/>
      <c r="AF302" s="26"/>
      <c r="AG302" s="26"/>
      <c r="AH302" s="26"/>
      <c r="AI302" s="26"/>
      <c r="AJ302" s="15" t="str">
        <f>IF(COUNTA(B302,E302,H302,I302,J302,K302,L302,M302,N302,O302,P302,Q302,R302,S302,T302,U302,V302,W302,X302,Y302,Z302,AA302,AB302,AC302,AD302,AE302,AF302,AG302,AH302,AI302)=0,"",IF(OR(B302="",E302="",H302="",J302="",K302="",L302="",M302="",O302="",P302="",Q302="",R302="",S302="",T302="",U302="",W302="",X302="",Y302="",AB302="",AC302="",AE302="",AF302=""),"Incompleta: faltan campos obligatorios",IF(AND(LEFT(H302,6)="PROPIA",I302=""),"Falta el nombre de la acción propia del área",IF(AND(LEFT(H302,3)="A27",IFERROR(INDEX(Catalogos!$T$5:$T$207,MATCH(H302,Catalogos!$U$5:$U$207,0)),"x")&lt;&gt;LEFT(E302,7)),"La acción no corresponde a la meta seleccionada",IF(OR(NOT(ISNUMBER(M302)),M302&lt;10000000,M302&gt;99999999),"Código UNSPSC inválido: registre 8 dígitos",IF(MOD(M302,10000)=0,"UNSPSC a nivel de segmento o familia: use clase o producto",IF(IFERROR(MATCH(P302,L_MESES,0)&lt;MATCH(O302,L_MESES,0),TRUE()),"El mes de ofertas es anterior al de inicio del proceso",IF(OR(NOT(ISNUMBER(Q302)),Q302&lt;=0),"Duración inválida",IF(OR(NOT(ISNUMBER(W302)),NOT(ISNUMBER(X302))),"Valor inválido: registre solo números",IF(OR(W302&lt;=0,X302&lt;=0),"Valor inválido: debe ser mayor que cero",IF(X302&gt;W302,"El valor de la vigencia 2027 supera el valor total",IF(AND(X302&lt;W302,Y302="No"),"El valor total supera el de 2027: requiere vigencias futuras",IF(AND(Y302="Sí",OR(Z302="",Z302="No aplica")),"Indique el estado de la solicitud de vigencias futuras",IF(IF(AND(S302="Mínima cuantía",ISNUMBER(P_TOPE_MINIMA)),W302&gt;P_TOPE_MINIMA,FALSE()),"El valor supera el tope de mínima cuantía 2027",IF(IF(AND(S302="Selección abreviada de menor cuantía",ISNUMBER(P_TOPE_MENOR)),W302&gt;P_TOPE_MENOR,FALSE()),"El valor supera el tope de menor cuantía 2027",IF(OR(ISERROR(SEARCH("@itc.edu.co",AE302)),SUMPRODUCT(--ISNUMBER(SEARCH({"á","é","í","ó","ú","ñ"," "},AE302)))&gt;0),"El correo del responsable no es institucional válido",IF(AND(AF302="Sí",AG302=""),"Indique el N.° de registro 2026 que continúa","OK")))))))))))))))))</f>
        <v/>
      </c>
      <c r="AK302" s="15" t="str">
        <f>IF(AJ302="OK",COUNTIF($AJ$7:AJ302,"OK"),"")</f>
        <v/>
      </c>
    </row>
    <row r="303" spans="1:37" x14ac:dyDescent="0.3">
      <c r="A303" s="13" t="str">
        <f t="shared" si="4"/>
        <v>PN27-297</v>
      </c>
      <c r="B303" s="26"/>
      <c r="C303" s="13" t="str">
        <f>IF(B303="","",IFERROR(INDEX(Catalogos!$R$5:$R$51,MATCH(B303,L_AREAS,0)),""))</f>
        <v/>
      </c>
      <c r="D303" s="13" t="str">
        <f>IF(B303="","",IFERROR(INDEX(Catalogos!$O$5:$O$51,MATCH(B303,L_AREAS,0)),""))</f>
        <v/>
      </c>
      <c r="E303" s="26"/>
      <c r="F303" s="13" t="str">
        <f>IF(E303="","",IFERROR(INDEX(Catalogos!$C$5:$C$49,MATCH(E303,L_METAS,0)),""))</f>
        <v/>
      </c>
      <c r="G303" s="13" t="str">
        <f>IF(E303="","",IFERROR(INDEX(Catalogos!$E$5:$E$49,MATCH(E303,L_METAS,0)),""))</f>
        <v/>
      </c>
      <c r="H303" s="26"/>
      <c r="I303" s="26"/>
      <c r="J303" s="26"/>
      <c r="K303" s="26"/>
      <c r="L303" s="26"/>
      <c r="M303" s="27"/>
      <c r="N303" s="26"/>
      <c r="O303" s="26"/>
      <c r="P303" s="26"/>
      <c r="Q303" s="26"/>
      <c r="R303" s="26"/>
      <c r="S303" s="26"/>
      <c r="T303" s="26"/>
      <c r="U303" s="26"/>
      <c r="V303" s="26"/>
      <c r="W303" s="28"/>
      <c r="X303" s="28"/>
      <c r="Y303" s="26"/>
      <c r="Z303" s="26"/>
      <c r="AA303" s="26"/>
      <c r="AB303" s="26"/>
      <c r="AC303" s="26"/>
      <c r="AD303" s="26"/>
      <c r="AE303" s="26"/>
      <c r="AF303" s="26"/>
      <c r="AG303" s="26"/>
      <c r="AH303" s="26"/>
      <c r="AI303" s="26"/>
      <c r="AJ303" s="15" t="str">
        <f>IF(COUNTA(B303,E303,H303,I303,J303,K303,L303,M303,N303,O303,P303,Q303,R303,S303,T303,U303,V303,W303,X303,Y303,Z303,AA303,AB303,AC303,AD303,AE303,AF303,AG303,AH303,AI303)=0,"",IF(OR(B303="",E303="",H303="",J303="",K303="",L303="",M303="",O303="",P303="",Q303="",R303="",S303="",T303="",U303="",W303="",X303="",Y303="",AB303="",AC303="",AE303="",AF303=""),"Incompleta: faltan campos obligatorios",IF(AND(LEFT(H303,6)="PROPIA",I303=""),"Falta el nombre de la acción propia del área",IF(AND(LEFT(H303,3)="A27",IFERROR(INDEX(Catalogos!$T$5:$T$207,MATCH(H303,Catalogos!$U$5:$U$207,0)),"x")&lt;&gt;LEFT(E303,7)),"La acción no corresponde a la meta seleccionada",IF(OR(NOT(ISNUMBER(M303)),M303&lt;10000000,M303&gt;99999999),"Código UNSPSC inválido: registre 8 dígitos",IF(MOD(M303,10000)=0,"UNSPSC a nivel de segmento o familia: use clase o producto",IF(IFERROR(MATCH(P303,L_MESES,0)&lt;MATCH(O303,L_MESES,0),TRUE()),"El mes de ofertas es anterior al de inicio del proceso",IF(OR(NOT(ISNUMBER(Q303)),Q303&lt;=0),"Duración inválida",IF(OR(NOT(ISNUMBER(W303)),NOT(ISNUMBER(X303))),"Valor inválido: registre solo números",IF(OR(W303&lt;=0,X303&lt;=0),"Valor inválido: debe ser mayor que cero",IF(X303&gt;W303,"El valor de la vigencia 2027 supera el valor total",IF(AND(X303&lt;W303,Y303="No"),"El valor total supera el de 2027: requiere vigencias futuras",IF(AND(Y303="Sí",OR(Z303="",Z303="No aplica")),"Indique el estado de la solicitud de vigencias futuras",IF(IF(AND(S303="Mínima cuantía",ISNUMBER(P_TOPE_MINIMA)),W303&gt;P_TOPE_MINIMA,FALSE()),"El valor supera el tope de mínima cuantía 2027",IF(IF(AND(S303="Selección abreviada de menor cuantía",ISNUMBER(P_TOPE_MENOR)),W303&gt;P_TOPE_MENOR,FALSE()),"El valor supera el tope de menor cuantía 2027",IF(OR(ISERROR(SEARCH("@itc.edu.co",AE303)),SUMPRODUCT(--ISNUMBER(SEARCH({"á","é","í","ó","ú","ñ"," "},AE303)))&gt;0),"El correo del responsable no es institucional válido",IF(AND(AF303="Sí",AG303=""),"Indique el N.° de registro 2026 que continúa","OK")))))))))))))))))</f>
        <v/>
      </c>
      <c r="AK303" s="15" t="str">
        <f>IF(AJ303="OK",COUNTIF($AJ$7:AJ303,"OK"),"")</f>
        <v/>
      </c>
    </row>
    <row r="304" spans="1:37" x14ac:dyDescent="0.3">
      <c r="A304" s="13" t="str">
        <f t="shared" si="4"/>
        <v>PN27-298</v>
      </c>
      <c r="B304" s="26"/>
      <c r="C304" s="13" t="str">
        <f>IF(B304="","",IFERROR(INDEX(Catalogos!$R$5:$R$51,MATCH(B304,L_AREAS,0)),""))</f>
        <v/>
      </c>
      <c r="D304" s="13" t="str">
        <f>IF(B304="","",IFERROR(INDEX(Catalogos!$O$5:$O$51,MATCH(B304,L_AREAS,0)),""))</f>
        <v/>
      </c>
      <c r="E304" s="26"/>
      <c r="F304" s="13" t="str">
        <f>IF(E304="","",IFERROR(INDEX(Catalogos!$C$5:$C$49,MATCH(E304,L_METAS,0)),""))</f>
        <v/>
      </c>
      <c r="G304" s="13" t="str">
        <f>IF(E304="","",IFERROR(INDEX(Catalogos!$E$5:$E$49,MATCH(E304,L_METAS,0)),""))</f>
        <v/>
      </c>
      <c r="H304" s="26"/>
      <c r="I304" s="26"/>
      <c r="J304" s="26"/>
      <c r="K304" s="26"/>
      <c r="L304" s="26"/>
      <c r="M304" s="27"/>
      <c r="N304" s="26"/>
      <c r="O304" s="26"/>
      <c r="P304" s="26"/>
      <c r="Q304" s="26"/>
      <c r="R304" s="26"/>
      <c r="S304" s="26"/>
      <c r="T304" s="26"/>
      <c r="U304" s="26"/>
      <c r="V304" s="26"/>
      <c r="W304" s="28"/>
      <c r="X304" s="28"/>
      <c r="Y304" s="26"/>
      <c r="Z304" s="26"/>
      <c r="AA304" s="26"/>
      <c r="AB304" s="26"/>
      <c r="AC304" s="26"/>
      <c r="AD304" s="26"/>
      <c r="AE304" s="26"/>
      <c r="AF304" s="26"/>
      <c r="AG304" s="26"/>
      <c r="AH304" s="26"/>
      <c r="AI304" s="26"/>
      <c r="AJ304" s="15" t="str">
        <f>IF(COUNTA(B304,E304,H304,I304,J304,K304,L304,M304,N304,O304,P304,Q304,R304,S304,T304,U304,V304,W304,X304,Y304,Z304,AA304,AB304,AC304,AD304,AE304,AF304,AG304,AH304,AI304)=0,"",IF(OR(B304="",E304="",H304="",J304="",K304="",L304="",M304="",O304="",P304="",Q304="",R304="",S304="",T304="",U304="",W304="",X304="",Y304="",AB304="",AC304="",AE304="",AF304=""),"Incompleta: faltan campos obligatorios",IF(AND(LEFT(H304,6)="PROPIA",I304=""),"Falta el nombre de la acción propia del área",IF(AND(LEFT(H304,3)="A27",IFERROR(INDEX(Catalogos!$T$5:$T$207,MATCH(H304,Catalogos!$U$5:$U$207,0)),"x")&lt;&gt;LEFT(E304,7)),"La acción no corresponde a la meta seleccionada",IF(OR(NOT(ISNUMBER(M304)),M304&lt;10000000,M304&gt;99999999),"Código UNSPSC inválido: registre 8 dígitos",IF(MOD(M304,10000)=0,"UNSPSC a nivel de segmento o familia: use clase o producto",IF(IFERROR(MATCH(P304,L_MESES,0)&lt;MATCH(O304,L_MESES,0),TRUE()),"El mes de ofertas es anterior al de inicio del proceso",IF(OR(NOT(ISNUMBER(Q304)),Q304&lt;=0),"Duración inválida",IF(OR(NOT(ISNUMBER(W304)),NOT(ISNUMBER(X304))),"Valor inválido: registre solo números",IF(OR(W304&lt;=0,X304&lt;=0),"Valor inválido: debe ser mayor que cero",IF(X304&gt;W304,"El valor de la vigencia 2027 supera el valor total",IF(AND(X304&lt;W304,Y304="No"),"El valor total supera el de 2027: requiere vigencias futuras",IF(AND(Y304="Sí",OR(Z304="",Z304="No aplica")),"Indique el estado de la solicitud de vigencias futuras",IF(IF(AND(S304="Mínima cuantía",ISNUMBER(P_TOPE_MINIMA)),W304&gt;P_TOPE_MINIMA,FALSE()),"El valor supera el tope de mínima cuantía 2027",IF(IF(AND(S304="Selección abreviada de menor cuantía",ISNUMBER(P_TOPE_MENOR)),W304&gt;P_TOPE_MENOR,FALSE()),"El valor supera el tope de menor cuantía 2027",IF(OR(ISERROR(SEARCH("@itc.edu.co",AE304)),SUMPRODUCT(--ISNUMBER(SEARCH({"á","é","í","ó","ú","ñ"," "},AE304)))&gt;0),"El correo del responsable no es institucional válido",IF(AND(AF304="Sí",AG304=""),"Indique el N.° de registro 2026 que continúa","OK")))))))))))))))))</f>
        <v/>
      </c>
      <c r="AK304" s="15" t="str">
        <f>IF(AJ304="OK",COUNTIF($AJ$7:AJ304,"OK"),"")</f>
        <v/>
      </c>
    </row>
    <row r="305" spans="1:37" x14ac:dyDescent="0.3">
      <c r="A305" s="13" t="str">
        <f t="shared" si="4"/>
        <v>PN27-299</v>
      </c>
      <c r="B305" s="26"/>
      <c r="C305" s="13" t="str">
        <f>IF(B305="","",IFERROR(INDEX(Catalogos!$R$5:$R$51,MATCH(B305,L_AREAS,0)),""))</f>
        <v/>
      </c>
      <c r="D305" s="13" t="str">
        <f>IF(B305="","",IFERROR(INDEX(Catalogos!$O$5:$O$51,MATCH(B305,L_AREAS,0)),""))</f>
        <v/>
      </c>
      <c r="E305" s="26"/>
      <c r="F305" s="13" t="str">
        <f>IF(E305="","",IFERROR(INDEX(Catalogos!$C$5:$C$49,MATCH(E305,L_METAS,0)),""))</f>
        <v/>
      </c>
      <c r="G305" s="13" t="str">
        <f>IF(E305="","",IFERROR(INDEX(Catalogos!$E$5:$E$49,MATCH(E305,L_METAS,0)),""))</f>
        <v/>
      </c>
      <c r="H305" s="26"/>
      <c r="I305" s="26"/>
      <c r="J305" s="26"/>
      <c r="K305" s="26"/>
      <c r="L305" s="26"/>
      <c r="M305" s="27"/>
      <c r="N305" s="26"/>
      <c r="O305" s="26"/>
      <c r="P305" s="26"/>
      <c r="Q305" s="26"/>
      <c r="R305" s="26"/>
      <c r="S305" s="26"/>
      <c r="T305" s="26"/>
      <c r="U305" s="26"/>
      <c r="V305" s="26"/>
      <c r="W305" s="28"/>
      <c r="X305" s="28"/>
      <c r="Y305" s="26"/>
      <c r="Z305" s="26"/>
      <c r="AA305" s="26"/>
      <c r="AB305" s="26"/>
      <c r="AC305" s="26"/>
      <c r="AD305" s="26"/>
      <c r="AE305" s="26"/>
      <c r="AF305" s="26"/>
      <c r="AG305" s="26"/>
      <c r="AH305" s="26"/>
      <c r="AI305" s="26"/>
      <c r="AJ305" s="15" t="str">
        <f>IF(COUNTA(B305,E305,H305,I305,J305,K305,L305,M305,N305,O305,P305,Q305,R305,S305,T305,U305,V305,W305,X305,Y305,Z305,AA305,AB305,AC305,AD305,AE305,AF305,AG305,AH305,AI305)=0,"",IF(OR(B305="",E305="",H305="",J305="",K305="",L305="",M305="",O305="",P305="",Q305="",R305="",S305="",T305="",U305="",W305="",X305="",Y305="",AB305="",AC305="",AE305="",AF305=""),"Incompleta: faltan campos obligatorios",IF(AND(LEFT(H305,6)="PROPIA",I305=""),"Falta el nombre de la acción propia del área",IF(AND(LEFT(H305,3)="A27",IFERROR(INDEX(Catalogos!$T$5:$T$207,MATCH(H305,Catalogos!$U$5:$U$207,0)),"x")&lt;&gt;LEFT(E305,7)),"La acción no corresponde a la meta seleccionada",IF(OR(NOT(ISNUMBER(M305)),M305&lt;10000000,M305&gt;99999999),"Código UNSPSC inválido: registre 8 dígitos",IF(MOD(M305,10000)=0,"UNSPSC a nivel de segmento o familia: use clase o producto",IF(IFERROR(MATCH(P305,L_MESES,0)&lt;MATCH(O305,L_MESES,0),TRUE()),"El mes de ofertas es anterior al de inicio del proceso",IF(OR(NOT(ISNUMBER(Q305)),Q305&lt;=0),"Duración inválida",IF(OR(NOT(ISNUMBER(W305)),NOT(ISNUMBER(X305))),"Valor inválido: registre solo números",IF(OR(W305&lt;=0,X305&lt;=0),"Valor inválido: debe ser mayor que cero",IF(X305&gt;W305,"El valor de la vigencia 2027 supera el valor total",IF(AND(X305&lt;W305,Y305="No"),"El valor total supera el de 2027: requiere vigencias futuras",IF(AND(Y305="Sí",OR(Z305="",Z305="No aplica")),"Indique el estado de la solicitud de vigencias futuras",IF(IF(AND(S305="Mínima cuantía",ISNUMBER(P_TOPE_MINIMA)),W305&gt;P_TOPE_MINIMA,FALSE()),"El valor supera el tope de mínima cuantía 2027",IF(IF(AND(S305="Selección abreviada de menor cuantía",ISNUMBER(P_TOPE_MENOR)),W305&gt;P_TOPE_MENOR,FALSE()),"El valor supera el tope de menor cuantía 2027",IF(OR(ISERROR(SEARCH("@itc.edu.co",AE305)),SUMPRODUCT(--ISNUMBER(SEARCH({"á","é","í","ó","ú","ñ"," "},AE305)))&gt;0),"El correo del responsable no es institucional válido",IF(AND(AF305="Sí",AG305=""),"Indique el N.° de registro 2026 que continúa","OK")))))))))))))))))</f>
        <v/>
      </c>
      <c r="AK305" s="15" t="str">
        <f>IF(AJ305="OK",COUNTIF($AJ$7:AJ305,"OK"),"")</f>
        <v/>
      </c>
    </row>
    <row r="306" spans="1:37" x14ac:dyDescent="0.3">
      <c r="A306" s="13" t="str">
        <f t="shared" si="4"/>
        <v>PN27-300</v>
      </c>
      <c r="B306" s="26"/>
      <c r="C306" s="13" t="str">
        <f>IF(B306="","",IFERROR(INDEX(Catalogos!$R$5:$R$51,MATCH(B306,L_AREAS,0)),""))</f>
        <v/>
      </c>
      <c r="D306" s="13" t="str">
        <f>IF(B306="","",IFERROR(INDEX(Catalogos!$O$5:$O$51,MATCH(B306,L_AREAS,0)),""))</f>
        <v/>
      </c>
      <c r="E306" s="26"/>
      <c r="F306" s="13" t="str">
        <f>IF(E306="","",IFERROR(INDEX(Catalogos!$C$5:$C$49,MATCH(E306,L_METAS,0)),""))</f>
        <v/>
      </c>
      <c r="G306" s="13" t="str">
        <f>IF(E306="","",IFERROR(INDEX(Catalogos!$E$5:$E$49,MATCH(E306,L_METAS,0)),""))</f>
        <v/>
      </c>
      <c r="H306" s="26"/>
      <c r="I306" s="26"/>
      <c r="J306" s="26"/>
      <c r="K306" s="26"/>
      <c r="L306" s="26"/>
      <c r="M306" s="27"/>
      <c r="N306" s="26"/>
      <c r="O306" s="26"/>
      <c r="P306" s="26"/>
      <c r="Q306" s="26"/>
      <c r="R306" s="26"/>
      <c r="S306" s="26"/>
      <c r="T306" s="26"/>
      <c r="U306" s="26"/>
      <c r="V306" s="26"/>
      <c r="W306" s="28"/>
      <c r="X306" s="28"/>
      <c r="Y306" s="26"/>
      <c r="Z306" s="26"/>
      <c r="AA306" s="26"/>
      <c r="AB306" s="26"/>
      <c r="AC306" s="26"/>
      <c r="AD306" s="26"/>
      <c r="AE306" s="26"/>
      <c r="AF306" s="26"/>
      <c r="AG306" s="26"/>
      <c r="AH306" s="26"/>
      <c r="AI306" s="26"/>
      <c r="AJ306" s="15" t="str">
        <f>IF(COUNTA(B306,E306,H306,I306,J306,K306,L306,M306,N306,O306,P306,Q306,R306,S306,T306,U306,V306,W306,X306,Y306,Z306,AA306,AB306,AC306,AD306,AE306,AF306,AG306,AH306,AI306)=0,"",IF(OR(B306="",E306="",H306="",J306="",K306="",L306="",M306="",O306="",P306="",Q306="",R306="",S306="",T306="",U306="",W306="",X306="",Y306="",AB306="",AC306="",AE306="",AF306=""),"Incompleta: faltan campos obligatorios",IF(AND(LEFT(H306,6)="PROPIA",I306=""),"Falta el nombre de la acción propia del área",IF(AND(LEFT(H306,3)="A27",IFERROR(INDEX(Catalogos!$T$5:$T$207,MATCH(H306,Catalogos!$U$5:$U$207,0)),"x")&lt;&gt;LEFT(E306,7)),"La acción no corresponde a la meta seleccionada",IF(OR(NOT(ISNUMBER(M306)),M306&lt;10000000,M306&gt;99999999),"Código UNSPSC inválido: registre 8 dígitos",IF(MOD(M306,10000)=0,"UNSPSC a nivel de segmento o familia: use clase o producto",IF(IFERROR(MATCH(P306,L_MESES,0)&lt;MATCH(O306,L_MESES,0),TRUE()),"El mes de ofertas es anterior al de inicio del proceso",IF(OR(NOT(ISNUMBER(Q306)),Q306&lt;=0),"Duración inválida",IF(OR(NOT(ISNUMBER(W306)),NOT(ISNUMBER(X306))),"Valor inválido: registre solo números",IF(OR(W306&lt;=0,X306&lt;=0),"Valor inválido: debe ser mayor que cero",IF(X306&gt;W306,"El valor de la vigencia 2027 supera el valor total",IF(AND(X306&lt;W306,Y306="No"),"El valor total supera el de 2027: requiere vigencias futuras",IF(AND(Y306="Sí",OR(Z306="",Z306="No aplica")),"Indique el estado de la solicitud de vigencias futuras",IF(IF(AND(S306="Mínima cuantía",ISNUMBER(P_TOPE_MINIMA)),W306&gt;P_TOPE_MINIMA,FALSE()),"El valor supera el tope de mínima cuantía 2027",IF(IF(AND(S306="Selección abreviada de menor cuantía",ISNUMBER(P_TOPE_MENOR)),W306&gt;P_TOPE_MENOR,FALSE()),"El valor supera el tope de menor cuantía 2027",IF(OR(ISERROR(SEARCH("@itc.edu.co",AE306)),SUMPRODUCT(--ISNUMBER(SEARCH({"á","é","í","ó","ú","ñ"," "},AE306)))&gt;0),"El correo del responsable no es institucional válido",IF(AND(AF306="Sí",AG306=""),"Indique el N.° de registro 2026 que continúa","OK")))))))))))))))))</f>
        <v/>
      </c>
      <c r="AK306" s="15" t="str">
        <f>IF(AJ306="OK",COUNTIF($AJ$7:AJ306,"OK"),"")</f>
        <v/>
      </c>
    </row>
    <row r="307" spans="1:37" x14ac:dyDescent="0.3">
      <c r="A307" s="13" t="str">
        <f t="shared" si="4"/>
        <v>PN27-301</v>
      </c>
      <c r="B307" s="26"/>
      <c r="C307" s="13" t="str">
        <f>IF(B307="","",IFERROR(INDEX(Catalogos!$R$5:$R$51,MATCH(B307,L_AREAS,0)),""))</f>
        <v/>
      </c>
      <c r="D307" s="13" t="str">
        <f>IF(B307="","",IFERROR(INDEX(Catalogos!$O$5:$O$51,MATCH(B307,L_AREAS,0)),""))</f>
        <v/>
      </c>
      <c r="E307" s="26"/>
      <c r="F307" s="13" t="str">
        <f>IF(E307="","",IFERROR(INDEX(Catalogos!$C$5:$C$49,MATCH(E307,L_METAS,0)),""))</f>
        <v/>
      </c>
      <c r="G307" s="13" t="str">
        <f>IF(E307="","",IFERROR(INDEX(Catalogos!$E$5:$E$49,MATCH(E307,L_METAS,0)),""))</f>
        <v/>
      </c>
      <c r="H307" s="26"/>
      <c r="I307" s="26"/>
      <c r="J307" s="26"/>
      <c r="K307" s="26"/>
      <c r="L307" s="26"/>
      <c r="M307" s="27"/>
      <c r="N307" s="26"/>
      <c r="O307" s="26"/>
      <c r="P307" s="26"/>
      <c r="Q307" s="26"/>
      <c r="R307" s="26"/>
      <c r="S307" s="26"/>
      <c r="T307" s="26"/>
      <c r="U307" s="26"/>
      <c r="V307" s="26"/>
      <c r="W307" s="28"/>
      <c r="X307" s="28"/>
      <c r="Y307" s="26"/>
      <c r="Z307" s="26"/>
      <c r="AA307" s="26"/>
      <c r="AB307" s="26"/>
      <c r="AC307" s="26"/>
      <c r="AD307" s="26"/>
      <c r="AE307" s="26"/>
      <c r="AF307" s="26"/>
      <c r="AG307" s="26"/>
      <c r="AH307" s="26"/>
      <c r="AI307" s="26"/>
      <c r="AJ307" s="15" t="str">
        <f>IF(COUNTA(B307,E307,H307,I307,J307,K307,L307,M307,N307,O307,P307,Q307,R307,S307,T307,U307,V307,W307,X307,Y307,Z307,AA307,AB307,AC307,AD307,AE307,AF307,AG307,AH307,AI307)=0,"",IF(OR(B307="",E307="",H307="",J307="",K307="",L307="",M307="",O307="",P307="",Q307="",R307="",S307="",T307="",U307="",W307="",X307="",Y307="",AB307="",AC307="",AE307="",AF307=""),"Incompleta: faltan campos obligatorios",IF(AND(LEFT(H307,6)="PROPIA",I307=""),"Falta el nombre de la acción propia del área",IF(AND(LEFT(H307,3)="A27",IFERROR(INDEX(Catalogos!$T$5:$T$207,MATCH(H307,Catalogos!$U$5:$U$207,0)),"x")&lt;&gt;LEFT(E307,7)),"La acción no corresponde a la meta seleccionada",IF(OR(NOT(ISNUMBER(M307)),M307&lt;10000000,M307&gt;99999999),"Código UNSPSC inválido: registre 8 dígitos",IF(MOD(M307,10000)=0,"UNSPSC a nivel de segmento o familia: use clase o producto",IF(IFERROR(MATCH(P307,L_MESES,0)&lt;MATCH(O307,L_MESES,0),TRUE()),"El mes de ofertas es anterior al de inicio del proceso",IF(OR(NOT(ISNUMBER(Q307)),Q307&lt;=0),"Duración inválida",IF(OR(NOT(ISNUMBER(W307)),NOT(ISNUMBER(X307))),"Valor inválido: registre solo números",IF(OR(W307&lt;=0,X307&lt;=0),"Valor inválido: debe ser mayor que cero",IF(X307&gt;W307,"El valor de la vigencia 2027 supera el valor total",IF(AND(X307&lt;W307,Y307="No"),"El valor total supera el de 2027: requiere vigencias futuras",IF(AND(Y307="Sí",OR(Z307="",Z307="No aplica")),"Indique el estado de la solicitud de vigencias futuras",IF(IF(AND(S307="Mínima cuantía",ISNUMBER(P_TOPE_MINIMA)),W307&gt;P_TOPE_MINIMA,FALSE()),"El valor supera el tope de mínima cuantía 2027",IF(IF(AND(S307="Selección abreviada de menor cuantía",ISNUMBER(P_TOPE_MENOR)),W307&gt;P_TOPE_MENOR,FALSE()),"El valor supera el tope de menor cuantía 2027",IF(OR(ISERROR(SEARCH("@itc.edu.co",AE307)),SUMPRODUCT(--ISNUMBER(SEARCH({"á","é","í","ó","ú","ñ"," "},AE307)))&gt;0),"El correo del responsable no es institucional válido",IF(AND(AF307="Sí",AG307=""),"Indique el N.° de registro 2026 que continúa","OK")))))))))))))))))</f>
        <v/>
      </c>
      <c r="AK307" s="15" t="str">
        <f>IF(AJ307="OK",COUNTIF($AJ$7:AJ307,"OK"),"")</f>
        <v/>
      </c>
    </row>
    <row r="308" spans="1:37" x14ac:dyDescent="0.3">
      <c r="A308" s="13" t="str">
        <f t="shared" si="4"/>
        <v>PN27-302</v>
      </c>
      <c r="B308" s="26"/>
      <c r="C308" s="13" t="str">
        <f>IF(B308="","",IFERROR(INDEX(Catalogos!$R$5:$R$51,MATCH(B308,L_AREAS,0)),""))</f>
        <v/>
      </c>
      <c r="D308" s="13" t="str">
        <f>IF(B308="","",IFERROR(INDEX(Catalogos!$O$5:$O$51,MATCH(B308,L_AREAS,0)),""))</f>
        <v/>
      </c>
      <c r="E308" s="26"/>
      <c r="F308" s="13" t="str">
        <f>IF(E308="","",IFERROR(INDEX(Catalogos!$C$5:$C$49,MATCH(E308,L_METAS,0)),""))</f>
        <v/>
      </c>
      <c r="G308" s="13" t="str">
        <f>IF(E308="","",IFERROR(INDEX(Catalogos!$E$5:$E$49,MATCH(E308,L_METAS,0)),""))</f>
        <v/>
      </c>
      <c r="H308" s="26"/>
      <c r="I308" s="26"/>
      <c r="J308" s="26"/>
      <c r="K308" s="26"/>
      <c r="L308" s="26"/>
      <c r="M308" s="27"/>
      <c r="N308" s="26"/>
      <c r="O308" s="26"/>
      <c r="P308" s="26"/>
      <c r="Q308" s="26"/>
      <c r="R308" s="26"/>
      <c r="S308" s="26"/>
      <c r="T308" s="26"/>
      <c r="U308" s="26"/>
      <c r="V308" s="26"/>
      <c r="W308" s="28"/>
      <c r="X308" s="28"/>
      <c r="Y308" s="26"/>
      <c r="Z308" s="26"/>
      <c r="AA308" s="26"/>
      <c r="AB308" s="26"/>
      <c r="AC308" s="26"/>
      <c r="AD308" s="26"/>
      <c r="AE308" s="26"/>
      <c r="AF308" s="26"/>
      <c r="AG308" s="26"/>
      <c r="AH308" s="26"/>
      <c r="AI308" s="26"/>
      <c r="AJ308" s="15" t="str">
        <f>IF(COUNTA(B308,E308,H308,I308,J308,K308,L308,M308,N308,O308,P308,Q308,R308,S308,T308,U308,V308,W308,X308,Y308,Z308,AA308,AB308,AC308,AD308,AE308,AF308,AG308,AH308,AI308)=0,"",IF(OR(B308="",E308="",H308="",J308="",K308="",L308="",M308="",O308="",P308="",Q308="",R308="",S308="",T308="",U308="",W308="",X308="",Y308="",AB308="",AC308="",AE308="",AF308=""),"Incompleta: faltan campos obligatorios",IF(AND(LEFT(H308,6)="PROPIA",I308=""),"Falta el nombre de la acción propia del área",IF(AND(LEFT(H308,3)="A27",IFERROR(INDEX(Catalogos!$T$5:$T$207,MATCH(H308,Catalogos!$U$5:$U$207,0)),"x")&lt;&gt;LEFT(E308,7)),"La acción no corresponde a la meta seleccionada",IF(OR(NOT(ISNUMBER(M308)),M308&lt;10000000,M308&gt;99999999),"Código UNSPSC inválido: registre 8 dígitos",IF(MOD(M308,10000)=0,"UNSPSC a nivel de segmento o familia: use clase o producto",IF(IFERROR(MATCH(P308,L_MESES,0)&lt;MATCH(O308,L_MESES,0),TRUE()),"El mes de ofertas es anterior al de inicio del proceso",IF(OR(NOT(ISNUMBER(Q308)),Q308&lt;=0),"Duración inválida",IF(OR(NOT(ISNUMBER(W308)),NOT(ISNUMBER(X308))),"Valor inválido: registre solo números",IF(OR(W308&lt;=0,X308&lt;=0),"Valor inválido: debe ser mayor que cero",IF(X308&gt;W308,"El valor de la vigencia 2027 supera el valor total",IF(AND(X308&lt;W308,Y308="No"),"El valor total supera el de 2027: requiere vigencias futuras",IF(AND(Y308="Sí",OR(Z308="",Z308="No aplica")),"Indique el estado de la solicitud de vigencias futuras",IF(IF(AND(S308="Mínima cuantía",ISNUMBER(P_TOPE_MINIMA)),W308&gt;P_TOPE_MINIMA,FALSE()),"El valor supera el tope de mínima cuantía 2027",IF(IF(AND(S308="Selección abreviada de menor cuantía",ISNUMBER(P_TOPE_MENOR)),W308&gt;P_TOPE_MENOR,FALSE()),"El valor supera el tope de menor cuantía 2027",IF(OR(ISERROR(SEARCH("@itc.edu.co",AE308)),SUMPRODUCT(--ISNUMBER(SEARCH({"á","é","í","ó","ú","ñ"," "},AE308)))&gt;0),"El correo del responsable no es institucional válido",IF(AND(AF308="Sí",AG308=""),"Indique el N.° de registro 2026 que continúa","OK")))))))))))))))))</f>
        <v/>
      </c>
      <c r="AK308" s="15" t="str">
        <f>IF(AJ308="OK",COUNTIF($AJ$7:AJ308,"OK"),"")</f>
        <v/>
      </c>
    </row>
    <row r="309" spans="1:37" x14ac:dyDescent="0.3">
      <c r="A309" s="13" t="str">
        <f t="shared" si="4"/>
        <v>PN27-303</v>
      </c>
      <c r="B309" s="26"/>
      <c r="C309" s="13" t="str">
        <f>IF(B309="","",IFERROR(INDEX(Catalogos!$R$5:$R$51,MATCH(B309,L_AREAS,0)),""))</f>
        <v/>
      </c>
      <c r="D309" s="13" t="str">
        <f>IF(B309="","",IFERROR(INDEX(Catalogos!$O$5:$O$51,MATCH(B309,L_AREAS,0)),""))</f>
        <v/>
      </c>
      <c r="E309" s="26"/>
      <c r="F309" s="13" t="str">
        <f>IF(E309="","",IFERROR(INDEX(Catalogos!$C$5:$C$49,MATCH(E309,L_METAS,0)),""))</f>
        <v/>
      </c>
      <c r="G309" s="13" t="str">
        <f>IF(E309="","",IFERROR(INDEX(Catalogos!$E$5:$E$49,MATCH(E309,L_METAS,0)),""))</f>
        <v/>
      </c>
      <c r="H309" s="26"/>
      <c r="I309" s="26"/>
      <c r="J309" s="26"/>
      <c r="K309" s="26"/>
      <c r="L309" s="26"/>
      <c r="M309" s="27"/>
      <c r="N309" s="26"/>
      <c r="O309" s="26"/>
      <c r="P309" s="26"/>
      <c r="Q309" s="26"/>
      <c r="R309" s="26"/>
      <c r="S309" s="26"/>
      <c r="T309" s="26"/>
      <c r="U309" s="26"/>
      <c r="V309" s="26"/>
      <c r="W309" s="28"/>
      <c r="X309" s="28"/>
      <c r="Y309" s="26"/>
      <c r="Z309" s="26"/>
      <c r="AA309" s="26"/>
      <c r="AB309" s="26"/>
      <c r="AC309" s="26"/>
      <c r="AD309" s="26"/>
      <c r="AE309" s="26"/>
      <c r="AF309" s="26"/>
      <c r="AG309" s="26"/>
      <c r="AH309" s="26"/>
      <c r="AI309" s="26"/>
      <c r="AJ309" s="15" t="str">
        <f>IF(COUNTA(B309,E309,H309,I309,J309,K309,L309,M309,N309,O309,P309,Q309,R309,S309,T309,U309,V309,W309,X309,Y309,Z309,AA309,AB309,AC309,AD309,AE309,AF309,AG309,AH309,AI309)=0,"",IF(OR(B309="",E309="",H309="",J309="",K309="",L309="",M309="",O309="",P309="",Q309="",R309="",S309="",T309="",U309="",W309="",X309="",Y309="",AB309="",AC309="",AE309="",AF309=""),"Incompleta: faltan campos obligatorios",IF(AND(LEFT(H309,6)="PROPIA",I309=""),"Falta el nombre de la acción propia del área",IF(AND(LEFT(H309,3)="A27",IFERROR(INDEX(Catalogos!$T$5:$T$207,MATCH(H309,Catalogos!$U$5:$U$207,0)),"x")&lt;&gt;LEFT(E309,7)),"La acción no corresponde a la meta seleccionada",IF(OR(NOT(ISNUMBER(M309)),M309&lt;10000000,M309&gt;99999999),"Código UNSPSC inválido: registre 8 dígitos",IF(MOD(M309,10000)=0,"UNSPSC a nivel de segmento o familia: use clase o producto",IF(IFERROR(MATCH(P309,L_MESES,0)&lt;MATCH(O309,L_MESES,0),TRUE()),"El mes de ofertas es anterior al de inicio del proceso",IF(OR(NOT(ISNUMBER(Q309)),Q309&lt;=0),"Duración inválida",IF(OR(NOT(ISNUMBER(W309)),NOT(ISNUMBER(X309))),"Valor inválido: registre solo números",IF(OR(W309&lt;=0,X309&lt;=0),"Valor inválido: debe ser mayor que cero",IF(X309&gt;W309,"El valor de la vigencia 2027 supera el valor total",IF(AND(X309&lt;W309,Y309="No"),"El valor total supera el de 2027: requiere vigencias futuras",IF(AND(Y309="Sí",OR(Z309="",Z309="No aplica")),"Indique el estado de la solicitud de vigencias futuras",IF(IF(AND(S309="Mínima cuantía",ISNUMBER(P_TOPE_MINIMA)),W309&gt;P_TOPE_MINIMA,FALSE()),"El valor supera el tope de mínima cuantía 2027",IF(IF(AND(S309="Selección abreviada de menor cuantía",ISNUMBER(P_TOPE_MENOR)),W309&gt;P_TOPE_MENOR,FALSE()),"El valor supera el tope de menor cuantía 2027",IF(OR(ISERROR(SEARCH("@itc.edu.co",AE309)),SUMPRODUCT(--ISNUMBER(SEARCH({"á","é","í","ó","ú","ñ"," "},AE309)))&gt;0),"El correo del responsable no es institucional válido",IF(AND(AF309="Sí",AG309=""),"Indique el N.° de registro 2026 que continúa","OK")))))))))))))))))</f>
        <v/>
      </c>
      <c r="AK309" s="15" t="str">
        <f>IF(AJ309="OK",COUNTIF($AJ$7:AJ309,"OK"),"")</f>
        <v/>
      </c>
    </row>
    <row r="310" spans="1:37" x14ac:dyDescent="0.3">
      <c r="A310" s="13" t="str">
        <f t="shared" si="4"/>
        <v>PN27-304</v>
      </c>
      <c r="B310" s="26"/>
      <c r="C310" s="13" t="str">
        <f>IF(B310="","",IFERROR(INDEX(Catalogos!$R$5:$R$51,MATCH(B310,L_AREAS,0)),""))</f>
        <v/>
      </c>
      <c r="D310" s="13" t="str">
        <f>IF(B310="","",IFERROR(INDEX(Catalogos!$O$5:$O$51,MATCH(B310,L_AREAS,0)),""))</f>
        <v/>
      </c>
      <c r="E310" s="26"/>
      <c r="F310" s="13" t="str">
        <f>IF(E310="","",IFERROR(INDEX(Catalogos!$C$5:$C$49,MATCH(E310,L_METAS,0)),""))</f>
        <v/>
      </c>
      <c r="G310" s="13" t="str">
        <f>IF(E310="","",IFERROR(INDEX(Catalogos!$E$5:$E$49,MATCH(E310,L_METAS,0)),""))</f>
        <v/>
      </c>
      <c r="H310" s="26"/>
      <c r="I310" s="26"/>
      <c r="J310" s="26"/>
      <c r="K310" s="26"/>
      <c r="L310" s="26"/>
      <c r="M310" s="27"/>
      <c r="N310" s="26"/>
      <c r="O310" s="26"/>
      <c r="P310" s="26"/>
      <c r="Q310" s="26"/>
      <c r="R310" s="26"/>
      <c r="S310" s="26"/>
      <c r="T310" s="26"/>
      <c r="U310" s="26"/>
      <c r="V310" s="26"/>
      <c r="W310" s="28"/>
      <c r="X310" s="28"/>
      <c r="Y310" s="26"/>
      <c r="Z310" s="26"/>
      <c r="AA310" s="26"/>
      <c r="AB310" s="26"/>
      <c r="AC310" s="26"/>
      <c r="AD310" s="26"/>
      <c r="AE310" s="26"/>
      <c r="AF310" s="26"/>
      <c r="AG310" s="26"/>
      <c r="AH310" s="26"/>
      <c r="AI310" s="26"/>
      <c r="AJ310" s="15" t="str">
        <f>IF(COUNTA(B310,E310,H310,I310,J310,K310,L310,M310,N310,O310,P310,Q310,R310,S310,T310,U310,V310,W310,X310,Y310,Z310,AA310,AB310,AC310,AD310,AE310,AF310,AG310,AH310,AI310)=0,"",IF(OR(B310="",E310="",H310="",J310="",K310="",L310="",M310="",O310="",P310="",Q310="",R310="",S310="",T310="",U310="",W310="",X310="",Y310="",AB310="",AC310="",AE310="",AF310=""),"Incompleta: faltan campos obligatorios",IF(AND(LEFT(H310,6)="PROPIA",I310=""),"Falta el nombre de la acción propia del área",IF(AND(LEFT(H310,3)="A27",IFERROR(INDEX(Catalogos!$T$5:$T$207,MATCH(H310,Catalogos!$U$5:$U$207,0)),"x")&lt;&gt;LEFT(E310,7)),"La acción no corresponde a la meta seleccionada",IF(OR(NOT(ISNUMBER(M310)),M310&lt;10000000,M310&gt;99999999),"Código UNSPSC inválido: registre 8 dígitos",IF(MOD(M310,10000)=0,"UNSPSC a nivel de segmento o familia: use clase o producto",IF(IFERROR(MATCH(P310,L_MESES,0)&lt;MATCH(O310,L_MESES,0),TRUE()),"El mes de ofertas es anterior al de inicio del proceso",IF(OR(NOT(ISNUMBER(Q310)),Q310&lt;=0),"Duración inválida",IF(OR(NOT(ISNUMBER(W310)),NOT(ISNUMBER(X310))),"Valor inválido: registre solo números",IF(OR(W310&lt;=0,X310&lt;=0),"Valor inválido: debe ser mayor que cero",IF(X310&gt;W310,"El valor de la vigencia 2027 supera el valor total",IF(AND(X310&lt;W310,Y310="No"),"El valor total supera el de 2027: requiere vigencias futuras",IF(AND(Y310="Sí",OR(Z310="",Z310="No aplica")),"Indique el estado de la solicitud de vigencias futuras",IF(IF(AND(S310="Mínima cuantía",ISNUMBER(P_TOPE_MINIMA)),W310&gt;P_TOPE_MINIMA,FALSE()),"El valor supera el tope de mínima cuantía 2027",IF(IF(AND(S310="Selección abreviada de menor cuantía",ISNUMBER(P_TOPE_MENOR)),W310&gt;P_TOPE_MENOR,FALSE()),"El valor supera el tope de menor cuantía 2027",IF(OR(ISERROR(SEARCH("@itc.edu.co",AE310)),SUMPRODUCT(--ISNUMBER(SEARCH({"á","é","í","ó","ú","ñ"," "},AE310)))&gt;0),"El correo del responsable no es institucional válido",IF(AND(AF310="Sí",AG310=""),"Indique el N.° de registro 2026 que continúa","OK")))))))))))))))))</f>
        <v/>
      </c>
      <c r="AK310" s="15" t="str">
        <f>IF(AJ310="OK",COUNTIF($AJ$7:AJ310,"OK"),"")</f>
        <v/>
      </c>
    </row>
    <row r="311" spans="1:37" x14ac:dyDescent="0.3">
      <c r="A311" s="13" t="str">
        <f t="shared" si="4"/>
        <v>PN27-305</v>
      </c>
      <c r="B311" s="26"/>
      <c r="C311" s="13" t="str">
        <f>IF(B311="","",IFERROR(INDEX(Catalogos!$R$5:$R$51,MATCH(B311,L_AREAS,0)),""))</f>
        <v/>
      </c>
      <c r="D311" s="13" t="str">
        <f>IF(B311="","",IFERROR(INDEX(Catalogos!$O$5:$O$51,MATCH(B311,L_AREAS,0)),""))</f>
        <v/>
      </c>
      <c r="E311" s="26"/>
      <c r="F311" s="13" t="str">
        <f>IF(E311="","",IFERROR(INDEX(Catalogos!$C$5:$C$49,MATCH(E311,L_METAS,0)),""))</f>
        <v/>
      </c>
      <c r="G311" s="13" t="str">
        <f>IF(E311="","",IFERROR(INDEX(Catalogos!$E$5:$E$49,MATCH(E311,L_METAS,0)),""))</f>
        <v/>
      </c>
      <c r="H311" s="26"/>
      <c r="I311" s="26"/>
      <c r="J311" s="26"/>
      <c r="K311" s="26"/>
      <c r="L311" s="26"/>
      <c r="M311" s="27"/>
      <c r="N311" s="26"/>
      <c r="O311" s="26"/>
      <c r="P311" s="26"/>
      <c r="Q311" s="26"/>
      <c r="R311" s="26"/>
      <c r="S311" s="26"/>
      <c r="T311" s="26"/>
      <c r="U311" s="26"/>
      <c r="V311" s="26"/>
      <c r="W311" s="28"/>
      <c r="X311" s="28"/>
      <c r="Y311" s="26"/>
      <c r="Z311" s="26"/>
      <c r="AA311" s="26"/>
      <c r="AB311" s="26"/>
      <c r="AC311" s="26"/>
      <c r="AD311" s="26"/>
      <c r="AE311" s="26"/>
      <c r="AF311" s="26"/>
      <c r="AG311" s="26"/>
      <c r="AH311" s="26"/>
      <c r="AI311" s="26"/>
      <c r="AJ311" s="15" t="str">
        <f>IF(COUNTA(B311,E311,H311,I311,J311,K311,L311,M311,N311,O311,P311,Q311,R311,S311,T311,U311,V311,W311,X311,Y311,Z311,AA311,AB311,AC311,AD311,AE311,AF311,AG311,AH311,AI311)=0,"",IF(OR(B311="",E311="",H311="",J311="",K311="",L311="",M311="",O311="",P311="",Q311="",R311="",S311="",T311="",U311="",W311="",X311="",Y311="",AB311="",AC311="",AE311="",AF311=""),"Incompleta: faltan campos obligatorios",IF(AND(LEFT(H311,6)="PROPIA",I311=""),"Falta el nombre de la acción propia del área",IF(AND(LEFT(H311,3)="A27",IFERROR(INDEX(Catalogos!$T$5:$T$207,MATCH(H311,Catalogos!$U$5:$U$207,0)),"x")&lt;&gt;LEFT(E311,7)),"La acción no corresponde a la meta seleccionada",IF(OR(NOT(ISNUMBER(M311)),M311&lt;10000000,M311&gt;99999999),"Código UNSPSC inválido: registre 8 dígitos",IF(MOD(M311,10000)=0,"UNSPSC a nivel de segmento o familia: use clase o producto",IF(IFERROR(MATCH(P311,L_MESES,0)&lt;MATCH(O311,L_MESES,0),TRUE()),"El mes de ofertas es anterior al de inicio del proceso",IF(OR(NOT(ISNUMBER(Q311)),Q311&lt;=0),"Duración inválida",IF(OR(NOT(ISNUMBER(W311)),NOT(ISNUMBER(X311))),"Valor inválido: registre solo números",IF(OR(W311&lt;=0,X311&lt;=0),"Valor inválido: debe ser mayor que cero",IF(X311&gt;W311,"El valor de la vigencia 2027 supera el valor total",IF(AND(X311&lt;W311,Y311="No"),"El valor total supera el de 2027: requiere vigencias futuras",IF(AND(Y311="Sí",OR(Z311="",Z311="No aplica")),"Indique el estado de la solicitud de vigencias futuras",IF(IF(AND(S311="Mínima cuantía",ISNUMBER(P_TOPE_MINIMA)),W311&gt;P_TOPE_MINIMA,FALSE()),"El valor supera el tope de mínima cuantía 2027",IF(IF(AND(S311="Selección abreviada de menor cuantía",ISNUMBER(P_TOPE_MENOR)),W311&gt;P_TOPE_MENOR,FALSE()),"El valor supera el tope de menor cuantía 2027",IF(OR(ISERROR(SEARCH("@itc.edu.co",AE311)),SUMPRODUCT(--ISNUMBER(SEARCH({"á","é","í","ó","ú","ñ"," "},AE311)))&gt;0),"El correo del responsable no es institucional válido",IF(AND(AF311="Sí",AG311=""),"Indique el N.° de registro 2026 que continúa","OK")))))))))))))))))</f>
        <v/>
      </c>
      <c r="AK311" s="15" t="str">
        <f>IF(AJ311="OK",COUNTIF($AJ$7:AJ311,"OK"),"")</f>
        <v/>
      </c>
    </row>
    <row r="312" spans="1:37" x14ac:dyDescent="0.3">
      <c r="A312" s="13" t="str">
        <f t="shared" si="4"/>
        <v>PN27-306</v>
      </c>
      <c r="B312" s="26"/>
      <c r="C312" s="13" t="str">
        <f>IF(B312="","",IFERROR(INDEX(Catalogos!$R$5:$R$51,MATCH(B312,L_AREAS,0)),""))</f>
        <v/>
      </c>
      <c r="D312" s="13" t="str">
        <f>IF(B312="","",IFERROR(INDEX(Catalogos!$O$5:$O$51,MATCH(B312,L_AREAS,0)),""))</f>
        <v/>
      </c>
      <c r="E312" s="26"/>
      <c r="F312" s="13" t="str">
        <f>IF(E312="","",IFERROR(INDEX(Catalogos!$C$5:$C$49,MATCH(E312,L_METAS,0)),""))</f>
        <v/>
      </c>
      <c r="G312" s="13" t="str">
        <f>IF(E312="","",IFERROR(INDEX(Catalogos!$E$5:$E$49,MATCH(E312,L_METAS,0)),""))</f>
        <v/>
      </c>
      <c r="H312" s="26"/>
      <c r="I312" s="26"/>
      <c r="J312" s="26"/>
      <c r="K312" s="26"/>
      <c r="L312" s="26"/>
      <c r="M312" s="27"/>
      <c r="N312" s="26"/>
      <c r="O312" s="26"/>
      <c r="P312" s="26"/>
      <c r="Q312" s="26"/>
      <c r="R312" s="26"/>
      <c r="S312" s="26"/>
      <c r="T312" s="26"/>
      <c r="U312" s="26"/>
      <c r="V312" s="26"/>
      <c r="W312" s="28"/>
      <c r="X312" s="28"/>
      <c r="Y312" s="26"/>
      <c r="Z312" s="26"/>
      <c r="AA312" s="26"/>
      <c r="AB312" s="26"/>
      <c r="AC312" s="26"/>
      <c r="AD312" s="26"/>
      <c r="AE312" s="26"/>
      <c r="AF312" s="26"/>
      <c r="AG312" s="26"/>
      <c r="AH312" s="26"/>
      <c r="AI312" s="26"/>
      <c r="AJ312" s="15" t="str">
        <f>IF(COUNTA(B312,E312,H312,I312,J312,K312,L312,M312,N312,O312,P312,Q312,R312,S312,T312,U312,V312,W312,X312,Y312,Z312,AA312,AB312,AC312,AD312,AE312,AF312,AG312,AH312,AI312)=0,"",IF(OR(B312="",E312="",H312="",J312="",K312="",L312="",M312="",O312="",P312="",Q312="",R312="",S312="",T312="",U312="",W312="",X312="",Y312="",AB312="",AC312="",AE312="",AF312=""),"Incompleta: faltan campos obligatorios",IF(AND(LEFT(H312,6)="PROPIA",I312=""),"Falta el nombre de la acción propia del área",IF(AND(LEFT(H312,3)="A27",IFERROR(INDEX(Catalogos!$T$5:$T$207,MATCH(H312,Catalogos!$U$5:$U$207,0)),"x")&lt;&gt;LEFT(E312,7)),"La acción no corresponde a la meta seleccionada",IF(OR(NOT(ISNUMBER(M312)),M312&lt;10000000,M312&gt;99999999),"Código UNSPSC inválido: registre 8 dígitos",IF(MOD(M312,10000)=0,"UNSPSC a nivel de segmento o familia: use clase o producto",IF(IFERROR(MATCH(P312,L_MESES,0)&lt;MATCH(O312,L_MESES,0),TRUE()),"El mes de ofertas es anterior al de inicio del proceso",IF(OR(NOT(ISNUMBER(Q312)),Q312&lt;=0),"Duración inválida",IF(OR(NOT(ISNUMBER(W312)),NOT(ISNUMBER(X312))),"Valor inválido: registre solo números",IF(OR(W312&lt;=0,X312&lt;=0),"Valor inválido: debe ser mayor que cero",IF(X312&gt;W312,"El valor de la vigencia 2027 supera el valor total",IF(AND(X312&lt;W312,Y312="No"),"El valor total supera el de 2027: requiere vigencias futuras",IF(AND(Y312="Sí",OR(Z312="",Z312="No aplica")),"Indique el estado de la solicitud de vigencias futuras",IF(IF(AND(S312="Mínima cuantía",ISNUMBER(P_TOPE_MINIMA)),W312&gt;P_TOPE_MINIMA,FALSE()),"El valor supera el tope de mínima cuantía 2027",IF(IF(AND(S312="Selección abreviada de menor cuantía",ISNUMBER(P_TOPE_MENOR)),W312&gt;P_TOPE_MENOR,FALSE()),"El valor supera el tope de menor cuantía 2027",IF(OR(ISERROR(SEARCH("@itc.edu.co",AE312)),SUMPRODUCT(--ISNUMBER(SEARCH({"á","é","í","ó","ú","ñ"," "},AE312)))&gt;0),"El correo del responsable no es institucional válido",IF(AND(AF312="Sí",AG312=""),"Indique el N.° de registro 2026 que continúa","OK")))))))))))))))))</f>
        <v/>
      </c>
      <c r="AK312" s="15" t="str">
        <f>IF(AJ312="OK",COUNTIF($AJ$7:AJ312,"OK"),"")</f>
        <v/>
      </c>
    </row>
    <row r="313" spans="1:37" x14ac:dyDescent="0.3">
      <c r="A313" s="13" t="str">
        <f t="shared" si="4"/>
        <v>PN27-307</v>
      </c>
      <c r="B313" s="26"/>
      <c r="C313" s="13" t="str">
        <f>IF(B313="","",IFERROR(INDEX(Catalogos!$R$5:$R$51,MATCH(B313,L_AREAS,0)),""))</f>
        <v/>
      </c>
      <c r="D313" s="13" t="str">
        <f>IF(B313="","",IFERROR(INDEX(Catalogos!$O$5:$O$51,MATCH(B313,L_AREAS,0)),""))</f>
        <v/>
      </c>
      <c r="E313" s="26"/>
      <c r="F313" s="13" t="str">
        <f>IF(E313="","",IFERROR(INDEX(Catalogos!$C$5:$C$49,MATCH(E313,L_METAS,0)),""))</f>
        <v/>
      </c>
      <c r="G313" s="13" t="str">
        <f>IF(E313="","",IFERROR(INDEX(Catalogos!$E$5:$E$49,MATCH(E313,L_METAS,0)),""))</f>
        <v/>
      </c>
      <c r="H313" s="26"/>
      <c r="I313" s="26"/>
      <c r="J313" s="26"/>
      <c r="K313" s="26"/>
      <c r="L313" s="26"/>
      <c r="M313" s="27"/>
      <c r="N313" s="26"/>
      <c r="O313" s="26"/>
      <c r="P313" s="26"/>
      <c r="Q313" s="26"/>
      <c r="R313" s="26"/>
      <c r="S313" s="26"/>
      <c r="T313" s="26"/>
      <c r="U313" s="26"/>
      <c r="V313" s="26"/>
      <c r="W313" s="28"/>
      <c r="X313" s="28"/>
      <c r="Y313" s="26"/>
      <c r="Z313" s="26"/>
      <c r="AA313" s="26"/>
      <c r="AB313" s="26"/>
      <c r="AC313" s="26"/>
      <c r="AD313" s="26"/>
      <c r="AE313" s="26"/>
      <c r="AF313" s="26"/>
      <c r="AG313" s="26"/>
      <c r="AH313" s="26"/>
      <c r="AI313" s="26"/>
      <c r="AJ313" s="15" t="str">
        <f>IF(COUNTA(B313,E313,H313,I313,J313,K313,L313,M313,N313,O313,P313,Q313,R313,S313,T313,U313,V313,W313,X313,Y313,Z313,AA313,AB313,AC313,AD313,AE313,AF313,AG313,AH313,AI313)=0,"",IF(OR(B313="",E313="",H313="",J313="",K313="",L313="",M313="",O313="",P313="",Q313="",R313="",S313="",T313="",U313="",W313="",X313="",Y313="",AB313="",AC313="",AE313="",AF313=""),"Incompleta: faltan campos obligatorios",IF(AND(LEFT(H313,6)="PROPIA",I313=""),"Falta el nombre de la acción propia del área",IF(AND(LEFT(H313,3)="A27",IFERROR(INDEX(Catalogos!$T$5:$T$207,MATCH(H313,Catalogos!$U$5:$U$207,0)),"x")&lt;&gt;LEFT(E313,7)),"La acción no corresponde a la meta seleccionada",IF(OR(NOT(ISNUMBER(M313)),M313&lt;10000000,M313&gt;99999999),"Código UNSPSC inválido: registre 8 dígitos",IF(MOD(M313,10000)=0,"UNSPSC a nivel de segmento o familia: use clase o producto",IF(IFERROR(MATCH(P313,L_MESES,0)&lt;MATCH(O313,L_MESES,0),TRUE()),"El mes de ofertas es anterior al de inicio del proceso",IF(OR(NOT(ISNUMBER(Q313)),Q313&lt;=0),"Duración inválida",IF(OR(NOT(ISNUMBER(W313)),NOT(ISNUMBER(X313))),"Valor inválido: registre solo números",IF(OR(W313&lt;=0,X313&lt;=0),"Valor inválido: debe ser mayor que cero",IF(X313&gt;W313,"El valor de la vigencia 2027 supera el valor total",IF(AND(X313&lt;W313,Y313="No"),"El valor total supera el de 2027: requiere vigencias futuras",IF(AND(Y313="Sí",OR(Z313="",Z313="No aplica")),"Indique el estado de la solicitud de vigencias futuras",IF(IF(AND(S313="Mínima cuantía",ISNUMBER(P_TOPE_MINIMA)),W313&gt;P_TOPE_MINIMA,FALSE()),"El valor supera el tope de mínima cuantía 2027",IF(IF(AND(S313="Selección abreviada de menor cuantía",ISNUMBER(P_TOPE_MENOR)),W313&gt;P_TOPE_MENOR,FALSE()),"El valor supera el tope de menor cuantía 2027",IF(OR(ISERROR(SEARCH("@itc.edu.co",AE313)),SUMPRODUCT(--ISNUMBER(SEARCH({"á","é","í","ó","ú","ñ"," "},AE313)))&gt;0),"El correo del responsable no es institucional válido",IF(AND(AF313="Sí",AG313=""),"Indique el N.° de registro 2026 que continúa","OK")))))))))))))))))</f>
        <v/>
      </c>
      <c r="AK313" s="15" t="str">
        <f>IF(AJ313="OK",COUNTIF($AJ$7:AJ313,"OK"),"")</f>
        <v/>
      </c>
    </row>
    <row r="314" spans="1:37" x14ac:dyDescent="0.3">
      <c r="A314" s="13" t="str">
        <f t="shared" si="4"/>
        <v>PN27-308</v>
      </c>
      <c r="B314" s="26"/>
      <c r="C314" s="13" t="str">
        <f>IF(B314="","",IFERROR(INDEX(Catalogos!$R$5:$R$51,MATCH(B314,L_AREAS,0)),""))</f>
        <v/>
      </c>
      <c r="D314" s="13" t="str">
        <f>IF(B314="","",IFERROR(INDEX(Catalogos!$O$5:$O$51,MATCH(B314,L_AREAS,0)),""))</f>
        <v/>
      </c>
      <c r="E314" s="26"/>
      <c r="F314" s="13" t="str">
        <f>IF(E314="","",IFERROR(INDEX(Catalogos!$C$5:$C$49,MATCH(E314,L_METAS,0)),""))</f>
        <v/>
      </c>
      <c r="G314" s="13" t="str">
        <f>IF(E314="","",IFERROR(INDEX(Catalogos!$E$5:$E$49,MATCH(E314,L_METAS,0)),""))</f>
        <v/>
      </c>
      <c r="H314" s="26"/>
      <c r="I314" s="26"/>
      <c r="J314" s="26"/>
      <c r="K314" s="26"/>
      <c r="L314" s="26"/>
      <c r="M314" s="27"/>
      <c r="N314" s="26"/>
      <c r="O314" s="26"/>
      <c r="P314" s="26"/>
      <c r="Q314" s="26"/>
      <c r="R314" s="26"/>
      <c r="S314" s="26"/>
      <c r="T314" s="26"/>
      <c r="U314" s="26"/>
      <c r="V314" s="26"/>
      <c r="W314" s="28"/>
      <c r="X314" s="28"/>
      <c r="Y314" s="26"/>
      <c r="Z314" s="26"/>
      <c r="AA314" s="26"/>
      <c r="AB314" s="26"/>
      <c r="AC314" s="26"/>
      <c r="AD314" s="26"/>
      <c r="AE314" s="26"/>
      <c r="AF314" s="26"/>
      <c r="AG314" s="26"/>
      <c r="AH314" s="26"/>
      <c r="AI314" s="26"/>
      <c r="AJ314" s="15" t="str">
        <f>IF(COUNTA(B314,E314,H314,I314,J314,K314,L314,M314,N314,O314,P314,Q314,R314,S314,T314,U314,V314,W314,X314,Y314,Z314,AA314,AB314,AC314,AD314,AE314,AF314,AG314,AH314,AI314)=0,"",IF(OR(B314="",E314="",H314="",J314="",K314="",L314="",M314="",O314="",P314="",Q314="",R314="",S314="",T314="",U314="",W314="",X314="",Y314="",AB314="",AC314="",AE314="",AF314=""),"Incompleta: faltan campos obligatorios",IF(AND(LEFT(H314,6)="PROPIA",I314=""),"Falta el nombre de la acción propia del área",IF(AND(LEFT(H314,3)="A27",IFERROR(INDEX(Catalogos!$T$5:$T$207,MATCH(H314,Catalogos!$U$5:$U$207,0)),"x")&lt;&gt;LEFT(E314,7)),"La acción no corresponde a la meta seleccionada",IF(OR(NOT(ISNUMBER(M314)),M314&lt;10000000,M314&gt;99999999),"Código UNSPSC inválido: registre 8 dígitos",IF(MOD(M314,10000)=0,"UNSPSC a nivel de segmento o familia: use clase o producto",IF(IFERROR(MATCH(P314,L_MESES,0)&lt;MATCH(O314,L_MESES,0),TRUE()),"El mes de ofertas es anterior al de inicio del proceso",IF(OR(NOT(ISNUMBER(Q314)),Q314&lt;=0),"Duración inválida",IF(OR(NOT(ISNUMBER(W314)),NOT(ISNUMBER(X314))),"Valor inválido: registre solo números",IF(OR(W314&lt;=0,X314&lt;=0),"Valor inválido: debe ser mayor que cero",IF(X314&gt;W314,"El valor de la vigencia 2027 supera el valor total",IF(AND(X314&lt;W314,Y314="No"),"El valor total supera el de 2027: requiere vigencias futuras",IF(AND(Y314="Sí",OR(Z314="",Z314="No aplica")),"Indique el estado de la solicitud de vigencias futuras",IF(IF(AND(S314="Mínima cuantía",ISNUMBER(P_TOPE_MINIMA)),W314&gt;P_TOPE_MINIMA,FALSE()),"El valor supera el tope de mínima cuantía 2027",IF(IF(AND(S314="Selección abreviada de menor cuantía",ISNUMBER(P_TOPE_MENOR)),W314&gt;P_TOPE_MENOR,FALSE()),"El valor supera el tope de menor cuantía 2027",IF(OR(ISERROR(SEARCH("@itc.edu.co",AE314)),SUMPRODUCT(--ISNUMBER(SEARCH({"á","é","í","ó","ú","ñ"," "},AE314)))&gt;0),"El correo del responsable no es institucional válido",IF(AND(AF314="Sí",AG314=""),"Indique el N.° de registro 2026 que continúa","OK")))))))))))))))))</f>
        <v/>
      </c>
      <c r="AK314" s="15" t="str">
        <f>IF(AJ314="OK",COUNTIF($AJ$7:AJ314,"OK"),"")</f>
        <v/>
      </c>
    </row>
    <row r="315" spans="1:37" x14ac:dyDescent="0.3">
      <c r="A315" s="13" t="str">
        <f t="shared" si="4"/>
        <v>PN27-309</v>
      </c>
      <c r="B315" s="26"/>
      <c r="C315" s="13" t="str">
        <f>IF(B315="","",IFERROR(INDEX(Catalogos!$R$5:$R$51,MATCH(B315,L_AREAS,0)),""))</f>
        <v/>
      </c>
      <c r="D315" s="13" t="str">
        <f>IF(B315="","",IFERROR(INDEX(Catalogos!$O$5:$O$51,MATCH(B315,L_AREAS,0)),""))</f>
        <v/>
      </c>
      <c r="E315" s="26"/>
      <c r="F315" s="13" t="str">
        <f>IF(E315="","",IFERROR(INDEX(Catalogos!$C$5:$C$49,MATCH(E315,L_METAS,0)),""))</f>
        <v/>
      </c>
      <c r="G315" s="13" t="str">
        <f>IF(E315="","",IFERROR(INDEX(Catalogos!$E$5:$E$49,MATCH(E315,L_METAS,0)),""))</f>
        <v/>
      </c>
      <c r="H315" s="26"/>
      <c r="I315" s="26"/>
      <c r="J315" s="26"/>
      <c r="K315" s="26"/>
      <c r="L315" s="26"/>
      <c r="M315" s="27"/>
      <c r="N315" s="26"/>
      <c r="O315" s="26"/>
      <c r="P315" s="26"/>
      <c r="Q315" s="26"/>
      <c r="R315" s="26"/>
      <c r="S315" s="26"/>
      <c r="T315" s="26"/>
      <c r="U315" s="26"/>
      <c r="V315" s="26"/>
      <c r="W315" s="28"/>
      <c r="X315" s="28"/>
      <c r="Y315" s="26"/>
      <c r="Z315" s="26"/>
      <c r="AA315" s="26"/>
      <c r="AB315" s="26"/>
      <c r="AC315" s="26"/>
      <c r="AD315" s="26"/>
      <c r="AE315" s="26"/>
      <c r="AF315" s="26"/>
      <c r="AG315" s="26"/>
      <c r="AH315" s="26"/>
      <c r="AI315" s="26"/>
      <c r="AJ315" s="15" t="str">
        <f>IF(COUNTA(B315,E315,H315,I315,J315,K315,L315,M315,N315,O315,P315,Q315,R315,S315,T315,U315,V315,W315,X315,Y315,Z315,AA315,AB315,AC315,AD315,AE315,AF315,AG315,AH315,AI315)=0,"",IF(OR(B315="",E315="",H315="",J315="",K315="",L315="",M315="",O315="",P315="",Q315="",R315="",S315="",T315="",U315="",W315="",X315="",Y315="",AB315="",AC315="",AE315="",AF315=""),"Incompleta: faltan campos obligatorios",IF(AND(LEFT(H315,6)="PROPIA",I315=""),"Falta el nombre de la acción propia del área",IF(AND(LEFT(H315,3)="A27",IFERROR(INDEX(Catalogos!$T$5:$T$207,MATCH(H315,Catalogos!$U$5:$U$207,0)),"x")&lt;&gt;LEFT(E315,7)),"La acción no corresponde a la meta seleccionada",IF(OR(NOT(ISNUMBER(M315)),M315&lt;10000000,M315&gt;99999999),"Código UNSPSC inválido: registre 8 dígitos",IF(MOD(M315,10000)=0,"UNSPSC a nivel de segmento o familia: use clase o producto",IF(IFERROR(MATCH(P315,L_MESES,0)&lt;MATCH(O315,L_MESES,0),TRUE()),"El mes de ofertas es anterior al de inicio del proceso",IF(OR(NOT(ISNUMBER(Q315)),Q315&lt;=0),"Duración inválida",IF(OR(NOT(ISNUMBER(W315)),NOT(ISNUMBER(X315))),"Valor inválido: registre solo números",IF(OR(W315&lt;=0,X315&lt;=0),"Valor inválido: debe ser mayor que cero",IF(X315&gt;W315,"El valor de la vigencia 2027 supera el valor total",IF(AND(X315&lt;W315,Y315="No"),"El valor total supera el de 2027: requiere vigencias futuras",IF(AND(Y315="Sí",OR(Z315="",Z315="No aplica")),"Indique el estado de la solicitud de vigencias futuras",IF(IF(AND(S315="Mínima cuantía",ISNUMBER(P_TOPE_MINIMA)),W315&gt;P_TOPE_MINIMA,FALSE()),"El valor supera el tope de mínima cuantía 2027",IF(IF(AND(S315="Selección abreviada de menor cuantía",ISNUMBER(P_TOPE_MENOR)),W315&gt;P_TOPE_MENOR,FALSE()),"El valor supera el tope de menor cuantía 2027",IF(OR(ISERROR(SEARCH("@itc.edu.co",AE315)),SUMPRODUCT(--ISNUMBER(SEARCH({"á","é","í","ó","ú","ñ"," "},AE315)))&gt;0),"El correo del responsable no es institucional válido",IF(AND(AF315="Sí",AG315=""),"Indique el N.° de registro 2026 que continúa","OK")))))))))))))))))</f>
        <v/>
      </c>
      <c r="AK315" s="15" t="str">
        <f>IF(AJ315="OK",COUNTIF($AJ$7:AJ315,"OK"),"")</f>
        <v/>
      </c>
    </row>
    <row r="316" spans="1:37" x14ac:dyDescent="0.3">
      <c r="A316" s="13" t="str">
        <f t="shared" si="4"/>
        <v>PN27-310</v>
      </c>
      <c r="B316" s="26"/>
      <c r="C316" s="13" t="str">
        <f>IF(B316="","",IFERROR(INDEX(Catalogos!$R$5:$R$51,MATCH(B316,L_AREAS,0)),""))</f>
        <v/>
      </c>
      <c r="D316" s="13" t="str">
        <f>IF(B316="","",IFERROR(INDEX(Catalogos!$O$5:$O$51,MATCH(B316,L_AREAS,0)),""))</f>
        <v/>
      </c>
      <c r="E316" s="26"/>
      <c r="F316" s="13" t="str">
        <f>IF(E316="","",IFERROR(INDEX(Catalogos!$C$5:$C$49,MATCH(E316,L_METAS,0)),""))</f>
        <v/>
      </c>
      <c r="G316" s="13" t="str">
        <f>IF(E316="","",IFERROR(INDEX(Catalogos!$E$5:$E$49,MATCH(E316,L_METAS,0)),""))</f>
        <v/>
      </c>
      <c r="H316" s="26"/>
      <c r="I316" s="26"/>
      <c r="J316" s="26"/>
      <c r="K316" s="26"/>
      <c r="L316" s="26"/>
      <c r="M316" s="27"/>
      <c r="N316" s="26"/>
      <c r="O316" s="26"/>
      <c r="P316" s="26"/>
      <c r="Q316" s="26"/>
      <c r="R316" s="26"/>
      <c r="S316" s="26"/>
      <c r="T316" s="26"/>
      <c r="U316" s="26"/>
      <c r="V316" s="26"/>
      <c r="W316" s="28"/>
      <c r="X316" s="28"/>
      <c r="Y316" s="26"/>
      <c r="Z316" s="26"/>
      <c r="AA316" s="26"/>
      <c r="AB316" s="26"/>
      <c r="AC316" s="26"/>
      <c r="AD316" s="26"/>
      <c r="AE316" s="26"/>
      <c r="AF316" s="26"/>
      <c r="AG316" s="26"/>
      <c r="AH316" s="26"/>
      <c r="AI316" s="26"/>
      <c r="AJ316" s="15" t="str">
        <f>IF(COUNTA(B316,E316,H316,I316,J316,K316,L316,M316,N316,O316,P316,Q316,R316,S316,T316,U316,V316,W316,X316,Y316,Z316,AA316,AB316,AC316,AD316,AE316,AF316,AG316,AH316,AI316)=0,"",IF(OR(B316="",E316="",H316="",J316="",K316="",L316="",M316="",O316="",P316="",Q316="",R316="",S316="",T316="",U316="",W316="",X316="",Y316="",AB316="",AC316="",AE316="",AF316=""),"Incompleta: faltan campos obligatorios",IF(AND(LEFT(H316,6)="PROPIA",I316=""),"Falta el nombre de la acción propia del área",IF(AND(LEFT(H316,3)="A27",IFERROR(INDEX(Catalogos!$T$5:$T$207,MATCH(H316,Catalogos!$U$5:$U$207,0)),"x")&lt;&gt;LEFT(E316,7)),"La acción no corresponde a la meta seleccionada",IF(OR(NOT(ISNUMBER(M316)),M316&lt;10000000,M316&gt;99999999),"Código UNSPSC inválido: registre 8 dígitos",IF(MOD(M316,10000)=0,"UNSPSC a nivel de segmento o familia: use clase o producto",IF(IFERROR(MATCH(P316,L_MESES,0)&lt;MATCH(O316,L_MESES,0),TRUE()),"El mes de ofertas es anterior al de inicio del proceso",IF(OR(NOT(ISNUMBER(Q316)),Q316&lt;=0),"Duración inválida",IF(OR(NOT(ISNUMBER(W316)),NOT(ISNUMBER(X316))),"Valor inválido: registre solo números",IF(OR(W316&lt;=0,X316&lt;=0),"Valor inválido: debe ser mayor que cero",IF(X316&gt;W316,"El valor de la vigencia 2027 supera el valor total",IF(AND(X316&lt;W316,Y316="No"),"El valor total supera el de 2027: requiere vigencias futuras",IF(AND(Y316="Sí",OR(Z316="",Z316="No aplica")),"Indique el estado de la solicitud de vigencias futuras",IF(IF(AND(S316="Mínima cuantía",ISNUMBER(P_TOPE_MINIMA)),W316&gt;P_TOPE_MINIMA,FALSE()),"El valor supera el tope de mínima cuantía 2027",IF(IF(AND(S316="Selección abreviada de menor cuantía",ISNUMBER(P_TOPE_MENOR)),W316&gt;P_TOPE_MENOR,FALSE()),"El valor supera el tope de menor cuantía 2027",IF(OR(ISERROR(SEARCH("@itc.edu.co",AE316)),SUMPRODUCT(--ISNUMBER(SEARCH({"á","é","í","ó","ú","ñ"," "},AE316)))&gt;0),"El correo del responsable no es institucional válido",IF(AND(AF316="Sí",AG316=""),"Indique el N.° de registro 2026 que continúa","OK")))))))))))))))))</f>
        <v/>
      </c>
      <c r="AK316" s="15" t="str">
        <f>IF(AJ316="OK",COUNTIF($AJ$7:AJ316,"OK"),"")</f>
        <v/>
      </c>
    </row>
    <row r="317" spans="1:37" x14ac:dyDescent="0.3">
      <c r="A317" s="13" t="str">
        <f t="shared" si="4"/>
        <v>PN27-311</v>
      </c>
      <c r="B317" s="26"/>
      <c r="C317" s="13" t="str">
        <f>IF(B317="","",IFERROR(INDEX(Catalogos!$R$5:$R$51,MATCH(B317,L_AREAS,0)),""))</f>
        <v/>
      </c>
      <c r="D317" s="13" t="str">
        <f>IF(B317="","",IFERROR(INDEX(Catalogos!$O$5:$O$51,MATCH(B317,L_AREAS,0)),""))</f>
        <v/>
      </c>
      <c r="E317" s="26"/>
      <c r="F317" s="13" t="str">
        <f>IF(E317="","",IFERROR(INDEX(Catalogos!$C$5:$C$49,MATCH(E317,L_METAS,0)),""))</f>
        <v/>
      </c>
      <c r="G317" s="13" t="str">
        <f>IF(E317="","",IFERROR(INDEX(Catalogos!$E$5:$E$49,MATCH(E317,L_METAS,0)),""))</f>
        <v/>
      </c>
      <c r="H317" s="26"/>
      <c r="I317" s="26"/>
      <c r="J317" s="26"/>
      <c r="K317" s="26"/>
      <c r="L317" s="26"/>
      <c r="M317" s="27"/>
      <c r="N317" s="26"/>
      <c r="O317" s="26"/>
      <c r="P317" s="26"/>
      <c r="Q317" s="26"/>
      <c r="R317" s="26"/>
      <c r="S317" s="26"/>
      <c r="T317" s="26"/>
      <c r="U317" s="26"/>
      <c r="V317" s="26"/>
      <c r="W317" s="28"/>
      <c r="X317" s="28"/>
      <c r="Y317" s="26"/>
      <c r="Z317" s="26"/>
      <c r="AA317" s="26"/>
      <c r="AB317" s="26"/>
      <c r="AC317" s="26"/>
      <c r="AD317" s="26"/>
      <c r="AE317" s="26"/>
      <c r="AF317" s="26"/>
      <c r="AG317" s="26"/>
      <c r="AH317" s="26"/>
      <c r="AI317" s="26"/>
      <c r="AJ317" s="15" t="str">
        <f>IF(COUNTA(B317,E317,H317,I317,J317,K317,L317,M317,N317,O317,P317,Q317,R317,S317,T317,U317,V317,W317,X317,Y317,Z317,AA317,AB317,AC317,AD317,AE317,AF317,AG317,AH317,AI317)=0,"",IF(OR(B317="",E317="",H317="",J317="",K317="",L317="",M317="",O317="",P317="",Q317="",R317="",S317="",T317="",U317="",W317="",X317="",Y317="",AB317="",AC317="",AE317="",AF317=""),"Incompleta: faltan campos obligatorios",IF(AND(LEFT(H317,6)="PROPIA",I317=""),"Falta el nombre de la acción propia del área",IF(AND(LEFT(H317,3)="A27",IFERROR(INDEX(Catalogos!$T$5:$T$207,MATCH(H317,Catalogos!$U$5:$U$207,0)),"x")&lt;&gt;LEFT(E317,7)),"La acción no corresponde a la meta seleccionada",IF(OR(NOT(ISNUMBER(M317)),M317&lt;10000000,M317&gt;99999999),"Código UNSPSC inválido: registre 8 dígitos",IF(MOD(M317,10000)=0,"UNSPSC a nivel de segmento o familia: use clase o producto",IF(IFERROR(MATCH(P317,L_MESES,0)&lt;MATCH(O317,L_MESES,0),TRUE()),"El mes de ofertas es anterior al de inicio del proceso",IF(OR(NOT(ISNUMBER(Q317)),Q317&lt;=0),"Duración inválida",IF(OR(NOT(ISNUMBER(W317)),NOT(ISNUMBER(X317))),"Valor inválido: registre solo números",IF(OR(W317&lt;=0,X317&lt;=0),"Valor inválido: debe ser mayor que cero",IF(X317&gt;W317,"El valor de la vigencia 2027 supera el valor total",IF(AND(X317&lt;W317,Y317="No"),"El valor total supera el de 2027: requiere vigencias futuras",IF(AND(Y317="Sí",OR(Z317="",Z317="No aplica")),"Indique el estado de la solicitud de vigencias futuras",IF(IF(AND(S317="Mínima cuantía",ISNUMBER(P_TOPE_MINIMA)),W317&gt;P_TOPE_MINIMA,FALSE()),"El valor supera el tope de mínima cuantía 2027",IF(IF(AND(S317="Selección abreviada de menor cuantía",ISNUMBER(P_TOPE_MENOR)),W317&gt;P_TOPE_MENOR,FALSE()),"El valor supera el tope de menor cuantía 2027",IF(OR(ISERROR(SEARCH("@itc.edu.co",AE317)),SUMPRODUCT(--ISNUMBER(SEARCH({"á","é","í","ó","ú","ñ"," "},AE317)))&gt;0),"El correo del responsable no es institucional válido",IF(AND(AF317="Sí",AG317=""),"Indique el N.° de registro 2026 que continúa","OK")))))))))))))))))</f>
        <v/>
      </c>
      <c r="AK317" s="15" t="str">
        <f>IF(AJ317="OK",COUNTIF($AJ$7:AJ317,"OK"),"")</f>
        <v/>
      </c>
    </row>
    <row r="318" spans="1:37" x14ac:dyDescent="0.3">
      <c r="A318" s="13" t="str">
        <f t="shared" si="4"/>
        <v>PN27-312</v>
      </c>
      <c r="B318" s="26"/>
      <c r="C318" s="13" t="str">
        <f>IF(B318="","",IFERROR(INDEX(Catalogos!$R$5:$R$51,MATCH(B318,L_AREAS,0)),""))</f>
        <v/>
      </c>
      <c r="D318" s="13" t="str">
        <f>IF(B318="","",IFERROR(INDEX(Catalogos!$O$5:$O$51,MATCH(B318,L_AREAS,0)),""))</f>
        <v/>
      </c>
      <c r="E318" s="26"/>
      <c r="F318" s="13" t="str">
        <f>IF(E318="","",IFERROR(INDEX(Catalogos!$C$5:$C$49,MATCH(E318,L_METAS,0)),""))</f>
        <v/>
      </c>
      <c r="G318" s="13" t="str">
        <f>IF(E318="","",IFERROR(INDEX(Catalogos!$E$5:$E$49,MATCH(E318,L_METAS,0)),""))</f>
        <v/>
      </c>
      <c r="H318" s="26"/>
      <c r="I318" s="26"/>
      <c r="J318" s="26"/>
      <c r="K318" s="26"/>
      <c r="L318" s="26"/>
      <c r="M318" s="27"/>
      <c r="N318" s="26"/>
      <c r="O318" s="26"/>
      <c r="P318" s="26"/>
      <c r="Q318" s="26"/>
      <c r="R318" s="26"/>
      <c r="S318" s="26"/>
      <c r="T318" s="26"/>
      <c r="U318" s="26"/>
      <c r="V318" s="26"/>
      <c r="W318" s="28"/>
      <c r="X318" s="28"/>
      <c r="Y318" s="26"/>
      <c r="Z318" s="26"/>
      <c r="AA318" s="26"/>
      <c r="AB318" s="26"/>
      <c r="AC318" s="26"/>
      <c r="AD318" s="26"/>
      <c r="AE318" s="26"/>
      <c r="AF318" s="26"/>
      <c r="AG318" s="26"/>
      <c r="AH318" s="26"/>
      <c r="AI318" s="26"/>
      <c r="AJ318" s="15" t="str">
        <f>IF(COUNTA(B318,E318,H318,I318,J318,K318,L318,M318,N318,O318,P318,Q318,R318,S318,T318,U318,V318,W318,X318,Y318,Z318,AA318,AB318,AC318,AD318,AE318,AF318,AG318,AH318,AI318)=0,"",IF(OR(B318="",E318="",H318="",J318="",K318="",L318="",M318="",O318="",P318="",Q318="",R318="",S318="",T318="",U318="",W318="",X318="",Y318="",AB318="",AC318="",AE318="",AF318=""),"Incompleta: faltan campos obligatorios",IF(AND(LEFT(H318,6)="PROPIA",I318=""),"Falta el nombre de la acción propia del área",IF(AND(LEFT(H318,3)="A27",IFERROR(INDEX(Catalogos!$T$5:$T$207,MATCH(H318,Catalogos!$U$5:$U$207,0)),"x")&lt;&gt;LEFT(E318,7)),"La acción no corresponde a la meta seleccionada",IF(OR(NOT(ISNUMBER(M318)),M318&lt;10000000,M318&gt;99999999),"Código UNSPSC inválido: registre 8 dígitos",IF(MOD(M318,10000)=0,"UNSPSC a nivel de segmento o familia: use clase o producto",IF(IFERROR(MATCH(P318,L_MESES,0)&lt;MATCH(O318,L_MESES,0),TRUE()),"El mes de ofertas es anterior al de inicio del proceso",IF(OR(NOT(ISNUMBER(Q318)),Q318&lt;=0),"Duración inválida",IF(OR(NOT(ISNUMBER(W318)),NOT(ISNUMBER(X318))),"Valor inválido: registre solo números",IF(OR(W318&lt;=0,X318&lt;=0),"Valor inválido: debe ser mayor que cero",IF(X318&gt;W318,"El valor de la vigencia 2027 supera el valor total",IF(AND(X318&lt;W318,Y318="No"),"El valor total supera el de 2027: requiere vigencias futuras",IF(AND(Y318="Sí",OR(Z318="",Z318="No aplica")),"Indique el estado de la solicitud de vigencias futuras",IF(IF(AND(S318="Mínima cuantía",ISNUMBER(P_TOPE_MINIMA)),W318&gt;P_TOPE_MINIMA,FALSE()),"El valor supera el tope de mínima cuantía 2027",IF(IF(AND(S318="Selección abreviada de menor cuantía",ISNUMBER(P_TOPE_MENOR)),W318&gt;P_TOPE_MENOR,FALSE()),"El valor supera el tope de menor cuantía 2027",IF(OR(ISERROR(SEARCH("@itc.edu.co",AE318)),SUMPRODUCT(--ISNUMBER(SEARCH({"á","é","í","ó","ú","ñ"," "},AE318)))&gt;0),"El correo del responsable no es institucional válido",IF(AND(AF318="Sí",AG318=""),"Indique el N.° de registro 2026 que continúa","OK")))))))))))))))))</f>
        <v/>
      </c>
      <c r="AK318" s="15" t="str">
        <f>IF(AJ318="OK",COUNTIF($AJ$7:AJ318,"OK"),"")</f>
        <v/>
      </c>
    </row>
    <row r="319" spans="1:37" x14ac:dyDescent="0.3">
      <c r="A319" s="13" t="str">
        <f t="shared" si="4"/>
        <v>PN27-313</v>
      </c>
      <c r="B319" s="26"/>
      <c r="C319" s="13" t="str">
        <f>IF(B319="","",IFERROR(INDEX(Catalogos!$R$5:$R$51,MATCH(B319,L_AREAS,0)),""))</f>
        <v/>
      </c>
      <c r="D319" s="13" t="str">
        <f>IF(B319="","",IFERROR(INDEX(Catalogos!$O$5:$O$51,MATCH(B319,L_AREAS,0)),""))</f>
        <v/>
      </c>
      <c r="E319" s="26"/>
      <c r="F319" s="13" t="str">
        <f>IF(E319="","",IFERROR(INDEX(Catalogos!$C$5:$C$49,MATCH(E319,L_METAS,0)),""))</f>
        <v/>
      </c>
      <c r="G319" s="13" t="str">
        <f>IF(E319="","",IFERROR(INDEX(Catalogos!$E$5:$E$49,MATCH(E319,L_METAS,0)),""))</f>
        <v/>
      </c>
      <c r="H319" s="26"/>
      <c r="I319" s="26"/>
      <c r="J319" s="26"/>
      <c r="K319" s="26"/>
      <c r="L319" s="26"/>
      <c r="M319" s="27"/>
      <c r="N319" s="26"/>
      <c r="O319" s="26"/>
      <c r="P319" s="26"/>
      <c r="Q319" s="26"/>
      <c r="R319" s="26"/>
      <c r="S319" s="26"/>
      <c r="T319" s="26"/>
      <c r="U319" s="26"/>
      <c r="V319" s="26"/>
      <c r="W319" s="28"/>
      <c r="X319" s="28"/>
      <c r="Y319" s="26"/>
      <c r="Z319" s="26"/>
      <c r="AA319" s="26"/>
      <c r="AB319" s="26"/>
      <c r="AC319" s="26"/>
      <c r="AD319" s="26"/>
      <c r="AE319" s="26"/>
      <c r="AF319" s="26"/>
      <c r="AG319" s="26"/>
      <c r="AH319" s="26"/>
      <c r="AI319" s="26"/>
      <c r="AJ319" s="15" t="str">
        <f>IF(COUNTA(B319,E319,H319,I319,J319,K319,L319,M319,N319,O319,P319,Q319,R319,S319,T319,U319,V319,W319,X319,Y319,Z319,AA319,AB319,AC319,AD319,AE319,AF319,AG319,AH319,AI319)=0,"",IF(OR(B319="",E319="",H319="",J319="",K319="",L319="",M319="",O319="",P319="",Q319="",R319="",S319="",T319="",U319="",W319="",X319="",Y319="",AB319="",AC319="",AE319="",AF319=""),"Incompleta: faltan campos obligatorios",IF(AND(LEFT(H319,6)="PROPIA",I319=""),"Falta el nombre de la acción propia del área",IF(AND(LEFT(H319,3)="A27",IFERROR(INDEX(Catalogos!$T$5:$T$207,MATCH(H319,Catalogos!$U$5:$U$207,0)),"x")&lt;&gt;LEFT(E319,7)),"La acción no corresponde a la meta seleccionada",IF(OR(NOT(ISNUMBER(M319)),M319&lt;10000000,M319&gt;99999999),"Código UNSPSC inválido: registre 8 dígitos",IF(MOD(M319,10000)=0,"UNSPSC a nivel de segmento o familia: use clase o producto",IF(IFERROR(MATCH(P319,L_MESES,0)&lt;MATCH(O319,L_MESES,0),TRUE()),"El mes de ofertas es anterior al de inicio del proceso",IF(OR(NOT(ISNUMBER(Q319)),Q319&lt;=0),"Duración inválida",IF(OR(NOT(ISNUMBER(W319)),NOT(ISNUMBER(X319))),"Valor inválido: registre solo números",IF(OR(W319&lt;=0,X319&lt;=0),"Valor inválido: debe ser mayor que cero",IF(X319&gt;W319,"El valor de la vigencia 2027 supera el valor total",IF(AND(X319&lt;W319,Y319="No"),"El valor total supera el de 2027: requiere vigencias futuras",IF(AND(Y319="Sí",OR(Z319="",Z319="No aplica")),"Indique el estado de la solicitud de vigencias futuras",IF(IF(AND(S319="Mínima cuantía",ISNUMBER(P_TOPE_MINIMA)),W319&gt;P_TOPE_MINIMA,FALSE()),"El valor supera el tope de mínima cuantía 2027",IF(IF(AND(S319="Selección abreviada de menor cuantía",ISNUMBER(P_TOPE_MENOR)),W319&gt;P_TOPE_MENOR,FALSE()),"El valor supera el tope de menor cuantía 2027",IF(OR(ISERROR(SEARCH("@itc.edu.co",AE319)),SUMPRODUCT(--ISNUMBER(SEARCH({"á","é","í","ó","ú","ñ"," "},AE319)))&gt;0),"El correo del responsable no es institucional válido",IF(AND(AF319="Sí",AG319=""),"Indique el N.° de registro 2026 que continúa","OK")))))))))))))))))</f>
        <v/>
      </c>
      <c r="AK319" s="15" t="str">
        <f>IF(AJ319="OK",COUNTIF($AJ$7:AJ319,"OK"),"")</f>
        <v/>
      </c>
    </row>
    <row r="320" spans="1:37" x14ac:dyDescent="0.3">
      <c r="A320" s="13" t="str">
        <f t="shared" si="4"/>
        <v>PN27-314</v>
      </c>
      <c r="B320" s="26"/>
      <c r="C320" s="13" t="str">
        <f>IF(B320="","",IFERROR(INDEX(Catalogos!$R$5:$R$51,MATCH(B320,L_AREAS,0)),""))</f>
        <v/>
      </c>
      <c r="D320" s="13" t="str">
        <f>IF(B320="","",IFERROR(INDEX(Catalogos!$O$5:$O$51,MATCH(B320,L_AREAS,0)),""))</f>
        <v/>
      </c>
      <c r="E320" s="26"/>
      <c r="F320" s="13" t="str">
        <f>IF(E320="","",IFERROR(INDEX(Catalogos!$C$5:$C$49,MATCH(E320,L_METAS,0)),""))</f>
        <v/>
      </c>
      <c r="G320" s="13" t="str">
        <f>IF(E320="","",IFERROR(INDEX(Catalogos!$E$5:$E$49,MATCH(E320,L_METAS,0)),""))</f>
        <v/>
      </c>
      <c r="H320" s="26"/>
      <c r="I320" s="26"/>
      <c r="J320" s="26"/>
      <c r="K320" s="26"/>
      <c r="L320" s="26"/>
      <c r="M320" s="27"/>
      <c r="N320" s="26"/>
      <c r="O320" s="26"/>
      <c r="P320" s="26"/>
      <c r="Q320" s="26"/>
      <c r="R320" s="26"/>
      <c r="S320" s="26"/>
      <c r="T320" s="26"/>
      <c r="U320" s="26"/>
      <c r="V320" s="26"/>
      <c r="W320" s="28"/>
      <c r="X320" s="28"/>
      <c r="Y320" s="26"/>
      <c r="Z320" s="26"/>
      <c r="AA320" s="26"/>
      <c r="AB320" s="26"/>
      <c r="AC320" s="26"/>
      <c r="AD320" s="26"/>
      <c r="AE320" s="26"/>
      <c r="AF320" s="26"/>
      <c r="AG320" s="26"/>
      <c r="AH320" s="26"/>
      <c r="AI320" s="26"/>
      <c r="AJ320" s="15" t="str">
        <f>IF(COUNTA(B320,E320,H320,I320,J320,K320,L320,M320,N320,O320,P320,Q320,R320,S320,T320,U320,V320,W320,X320,Y320,Z320,AA320,AB320,AC320,AD320,AE320,AF320,AG320,AH320,AI320)=0,"",IF(OR(B320="",E320="",H320="",J320="",K320="",L320="",M320="",O320="",P320="",Q320="",R320="",S320="",T320="",U320="",W320="",X320="",Y320="",AB320="",AC320="",AE320="",AF320=""),"Incompleta: faltan campos obligatorios",IF(AND(LEFT(H320,6)="PROPIA",I320=""),"Falta el nombre de la acción propia del área",IF(AND(LEFT(H320,3)="A27",IFERROR(INDEX(Catalogos!$T$5:$T$207,MATCH(H320,Catalogos!$U$5:$U$207,0)),"x")&lt;&gt;LEFT(E320,7)),"La acción no corresponde a la meta seleccionada",IF(OR(NOT(ISNUMBER(M320)),M320&lt;10000000,M320&gt;99999999),"Código UNSPSC inválido: registre 8 dígitos",IF(MOD(M320,10000)=0,"UNSPSC a nivel de segmento o familia: use clase o producto",IF(IFERROR(MATCH(P320,L_MESES,0)&lt;MATCH(O320,L_MESES,0),TRUE()),"El mes de ofertas es anterior al de inicio del proceso",IF(OR(NOT(ISNUMBER(Q320)),Q320&lt;=0),"Duración inválida",IF(OR(NOT(ISNUMBER(W320)),NOT(ISNUMBER(X320))),"Valor inválido: registre solo números",IF(OR(W320&lt;=0,X320&lt;=0),"Valor inválido: debe ser mayor que cero",IF(X320&gt;W320,"El valor de la vigencia 2027 supera el valor total",IF(AND(X320&lt;W320,Y320="No"),"El valor total supera el de 2027: requiere vigencias futuras",IF(AND(Y320="Sí",OR(Z320="",Z320="No aplica")),"Indique el estado de la solicitud de vigencias futuras",IF(IF(AND(S320="Mínima cuantía",ISNUMBER(P_TOPE_MINIMA)),W320&gt;P_TOPE_MINIMA,FALSE()),"El valor supera el tope de mínima cuantía 2027",IF(IF(AND(S320="Selección abreviada de menor cuantía",ISNUMBER(P_TOPE_MENOR)),W320&gt;P_TOPE_MENOR,FALSE()),"El valor supera el tope de menor cuantía 2027",IF(OR(ISERROR(SEARCH("@itc.edu.co",AE320)),SUMPRODUCT(--ISNUMBER(SEARCH({"á","é","í","ó","ú","ñ"," "},AE320)))&gt;0),"El correo del responsable no es institucional válido",IF(AND(AF320="Sí",AG320=""),"Indique el N.° de registro 2026 que continúa","OK")))))))))))))))))</f>
        <v/>
      </c>
      <c r="AK320" s="15" t="str">
        <f>IF(AJ320="OK",COUNTIF($AJ$7:AJ320,"OK"),"")</f>
        <v/>
      </c>
    </row>
    <row r="321" spans="1:37" x14ac:dyDescent="0.3">
      <c r="A321" s="13" t="str">
        <f t="shared" si="4"/>
        <v>PN27-315</v>
      </c>
      <c r="B321" s="26"/>
      <c r="C321" s="13" t="str">
        <f>IF(B321="","",IFERROR(INDEX(Catalogos!$R$5:$R$51,MATCH(B321,L_AREAS,0)),""))</f>
        <v/>
      </c>
      <c r="D321" s="13" t="str">
        <f>IF(B321="","",IFERROR(INDEX(Catalogos!$O$5:$O$51,MATCH(B321,L_AREAS,0)),""))</f>
        <v/>
      </c>
      <c r="E321" s="26"/>
      <c r="F321" s="13" t="str">
        <f>IF(E321="","",IFERROR(INDEX(Catalogos!$C$5:$C$49,MATCH(E321,L_METAS,0)),""))</f>
        <v/>
      </c>
      <c r="G321" s="13" t="str">
        <f>IF(E321="","",IFERROR(INDEX(Catalogos!$E$5:$E$49,MATCH(E321,L_METAS,0)),""))</f>
        <v/>
      </c>
      <c r="H321" s="26"/>
      <c r="I321" s="26"/>
      <c r="J321" s="26"/>
      <c r="K321" s="26"/>
      <c r="L321" s="26"/>
      <c r="M321" s="27"/>
      <c r="N321" s="26"/>
      <c r="O321" s="26"/>
      <c r="P321" s="26"/>
      <c r="Q321" s="26"/>
      <c r="R321" s="26"/>
      <c r="S321" s="26"/>
      <c r="T321" s="26"/>
      <c r="U321" s="26"/>
      <c r="V321" s="26"/>
      <c r="W321" s="28"/>
      <c r="X321" s="28"/>
      <c r="Y321" s="26"/>
      <c r="Z321" s="26"/>
      <c r="AA321" s="26"/>
      <c r="AB321" s="26"/>
      <c r="AC321" s="26"/>
      <c r="AD321" s="26"/>
      <c r="AE321" s="26"/>
      <c r="AF321" s="26"/>
      <c r="AG321" s="26"/>
      <c r="AH321" s="26"/>
      <c r="AI321" s="26"/>
      <c r="AJ321" s="15" t="str">
        <f>IF(COUNTA(B321,E321,H321,I321,J321,K321,L321,M321,N321,O321,P321,Q321,R321,S321,T321,U321,V321,W321,X321,Y321,Z321,AA321,AB321,AC321,AD321,AE321,AF321,AG321,AH321,AI321)=0,"",IF(OR(B321="",E321="",H321="",J321="",K321="",L321="",M321="",O321="",P321="",Q321="",R321="",S321="",T321="",U321="",W321="",X321="",Y321="",AB321="",AC321="",AE321="",AF321=""),"Incompleta: faltan campos obligatorios",IF(AND(LEFT(H321,6)="PROPIA",I321=""),"Falta el nombre de la acción propia del área",IF(AND(LEFT(H321,3)="A27",IFERROR(INDEX(Catalogos!$T$5:$T$207,MATCH(H321,Catalogos!$U$5:$U$207,0)),"x")&lt;&gt;LEFT(E321,7)),"La acción no corresponde a la meta seleccionada",IF(OR(NOT(ISNUMBER(M321)),M321&lt;10000000,M321&gt;99999999),"Código UNSPSC inválido: registre 8 dígitos",IF(MOD(M321,10000)=0,"UNSPSC a nivel de segmento o familia: use clase o producto",IF(IFERROR(MATCH(P321,L_MESES,0)&lt;MATCH(O321,L_MESES,0),TRUE()),"El mes de ofertas es anterior al de inicio del proceso",IF(OR(NOT(ISNUMBER(Q321)),Q321&lt;=0),"Duración inválida",IF(OR(NOT(ISNUMBER(W321)),NOT(ISNUMBER(X321))),"Valor inválido: registre solo números",IF(OR(W321&lt;=0,X321&lt;=0),"Valor inválido: debe ser mayor que cero",IF(X321&gt;W321,"El valor de la vigencia 2027 supera el valor total",IF(AND(X321&lt;W321,Y321="No"),"El valor total supera el de 2027: requiere vigencias futuras",IF(AND(Y321="Sí",OR(Z321="",Z321="No aplica")),"Indique el estado de la solicitud de vigencias futuras",IF(IF(AND(S321="Mínima cuantía",ISNUMBER(P_TOPE_MINIMA)),W321&gt;P_TOPE_MINIMA,FALSE()),"El valor supera el tope de mínima cuantía 2027",IF(IF(AND(S321="Selección abreviada de menor cuantía",ISNUMBER(P_TOPE_MENOR)),W321&gt;P_TOPE_MENOR,FALSE()),"El valor supera el tope de menor cuantía 2027",IF(OR(ISERROR(SEARCH("@itc.edu.co",AE321)),SUMPRODUCT(--ISNUMBER(SEARCH({"á","é","í","ó","ú","ñ"," "},AE321)))&gt;0),"El correo del responsable no es institucional válido",IF(AND(AF321="Sí",AG321=""),"Indique el N.° de registro 2026 que continúa","OK")))))))))))))))))</f>
        <v/>
      </c>
      <c r="AK321" s="15" t="str">
        <f>IF(AJ321="OK",COUNTIF($AJ$7:AJ321,"OK"),"")</f>
        <v/>
      </c>
    </row>
    <row r="322" spans="1:37" x14ac:dyDescent="0.3">
      <c r="A322" s="13" t="str">
        <f t="shared" si="4"/>
        <v>PN27-316</v>
      </c>
      <c r="B322" s="26"/>
      <c r="C322" s="13" t="str">
        <f>IF(B322="","",IFERROR(INDEX(Catalogos!$R$5:$R$51,MATCH(B322,L_AREAS,0)),""))</f>
        <v/>
      </c>
      <c r="D322" s="13" t="str">
        <f>IF(B322="","",IFERROR(INDEX(Catalogos!$O$5:$O$51,MATCH(B322,L_AREAS,0)),""))</f>
        <v/>
      </c>
      <c r="E322" s="26"/>
      <c r="F322" s="13" t="str">
        <f>IF(E322="","",IFERROR(INDEX(Catalogos!$C$5:$C$49,MATCH(E322,L_METAS,0)),""))</f>
        <v/>
      </c>
      <c r="G322" s="13" t="str">
        <f>IF(E322="","",IFERROR(INDEX(Catalogos!$E$5:$E$49,MATCH(E322,L_METAS,0)),""))</f>
        <v/>
      </c>
      <c r="H322" s="26"/>
      <c r="I322" s="26"/>
      <c r="J322" s="26"/>
      <c r="K322" s="26"/>
      <c r="L322" s="26"/>
      <c r="M322" s="27"/>
      <c r="N322" s="26"/>
      <c r="O322" s="26"/>
      <c r="P322" s="26"/>
      <c r="Q322" s="26"/>
      <c r="R322" s="26"/>
      <c r="S322" s="26"/>
      <c r="T322" s="26"/>
      <c r="U322" s="26"/>
      <c r="V322" s="26"/>
      <c r="W322" s="28"/>
      <c r="X322" s="28"/>
      <c r="Y322" s="26"/>
      <c r="Z322" s="26"/>
      <c r="AA322" s="26"/>
      <c r="AB322" s="26"/>
      <c r="AC322" s="26"/>
      <c r="AD322" s="26"/>
      <c r="AE322" s="26"/>
      <c r="AF322" s="26"/>
      <c r="AG322" s="26"/>
      <c r="AH322" s="26"/>
      <c r="AI322" s="26"/>
      <c r="AJ322" s="15" t="str">
        <f>IF(COUNTA(B322,E322,H322,I322,J322,K322,L322,M322,N322,O322,P322,Q322,R322,S322,T322,U322,V322,W322,X322,Y322,Z322,AA322,AB322,AC322,AD322,AE322,AF322,AG322,AH322,AI322)=0,"",IF(OR(B322="",E322="",H322="",J322="",K322="",L322="",M322="",O322="",P322="",Q322="",R322="",S322="",T322="",U322="",W322="",X322="",Y322="",AB322="",AC322="",AE322="",AF322=""),"Incompleta: faltan campos obligatorios",IF(AND(LEFT(H322,6)="PROPIA",I322=""),"Falta el nombre de la acción propia del área",IF(AND(LEFT(H322,3)="A27",IFERROR(INDEX(Catalogos!$T$5:$T$207,MATCH(H322,Catalogos!$U$5:$U$207,0)),"x")&lt;&gt;LEFT(E322,7)),"La acción no corresponde a la meta seleccionada",IF(OR(NOT(ISNUMBER(M322)),M322&lt;10000000,M322&gt;99999999),"Código UNSPSC inválido: registre 8 dígitos",IF(MOD(M322,10000)=0,"UNSPSC a nivel de segmento o familia: use clase o producto",IF(IFERROR(MATCH(P322,L_MESES,0)&lt;MATCH(O322,L_MESES,0),TRUE()),"El mes de ofertas es anterior al de inicio del proceso",IF(OR(NOT(ISNUMBER(Q322)),Q322&lt;=0),"Duración inválida",IF(OR(NOT(ISNUMBER(W322)),NOT(ISNUMBER(X322))),"Valor inválido: registre solo números",IF(OR(W322&lt;=0,X322&lt;=0),"Valor inválido: debe ser mayor que cero",IF(X322&gt;W322,"El valor de la vigencia 2027 supera el valor total",IF(AND(X322&lt;W322,Y322="No"),"El valor total supera el de 2027: requiere vigencias futuras",IF(AND(Y322="Sí",OR(Z322="",Z322="No aplica")),"Indique el estado de la solicitud de vigencias futuras",IF(IF(AND(S322="Mínima cuantía",ISNUMBER(P_TOPE_MINIMA)),W322&gt;P_TOPE_MINIMA,FALSE()),"El valor supera el tope de mínima cuantía 2027",IF(IF(AND(S322="Selección abreviada de menor cuantía",ISNUMBER(P_TOPE_MENOR)),W322&gt;P_TOPE_MENOR,FALSE()),"El valor supera el tope de menor cuantía 2027",IF(OR(ISERROR(SEARCH("@itc.edu.co",AE322)),SUMPRODUCT(--ISNUMBER(SEARCH({"á","é","í","ó","ú","ñ"," "},AE322)))&gt;0),"El correo del responsable no es institucional válido",IF(AND(AF322="Sí",AG322=""),"Indique el N.° de registro 2026 que continúa","OK")))))))))))))))))</f>
        <v/>
      </c>
      <c r="AK322" s="15" t="str">
        <f>IF(AJ322="OK",COUNTIF($AJ$7:AJ322,"OK"),"")</f>
        <v/>
      </c>
    </row>
    <row r="323" spans="1:37" x14ac:dyDescent="0.3">
      <c r="A323" s="13" t="str">
        <f t="shared" si="4"/>
        <v>PN27-317</v>
      </c>
      <c r="B323" s="26"/>
      <c r="C323" s="13" t="str">
        <f>IF(B323="","",IFERROR(INDEX(Catalogos!$R$5:$R$51,MATCH(B323,L_AREAS,0)),""))</f>
        <v/>
      </c>
      <c r="D323" s="13" t="str">
        <f>IF(B323="","",IFERROR(INDEX(Catalogos!$O$5:$O$51,MATCH(B323,L_AREAS,0)),""))</f>
        <v/>
      </c>
      <c r="E323" s="26"/>
      <c r="F323" s="13" t="str">
        <f>IF(E323="","",IFERROR(INDEX(Catalogos!$C$5:$C$49,MATCH(E323,L_METAS,0)),""))</f>
        <v/>
      </c>
      <c r="G323" s="13" t="str">
        <f>IF(E323="","",IFERROR(INDEX(Catalogos!$E$5:$E$49,MATCH(E323,L_METAS,0)),""))</f>
        <v/>
      </c>
      <c r="H323" s="26"/>
      <c r="I323" s="26"/>
      <c r="J323" s="26"/>
      <c r="K323" s="26"/>
      <c r="L323" s="26"/>
      <c r="M323" s="27"/>
      <c r="N323" s="26"/>
      <c r="O323" s="26"/>
      <c r="P323" s="26"/>
      <c r="Q323" s="26"/>
      <c r="R323" s="26"/>
      <c r="S323" s="26"/>
      <c r="T323" s="26"/>
      <c r="U323" s="26"/>
      <c r="V323" s="26"/>
      <c r="W323" s="28"/>
      <c r="X323" s="28"/>
      <c r="Y323" s="26"/>
      <c r="Z323" s="26"/>
      <c r="AA323" s="26"/>
      <c r="AB323" s="26"/>
      <c r="AC323" s="26"/>
      <c r="AD323" s="26"/>
      <c r="AE323" s="26"/>
      <c r="AF323" s="26"/>
      <c r="AG323" s="26"/>
      <c r="AH323" s="26"/>
      <c r="AI323" s="26"/>
      <c r="AJ323" s="15" t="str">
        <f>IF(COUNTA(B323,E323,H323,I323,J323,K323,L323,M323,N323,O323,P323,Q323,R323,S323,T323,U323,V323,W323,X323,Y323,Z323,AA323,AB323,AC323,AD323,AE323,AF323,AG323,AH323,AI323)=0,"",IF(OR(B323="",E323="",H323="",J323="",K323="",L323="",M323="",O323="",P323="",Q323="",R323="",S323="",T323="",U323="",W323="",X323="",Y323="",AB323="",AC323="",AE323="",AF323=""),"Incompleta: faltan campos obligatorios",IF(AND(LEFT(H323,6)="PROPIA",I323=""),"Falta el nombre de la acción propia del área",IF(AND(LEFT(H323,3)="A27",IFERROR(INDEX(Catalogos!$T$5:$T$207,MATCH(H323,Catalogos!$U$5:$U$207,0)),"x")&lt;&gt;LEFT(E323,7)),"La acción no corresponde a la meta seleccionada",IF(OR(NOT(ISNUMBER(M323)),M323&lt;10000000,M323&gt;99999999),"Código UNSPSC inválido: registre 8 dígitos",IF(MOD(M323,10000)=0,"UNSPSC a nivel de segmento o familia: use clase o producto",IF(IFERROR(MATCH(P323,L_MESES,0)&lt;MATCH(O323,L_MESES,0),TRUE()),"El mes de ofertas es anterior al de inicio del proceso",IF(OR(NOT(ISNUMBER(Q323)),Q323&lt;=0),"Duración inválida",IF(OR(NOT(ISNUMBER(W323)),NOT(ISNUMBER(X323))),"Valor inválido: registre solo números",IF(OR(W323&lt;=0,X323&lt;=0),"Valor inválido: debe ser mayor que cero",IF(X323&gt;W323,"El valor de la vigencia 2027 supera el valor total",IF(AND(X323&lt;W323,Y323="No"),"El valor total supera el de 2027: requiere vigencias futuras",IF(AND(Y323="Sí",OR(Z323="",Z323="No aplica")),"Indique el estado de la solicitud de vigencias futuras",IF(IF(AND(S323="Mínima cuantía",ISNUMBER(P_TOPE_MINIMA)),W323&gt;P_TOPE_MINIMA,FALSE()),"El valor supera el tope de mínima cuantía 2027",IF(IF(AND(S323="Selección abreviada de menor cuantía",ISNUMBER(P_TOPE_MENOR)),W323&gt;P_TOPE_MENOR,FALSE()),"El valor supera el tope de menor cuantía 2027",IF(OR(ISERROR(SEARCH("@itc.edu.co",AE323)),SUMPRODUCT(--ISNUMBER(SEARCH({"á","é","í","ó","ú","ñ"," "},AE323)))&gt;0),"El correo del responsable no es institucional válido",IF(AND(AF323="Sí",AG323=""),"Indique el N.° de registro 2026 que continúa","OK")))))))))))))))))</f>
        <v/>
      </c>
      <c r="AK323" s="15" t="str">
        <f>IF(AJ323="OK",COUNTIF($AJ$7:AJ323,"OK"),"")</f>
        <v/>
      </c>
    </row>
    <row r="324" spans="1:37" x14ac:dyDescent="0.3">
      <c r="A324" s="13" t="str">
        <f t="shared" si="4"/>
        <v>PN27-318</v>
      </c>
      <c r="B324" s="26"/>
      <c r="C324" s="13" t="str">
        <f>IF(B324="","",IFERROR(INDEX(Catalogos!$R$5:$R$51,MATCH(B324,L_AREAS,0)),""))</f>
        <v/>
      </c>
      <c r="D324" s="13" t="str">
        <f>IF(B324="","",IFERROR(INDEX(Catalogos!$O$5:$O$51,MATCH(B324,L_AREAS,0)),""))</f>
        <v/>
      </c>
      <c r="E324" s="26"/>
      <c r="F324" s="13" t="str">
        <f>IF(E324="","",IFERROR(INDEX(Catalogos!$C$5:$C$49,MATCH(E324,L_METAS,0)),""))</f>
        <v/>
      </c>
      <c r="G324" s="13" t="str">
        <f>IF(E324="","",IFERROR(INDEX(Catalogos!$E$5:$E$49,MATCH(E324,L_METAS,0)),""))</f>
        <v/>
      </c>
      <c r="H324" s="26"/>
      <c r="I324" s="26"/>
      <c r="J324" s="26"/>
      <c r="K324" s="26"/>
      <c r="L324" s="26"/>
      <c r="M324" s="27"/>
      <c r="N324" s="26"/>
      <c r="O324" s="26"/>
      <c r="P324" s="26"/>
      <c r="Q324" s="26"/>
      <c r="R324" s="26"/>
      <c r="S324" s="26"/>
      <c r="T324" s="26"/>
      <c r="U324" s="26"/>
      <c r="V324" s="26"/>
      <c r="W324" s="28"/>
      <c r="X324" s="28"/>
      <c r="Y324" s="26"/>
      <c r="Z324" s="26"/>
      <c r="AA324" s="26"/>
      <c r="AB324" s="26"/>
      <c r="AC324" s="26"/>
      <c r="AD324" s="26"/>
      <c r="AE324" s="26"/>
      <c r="AF324" s="26"/>
      <c r="AG324" s="26"/>
      <c r="AH324" s="26"/>
      <c r="AI324" s="26"/>
      <c r="AJ324" s="15" t="str">
        <f>IF(COUNTA(B324,E324,H324,I324,J324,K324,L324,M324,N324,O324,P324,Q324,R324,S324,T324,U324,V324,W324,X324,Y324,Z324,AA324,AB324,AC324,AD324,AE324,AF324,AG324,AH324,AI324)=0,"",IF(OR(B324="",E324="",H324="",J324="",K324="",L324="",M324="",O324="",P324="",Q324="",R324="",S324="",T324="",U324="",W324="",X324="",Y324="",AB324="",AC324="",AE324="",AF324=""),"Incompleta: faltan campos obligatorios",IF(AND(LEFT(H324,6)="PROPIA",I324=""),"Falta el nombre de la acción propia del área",IF(AND(LEFT(H324,3)="A27",IFERROR(INDEX(Catalogos!$T$5:$T$207,MATCH(H324,Catalogos!$U$5:$U$207,0)),"x")&lt;&gt;LEFT(E324,7)),"La acción no corresponde a la meta seleccionada",IF(OR(NOT(ISNUMBER(M324)),M324&lt;10000000,M324&gt;99999999),"Código UNSPSC inválido: registre 8 dígitos",IF(MOD(M324,10000)=0,"UNSPSC a nivel de segmento o familia: use clase o producto",IF(IFERROR(MATCH(P324,L_MESES,0)&lt;MATCH(O324,L_MESES,0),TRUE()),"El mes de ofertas es anterior al de inicio del proceso",IF(OR(NOT(ISNUMBER(Q324)),Q324&lt;=0),"Duración inválida",IF(OR(NOT(ISNUMBER(W324)),NOT(ISNUMBER(X324))),"Valor inválido: registre solo números",IF(OR(W324&lt;=0,X324&lt;=0),"Valor inválido: debe ser mayor que cero",IF(X324&gt;W324,"El valor de la vigencia 2027 supera el valor total",IF(AND(X324&lt;W324,Y324="No"),"El valor total supera el de 2027: requiere vigencias futuras",IF(AND(Y324="Sí",OR(Z324="",Z324="No aplica")),"Indique el estado de la solicitud de vigencias futuras",IF(IF(AND(S324="Mínima cuantía",ISNUMBER(P_TOPE_MINIMA)),W324&gt;P_TOPE_MINIMA,FALSE()),"El valor supera el tope de mínima cuantía 2027",IF(IF(AND(S324="Selección abreviada de menor cuantía",ISNUMBER(P_TOPE_MENOR)),W324&gt;P_TOPE_MENOR,FALSE()),"El valor supera el tope de menor cuantía 2027",IF(OR(ISERROR(SEARCH("@itc.edu.co",AE324)),SUMPRODUCT(--ISNUMBER(SEARCH({"á","é","í","ó","ú","ñ"," "},AE324)))&gt;0),"El correo del responsable no es institucional válido",IF(AND(AF324="Sí",AG324=""),"Indique el N.° de registro 2026 que continúa","OK")))))))))))))))))</f>
        <v/>
      </c>
      <c r="AK324" s="15" t="str">
        <f>IF(AJ324="OK",COUNTIF($AJ$7:AJ324,"OK"),"")</f>
        <v/>
      </c>
    </row>
    <row r="325" spans="1:37" x14ac:dyDescent="0.3">
      <c r="A325" s="13" t="str">
        <f t="shared" si="4"/>
        <v>PN27-319</v>
      </c>
      <c r="B325" s="26"/>
      <c r="C325" s="13" t="str">
        <f>IF(B325="","",IFERROR(INDEX(Catalogos!$R$5:$R$51,MATCH(B325,L_AREAS,0)),""))</f>
        <v/>
      </c>
      <c r="D325" s="13" t="str">
        <f>IF(B325="","",IFERROR(INDEX(Catalogos!$O$5:$O$51,MATCH(B325,L_AREAS,0)),""))</f>
        <v/>
      </c>
      <c r="E325" s="26"/>
      <c r="F325" s="13" t="str">
        <f>IF(E325="","",IFERROR(INDEX(Catalogos!$C$5:$C$49,MATCH(E325,L_METAS,0)),""))</f>
        <v/>
      </c>
      <c r="G325" s="13" t="str">
        <f>IF(E325="","",IFERROR(INDEX(Catalogos!$E$5:$E$49,MATCH(E325,L_METAS,0)),""))</f>
        <v/>
      </c>
      <c r="H325" s="26"/>
      <c r="I325" s="26"/>
      <c r="J325" s="26"/>
      <c r="K325" s="26"/>
      <c r="L325" s="26"/>
      <c r="M325" s="27"/>
      <c r="N325" s="26"/>
      <c r="O325" s="26"/>
      <c r="P325" s="26"/>
      <c r="Q325" s="26"/>
      <c r="R325" s="26"/>
      <c r="S325" s="26"/>
      <c r="T325" s="26"/>
      <c r="U325" s="26"/>
      <c r="V325" s="26"/>
      <c r="W325" s="28"/>
      <c r="X325" s="28"/>
      <c r="Y325" s="26"/>
      <c r="Z325" s="26"/>
      <c r="AA325" s="26"/>
      <c r="AB325" s="26"/>
      <c r="AC325" s="26"/>
      <c r="AD325" s="26"/>
      <c r="AE325" s="26"/>
      <c r="AF325" s="26"/>
      <c r="AG325" s="26"/>
      <c r="AH325" s="26"/>
      <c r="AI325" s="26"/>
      <c r="AJ325" s="15" t="str">
        <f>IF(COUNTA(B325,E325,H325,I325,J325,K325,L325,M325,N325,O325,P325,Q325,R325,S325,T325,U325,V325,W325,X325,Y325,Z325,AA325,AB325,AC325,AD325,AE325,AF325,AG325,AH325,AI325)=0,"",IF(OR(B325="",E325="",H325="",J325="",K325="",L325="",M325="",O325="",P325="",Q325="",R325="",S325="",T325="",U325="",W325="",X325="",Y325="",AB325="",AC325="",AE325="",AF325=""),"Incompleta: faltan campos obligatorios",IF(AND(LEFT(H325,6)="PROPIA",I325=""),"Falta el nombre de la acción propia del área",IF(AND(LEFT(H325,3)="A27",IFERROR(INDEX(Catalogos!$T$5:$T$207,MATCH(H325,Catalogos!$U$5:$U$207,0)),"x")&lt;&gt;LEFT(E325,7)),"La acción no corresponde a la meta seleccionada",IF(OR(NOT(ISNUMBER(M325)),M325&lt;10000000,M325&gt;99999999),"Código UNSPSC inválido: registre 8 dígitos",IF(MOD(M325,10000)=0,"UNSPSC a nivel de segmento o familia: use clase o producto",IF(IFERROR(MATCH(P325,L_MESES,0)&lt;MATCH(O325,L_MESES,0),TRUE()),"El mes de ofertas es anterior al de inicio del proceso",IF(OR(NOT(ISNUMBER(Q325)),Q325&lt;=0),"Duración inválida",IF(OR(NOT(ISNUMBER(W325)),NOT(ISNUMBER(X325))),"Valor inválido: registre solo números",IF(OR(W325&lt;=0,X325&lt;=0),"Valor inválido: debe ser mayor que cero",IF(X325&gt;W325,"El valor de la vigencia 2027 supera el valor total",IF(AND(X325&lt;W325,Y325="No"),"El valor total supera el de 2027: requiere vigencias futuras",IF(AND(Y325="Sí",OR(Z325="",Z325="No aplica")),"Indique el estado de la solicitud de vigencias futuras",IF(IF(AND(S325="Mínima cuantía",ISNUMBER(P_TOPE_MINIMA)),W325&gt;P_TOPE_MINIMA,FALSE()),"El valor supera el tope de mínima cuantía 2027",IF(IF(AND(S325="Selección abreviada de menor cuantía",ISNUMBER(P_TOPE_MENOR)),W325&gt;P_TOPE_MENOR,FALSE()),"El valor supera el tope de menor cuantía 2027",IF(OR(ISERROR(SEARCH("@itc.edu.co",AE325)),SUMPRODUCT(--ISNUMBER(SEARCH({"á","é","í","ó","ú","ñ"," "},AE325)))&gt;0),"El correo del responsable no es institucional válido",IF(AND(AF325="Sí",AG325=""),"Indique el N.° de registro 2026 que continúa","OK")))))))))))))))))</f>
        <v/>
      </c>
      <c r="AK325" s="15" t="str">
        <f>IF(AJ325="OK",COUNTIF($AJ$7:AJ325,"OK"),"")</f>
        <v/>
      </c>
    </row>
    <row r="326" spans="1:37" x14ac:dyDescent="0.3">
      <c r="A326" s="13" t="str">
        <f t="shared" si="4"/>
        <v>PN27-320</v>
      </c>
      <c r="B326" s="26"/>
      <c r="C326" s="13" t="str">
        <f>IF(B326="","",IFERROR(INDEX(Catalogos!$R$5:$R$51,MATCH(B326,L_AREAS,0)),""))</f>
        <v/>
      </c>
      <c r="D326" s="13" t="str">
        <f>IF(B326="","",IFERROR(INDEX(Catalogos!$O$5:$O$51,MATCH(B326,L_AREAS,0)),""))</f>
        <v/>
      </c>
      <c r="E326" s="26"/>
      <c r="F326" s="13" t="str">
        <f>IF(E326="","",IFERROR(INDEX(Catalogos!$C$5:$C$49,MATCH(E326,L_METAS,0)),""))</f>
        <v/>
      </c>
      <c r="G326" s="13" t="str">
        <f>IF(E326="","",IFERROR(INDEX(Catalogos!$E$5:$E$49,MATCH(E326,L_METAS,0)),""))</f>
        <v/>
      </c>
      <c r="H326" s="26"/>
      <c r="I326" s="26"/>
      <c r="J326" s="26"/>
      <c r="K326" s="26"/>
      <c r="L326" s="26"/>
      <c r="M326" s="27"/>
      <c r="N326" s="26"/>
      <c r="O326" s="26"/>
      <c r="P326" s="26"/>
      <c r="Q326" s="26"/>
      <c r="R326" s="26"/>
      <c r="S326" s="26"/>
      <c r="T326" s="26"/>
      <c r="U326" s="26"/>
      <c r="V326" s="26"/>
      <c r="W326" s="28"/>
      <c r="X326" s="28"/>
      <c r="Y326" s="26"/>
      <c r="Z326" s="26"/>
      <c r="AA326" s="26"/>
      <c r="AB326" s="26"/>
      <c r="AC326" s="26"/>
      <c r="AD326" s="26"/>
      <c r="AE326" s="26"/>
      <c r="AF326" s="26"/>
      <c r="AG326" s="26"/>
      <c r="AH326" s="26"/>
      <c r="AI326" s="26"/>
      <c r="AJ326" s="15" t="str">
        <f>IF(COUNTA(B326,E326,H326,I326,J326,K326,L326,M326,N326,O326,P326,Q326,R326,S326,T326,U326,V326,W326,X326,Y326,Z326,AA326,AB326,AC326,AD326,AE326,AF326,AG326,AH326,AI326)=0,"",IF(OR(B326="",E326="",H326="",J326="",K326="",L326="",M326="",O326="",P326="",Q326="",R326="",S326="",T326="",U326="",W326="",X326="",Y326="",AB326="",AC326="",AE326="",AF326=""),"Incompleta: faltan campos obligatorios",IF(AND(LEFT(H326,6)="PROPIA",I326=""),"Falta el nombre de la acción propia del área",IF(AND(LEFT(H326,3)="A27",IFERROR(INDEX(Catalogos!$T$5:$T$207,MATCH(H326,Catalogos!$U$5:$U$207,0)),"x")&lt;&gt;LEFT(E326,7)),"La acción no corresponde a la meta seleccionada",IF(OR(NOT(ISNUMBER(M326)),M326&lt;10000000,M326&gt;99999999),"Código UNSPSC inválido: registre 8 dígitos",IF(MOD(M326,10000)=0,"UNSPSC a nivel de segmento o familia: use clase o producto",IF(IFERROR(MATCH(P326,L_MESES,0)&lt;MATCH(O326,L_MESES,0),TRUE()),"El mes de ofertas es anterior al de inicio del proceso",IF(OR(NOT(ISNUMBER(Q326)),Q326&lt;=0),"Duración inválida",IF(OR(NOT(ISNUMBER(W326)),NOT(ISNUMBER(X326))),"Valor inválido: registre solo números",IF(OR(W326&lt;=0,X326&lt;=0),"Valor inválido: debe ser mayor que cero",IF(X326&gt;W326,"El valor de la vigencia 2027 supera el valor total",IF(AND(X326&lt;W326,Y326="No"),"El valor total supera el de 2027: requiere vigencias futuras",IF(AND(Y326="Sí",OR(Z326="",Z326="No aplica")),"Indique el estado de la solicitud de vigencias futuras",IF(IF(AND(S326="Mínima cuantía",ISNUMBER(P_TOPE_MINIMA)),W326&gt;P_TOPE_MINIMA,FALSE()),"El valor supera el tope de mínima cuantía 2027",IF(IF(AND(S326="Selección abreviada de menor cuantía",ISNUMBER(P_TOPE_MENOR)),W326&gt;P_TOPE_MENOR,FALSE()),"El valor supera el tope de menor cuantía 2027",IF(OR(ISERROR(SEARCH("@itc.edu.co",AE326)),SUMPRODUCT(--ISNUMBER(SEARCH({"á","é","í","ó","ú","ñ"," "},AE326)))&gt;0),"El correo del responsable no es institucional válido",IF(AND(AF326="Sí",AG326=""),"Indique el N.° de registro 2026 que continúa","OK")))))))))))))))))</f>
        <v/>
      </c>
      <c r="AK326" s="15" t="str">
        <f>IF(AJ326="OK",COUNTIF($AJ$7:AJ326,"OK"),"")</f>
        <v/>
      </c>
    </row>
    <row r="327" spans="1:37" x14ac:dyDescent="0.3">
      <c r="A327" s="13" t="str">
        <f t="shared" ref="A327:A390" si="5">"PN27-"&amp;TEXT(ROW()-6,"000")</f>
        <v>PN27-321</v>
      </c>
      <c r="B327" s="26"/>
      <c r="C327" s="13" t="str">
        <f>IF(B327="","",IFERROR(INDEX(Catalogos!$R$5:$R$51,MATCH(B327,L_AREAS,0)),""))</f>
        <v/>
      </c>
      <c r="D327" s="13" t="str">
        <f>IF(B327="","",IFERROR(INDEX(Catalogos!$O$5:$O$51,MATCH(B327,L_AREAS,0)),""))</f>
        <v/>
      </c>
      <c r="E327" s="26"/>
      <c r="F327" s="13" t="str">
        <f>IF(E327="","",IFERROR(INDEX(Catalogos!$C$5:$C$49,MATCH(E327,L_METAS,0)),""))</f>
        <v/>
      </c>
      <c r="G327" s="13" t="str">
        <f>IF(E327="","",IFERROR(INDEX(Catalogos!$E$5:$E$49,MATCH(E327,L_METAS,0)),""))</f>
        <v/>
      </c>
      <c r="H327" s="26"/>
      <c r="I327" s="26"/>
      <c r="J327" s="26"/>
      <c r="K327" s="26"/>
      <c r="L327" s="26"/>
      <c r="M327" s="27"/>
      <c r="N327" s="26"/>
      <c r="O327" s="26"/>
      <c r="P327" s="26"/>
      <c r="Q327" s="26"/>
      <c r="R327" s="26"/>
      <c r="S327" s="26"/>
      <c r="T327" s="26"/>
      <c r="U327" s="26"/>
      <c r="V327" s="26"/>
      <c r="W327" s="28"/>
      <c r="X327" s="28"/>
      <c r="Y327" s="26"/>
      <c r="Z327" s="26"/>
      <c r="AA327" s="26"/>
      <c r="AB327" s="26"/>
      <c r="AC327" s="26"/>
      <c r="AD327" s="26"/>
      <c r="AE327" s="26"/>
      <c r="AF327" s="26"/>
      <c r="AG327" s="26"/>
      <c r="AH327" s="26"/>
      <c r="AI327" s="26"/>
      <c r="AJ327" s="15" t="str">
        <f>IF(COUNTA(B327,E327,H327,I327,J327,K327,L327,M327,N327,O327,P327,Q327,R327,S327,T327,U327,V327,W327,X327,Y327,Z327,AA327,AB327,AC327,AD327,AE327,AF327,AG327,AH327,AI327)=0,"",IF(OR(B327="",E327="",H327="",J327="",K327="",L327="",M327="",O327="",P327="",Q327="",R327="",S327="",T327="",U327="",W327="",X327="",Y327="",AB327="",AC327="",AE327="",AF327=""),"Incompleta: faltan campos obligatorios",IF(AND(LEFT(H327,6)="PROPIA",I327=""),"Falta el nombre de la acción propia del área",IF(AND(LEFT(H327,3)="A27",IFERROR(INDEX(Catalogos!$T$5:$T$207,MATCH(H327,Catalogos!$U$5:$U$207,0)),"x")&lt;&gt;LEFT(E327,7)),"La acción no corresponde a la meta seleccionada",IF(OR(NOT(ISNUMBER(M327)),M327&lt;10000000,M327&gt;99999999),"Código UNSPSC inválido: registre 8 dígitos",IF(MOD(M327,10000)=0,"UNSPSC a nivel de segmento o familia: use clase o producto",IF(IFERROR(MATCH(P327,L_MESES,0)&lt;MATCH(O327,L_MESES,0),TRUE()),"El mes de ofertas es anterior al de inicio del proceso",IF(OR(NOT(ISNUMBER(Q327)),Q327&lt;=0),"Duración inválida",IF(OR(NOT(ISNUMBER(W327)),NOT(ISNUMBER(X327))),"Valor inválido: registre solo números",IF(OR(W327&lt;=0,X327&lt;=0),"Valor inválido: debe ser mayor que cero",IF(X327&gt;W327,"El valor de la vigencia 2027 supera el valor total",IF(AND(X327&lt;W327,Y327="No"),"El valor total supera el de 2027: requiere vigencias futuras",IF(AND(Y327="Sí",OR(Z327="",Z327="No aplica")),"Indique el estado de la solicitud de vigencias futuras",IF(IF(AND(S327="Mínima cuantía",ISNUMBER(P_TOPE_MINIMA)),W327&gt;P_TOPE_MINIMA,FALSE()),"El valor supera el tope de mínima cuantía 2027",IF(IF(AND(S327="Selección abreviada de menor cuantía",ISNUMBER(P_TOPE_MENOR)),W327&gt;P_TOPE_MENOR,FALSE()),"El valor supera el tope de menor cuantía 2027",IF(OR(ISERROR(SEARCH("@itc.edu.co",AE327)),SUMPRODUCT(--ISNUMBER(SEARCH({"á","é","í","ó","ú","ñ"," "},AE327)))&gt;0),"El correo del responsable no es institucional válido",IF(AND(AF327="Sí",AG327=""),"Indique el N.° de registro 2026 que continúa","OK")))))))))))))))))</f>
        <v/>
      </c>
      <c r="AK327" s="15" t="str">
        <f>IF(AJ327="OK",COUNTIF($AJ$7:AJ327,"OK"),"")</f>
        <v/>
      </c>
    </row>
    <row r="328" spans="1:37" x14ac:dyDescent="0.3">
      <c r="A328" s="13" t="str">
        <f t="shared" si="5"/>
        <v>PN27-322</v>
      </c>
      <c r="B328" s="26"/>
      <c r="C328" s="13" t="str">
        <f>IF(B328="","",IFERROR(INDEX(Catalogos!$R$5:$R$51,MATCH(B328,L_AREAS,0)),""))</f>
        <v/>
      </c>
      <c r="D328" s="13" t="str">
        <f>IF(B328="","",IFERROR(INDEX(Catalogos!$O$5:$O$51,MATCH(B328,L_AREAS,0)),""))</f>
        <v/>
      </c>
      <c r="E328" s="26"/>
      <c r="F328" s="13" t="str">
        <f>IF(E328="","",IFERROR(INDEX(Catalogos!$C$5:$C$49,MATCH(E328,L_METAS,0)),""))</f>
        <v/>
      </c>
      <c r="G328" s="13" t="str">
        <f>IF(E328="","",IFERROR(INDEX(Catalogos!$E$5:$E$49,MATCH(E328,L_METAS,0)),""))</f>
        <v/>
      </c>
      <c r="H328" s="26"/>
      <c r="I328" s="26"/>
      <c r="J328" s="26"/>
      <c r="K328" s="26"/>
      <c r="L328" s="26"/>
      <c r="M328" s="27"/>
      <c r="N328" s="26"/>
      <c r="O328" s="26"/>
      <c r="P328" s="26"/>
      <c r="Q328" s="26"/>
      <c r="R328" s="26"/>
      <c r="S328" s="26"/>
      <c r="T328" s="26"/>
      <c r="U328" s="26"/>
      <c r="V328" s="26"/>
      <c r="W328" s="28"/>
      <c r="X328" s="28"/>
      <c r="Y328" s="26"/>
      <c r="Z328" s="26"/>
      <c r="AA328" s="26"/>
      <c r="AB328" s="26"/>
      <c r="AC328" s="26"/>
      <c r="AD328" s="26"/>
      <c r="AE328" s="26"/>
      <c r="AF328" s="26"/>
      <c r="AG328" s="26"/>
      <c r="AH328" s="26"/>
      <c r="AI328" s="26"/>
      <c r="AJ328" s="15" t="str">
        <f>IF(COUNTA(B328,E328,H328,I328,J328,K328,L328,M328,N328,O328,P328,Q328,R328,S328,T328,U328,V328,W328,X328,Y328,Z328,AA328,AB328,AC328,AD328,AE328,AF328,AG328,AH328,AI328)=0,"",IF(OR(B328="",E328="",H328="",J328="",K328="",L328="",M328="",O328="",P328="",Q328="",R328="",S328="",T328="",U328="",W328="",X328="",Y328="",AB328="",AC328="",AE328="",AF328=""),"Incompleta: faltan campos obligatorios",IF(AND(LEFT(H328,6)="PROPIA",I328=""),"Falta el nombre de la acción propia del área",IF(AND(LEFT(H328,3)="A27",IFERROR(INDEX(Catalogos!$T$5:$T$207,MATCH(H328,Catalogos!$U$5:$U$207,0)),"x")&lt;&gt;LEFT(E328,7)),"La acción no corresponde a la meta seleccionada",IF(OR(NOT(ISNUMBER(M328)),M328&lt;10000000,M328&gt;99999999),"Código UNSPSC inválido: registre 8 dígitos",IF(MOD(M328,10000)=0,"UNSPSC a nivel de segmento o familia: use clase o producto",IF(IFERROR(MATCH(P328,L_MESES,0)&lt;MATCH(O328,L_MESES,0),TRUE()),"El mes de ofertas es anterior al de inicio del proceso",IF(OR(NOT(ISNUMBER(Q328)),Q328&lt;=0),"Duración inválida",IF(OR(NOT(ISNUMBER(W328)),NOT(ISNUMBER(X328))),"Valor inválido: registre solo números",IF(OR(W328&lt;=0,X328&lt;=0),"Valor inválido: debe ser mayor que cero",IF(X328&gt;W328,"El valor de la vigencia 2027 supera el valor total",IF(AND(X328&lt;W328,Y328="No"),"El valor total supera el de 2027: requiere vigencias futuras",IF(AND(Y328="Sí",OR(Z328="",Z328="No aplica")),"Indique el estado de la solicitud de vigencias futuras",IF(IF(AND(S328="Mínima cuantía",ISNUMBER(P_TOPE_MINIMA)),W328&gt;P_TOPE_MINIMA,FALSE()),"El valor supera el tope de mínima cuantía 2027",IF(IF(AND(S328="Selección abreviada de menor cuantía",ISNUMBER(P_TOPE_MENOR)),W328&gt;P_TOPE_MENOR,FALSE()),"El valor supera el tope de menor cuantía 2027",IF(OR(ISERROR(SEARCH("@itc.edu.co",AE328)),SUMPRODUCT(--ISNUMBER(SEARCH({"á","é","í","ó","ú","ñ"," "},AE328)))&gt;0),"El correo del responsable no es institucional válido",IF(AND(AF328="Sí",AG328=""),"Indique el N.° de registro 2026 que continúa","OK")))))))))))))))))</f>
        <v/>
      </c>
      <c r="AK328" s="15" t="str">
        <f>IF(AJ328="OK",COUNTIF($AJ$7:AJ328,"OK"),"")</f>
        <v/>
      </c>
    </row>
    <row r="329" spans="1:37" x14ac:dyDescent="0.3">
      <c r="A329" s="13" t="str">
        <f t="shared" si="5"/>
        <v>PN27-323</v>
      </c>
      <c r="B329" s="26"/>
      <c r="C329" s="13" t="str">
        <f>IF(B329="","",IFERROR(INDEX(Catalogos!$R$5:$R$51,MATCH(B329,L_AREAS,0)),""))</f>
        <v/>
      </c>
      <c r="D329" s="13" t="str">
        <f>IF(B329="","",IFERROR(INDEX(Catalogos!$O$5:$O$51,MATCH(B329,L_AREAS,0)),""))</f>
        <v/>
      </c>
      <c r="E329" s="26"/>
      <c r="F329" s="13" t="str">
        <f>IF(E329="","",IFERROR(INDEX(Catalogos!$C$5:$C$49,MATCH(E329,L_METAS,0)),""))</f>
        <v/>
      </c>
      <c r="G329" s="13" t="str">
        <f>IF(E329="","",IFERROR(INDEX(Catalogos!$E$5:$E$49,MATCH(E329,L_METAS,0)),""))</f>
        <v/>
      </c>
      <c r="H329" s="26"/>
      <c r="I329" s="26"/>
      <c r="J329" s="26"/>
      <c r="K329" s="26"/>
      <c r="L329" s="26"/>
      <c r="M329" s="27"/>
      <c r="N329" s="26"/>
      <c r="O329" s="26"/>
      <c r="P329" s="26"/>
      <c r="Q329" s="26"/>
      <c r="R329" s="26"/>
      <c r="S329" s="26"/>
      <c r="T329" s="26"/>
      <c r="U329" s="26"/>
      <c r="V329" s="26"/>
      <c r="W329" s="28"/>
      <c r="X329" s="28"/>
      <c r="Y329" s="26"/>
      <c r="Z329" s="26"/>
      <c r="AA329" s="26"/>
      <c r="AB329" s="26"/>
      <c r="AC329" s="26"/>
      <c r="AD329" s="26"/>
      <c r="AE329" s="26"/>
      <c r="AF329" s="26"/>
      <c r="AG329" s="26"/>
      <c r="AH329" s="26"/>
      <c r="AI329" s="26"/>
      <c r="AJ329" s="15" t="str">
        <f>IF(COUNTA(B329,E329,H329,I329,J329,K329,L329,M329,N329,O329,P329,Q329,R329,S329,T329,U329,V329,W329,X329,Y329,Z329,AA329,AB329,AC329,AD329,AE329,AF329,AG329,AH329,AI329)=0,"",IF(OR(B329="",E329="",H329="",J329="",K329="",L329="",M329="",O329="",P329="",Q329="",R329="",S329="",T329="",U329="",W329="",X329="",Y329="",AB329="",AC329="",AE329="",AF329=""),"Incompleta: faltan campos obligatorios",IF(AND(LEFT(H329,6)="PROPIA",I329=""),"Falta el nombre de la acción propia del área",IF(AND(LEFT(H329,3)="A27",IFERROR(INDEX(Catalogos!$T$5:$T$207,MATCH(H329,Catalogos!$U$5:$U$207,0)),"x")&lt;&gt;LEFT(E329,7)),"La acción no corresponde a la meta seleccionada",IF(OR(NOT(ISNUMBER(M329)),M329&lt;10000000,M329&gt;99999999),"Código UNSPSC inválido: registre 8 dígitos",IF(MOD(M329,10000)=0,"UNSPSC a nivel de segmento o familia: use clase o producto",IF(IFERROR(MATCH(P329,L_MESES,0)&lt;MATCH(O329,L_MESES,0),TRUE()),"El mes de ofertas es anterior al de inicio del proceso",IF(OR(NOT(ISNUMBER(Q329)),Q329&lt;=0),"Duración inválida",IF(OR(NOT(ISNUMBER(W329)),NOT(ISNUMBER(X329))),"Valor inválido: registre solo números",IF(OR(W329&lt;=0,X329&lt;=0),"Valor inválido: debe ser mayor que cero",IF(X329&gt;W329,"El valor de la vigencia 2027 supera el valor total",IF(AND(X329&lt;W329,Y329="No"),"El valor total supera el de 2027: requiere vigencias futuras",IF(AND(Y329="Sí",OR(Z329="",Z329="No aplica")),"Indique el estado de la solicitud de vigencias futuras",IF(IF(AND(S329="Mínima cuantía",ISNUMBER(P_TOPE_MINIMA)),W329&gt;P_TOPE_MINIMA,FALSE()),"El valor supera el tope de mínima cuantía 2027",IF(IF(AND(S329="Selección abreviada de menor cuantía",ISNUMBER(P_TOPE_MENOR)),W329&gt;P_TOPE_MENOR,FALSE()),"El valor supera el tope de menor cuantía 2027",IF(OR(ISERROR(SEARCH("@itc.edu.co",AE329)),SUMPRODUCT(--ISNUMBER(SEARCH({"á","é","í","ó","ú","ñ"," "},AE329)))&gt;0),"El correo del responsable no es institucional válido",IF(AND(AF329="Sí",AG329=""),"Indique el N.° de registro 2026 que continúa","OK")))))))))))))))))</f>
        <v/>
      </c>
      <c r="AK329" s="15" t="str">
        <f>IF(AJ329="OK",COUNTIF($AJ$7:AJ329,"OK"),"")</f>
        <v/>
      </c>
    </row>
    <row r="330" spans="1:37" x14ac:dyDescent="0.3">
      <c r="A330" s="13" t="str">
        <f t="shared" si="5"/>
        <v>PN27-324</v>
      </c>
      <c r="B330" s="26"/>
      <c r="C330" s="13" t="str">
        <f>IF(B330="","",IFERROR(INDEX(Catalogos!$R$5:$R$51,MATCH(B330,L_AREAS,0)),""))</f>
        <v/>
      </c>
      <c r="D330" s="13" t="str">
        <f>IF(B330="","",IFERROR(INDEX(Catalogos!$O$5:$O$51,MATCH(B330,L_AREAS,0)),""))</f>
        <v/>
      </c>
      <c r="E330" s="26"/>
      <c r="F330" s="13" t="str">
        <f>IF(E330="","",IFERROR(INDEX(Catalogos!$C$5:$C$49,MATCH(E330,L_METAS,0)),""))</f>
        <v/>
      </c>
      <c r="G330" s="13" t="str">
        <f>IF(E330="","",IFERROR(INDEX(Catalogos!$E$5:$E$49,MATCH(E330,L_METAS,0)),""))</f>
        <v/>
      </c>
      <c r="H330" s="26"/>
      <c r="I330" s="26"/>
      <c r="J330" s="26"/>
      <c r="K330" s="26"/>
      <c r="L330" s="26"/>
      <c r="M330" s="27"/>
      <c r="N330" s="26"/>
      <c r="O330" s="26"/>
      <c r="P330" s="26"/>
      <c r="Q330" s="26"/>
      <c r="R330" s="26"/>
      <c r="S330" s="26"/>
      <c r="T330" s="26"/>
      <c r="U330" s="26"/>
      <c r="V330" s="26"/>
      <c r="W330" s="28"/>
      <c r="X330" s="28"/>
      <c r="Y330" s="26"/>
      <c r="Z330" s="26"/>
      <c r="AA330" s="26"/>
      <c r="AB330" s="26"/>
      <c r="AC330" s="26"/>
      <c r="AD330" s="26"/>
      <c r="AE330" s="26"/>
      <c r="AF330" s="26"/>
      <c r="AG330" s="26"/>
      <c r="AH330" s="26"/>
      <c r="AI330" s="26"/>
      <c r="AJ330" s="15" t="str">
        <f>IF(COUNTA(B330,E330,H330,I330,J330,K330,L330,M330,N330,O330,P330,Q330,R330,S330,T330,U330,V330,W330,X330,Y330,Z330,AA330,AB330,AC330,AD330,AE330,AF330,AG330,AH330,AI330)=0,"",IF(OR(B330="",E330="",H330="",J330="",K330="",L330="",M330="",O330="",P330="",Q330="",R330="",S330="",T330="",U330="",W330="",X330="",Y330="",AB330="",AC330="",AE330="",AF330=""),"Incompleta: faltan campos obligatorios",IF(AND(LEFT(H330,6)="PROPIA",I330=""),"Falta el nombre de la acción propia del área",IF(AND(LEFT(H330,3)="A27",IFERROR(INDEX(Catalogos!$T$5:$T$207,MATCH(H330,Catalogos!$U$5:$U$207,0)),"x")&lt;&gt;LEFT(E330,7)),"La acción no corresponde a la meta seleccionada",IF(OR(NOT(ISNUMBER(M330)),M330&lt;10000000,M330&gt;99999999),"Código UNSPSC inválido: registre 8 dígitos",IF(MOD(M330,10000)=0,"UNSPSC a nivel de segmento o familia: use clase o producto",IF(IFERROR(MATCH(P330,L_MESES,0)&lt;MATCH(O330,L_MESES,0),TRUE()),"El mes de ofertas es anterior al de inicio del proceso",IF(OR(NOT(ISNUMBER(Q330)),Q330&lt;=0),"Duración inválida",IF(OR(NOT(ISNUMBER(W330)),NOT(ISNUMBER(X330))),"Valor inválido: registre solo números",IF(OR(W330&lt;=0,X330&lt;=0),"Valor inválido: debe ser mayor que cero",IF(X330&gt;W330,"El valor de la vigencia 2027 supera el valor total",IF(AND(X330&lt;W330,Y330="No"),"El valor total supera el de 2027: requiere vigencias futuras",IF(AND(Y330="Sí",OR(Z330="",Z330="No aplica")),"Indique el estado de la solicitud de vigencias futuras",IF(IF(AND(S330="Mínima cuantía",ISNUMBER(P_TOPE_MINIMA)),W330&gt;P_TOPE_MINIMA,FALSE()),"El valor supera el tope de mínima cuantía 2027",IF(IF(AND(S330="Selección abreviada de menor cuantía",ISNUMBER(P_TOPE_MENOR)),W330&gt;P_TOPE_MENOR,FALSE()),"El valor supera el tope de menor cuantía 2027",IF(OR(ISERROR(SEARCH("@itc.edu.co",AE330)),SUMPRODUCT(--ISNUMBER(SEARCH({"á","é","í","ó","ú","ñ"," "},AE330)))&gt;0),"El correo del responsable no es institucional válido",IF(AND(AF330="Sí",AG330=""),"Indique el N.° de registro 2026 que continúa","OK")))))))))))))))))</f>
        <v/>
      </c>
      <c r="AK330" s="15" t="str">
        <f>IF(AJ330="OK",COUNTIF($AJ$7:AJ330,"OK"),"")</f>
        <v/>
      </c>
    </row>
    <row r="331" spans="1:37" x14ac:dyDescent="0.3">
      <c r="A331" s="13" t="str">
        <f t="shared" si="5"/>
        <v>PN27-325</v>
      </c>
      <c r="B331" s="26"/>
      <c r="C331" s="13" t="str">
        <f>IF(B331="","",IFERROR(INDEX(Catalogos!$R$5:$R$51,MATCH(B331,L_AREAS,0)),""))</f>
        <v/>
      </c>
      <c r="D331" s="13" t="str">
        <f>IF(B331="","",IFERROR(INDEX(Catalogos!$O$5:$O$51,MATCH(B331,L_AREAS,0)),""))</f>
        <v/>
      </c>
      <c r="E331" s="26"/>
      <c r="F331" s="13" t="str">
        <f>IF(E331="","",IFERROR(INDEX(Catalogos!$C$5:$C$49,MATCH(E331,L_METAS,0)),""))</f>
        <v/>
      </c>
      <c r="G331" s="13" t="str">
        <f>IF(E331="","",IFERROR(INDEX(Catalogos!$E$5:$E$49,MATCH(E331,L_METAS,0)),""))</f>
        <v/>
      </c>
      <c r="H331" s="26"/>
      <c r="I331" s="26"/>
      <c r="J331" s="26"/>
      <c r="K331" s="26"/>
      <c r="L331" s="26"/>
      <c r="M331" s="27"/>
      <c r="N331" s="26"/>
      <c r="O331" s="26"/>
      <c r="P331" s="26"/>
      <c r="Q331" s="26"/>
      <c r="R331" s="26"/>
      <c r="S331" s="26"/>
      <c r="T331" s="26"/>
      <c r="U331" s="26"/>
      <c r="V331" s="26"/>
      <c r="W331" s="28"/>
      <c r="X331" s="28"/>
      <c r="Y331" s="26"/>
      <c r="Z331" s="26"/>
      <c r="AA331" s="26"/>
      <c r="AB331" s="26"/>
      <c r="AC331" s="26"/>
      <c r="AD331" s="26"/>
      <c r="AE331" s="26"/>
      <c r="AF331" s="26"/>
      <c r="AG331" s="26"/>
      <c r="AH331" s="26"/>
      <c r="AI331" s="26"/>
      <c r="AJ331" s="15" t="str">
        <f>IF(COUNTA(B331,E331,H331,I331,J331,K331,L331,M331,N331,O331,P331,Q331,R331,S331,T331,U331,V331,W331,X331,Y331,Z331,AA331,AB331,AC331,AD331,AE331,AF331,AG331,AH331,AI331)=0,"",IF(OR(B331="",E331="",H331="",J331="",K331="",L331="",M331="",O331="",P331="",Q331="",R331="",S331="",T331="",U331="",W331="",X331="",Y331="",AB331="",AC331="",AE331="",AF331=""),"Incompleta: faltan campos obligatorios",IF(AND(LEFT(H331,6)="PROPIA",I331=""),"Falta el nombre de la acción propia del área",IF(AND(LEFT(H331,3)="A27",IFERROR(INDEX(Catalogos!$T$5:$T$207,MATCH(H331,Catalogos!$U$5:$U$207,0)),"x")&lt;&gt;LEFT(E331,7)),"La acción no corresponde a la meta seleccionada",IF(OR(NOT(ISNUMBER(M331)),M331&lt;10000000,M331&gt;99999999),"Código UNSPSC inválido: registre 8 dígitos",IF(MOD(M331,10000)=0,"UNSPSC a nivel de segmento o familia: use clase o producto",IF(IFERROR(MATCH(P331,L_MESES,0)&lt;MATCH(O331,L_MESES,0),TRUE()),"El mes de ofertas es anterior al de inicio del proceso",IF(OR(NOT(ISNUMBER(Q331)),Q331&lt;=0),"Duración inválida",IF(OR(NOT(ISNUMBER(W331)),NOT(ISNUMBER(X331))),"Valor inválido: registre solo números",IF(OR(W331&lt;=0,X331&lt;=0),"Valor inválido: debe ser mayor que cero",IF(X331&gt;W331,"El valor de la vigencia 2027 supera el valor total",IF(AND(X331&lt;W331,Y331="No"),"El valor total supera el de 2027: requiere vigencias futuras",IF(AND(Y331="Sí",OR(Z331="",Z331="No aplica")),"Indique el estado de la solicitud de vigencias futuras",IF(IF(AND(S331="Mínima cuantía",ISNUMBER(P_TOPE_MINIMA)),W331&gt;P_TOPE_MINIMA,FALSE()),"El valor supera el tope de mínima cuantía 2027",IF(IF(AND(S331="Selección abreviada de menor cuantía",ISNUMBER(P_TOPE_MENOR)),W331&gt;P_TOPE_MENOR,FALSE()),"El valor supera el tope de menor cuantía 2027",IF(OR(ISERROR(SEARCH("@itc.edu.co",AE331)),SUMPRODUCT(--ISNUMBER(SEARCH({"á","é","í","ó","ú","ñ"," "},AE331)))&gt;0),"El correo del responsable no es institucional válido",IF(AND(AF331="Sí",AG331=""),"Indique el N.° de registro 2026 que continúa","OK")))))))))))))))))</f>
        <v/>
      </c>
      <c r="AK331" s="15" t="str">
        <f>IF(AJ331="OK",COUNTIF($AJ$7:AJ331,"OK"),"")</f>
        <v/>
      </c>
    </row>
    <row r="332" spans="1:37" x14ac:dyDescent="0.3">
      <c r="A332" s="13" t="str">
        <f t="shared" si="5"/>
        <v>PN27-326</v>
      </c>
      <c r="B332" s="26"/>
      <c r="C332" s="13" t="str">
        <f>IF(B332="","",IFERROR(INDEX(Catalogos!$R$5:$R$51,MATCH(B332,L_AREAS,0)),""))</f>
        <v/>
      </c>
      <c r="D332" s="13" t="str">
        <f>IF(B332="","",IFERROR(INDEX(Catalogos!$O$5:$O$51,MATCH(B332,L_AREAS,0)),""))</f>
        <v/>
      </c>
      <c r="E332" s="26"/>
      <c r="F332" s="13" t="str">
        <f>IF(E332="","",IFERROR(INDEX(Catalogos!$C$5:$C$49,MATCH(E332,L_METAS,0)),""))</f>
        <v/>
      </c>
      <c r="G332" s="13" t="str">
        <f>IF(E332="","",IFERROR(INDEX(Catalogos!$E$5:$E$49,MATCH(E332,L_METAS,0)),""))</f>
        <v/>
      </c>
      <c r="H332" s="26"/>
      <c r="I332" s="26"/>
      <c r="J332" s="26"/>
      <c r="K332" s="26"/>
      <c r="L332" s="26"/>
      <c r="M332" s="27"/>
      <c r="N332" s="26"/>
      <c r="O332" s="26"/>
      <c r="P332" s="26"/>
      <c r="Q332" s="26"/>
      <c r="R332" s="26"/>
      <c r="S332" s="26"/>
      <c r="T332" s="26"/>
      <c r="U332" s="26"/>
      <c r="V332" s="26"/>
      <c r="W332" s="28"/>
      <c r="X332" s="28"/>
      <c r="Y332" s="26"/>
      <c r="Z332" s="26"/>
      <c r="AA332" s="26"/>
      <c r="AB332" s="26"/>
      <c r="AC332" s="26"/>
      <c r="AD332" s="26"/>
      <c r="AE332" s="26"/>
      <c r="AF332" s="26"/>
      <c r="AG332" s="26"/>
      <c r="AH332" s="26"/>
      <c r="AI332" s="26"/>
      <c r="AJ332" s="15" t="str">
        <f>IF(COUNTA(B332,E332,H332,I332,J332,K332,L332,M332,N332,O332,P332,Q332,R332,S332,T332,U332,V332,W332,X332,Y332,Z332,AA332,AB332,AC332,AD332,AE332,AF332,AG332,AH332,AI332)=0,"",IF(OR(B332="",E332="",H332="",J332="",K332="",L332="",M332="",O332="",P332="",Q332="",R332="",S332="",T332="",U332="",W332="",X332="",Y332="",AB332="",AC332="",AE332="",AF332=""),"Incompleta: faltan campos obligatorios",IF(AND(LEFT(H332,6)="PROPIA",I332=""),"Falta el nombre de la acción propia del área",IF(AND(LEFT(H332,3)="A27",IFERROR(INDEX(Catalogos!$T$5:$T$207,MATCH(H332,Catalogos!$U$5:$U$207,0)),"x")&lt;&gt;LEFT(E332,7)),"La acción no corresponde a la meta seleccionada",IF(OR(NOT(ISNUMBER(M332)),M332&lt;10000000,M332&gt;99999999),"Código UNSPSC inválido: registre 8 dígitos",IF(MOD(M332,10000)=0,"UNSPSC a nivel de segmento o familia: use clase o producto",IF(IFERROR(MATCH(P332,L_MESES,0)&lt;MATCH(O332,L_MESES,0),TRUE()),"El mes de ofertas es anterior al de inicio del proceso",IF(OR(NOT(ISNUMBER(Q332)),Q332&lt;=0),"Duración inválida",IF(OR(NOT(ISNUMBER(W332)),NOT(ISNUMBER(X332))),"Valor inválido: registre solo números",IF(OR(W332&lt;=0,X332&lt;=0),"Valor inválido: debe ser mayor que cero",IF(X332&gt;W332,"El valor de la vigencia 2027 supera el valor total",IF(AND(X332&lt;W332,Y332="No"),"El valor total supera el de 2027: requiere vigencias futuras",IF(AND(Y332="Sí",OR(Z332="",Z332="No aplica")),"Indique el estado de la solicitud de vigencias futuras",IF(IF(AND(S332="Mínima cuantía",ISNUMBER(P_TOPE_MINIMA)),W332&gt;P_TOPE_MINIMA,FALSE()),"El valor supera el tope de mínima cuantía 2027",IF(IF(AND(S332="Selección abreviada de menor cuantía",ISNUMBER(P_TOPE_MENOR)),W332&gt;P_TOPE_MENOR,FALSE()),"El valor supera el tope de menor cuantía 2027",IF(OR(ISERROR(SEARCH("@itc.edu.co",AE332)),SUMPRODUCT(--ISNUMBER(SEARCH({"á","é","í","ó","ú","ñ"," "},AE332)))&gt;0),"El correo del responsable no es institucional válido",IF(AND(AF332="Sí",AG332=""),"Indique el N.° de registro 2026 que continúa","OK")))))))))))))))))</f>
        <v/>
      </c>
      <c r="AK332" s="15" t="str">
        <f>IF(AJ332="OK",COUNTIF($AJ$7:AJ332,"OK"),"")</f>
        <v/>
      </c>
    </row>
    <row r="333" spans="1:37" x14ac:dyDescent="0.3">
      <c r="A333" s="13" t="str">
        <f t="shared" si="5"/>
        <v>PN27-327</v>
      </c>
      <c r="B333" s="26"/>
      <c r="C333" s="13" t="str">
        <f>IF(B333="","",IFERROR(INDEX(Catalogos!$R$5:$R$51,MATCH(B333,L_AREAS,0)),""))</f>
        <v/>
      </c>
      <c r="D333" s="13" t="str">
        <f>IF(B333="","",IFERROR(INDEX(Catalogos!$O$5:$O$51,MATCH(B333,L_AREAS,0)),""))</f>
        <v/>
      </c>
      <c r="E333" s="26"/>
      <c r="F333" s="13" t="str">
        <f>IF(E333="","",IFERROR(INDEX(Catalogos!$C$5:$C$49,MATCH(E333,L_METAS,0)),""))</f>
        <v/>
      </c>
      <c r="G333" s="13" t="str">
        <f>IF(E333="","",IFERROR(INDEX(Catalogos!$E$5:$E$49,MATCH(E333,L_METAS,0)),""))</f>
        <v/>
      </c>
      <c r="H333" s="26"/>
      <c r="I333" s="26"/>
      <c r="J333" s="26"/>
      <c r="K333" s="26"/>
      <c r="L333" s="26"/>
      <c r="M333" s="27"/>
      <c r="N333" s="26"/>
      <c r="O333" s="26"/>
      <c r="P333" s="26"/>
      <c r="Q333" s="26"/>
      <c r="R333" s="26"/>
      <c r="S333" s="26"/>
      <c r="T333" s="26"/>
      <c r="U333" s="26"/>
      <c r="V333" s="26"/>
      <c r="W333" s="28"/>
      <c r="X333" s="28"/>
      <c r="Y333" s="26"/>
      <c r="Z333" s="26"/>
      <c r="AA333" s="26"/>
      <c r="AB333" s="26"/>
      <c r="AC333" s="26"/>
      <c r="AD333" s="26"/>
      <c r="AE333" s="26"/>
      <c r="AF333" s="26"/>
      <c r="AG333" s="26"/>
      <c r="AH333" s="26"/>
      <c r="AI333" s="26"/>
      <c r="AJ333" s="15" t="str">
        <f>IF(COUNTA(B333,E333,H333,I333,J333,K333,L333,M333,N333,O333,P333,Q333,R333,S333,T333,U333,V333,W333,X333,Y333,Z333,AA333,AB333,AC333,AD333,AE333,AF333,AG333,AH333,AI333)=0,"",IF(OR(B333="",E333="",H333="",J333="",K333="",L333="",M333="",O333="",P333="",Q333="",R333="",S333="",T333="",U333="",W333="",X333="",Y333="",AB333="",AC333="",AE333="",AF333=""),"Incompleta: faltan campos obligatorios",IF(AND(LEFT(H333,6)="PROPIA",I333=""),"Falta el nombre de la acción propia del área",IF(AND(LEFT(H333,3)="A27",IFERROR(INDEX(Catalogos!$T$5:$T$207,MATCH(H333,Catalogos!$U$5:$U$207,0)),"x")&lt;&gt;LEFT(E333,7)),"La acción no corresponde a la meta seleccionada",IF(OR(NOT(ISNUMBER(M333)),M333&lt;10000000,M333&gt;99999999),"Código UNSPSC inválido: registre 8 dígitos",IF(MOD(M333,10000)=0,"UNSPSC a nivel de segmento o familia: use clase o producto",IF(IFERROR(MATCH(P333,L_MESES,0)&lt;MATCH(O333,L_MESES,0),TRUE()),"El mes de ofertas es anterior al de inicio del proceso",IF(OR(NOT(ISNUMBER(Q333)),Q333&lt;=0),"Duración inválida",IF(OR(NOT(ISNUMBER(W333)),NOT(ISNUMBER(X333))),"Valor inválido: registre solo números",IF(OR(W333&lt;=0,X333&lt;=0),"Valor inválido: debe ser mayor que cero",IF(X333&gt;W333,"El valor de la vigencia 2027 supera el valor total",IF(AND(X333&lt;W333,Y333="No"),"El valor total supera el de 2027: requiere vigencias futuras",IF(AND(Y333="Sí",OR(Z333="",Z333="No aplica")),"Indique el estado de la solicitud de vigencias futuras",IF(IF(AND(S333="Mínima cuantía",ISNUMBER(P_TOPE_MINIMA)),W333&gt;P_TOPE_MINIMA,FALSE()),"El valor supera el tope de mínima cuantía 2027",IF(IF(AND(S333="Selección abreviada de menor cuantía",ISNUMBER(P_TOPE_MENOR)),W333&gt;P_TOPE_MENOR,FALSE()),"El valor supera el tope de menor cuantía 2027",IF(OR(ISERROR(SEARCH("@itc.edu.co",AE333)),SUMPRODUCT(--ISNUMBER(SEARCH({"á","é","í","ó","ú","ñ"," "},AE333)))&gt;0),"El correo del responsable no es institucional válido",IF(AND(AF333="Sí",AG333=""),"Indique el N.° de registro 2026 que continúa","OK")))))))))))))))))</f>
        <v/>
      </c>
      <c r="AK333" s="15" t="str">
        <f>IF(AJ333="OK",COUNTIF($AJ$7:AJ333,"OK"),"")</f>
        <v/>
      </c>
    </row>
    <row r="334" spans="1:37" x14ac:dyDescent="0.3">
      <c r="A334" s="13" t="str">
        <f t="shared" si="5"/>
        <v>PN27-328</v>
      </c>
      <c r="B334" s="26"/>
      <c r="C334" s="13" t="str">
        <f>IF(B334="","",IFERROR(INDEX(Catalogos!$R$5:$R$51,MATCH(B334,L_AREAS,0)),""))</f>
        <v/>
      </c>
      <c r="D334" s="13" t="str">
        <f>IF(B334="","",IFERROR(INDEX(Catalogos!$O$5:$O$51,MATCH(B334,L_AREAS,0)),""))</f>
        <v/>
      </c>
      <c r="E334" s="26"/>
      <c r="F334" s="13" t="str">
        <f>IF(E334="","",IFERROR(INDEX(Catalogos!$C$5:$C$49,MATCH(E334,L_METAS,0)),""))</f>
        <v/>
      </c>
      <c r="G334" s="13" t="str">
        <f>IF(E334="","",IFERROR(INDEX(Catalogos!$E$5:$E$49,MATCH(E334,L_METAS,0)),""))</f>
        <v/>
      </c>
      <c r="H334" s="26"/>
      <c r="I334" s="26"/>
      <c r="J334" s="26"/>
      <c r="K334" s="26"/>
      <c r="L334" s="26"/>
      <c r="M334" s="27"/>
      <c r="N334" s="26"/>
      <c r="O334" s="26"/>
      <c r="P334" s="26"/>
      <c r="Q334" s="26"/>
      <c r="R334" s="26"/>
      <c r="S334" s="26"/>
      <c r="T334" s="26"/>
      <c r="U334" s="26"/>
      <c r="V334" s="26"/>
      <c r="W334" s="28"/>
      <c r="X334" s="28"/>
      <c r="Y334" s="26"/>
      <c r="Z334" s="26"/>
      <c r="AA334" s="26"/>
      <c r="AB334" s="26"/>
      <c r="AC334" s="26"/>
      <c r="AD334" s="26"/>
      <c r="AE334" s="26"/>
      <c r="AF334" s="26"/>
      <c r="AG334" s="26"/>
      <c r="AH334" s="26"/>
      <c r="AI334" s="26"/>
      <c r="AJ334" s="15" t="str">
        <f>IF(COUNTA(B334,E334,H334,I334,J334,K334,L334,M334,N334,O334,P334,Q334,R334,S334,T334,U334,V334,W334,X334,Y334,Z334,AA334,AB334,AC334,AD334,AE334,AF334,AG334,AH334,AI334)=0,"",IF(OR(B334="",E334="",H334="",J334="",K334="",L334="",M334="",O334="",P334="",Q334="",R334="",S334="",T334="",U334="",W334="",X334="",Y334="",AB334="",AC334="",AE334="",AF334=""),"Incompleta: faltan campos obligatorios",IF(AND(LEFT(H334,6)="PROPIA",I334=""),"Falta el nombre de la acción propia del área",IF(AND(LEFT(H334,3)="A27",IFERROR(INDEX(Catalogos!$T$5:$T$207,MATCH(H334,Catalogos!$U$5:$U$207,0)),"x")&lt;&gt;LEFT(E334,7)),"La acción no corresponde a la meta seleccionada",IF(OR(NOT(ISNUMBER(M334)),M334&lt;10000000,M334&gt;99999999),"Código UNSPSC inválido: registre 8 dígitos",IF(MOD(M334,10000)=0,"UNSPSC a nivel de segmento o familia: use clase o producto",IF(IFERROR(MATCH(P334,L_MESES,0)&lt;MATCH(O334,L_MESES,0),TRUE()),"El mes de ofertas es anterior al de inicio del proceso",IF(OR(NOT(ISNUMBER(Q334)),Q334&lt;=0),"Duración inválida",IF(OR(NOT(ISNUMBER(W334)),NOT(ISNUMBER(X334))),"Valor inválido: registre solo números",IF(OR(W334&lt;=0,X334&lt;=0),"Valor inválido: debe ser mayor que cero",IF(X334&gt;W334,"El valor de la vigencia 2027 supera el valor total",IF(AND(X334&lt;W334,Y334="No"),"El valor total supera el de 2027: requiere vigencias futuras",IF(AND(Y334="Sí",OR(Z334="",Z334="No aplica")),"Indique el estado de la solicitud de vigencias futuras",IF(IF(AND(S334="Mínima cuantía",ISNUMBER(P_TOPE_MINIMA)),W334&gt;P_TOPE_MINIMA,FALSE()),"El valor supera el tope de mínima cuantía 2027",IF(IF(AND(S334="Selección abreviada de menor cuantía",ISNUMBER(P_TOPE_MENOR)),W334&gt;P_TOPE_MENOR,FALSE()),"El valor supera el tope de menor cuantía 2027",IF(OR(ISERROR(SEARCH("@itc.edu.co",AE334)),SUMPRODUCT(--ISNUMBER(SEARCH({"á","é","í","ó","ú","ñ"," "},AE334)))&gt;0),"El correo del responsable no es institucional válido",IF(AND(AF334="Sí",AG334=""),"Indique el N.° de registro 2026 que continúa","OK")))))))))))))))))</f>
        <v/>
      </c>
      <c r="AK334" s="15" t="str">
        <f>IF(AJ334="OK",COUNTIF($AJ$7:AJ334,"OK"),"")</f>
        <v/>
      </c>
    </row>
    <row r="335" spans="1:37" x14ac:dyDescent="0.3">
      <c r="A335" s="13" t="str">
        <f t="shared" si="5"/>
        <v>PN27-329</v>
      </c>
      <c r="B335" s="26"/>
      <c r="C335" s="13" t="str">
        <f>IF(B335="","",IFERROR(INDEX(Catalogos!$R$5:$R$51,MATCH(B335,L_AREAS,0)),""))</f>
        <v/>
      </c>
      <c r="D335" s="13" t="str">
        <f>IF(B335="","",IFERROR(INDEX(Catalogos!$O$5:$O$51,MATCH(B335,L_AREAS,0)),""))</f>
        <v/>
      </c>
      <c r="E335" s="26"/>
      <c r="F335" s="13" t="str">
        <f>IF(E335="","",IFERROR(INDEX(Catalogos!$C$5:$C$49,MATCH(E335,L_METAS,0)),""))</f>
        <v/>
      </c>
      <c r="G335" s="13" t="str">
        <f>IF(E335="","",IFERROR(INDEX(Catalogos!$E$5:$E$49,MATCH(E335,L_METAS,0)),""))</f>
        <v/>
      </c>
      <c r="H335" s="26"/>
      <c r="I335" s="26"/>
      <c r="J335" s="26"/>
      <c r="K335" s="26"/>
      <c r="L335" s="26"/>
      <c r="M335" s="27"/>
      <c r="N335" s="26"/>
      <c r="O335" s="26"/>
      <c r="P335" s="26"/>
      <c r="Q335" s="26"/>
      <c r="R335" s="26"/>
      <c r="S335" s="26"/>
      <c r="T335" s="26"/>
      <c r="U335" s="26"/>
      <c r="V335" s="26"/>
      <c r="W335" s="28"/>
      <c r="X335" s="28"/>
      <c r="Y335" s="26"/>
      <c r="Z335" s="26"/>
      <c r="AA335" s="26"/>
      <c r="AB335" s="26"/>
      <c r="AC335" s="26"/>
      <c r="AD335" s="26"/>
      <c r="AE335" s="26"/>
      <c r="AF335" s="26"/>
      <c r="AG335" s="26"/>
      <c r="AH335" s="26"/>
      <c r="AI335" s="26"/>
      <c r="AJ335" s="15" t="str">
        <f>IF(COUNTA(B335,E335,H335,I335,J335,K335,L335,M335,N335,O335,P335,Q335,R335,S335,T335,U335,V335,W335,X335,Y335,Z335,AA335,AB335,AC335,AD335,AE335,AF335,AG335,AH335,AI335)=0,"",IF(OR(B335="",E335="",H335="",J335="",K335="",L335="",M335="",O335="",P335="",Q335="",R335="",S335="",T335="",U335="",W335="",X335="",Y335="",AB335="",AC335="",AE335="",AF335=""),"Incompleta: faltan campos obligatorios",IF(AND(LEFT(H335,6)="PROPIA",I335=""),"Falta el nombre de la acción propia del área",IF(AND(LEFT(H335,3)="A27",IFERROR(INDEX(Catalogos!$T$5:$T$207,MATCH(H335,Catalogos!$U$5:$U$207,0)),"x")&lt;&gt;LEFT(E335,7)),"La acción no corresponde a la meta seleccionada",IF(OR(NOT(ISNUMBER(M335)),M335&lt;10000000,M335&gt;99999999),"Código UNSPSC inválido: registre 8 dígitos",IF(MOD(M335,10000)=0,"UNSPSC a nivel de segmento o familia: use clase o producto",IF(IFERROR(MATCH(P335,L_MESES,0)&lt;MATCH(O335,L_MESES,0),TRUE()),"El mes de ofertas es anterior al de inicio del proceso",IF(OR(NOT(ISNUMBER(Q335)),Q335&lt;=0),"Duración inválida",IF(OR(NOT(ISNUMBER(W335)),NOT(ISNUMBER(X335))),"Valor inválido: registre solo números",IF(OR(W335&lt;=0,X335&lt;=0),"Valor inválido: debe ser mayor que cero",IF(X335&gt;W335,"El valor de la vigencia 2027 supera el valor total",IF(AND(X335&lt;W335,Y335="No"),"El valor total supera el de 2027: requiere vigencias futuras",IF(AND(Y335="Sí",OR(Z335="",Z335="No aplica")),"Indique el estado de la solicitud de vigencias futuras",IF(IF(AND(S335="Mínima cuantía",ISNUMBER(P_TOPE_MINIMA)),W335&gt;P_TOPE_MINIMA,FALSE()),"El valor supera el tope de mínima cuantía 2027",IF(IF(AND(S335="Selección abreviada de menor cuantía",ISNUMBER(P_TOPE_MENOR)),W335&gt;P_TOPE_MENOR,FALSE()),"El valor supera el tope de menor cuantía 2027",IF(OR(ISERROR(SEARCH("@itc.edu.co",AE335)),SUMPRODUCT(--ISNUMBER(SEARCH({"á","é","í","ó","ú","ñ"," "},AE335)))&gt;0),"El correo del responsable no es institucional válido",IF(AND(AF335="Sí",AG335=""),"Indique el N.° de registro 2026 que continúa","OK")))))))))))))))))</f>
        <v/>
      </c>
      <c r="AK335" s="15" t="str">
        <f>IF(AJ335="OK",COUNTIF($AJ$7:AJ335,"OK"),"")</f>
        <v/>
      </c>
    </row>
    <row r="336" spans="1:37" x14ac:dyDescent="0.3">
      <c r="A336" s="13" t="str">
        <f t="shared" si="5"/>
        <v>PN27-330</v>
      </c>
      <c r="B336" s="26"/>
      <c r="C336" s="13" t="str">
        <f>IF(B336="","",IFERROR(INDEX(Catalogos!$R$5:$R$51,MATCH(B336,L_AREAS,0)),""))</f>
        <v/>
      </c>
      <c r="D336" s="13" t="str">
        <f>IF(B336="","",IFERROR(INDEX(Catalogos!$O$5:$O$51,MATCH(B336,L_AREAS,0)),""))</f>
        <v/>
      </c>
      <c r="E336" s="26"/>
      <c r="F336" s="13" t="str">
        <f>IF(E336="","",IFERROR(INDEX(Catalogos!$C$5:$C$49,MATCH(E336,L_METAS,0)),""))</f>
        <v/>
      </c>
      <c r="G336" s="13" t="str">
        <f>IF(E336="","",IFERROR(INDEX(Catalogos!$E$5:$E$49,MATCH(E336,L_METAS,0)),""))</f>
        <v/>
      </c>
      <c r="H336" s="26"/>
      <c r="I336" s="26"/>
      <c r="J336" s="26"/>
      <c r="K336" s="26"/>
      <c r="L336" s="26"/>
      <c r="M336" s="27"/>
      <c r="N336" s="26"/>
      <c r="O336" s="26"/>
      <c r="P336" s="26"/>
      <c r="Q336" s="26"/>
      <c r="R336" s="26"/>
      <c r="S336" s="26"/>
      <c r="T336" s="26"/>
      <c r="U336" s="26"/>
      <c r="V336" s="26"/>
      <c r="W336" s="28"/>
      <c r="X336" s="28"/>
      <c r="Y336" s="26"/>
      <c r="Z336" s="26"/>
      <c r="AA336" s="26"/>
      <c r="AB336" s="26"/>
      <c r="AC336" s="26"/>
      <c r="AD336" s="26"/>
      <c r="AE336" s="26"/>
      <c r="AF336" s="26"/>
      <c r="AG336" s="26"/>
      <c r="AH336" s="26"/>
      <c r="AI336" s="26"/>
      <c r="AJ336" s="15" t="str">
        <f>IF(COUNTA(B336,E336,H336,I336,J336,K336,L336,M336,N336,O336,P336,Q336,R336,S336,T336,U336,V336,W336,X336,Y336,Z336,AA336,AB336,AC336,AD336,AE336,AF336,AG336,AH336,AI336)=0,"",IF(OR(B336="",E336="",H336="",J336="",K336="",L336="",M336="",O336="",P336="",Q336="",R336="",S336="",T336="",U336="",W336="",X336="",Y336="",AB336="",AC336="",AE336="",AF336=""),"Incompleta: faltan campos obligatorios",IF(AND(LEFT(H336,6)="PROPIA",I336=""),"Falta el nombre de la acción propia del área",IF(AND(LEFT(H336,3)="A27",IFERROR(INDEX(Catalogos!$T$5:$T$207,MATCH(H336,Catalogos!$U$5:$U$207,0)),"x")&lt;&gt;LEFT(E336,7)),"La acción no corresponde a la meta seleccionada",IF(OR(NOT(ISNUMBER(M336)),M336&lt;10000000,M336&gt;99999999),"Código UNSPSC inválido: registre 8 dígitos",IF(MOD(M336,10000)=0,"UNSPSC a nivel de segmento o familia: use clase o producto",IF(IFERROR(MATCH(P336,L_MESES,0)&lt;MATCH(O336,L_MESES,0),TRUE()),"El mes de ofertas es anterior al de inicio del proceso",IF(OR(NOT(ISNUMBER(Q336)),Q336&lt;=0),"Duración inválida",IF(OR(NOT(ISNUMBER(W336)),NOT(ISNUMBER(X336))),"Valor inválido: registre solo números",IF(OR(W336&lt;=0,X336&lt;=0),"Valor inválido: debe ser mayor que cero",IF(X336&gt;W336,"El valor de la vigencia 2027 supera el valor total",IF(AND(X336&lt;W336,Y336="No"),"El valor total supera el de 2027: requiere vigencias futuras",IF(AND(Y336="Sí",OR(Z336="",Z336="No aplica")),"Indique el estado de la solicitud de vigencias futuras",IF(IF(AND(S336="Mínima cuantía",ISNUMBER(P_TOPE_MINIMA)),W336&gt;P_TOPE_MINIMA,FALSE()),"El valor supera el tope de mínima cuantía 2027",IF(IF(AND(S336="Selección abreviada de menor cuantía",ISNUMBER(P_TOPE_MENOR)),W336&gt;P_TOPE_MENOR,FALSE()),"El valor supera el tope de menor cuantía 2027",IF(OR(ISERROR(SEARCH("@itc.edu.co",AE336)),SUMPRODUCT(--ISNUMBER(SEARCH({"á","é","í","ó","ú","ñ"," "},AE336)))&gt;0),"El correo del responsable no es institucional válido",IF(AND(AF336="Sí",AG336=""),"Indique el N.° de registro 2026 que continúa","OK")))))))))))))))))</f>
        <v/>
      </c>
      <c r="AK336" s="15" t="str">
        <f>IF(AJ336="OK",COUNTIF($AJ$7:AJ336,"OK"),"")</f>
        <v/>
      </c>
    </row>
    <row r="337" spans="1:37" x14ac:dyDescent="0.3">
      <c r="A337" s="13" t="str">
        <f t="shared" si="5"/>
        <v>PN27-331</v>
      </c>
      <c r="B337" s="26"/>
      <c r="C337" s="13" t="str">
        <f>IF(B337="","",IFERROR(INDEX(Catalogos!$R$5:$R$51,MATCH(B337,L_AREAS,0)),""))</f>
        <v/>
      </c>
      <c r="D337" s="13" t="str">
        <f>IF(B337="","",IFERROR(INDEX(Catalogos!$O$5:$O$51,MATCH(B337,L_AREAS,0)),""))</f>
        <v/>
      </c>
      <c r="E337" s="26"/>
      <c r="F337" s="13" t="str">
        <f>IF(E337="","",IFERROR(INDEX(Catalogos!$C$5:$C$49,MATCH(E337,L_METAS,0)),""))</f>
        <v/>
      </c>
      <c r="G337" s="13" t="str">
        <f>IF(E337="","",IFERROR(INDEX(Catalogos!$E$5:$E$49,MATCH(E337,L_METAS,0)),""))</f>
        <v/>
      </c>
      <c r="H337" s="26"/>
      <c r="I337" s="26"/>
      <c r="J337" s="26"/>
      <c r="K337" s="26"/>
      <c r="L337" s="26"/>
      <c r="M337" s="27"/>
      <c r="N337" s="26"/>
      <c r="O337" s="26"/>
      <c r="P337" s="26"/>
      <c r="Q337" s="26"/>
      <c r="R337" s="26"/>
      <c r="S337" s="26"/>
      <c r="T337" s="26"/>
      <c r="U337" s="26"/>
      <c r="V337" s="26"/>
      <c r="W337" s="28"/>
      <c r="X337" s="28"/>
      <c r="Y337" s="26"/>
      <c r="Z337" s="26"/>
      <c r="AA337" s="26"/>
      <c r="AB337" s="26"/>
      <c r="AC337" s="26"/>
      <c r="AD337" s="26"/>
      <c r="AE337" s="26"/>
      <c r="AF337" s="26"/>
      <c r="AG337" s="26"/>
      <c r="AH337" s="26"/>
      <c r="AI337" s="26"/>
      <c r="AJ337" s="15" t="str">
        <f>IF(COUNTA(B337,E337,H337,I337,J337,K337,L337,M337,N337,O337,P337,Q337,R337,S337,T337,U337,V337,W337,X337,Y337,Z337,AA337,AB337,AC337,AD337,AE337,AF337,AG337,AH337,AI337)=0,"",IF(OR(B337="",E337="",H337="",J337="",K337="",L337="",M337="",O337="",P337="",Q337="",R337="",S337="",T337="",U337="",W337="",X337="",Y337="",AB337="",AC337="",AE337="",AF337=""),"Incompleta: faltan campos obligatorios",IF(AND(LEFT(H337,6)="PROPIA",I337=""),"Falta el nombre de la acción propia del área",IF(AND(LEFT(H337,3)="A27",IFERROR(INDEX(Catalogos!$T$5:$T$207,MATCH(H337,Catalogos!$U$5:$U$207,0)),"x")&lt;&gt;LEFT(E337,7)),"La acción no corresponde a la meta seleccionada",IF(OR(NOT(ISNUMBER(M337)),M337&lt;10000000,M337&gt;99999999),"Código UNSPSC inválido: registre 8 dígitos",IF(MOD(M337,10000)=0,"UNSPSC a nivel de segmento o familia: use clase o producto",IF(IFERROR(MATCH(P337,L_MESES,0)&lt;MATCH(O337,L_MESES,0),TRUE()),"El mes de ofertas es anterior al de inicio del proceso",IF(OR(NOT(ISNUMBER(Q337)),Q337&lt;=0),"Duración inválida",IF(OR(NOT(ISNUMBER(W337)),NOT(ISNUMBER(X337))),"Valor inválido: registre solo números",IF(OR(W337&lt;=0,X337&lt;=0),"Valor inválido: debe ser mayor que cero",IF(X337&gt;W337,"El valor de la vigencia 2027 supera el valor total",IF(AND(X337&lt;W337,Y337="No"),"El valor total supera el de 2027: requiere vigencias futuras",IF(AND(Y337="Sí",OR(Z337="",Z337="No aplica")),"Indique el estado de la solicitud de vigencias futuras",IF(IF(AND(S337="Mínima cuantía",ISNUMBER(P_TOPE_MINIMA)),W337&gt;P_TOPE_MINIMA,FALSE()),"El valor supera el tope de mínima cuantía 2027",IF(IF(AND(S337="Selección abreviada de menor cuantía",ISNUMBER(P_TOPE_MENOR)),W337&gt;P_TOPE_MENOR,FALSE()),"El valor supera el tope de menor cuantía 2027",IF(OR(ISERROR(SEARCH("@itc.edu.co",AE337)),SUMPRODUCT(--ISNUMBER(SEARCH({"á","é","í","ó","ú","ñ"," "},AE337)))&gt;0),"El correo del responsable no es institucional válido",IF(AND(AF337="Sí",AG337=""),"Indique el N.° de registro 2026 que continúa","OK")))))))))))))))))</f>
        <v/>
      </c>
      <c r="AK337" s="15" t="str">
        <f>IF(AJ337="OK",COUNTIF($AJ$7:AJ337,"OK"),"")</f>
        <v/>
      </c>
    </row>
    <row r="338" spans="1:37" x14ac:dyDescent="0.3">
      <c r="A338" s="13" t="str">
        <f t="shared" si="5"/>
        <v>PN27-332</v>
      </c>
      <c r="B338" s="26"/>
      <c r="C338" s="13" t="str">
        <f>IF(B338="","",IFERROR(INDEX(Catalogos!$R$5:$R$51,MATCH(B338,L_AREAS,0)),""))</f>
        <v/>
      </c>
      <c r="D338" s="13" t="str">
        <f>IF(B338="","",IFERROR(INDEX(Catalogos!$O$5:$O$51,MATCH(B338,L_AREAS,0)),""))</f>
        <v/>
      </c>
      <c r="E338" s="26"/>
      <c r="F338" s="13" t="str">
        <f>IF(E338="","",IFERROR(INDEX(Catalogos!$C$5:$C$49,MATCH(E338,L_METAS,0)),""))</f>
        <v/>
      </c>
      <c r="G338" s="13" t="str">
        <f>IF(E338="","",IFERROR(INDEX(Catalogos!$E$5:$E$49,MATCH(E338,L_METAS,0)),""))</f>
        <v/>
      </c>
      <c r="H338" s="26"/>
      <c r="I338" s="26"/>
      <c r="J338" s="26"/>
      <c r="K338" s="26"/>
      <c r="L338" s="26"/>
      <c r="M338" s="27"/>
      <c r="N338" s="26"/>
      <c r="O338" s="26"/>
      <c r="P338" s="26"/>
      <c r="Q338" s="26"/>
      <c r="R338" s="26"/>
      <c r="S338" s="26"/>
      <c r="T338" s="26"/>
      <c r="U338" s="26"/>
      <c r="V338" s="26"/>
      <c r="W338" s="28"/>
      <c r="X338" s="28"/>
      <c r="Y338" s="26"/>
      <c r="Z338" s="26"/>
      <c r="AA338" s="26"/>
      <c r="AB338" s="26"/>
      <c r="AC338" s="26"/>
      <c r="AD338" s="26"/>
      <c r="AE338" s="26"/>
      <c r="AF338" s="26"/>
      <c r="AG338" s="26"/>
      <c r="AH338" s="26"/>
      <c r="AI338" s="26"/>
      <c r="AJ338" s="15" t="str">
        <f>IF(COUNTA(B338,E338,H338,I338,J338,K338,L338,M338,N338,O338,P338,Q338,R338,S338,T338,U338,V338,W338,X338,Y338,Z338,AA338,AB338,AC338,AD338,AE338,AF338,AG338,AH338,AI338)=0,"",IF(OR(B338="",E338="",H338="",J338="",K338="",L338="",M338="",O338="",P338="",Q338="",R338="",S338="",T338="",U338="",W338="",X338="",Y338="",AB338="",AC338="",AE338="",AF338=""),"Incompleta: faltan campos obligatorios",IF(AND(LEFT(H338,6)="PROPIA",I338=""),"Falta el nombre de la acción propia del área",IF(AND(LEFT(H338,3)="A27",IFERROR(INDEX(Catalogos!$T$5:$T$207,MATCH(H338,Catalogos!$U$5:$U$207,0)),"x")&lt;&gt;LEFT(E338,7)),"La acción no corresponde a la meta seleccionada",IF(OR(NOT(ISNUMBER(M338)),M338&lt;10000000,M338&gt;99999999),"Código UNSPSC inválido: registre 8 dígitos",IF(MOD(M338,10000)=0,"UNSPSC a nivel de segmento o familia: use clase o producto",IF(IFERROR(MATCH(P338,L_MESES,0)&lt;MATCH(O338,L_MESES,0),TRUE()),"El mes de ofertas es anterior al de inicio del proceso",IF(OR(NOT(ISNUMBER(Q338)),Q338&lt;=0),"Duración inválida",IF(OR(NOT(ISNUMBER(W338)),NOT(ISNUMBER(X338))),"Valor inválido: registre solo números",IF(OR(W338&lt;=0,X338&lt;=0),"Valor inválido: debe ser mayor que cero",IF(X338&gt;W338,"El valor de la vigencia 2027 supera el valor total",IF(AND(X338&lt;W338,Y338="No"),"El valor total supera el de 2027: requiere vigencias futuras",IF(AND(Y338="Sí",OR(Z338="",Z338="No aplica")),"Indique el estado de la solicitud de vigencias futuras",IF(IF(AND(S338="Mínima cuantía",ISNUMBER(P_TOPE_MINIMA)),W338&gt;P_TOPE_MINIMA,FALSE()),"El valor supera el tope de mínima cuantía 2027",IF(IF(AND(S338="Selección abreviada de menor cuantía",ISNUMBER(P_TOPE_MENOR)),W338&gt;P_TOPE_MENOR,FALSE()),"El valor supera el tope de menor cuantía 2027",IF(OR(ISERROR(SEARCH("@itc.edu.co",AE338)),SUMPRODUCT(--ISNUMBER(SEARCH({"á","é","í","ó","ú","ñ"," "},AE338)))&gt;0),"El correo del responsable no es institucional válido",IF(AND(AF338="Sí",AG338=""),"Indique el N.° de registro 2026 que continúa","OK")))))))))))))))))</f>
        <v/>
      </c>
      <c r="AK338" s="15" t="str">
        <f>IF(AJ338="OK",COUNTIF($AJ$7:AJ338,"OK"),"")</f>
        <v/>
      </c>
    </row>
    <row r="339" spans="1:37" x14ac:dyDescent="0.3">
      <c r="A339" s="13" t="str">
        <f t="shared" si="5"/>
        <v>PN27-333</v>
      </c>
      <c r="B339" s="26"/>
      <c r="C339" s="13" t="str">
        <f>IF(B339="","",IFERROR(INDEX(Catalogos!$R$5:$R$51,MATCH(B339,L_AREAS,0)),""))</f>
        <v/>
      </c>
      <c r="D339" s="13" t="str">
        <f>IF(B339="","",IFERROR(INDEX(Catalogos!$O$5:$O$51,MATCH(B339,L_AREAS,0)),""))</f>
        <v/>
      </c>
      <c r="E339" s="26"/>
      <c r="F339" s="13" t="str">
        <f>IF(E339="","",IFERROR(INDEX(Catalogos!$C$5:$C$49,MATCH(E339,L_METAS,0)),""))</f>
        <v/>
      </c>
      <c r="G339" s="13" t="str">
        <f>IF(E339="","",IFERROR(INDEX(Catalogos!$E$5:$E$49,MATCH(E339,L_METAS,0)),""))</f>
        <v/>
      </c>
      <c r="H339" s="26"/>
      <c r="I339" s="26"/>
      <c r="J339" s="26"/>
      <c r="K339" s="26"/>
      <c r="L339" s="26"/>
      <c r="M339" s="27"/>
      <c r="N339" s="26"/>
      <c r="O339" s="26"/>
      <c r="P339" s="26"/>
      <c r="Q339" s="26"/>
      <c r="R339" s="26"/>
      <c r="S339" s="26"/>
      <c r="T339" s="26"/>
      <c r="U339" s="26"/>
      <c r="V339" s="26"/>
      <c r="W339" s="28"/>
      <c r="X339" s="28"/>
      <c r="Y339" s="26"/>
      <c r="Z339" s="26"/>
      <c r="AA339" s="26"/>
      <c r="AB339" s="26"/>
      <c r="AC339" s="26"/>
      <c r="AD339" s="26"/>
      <c r="AE339" s="26"/>
      <c r="AF339" s="26"/>
      <c r="AG339" s="26"/>
      <c r="AH339" s="26"/>
      <c r="AI339" s="26"/>
      <c r="AJ339" s="15" t="str">
        <f>IF(COUNTA(B339,E339,H339,I339,J339,K339,L339,M339,N339,O339,P339,Q339,R339,S339,T339,U339,V339,W339,X339,Y339,Z339,AA339,AB339,AC339,AD339,AE339,AF339,AG339,AH339,AI339)=0,"",IF(OR(B339="",E339="",H339="",J339="",K339="",L339="",M339="",O339="",P339="",Q339="",R339="",S339="",T339="",U339="",W339="",X339="",Y339="",AB339="",AC339="",AE339="",AF339=""),"Incompleta: faltan campos obligatorios",IF(AND(LEFT(H339,6)="PROPIA",I339=""),"Falta el nombre de la acción propia del área",IF(AND(LEFT(H339,3)="A27",IFERROR(INDEX(Catalogos!$T$5:$T$207,MATCH(H339,Catalogos!$U$5:$U$207,0)),"x")&lt;&gt;LEFT(E339,7)),"La acción no corresponde a la meta seleccionada",IF(OR(NOT(ISNUMBER(M339)),M339&lt;10000000,M339&gt;99999999),"Código UNSPSC inválido: registre 8 dígitos",IF(MOD(M339,10000)=0,"UNSPSC a nivel de segmento o familia: use clase o producto",IF(IFERROR(MATCH(P339,L_MESES,0)&lt;MATCH(O339,L_MESES,0),TRUE()),"El mes de ofertas es anterior al de inicio del proceso",IF(OR(NOT(ISNUMBER(Q339)),Q339&lt;=0),"Duración inválida",IF(OR(NOT(ISNUMBER(W339)),NOT(ISNUMBER(X339))),"Valor inválido: registre solo números",IF(OR(W339&lt;=0,X339&lt;=0),"Valor inválido: debe ser mayor que cero",IF(X339&gt;W339,"El valor de la vigencia 2027 supera el valor total",IF(AND(X339&lt;W339,Y339="No"),"El valor total supera el de 2027: requiere vigencias futuras",IF(AND(Y339="Sí",OR(Z339="",Z339="No aplica")),"Indique el estado de la solicitud de vigencias futuras",IF(IF(AND(S339="Mínima cuantía",ISNUMBER(P_TOPE_MINIMA)),W339&gt;P_TOPE_MINIMA,FALSE()),"El valor supera el tope de mínima cuantía 2027",IF(IF(AND(S339="Selección abreviada de menor cuantía",ISNUMBER(P_TOPE_MENOR)),W339&gt;P_TOPE_MENOR,FALSE()),"El valor supera el tope de menor cuantía 2027",IF(OR(ISERROR(SEARCH("@itc.edu.co",AE339)),SUMPRODUCT(--ISNUMBER(SEARCH({"á","é","í","ó","ú","ñ"," "},AE339)))&gt;0),"El correo del responsable no es institucional válido",IF(AND(AF339="Sí",AG339=""),"Indique el N.° de registro 2026 que continúa","OK")))))))))))))))))</f>
        <v/>
      </c>
      <c r="AK339" s="15" t="str">
        <f>IF(AJ339="OK",COUNTIF($AJ$7:AJ339,"OK"),"")</f>
        <v/>
      </c>
    </row>
    <row r="340" spans="1:37" x14ac:dyDescent="0.3">
      <c r="A340" s="13" t="str">
        <f t="shared" si="5"/>
        <v>PN27-334</v>
      </c>
      <c r="B340" s="26"/>
      <c r="C340" s="13" t="str">
        <f>IF(B340="","",IFERROR(INDEX(Catalogos!$R$5:$R$51,MATCH(B340,L_AREAS,0)),""))</f>
        <v/>
      </c>
      <c r="D340" s="13" t="str">
        <f>IF(B340="","",IFERROR(INDEX(Catalogos!$O$5:$O$51,MATCH(B340,L_AREAS,0)),""))</f>
        <v/>
      </c>
      <c r="E340" s="26"/>
      <c r="F340" s="13" t="str">
        <f>IF(E340="","",IFERROR(INDEX(Catalogos!$C$5:$C$49,MATCH(E340,L_METAS,0)),""))</f>
        <v/>
      </c>
      <c r="G340" s="13" t="str">
        <f>IF(E340="","",IFERROR(INDEX(Catalogos!$E$5:$E$49,MATCH(E340,L_METAS,0)),""))</f>
        <v/>
      </c>
      <c r="H340" s="26"/>
      <c r="I340" s="26"/>
      <c r="J340" s="26"/>
      <c r="K340" s="26"/>
      <c r="L340" s="26"/>
      <c r="M340" s="27"/>
      <c r="N340" s="26"/>
      <c r="O340" s="26"/>
      <c r="P340" s="26"/>
      <c r="Q340" s="26"/>
      <c r="R340" s="26"/>
      <c r="S340" s="26"/>
      <c r="T340" s="26"/>
      <c r="U340" s="26"/>
      <c r="V340" s="26"/>
      <c r="W340" s="28"/>
      <c r="X340" s="28"/>
      <c r="Y340" s="26"/>
      <c r="Z340" s="26"/>
      <c r="AA340" s="26"/>
      <c r="AB340" s="26"/>
      <c r="AC340" s="26"/>
      <c r="AD340" s="26"/>
      <c r="AE340" s="26"/>
      <c r="AF340" s="26"/>
      <c r="AG340" s="26"/>
      <c r="AH340" s="26"/>
      <c r="AI340" s="26"/>
      <c r="AJ340" s="15" t="str">
        <f>IF(COUNTA(B340,E340,H340,I340,J340,K340,L340,M340,N340,O340,P340,Q340,R340,S340,T340,U340,V340,W340,X340,Y340,Z340,AA340,AB340,AC340,AD340,AE340,AF340,AG340,AH340,AI340)=0,"",IF(OR(B340="",E340="",H340="",J340="",K340="",L340="",M340="",O340="",P340="",Q340="",R340="",S340="",T340="",U340="",W340="",X340="",Y340="",AB340="",AC340="",AE340="",AF340=""),"Incompleta: faltan campos obligatorios",IF(AND(LEFT(H340,6)="PROPIA",I340=""),"Falta el nombre de la acción propia del área",IF(AND(LEFT(H340,3)="A27",IFERROR(INDEX(Catalogos!$T$5:$T$207,MATCH(H340,Catalogos!$U$5:$U$207,0)),"x")&lt;&gt;LEFT(E340,7)),"La acción no corresponde a la meta seleccionada",IF(OR(NOT(ISNUMBER(M340)),M340&lt;10000000,M340&gt;99999999),"Código UNSPSC inválido: registre 8 dígitos",IF(MOD(M340,10000)=0,"UNSPSC a nivel de segmento o familia: use clase o producto",IF(IFERROR(MATCH(P340,L_MESES,0)&lt;MATCH(O340,L_MESES,0),TRUE()),"El mes de ofertas es anterior al de inicio del proceso",IF(OR(NOT(ISNUMBER(Q340)),Q340&lt;=0),"Duración inválida",IF(OR(NOT(ISNUMBER(W340)),NOT(ISNUMBER(X340))),"Valor inválido: registre solo números",IF(OR(W340&lt;=0,X340&lt;=0),"Valor inválido: debe ser mayor que cero",IF(X340&gt;W340,"El valor de la vigencia 2027 supera el valor total",IF(AND(X340&lt;W340,Y340="No"),"El valor total supera el de 2027: requiere vigencias futuras",IF(AND(Y340="Sí",OR(Z340="",Z340="No aplica")),"Indique el estado de la solicitud de vigencias futuras",IF(IF(AND(S340="Mínima cuantía",ISNUMBER(P_TOPE_MINIMA)),W340&gt;P_TOPE_MINIMA,FALSE()),"El valor supera el tope de mínima cuantía 2027",IF(IF(AND(S340="Selección abreviada de menor cuantía",ISNUMBER(P_TOPE_MENOR)),W340&gt;P_TOPE_MENOR,FALSE()),"El valor supera el tope de menor cuantía 2027",IF(OR(ISERROR(SEARCH("@itc.edu.co",AE340)),SUMPRODUCT(--ISNUMBER(SEARCH({"á","é","í","ó","ú","ñ"," "},AE340)))&gt;0),"El correo del responsable no es institucional válido",IF(AND(AF340="Sí",AG340=""),"Indique el N.° de registro 2026 que continúa","OK")))))))))))))))))</f>
        <v/>
      </c>
      <c r="AK340" s="15" t="str">
        <f>IF(AJ340="OK",COUNTIF($AJ$7:AJ340,"OK"),"")</f>
        <v/>
      </c>
    </row>
    <row r="341" spans="1:37" x14ac:dyDescent="0.3">
      <c r="A341" s="13" t="str">
        <f t="shared" si="5"/>
        <v>PN27-335</v>
      </c>
      <c r="B341" s="26"/>
      <c r="C341" s="13" t="str">
        <f>IF(B341="","",IFERROR(INDEX(Catalogos!$R$5:$R$51,MATCH(B341,L_AREAS,0)),""))</f>
        <v/>
      </c>
      <c r="D341" s="13" t="str">
        <f>IF(B341="","",IFERROR(INDEX(Catalogos!$O$5:$O$51,MATCH(B341,L_AREAS,0)),""))</f>
        <v/>
      </c>
      <c r="E341" s="26"/>
      <c r="F341" s="13" t="str">
        <f>IF(E341="","",IFERROR(INDEX(Catalogos!$C$5:$C$49,MATCH(E341,L_METAS,0)),""))</f>
        <v/>
      </c>
      <c r="G341" s="13" t="str">
        <f>IF(E341="","",IFERROR(INDEX(Catalogos!$E$5:$E$49,MATCH(E341,L_METAS,0)),""))</f>
        <v/>
      </c>
      <c r="H341" s="26"/>
      <c r="I341" s="26"/>
      <c r="J341" s="26"/>
      <c r="K341" s="26"/>
      <c r="L341" s="26"/>
      <c r="M341" s="27"/>
      <c r="N341" s="26"/>
      <c r="O341" s="26"/>
      <c r="P341" s="26"/>
      <c r="Q341" s="26"/>
      <c r="R341" s="26"/>
      <c r="S341" s="26"/>
      <c r="T341" s="26"/>
      <c r="U341" s="26"/>
      <c r="V341" s="26"/>
      <c r="W341" s="28"/>
      <c r="X341" s="28"/>
      <c r="Y341" s="26"/>
      <c r="Z341" s="26"/>
      <c r="AA341" s="26"/>
      <c r="AB341" s="26"/>
      <c r="AC341" s="26"/>
      <c r="AD341" s="26"/>
      <c r="AE341" s="26"/>
      <c r="AF341" s="26"/>
      <c r="AG341" s="26"/>
      <c r="AH341" s="26"/>
      <c r="AI341" s="26"/>
      <c r="AJ341" s="15" t="str">
        <f>IF(COUNTA(B341,E341,H341,I341,J341,K341,L341,M341,N341,O341,P341,Q341,R341,S341,T341,U341,V341,W341,X341,Y341,Z341,AA341,AB341,AC341,AD341,AE341,AF341,AG341,AH341,AI341)=0,"",IF(OR(B341="",E341="",H341="",J341="",K341="",L341="",M341="",O341="",P341="",Q341="",R341="",S341="",T341="",U341="",W341="",X341="",Y341="",AB341="",AC341="",AE341="",AF341=""),"Incompleta: faltan campos obligatorios",IF(AND(LEFT(H341,6)="PROPIA",I341=""),"Falta el nombre de la acción propia del área",IF(AND(LEFT(H341,3)="A27",IFERROR(INDEX(Catalogos!$T$5:$T$207,MATCH(H341,Catalogos!$U$5:$U$207,0)),"x")&lt;&gt;LEFT(E341,7)),"La acción no corresponde a la meta seleccionada",IF(OR(NOT(ISNUMBER(M341)),M341&lt;10000000,M341&gt;99999999),"Código UNSPSC inválido: registre 8 dígitos",IF(MOD(M341,10000)=0,"UNSPSC a nivel de segmento o familia: use clase o producto",IF(IFERROR(MATCH(P341,L_MESES,0)&lt;MATCH(O341,L_MESES,0),TRUE()),"El mes de ofertas es anterior al de inicio del proceso",IF(OR(NOT(ISNUMBER(Q341)),Q341&lt;=0),"Duración inválida",IF(OR(NOT(ISNUMBER(W341)),NOT(ISNUMBER(X341))),"Valor inválido: registre solo números",IF(OR(W341&lt;=0,X341&lt;=0),"Valor inválido: debe ser mayor que cero",IF(X341&gt;W341,"El valor de la vigencia 2027 supera el valor total",IF(AND(X341&lt;W341,Y341="No"),"El valor total supera el de 2027: requiere vigencias futuras",IF(AND(Y341="Sí",OR(Z341="",Z341="No aplica")),"Indique el estado de la solicitud de vigencias futuras",IF(IF(AND(S341="Mínima cuantía",ISNUMBER(P_TOPE_MINIMA)),W341&gt;P_TOPE_MINIMA,FALSE()),"El valor supera el tope de mínima cuantía 2027",IF(IF(AND(S341="Selección abreviada de menor cuantía",ISNUMBER(P_TOPE_MENOR)),W341&gt;P_TOPE_MENOR,FALSE()),"El valor supera el tope de menor cuantía 2027",IF(OR(ISERROR(SEARCH("@itc.edu.co",AE341)),SUMPRODUCT(--ISNUMBER(SEARCH({"á","é","í","ó","ú","ñ"," "},AE341)))&gt;0),"El correo del responsable no es institucional válido",IF(AND(AF341="Sí",AG341=""),"Indique el N.° de registro 2026 que continúa","OK")))))))))))))))))</f>
        <v/>
      </c>
      <c r="AK341" s="15" t="str">
        <f>IF(AJ341="OK",COUNTIF($AJ$7:AJ341,"OK"),"")</f>
        <v/>
      </c>
    </row>
    <row r="342" spans="1:37" x14ac:dyDescent="0.3">
      <c r="A342" s="13" t="str">
        <f t="shared" si="5"/>
        <v>PN27-336</v>
      </c>
      <c r="B342" s="26"/>
      <c r="C342" s="13" t="str">
        <f>IF(B342="","",IFERROR(INDEX(Catalogos!$R$5:$R$51,MATCH(B342,L_AREAS,0)),""))</f>
        <v/>
      </c>
      <c r="D342" s="13" t="str">
        <f>IF(B342="","",IFERROR(INDEX(Catalogos!$O$5:$O$51,MATCH(B342,L_AREAS,0)),""))</f>
        <v/>
      </c>
      <c r="E342" s="26"/>
      <c r="F342" s="13" t="str">
        <f>IF(E342="","",IFERROR(INDEX(Catalogos!$C$5:$C$49,MATCH(E342,L_METAS,0)),""))</f>
        <v/>
      </c>
      <c r="G342" s="13" t="str">
        <f>IF(E342="","",IFERROR(INDEX(Catalogos!$E$5:$E$49,MATCH(E342,L_METAS,0)),""))</f>
        <v/>
      </c>
      <c r="H342" s="26"/>
      <c r="I342" s="26"/>
      <c r="J342" s="26"/>
      <c r="K342" s="26"/>
      <c r="L342" s="26"/>
      <c r="M342" s="27"/>
      <c r="N342" s="26"/>
      <c r="O342" s="26"/>
      <c r="P342" s="26"/>
      <c r="Q342" s="26"/>
      <c r="R342" s="26"/>
      <c r="S342" s="26"/>
      <c r="T342" s="26"/>
      <c r="U342" s="26"/>
      <c r="V342" s="26"/>
      <c r="W342" s="28"/>
      <c r="X342" s="28"/>
      <c r="Y342" s="26"/>
      <c r="Z342" s="26"/>
      <c r="AA342" s="26"/>
      <c r="AB342" s="26"/>
      <c r="AC342" s="26"/>
      <c r="AD342" s="26"/>
      <c r="AE342" s="26"/>
      <c r="AF342" s="26"/>
      <c r="AG342" s="26"/>
      <c r="AH342" s="26"/>
      <c r="AI342" s="26"/>
      <c r="AJ342" s="15" t="str">
        <f>IF(COUNTA(B342,E342,H342,I342,J342,K342,L342,M342,N342,O342,P342,Q342,R342,S342,T342,U342,V342,W342,X342,Y342,Z342,AA342,AB342,AC342,AD342,AE342,AF342,AG342,AH342,AI342)=0,"",IF(OR(B342="",E342="",H342="",J342="",K342="",L342="",M342="",O342="",P342="",Q342="",R342="",S342="",T342="",U342="",W342="",X342="",Y342="",AB342="",AC342="",AE342="",AF342=""),"Incompleta: faltan campos obligatorios",IF(AND(LEFT(H342,6)="PROPIA",I342=""),"Falta el nombre de la acción propia del área",IF(AND(LEFT(H342,3)="A27",IFERROR(INDEX(Catalogos!$T$5:$T$207,MATCH(H342,Catalogos!$U$5:$U$207,0)),"x")&lt;&gt;LEFT(E342,7)),"La acción no corresponde a la meta seleccionada",IF(OR(NOT(ISNUMBER(M342)),M342&lt;10000000,M342&gt;99999999),"Código UNSPSC inválido: registre 8 dígitos",IF(MOD(M342,10000)=0,"UNSPSC a nivel de segmento o familia: use clase o producto",IF(IFERROR(MATCH(P342,L_MESES,0)&lt;MATCH(O342,L_MESES,0),TRUE()),"El mes de ofertas es anterior al de inicio del proceso",IF(OR(NOT(ISNUMBER(Q342)),Q342&lt;=0),"Duración inválida",IF(OR(NOT(ISNUMBER(W342)),NOT(ISNUMBER(X342))),"Valor inválido: registre solo números",IF(OR(W342&lt;=0,X342&lt;=0),"Valor inválido: debe ser mayor que cero",IF(X342&gt;W342,"El valor de la vigencia 2027 supera el valor total",IF(AND(X342&lt;W342,Y342="No"),"El valor total supera el de 2027: requiere vigencias futuras",IF(AND(Y342="Sí",OR(Z342="",Z342="No aplica")),"Indique el estado de la solicitud de vigencias futuras",IF(IF(AND(S342="Mínima cuantía",ISNUMBER(P_TOPE_MINIMA)),W342&gt;P_TOPE_MINIMA,FALSE()),"El valor supera el tope de mínima cuantía 2027",IF(IF(AND(S342="Selección abreviada de menor cuantía",ISNUMBER(P_TOPE_MENOR)),W342&gt;P_TOPE_MENOR,FALSE()),"El valor supera el tope de menor cuantía 2027",IF(OR(ISERROR(SEARCH("@itc.edu.co",AE342)),SUMPRODUCT(--ISNUMBER(SEARCH({"á","é","í","ó","ú","ñ"," "},AE342)))&gt;0),"El correo del responsable no es institucional válido",IF(AND(AF342="Sí",AG342=""),"Indique el N.° de registro 2026 que continúa","OK")))))))))))))))))</f>
        <v/>
      </c>
      <c r="AK342" s="15" t="str">
        <f>IF(AJ342="OK",COUNTIF($AJ$7:AJ342,"OK"),"")</f>
        <v/>
      </c>
    </row>
    <row r="343" spans="1:37" x14ac:dyDescent="0.3">
      <c r="A343" s="13" t="str">
        <f t="shared" si="5"/>
        <v>PN27-337</v>
      </c>
      <c r="B343" s="26"/>
      <c r="C343" s="13" t="str">
        <f>IF(B343="","",IFERROR(INDEX(Catalogos!$R$5:$R$51,MATCH(B343,L_AREAS,0)),""))</f>
        <v/>
      </c>
      <c r="D343" s="13" t="str">
        <f>IF(B343="","",IFERROR(INDEX(Catalogos!$O$5:$O$51,MATCH(B343,L_AREAS,0)),""))</f>
        <v/>
      </c>
      <c r="E343" s="26"/>
      <c r="F343" s="13" t="str">
        <f>IF(E343="","",IFERROR(INDEX(Catalogos!$C$5:$C$49,MATCH(E343,L_METAS,0)),""))</f>
        <v/>
      </c>
      <c r="G343" s="13" t="str">
        <f>IF(E343="","",IFERROR(INDEX(Catalogos!$E$5:$E$49,MATCH(E343,L_METAS,0)),""))</f>
        <v/>
      </c>
      <c r="H343" s="26"/>
      <c r="I343" s="26"/>
      <c r="J343" s="26"/>
      <c r="K343" s="26"/>
      <c r="L343" s="26"/>
      <c r="M343" s="27"/>
      <c r="N343" s="26"/>
      <c r="O343" s="26"/>
      <c r="P343" s="26"/>
      <c r="Q343" s="26"/>
      <c r="R343" s="26"/>
      <c r="S343" s="26"/>
      <c r="T343" s="26"/>
      <c r="U343" s="26"/>
      <c r="V343" s="26"/>
      <c r="W343" s="28"/>
      <c r="X343" s="28"/>
      <c r="Y343" s="26"/>
      <c r="Z343" s="26"/>
      <c r="AA343" s="26"/>
      <c r="AB343" s="26"/>
      <c r="AC343" s="26"/>
      <c r="AD343" s="26"/>
      <c r="AE343" s="26"/>
      <c r="AF343" s="26"/>
      <c r="AG343" s="26"/>
      <c r="AH343" s="26"/>
      <c r="AI343" s="26"/>
      <c r="AJ343" s="15" t="str">
        <f>IF(COUNTA(B343,E343,H343,I343,J343,K343,L343,M343,N343,O343,P343,Q343,R343,S343,T343,U343,V343,W343,X343,Y343,Z343,AA343,AB343,AC343,AD343,AE343,AF343,AG343,AH343,AI343)=0,"",IF(OR(B343="",E343="",H343="",J343="",K343="",L343="",M343="",O343="",P343="",Q343="",R343="",S343="",T343="",U343="",W343="",X343="",Y343="",AB343="",AC343="",AE343="",AF343=""),"Incompleta: faltan campos obligatorios",IF(AND(LEFT(H343,6)="PROPIA",I343=""),"Falta el nombre de la acción propia del área",IF(AND(LEFT(H343,3)="A27",IFERROR(INDEX(Catalogos!$T$5:$T$207,MATCH(H343,Catalogos!$U$5:$U$207,0)),"x")&lt;&gt;LEFT(E343,7)),"La acción no corresponde a la meta seleccionada",IF(OR(NOT(ISNUMBER(M343)),M343&lt;10000000,M343&gt;99999999),"Código UNSPSC inválido: registre 8 dígitos",IF(MOD(M343,10000)=0,"UNSPSC a nivel de segmento o familia: use clase o producto",IF(IFERROR(MATCH(P343,L_MESES,0)&lt;MATCH(O343,L_MESES,0),TRUE()),"El mes de ofertas es anterior al de inicio del proceso",IF(OR(NOT(ISNUMBER(Q343)),Q343&lt;=0),"Duración inválida",IF(OR(NOT(ISNUMBER(W343)),NOT(ISNUMBER(X343))),"Valor inválido: registre solo números",IF(OR(W343&lt;=0,X343&lt;=0),"Valor inválido: debe ser mayor que cero",IF(X343&gt;W343,"El valor de la vigencia 2027 supera el valor total",IF(AND(X343&lt;W343,Y343="No"),"El valor total supera el de 2027: requiere vigencias futuras",IF(AND(Y343="Sí",OR(Z343="",Z343="No aplica")),"Indique el estado de la solicitud de vigencias futuras",IF(IF(AND(S343="Mínima cuantía",ISNUMBER(P_TOPE_MINIMA)),W343&gt;P_TOPE_MINIMA,FALSE()),"El valor supera el tope de mínima cuantía 2027",IF(IF(AND(S343="Selección abreviada de menor cuantía",ISNUMBER(P_TOPE_MENOR)),W343&gt;P_TOPE_MENOR,FALSE()),"El valor supera el tope de menor cuantía 2027",IF(OR(ISERROR(SEARCH("@itc.edu.co",AE343)),SUMPRODUCT(--ISNUMBER(SEARCH({"á","é","í","ó","ú","ñ"," "},AE343)))&gt;0),"El correo del responsable no es institucional válido",IF(AND(AF343="Sí",AG343=""),"Indique el N.° de registro 2026 que continúa","OK")))))))))))))))))</f>
        <v/>
      </c>
      <c r="AK343" s="15" t="str">
        <f>IF(AJ343="OK",COUNTIF($AJ$7:AJ343,"OK"),"")</f>
        <v/>
      </c>
    </row>
    <row r="344" spans="1:37" x14ac:dyDescent="0.3">
      <c r="A344" s="13" t="str">
        <f t="shared" si="5"/>
        <v>PN27-338</v>
      </c>
      <c r="B344" s="26"/>
      <c r="C344" s="13" t="str">
        <f>IF(B344="","",IFERROR(INDEX(Catalogos!$R$5:$R$51,MATCH(B344,L_AREAS,0)),""))</f>
        <v/>
      </c>
      <c r="D344" s="13" t="str">
        <f>IF(B344="","",IFERROR(INDEX(Catalogos!$O$5:$O$51,MATCH(B344,L_AREAS,0)),""))</f>
        <v/>
      </c>
      <c r="E344" s="26"/>
      <c r="F344" s="13" t="str">
        <f>IF(E344="","",IFERROR(INDEX(Catalogos!$C$5:$C$49,MATCH(E344,L_METAS,0)),""))</f>
        <v/>
      </c>
      <c r="G344" s="13" t="str">
        <f>IF(E344="","",IFERROR(INDEX(Catalogos!$E$5:$E$49,MATCH(E344,L_METAS,0)),""))</f>
        <v/>
      </c>
      <c r="H344" s="26"/>
      <c r="I344" s="26"/>
      <c r="J344" s="26"/>
      <c r="K344" s="26"/>
      <c r="L344" s="26"/>
      <c r="M344" s="27"/>
      <c r="N344" s="26"/>
      <c r="O344" s="26"/>
      <c r="P344" s="26"/>
      <c r="Q344" s="26"/>
      <c r="R344" s="26"/>
      <c r="S344" s="26"/>
      <c r="T344" s="26"/>
      <c r="U344" s="26"/>
      <c r="V344" s="26"/>
      <c r="W344" s="28"/>
      <c r="X344" s="28"/>
      <c r="Y344" s="26"/>
      <c r="Z344" s="26"/>
      <c r="AA344" s="26"/>
      <c r="AB344" s="26"/>
      <c r="AC344" s="26"/>
      <c r="AD344" s="26"/>
      <c r="AE344" s="26"/>
      <c r="AF344" s="26"/>
      <c r="AG344" s="26"/>
      <c r="AH344" s="26"/>
      <c r="AI344" s="26"/>
      <c r="AJ344" s="15" t="str">
        <f>IF(COUNTA(B344,E344,H344,I344,J344,K344,L344,M344,N344,O344,P344,Q344,R344,S344,T344,U344,V344,W344,X344,Y344,Z344,AA344,AB344,AC344,AD344,AE344,AF344,AG344,AH344,AI344)=0,"",IF(OR(B344="",E344="",H344="",J344="",K344="",L344="",M344="",O344="",P344="",Q344="",R344="",S344="",T344="",U344="",W344="",X344="",Y344="",AB344="",AC344="",AE344="",AF344=""),"Incompleta: faltan campos obligatorios",IF(AND(LEFT(H344,6)="PROPIA",I344=""),"Falta el nombre de la acción propia del área",IF(AND(LEFT(H344,3)="A27",IFERROR(INDEX(Catalogos!$T$5:$T$207,MATCH(H344,Catalogos!$U$5:$U$207,0)),"x")&lt;&gt;LEFT(E344,7)),"La acción no corresponde a la meta seleccionada",IF(OR(NOT(ISNUMBER(M344)),M344&lt;10000000,M344&gt;99999999),"Código UNSPSC inválido: registre 8 dígitos",IF(MOD(M344,10000)=0,"UNSPSC a nivel de segmento o familia: use clase o producto",IF(IFERROR(MATCH(P344,L_MESES,0)&lt;MATCH(O344,L_MESES,0),TRUE()),"El mes de ofertas es anterior al de inicio del proceso",IF(OR(NOT(ISNUMBER(Q344)),Q344&lt;=0),"Duración inválida",IF(OR(NOT(ISNUMBER(W344)),NOT(ISNUMBER(X344))),"Valor inválido: registre solo números",IF(OR(W344&lt;=0,X344&lt;=0),"Valor inválido: debe ser mayor que cero",IF(X344&gt;W344,"El valor de la vigencia 2027 supera el valor total",IF(AND(X344&lt;W344,Y344="No"),"El valor total supera el de 2027: requiere vigencias futuras",IF(AND(Y344="Sí",OR(Z344="",Z344="No aplica")),"Indique el estado de la solicitud de vigencias futuras",IF(IF(AND(S344="Mínima cuantía",ISNUMBER(P_TOPE_MINIMA)),W344&gt;P_TOPE_MINIMA,FALSE()),"El valor supera el tope de mínima cuantía 2027",IF(IF(AND(S344="Selección abreviada de menor cuantía",ISNUMBER(P_TOPE_MENOR)),W344&gt;P_TOPE_MENOR,FALSE()),"El valor supera el tope de menor cuantía 2027",IF(OR(ISERROR(SEARCH("@itc.edu.co",AE344)),SUMPRODUCT(--ISNUMBER(SEARCH({"á","é","í","ó","ú","ñ"," "},AE344)))&gt;0),"El correo del responsable no es institucional válido",IF(AND(AF344="Sí",AG344=""),"Indique el N.° de registro 2026 que continúa","OK")))))))))))))))))</f>
        <v/>
      </c>
      <c r="AK344" s="15" t="str">
        <f>IF(AJ344="OK",COUNTIF($AJ$7:AJ344,"OK"),"")</f>
        <v/>
      </c>
    </row>
    <row r="345" spans="1:37" x14ac:dyDescent="0.3">
      <c r="A345" s="13" t="str">
        <f t="shared" si="5"/>
        <v>PN27-339</v>
      </c>
      <c r="B345" s="26"/>
      <c r="C345" s="13" t="str">
        <f>IF(B345="","",IFERROR(INDEX(Catalogos!$R$5:$R$51,MATCH(B345,L_AREAS,0)),""))</f>
        <v/>
      </c>
      <c r="D345" s="13" t="str">
        <f>IF(B345="","",IFERROR(INDEX(Catalogos!$O$5:$O$51,MATCH(B345,L_AREAS,0)),""))</f>
        <v/>
      </c>
      <c r="E345" s="26"/>
      <c r="F345" s="13" t="str">
        <f>IF(E345="","",IFERROR(INDEX(Catalogos!$C$5:$C$49,MATCH(E345,L_METAS,0)),""))</f>
        <v/>
      </c>
      <c r="G345" s="13" t="str">
        <f>IF(E345="","",IFERROR(INDEX(Catalogos!$E$5:$E$49,MATCH(E345,L_METAS,0)),""))</f>
        <v/>
      </c>
      <c r="H345" s="26"/>
      <c r="I345" s="26"/>
      <c r="J345" s="26"/>
      <c r="K345" s="26"/>
      <c r="L345" s="26"/>
      <c r="M345" s="27"/>
      <c r="N345" s="26"/>
      <c r="O345" s="26"/>
      <c r="P345" s="26"/>
      <c r="Q345" s="26"/>
      <c r="R345" s="26"/>
      <c r="S345" s="26"/>
      <c r="T345" s="26"/>
      <c r="U345" s="26"/>
      <c r="V345" s="26"/>
      <c r="W345" s="28"/>
      <c r="X345" s="28"/>
      <c r="Y345" s="26"/>
      <c r="Z345" s="26"/>
      <c r="AA345" s="26"/>
      <c r="AB345" s="26"/>
      <c r="AC345" s="26"/>
      <c r="AD345" s="26"/>
      <c r="AE345" s="26"/>
      <c r="AF345" s="26"/>
      <c r="AG345" s="26"/>
      <c r="AH345" s="26"/>
      <c r="AI345" s="26"/>
      <c r="AJ345" s="15" t="str">
        <f>IF(COUNTA(B345,E345,H345,I345,J345,K345,L345,M345,N345,O345,P345,Q345,R345,S345,T345,U345,V345,W345,X345,Y345,Z345,AA345,AB345,AC345,AD345,AE345,AF345,AG345,AH345,AI345)=0,"",IF(OR(B345="",E345="",H345="",J345="",K345="",L345="",M345="",O345="",P345="",Q345="",R345="",S345="",T345="",U345="",W345="",X345="",Y345="",AB345="",AC345="",AE345="",AF345=""),"Incompleta: faltan campos obligatorios",IF(AND(LEFT(H345,6)="PROPIA",I345=""),"Falta el nombre de la acción propia del área",IF(AND(LEFT(H345,3)="A27",IFERROR(INDEX(Catalogos!$T$5:$T$207,MATCH(H345,Catalogos!$U$5:$U$207,0)),"x")&lt;&gt;LEFT(E345,7)),"La acción no corresponde a la meta seleccionada",IF(OR(NOT(ISNUMBER(M345)),M345&lt;10000000,M345&gt;99999999),"Código UNSPSC inválido: registre 8 dígitos",IF(MOD(M345,10000)=0,"UNSPSC a nivel de segmento o familia: use clase o producto",IF(IFERROR(MATCH(P345,L_MESES,0)&lt;MATCH(O345,L_MESES,0),TRUE()),"El mes de ofertas es anterior al de inicio del proceso",IF(OR(NOT(ISNUMBER(Q345)),Q345&lt;=0),"Duración inválida",IF(OR(NOT(ISNUMBER(W345)),NOT(ISNUMBER(X345))),"Valor inválido: registre solo números",IF(OR(W345&lt;=0,X345&lt;=0),"Valor inválido: debe ser mayor que cero",IF(X345&gt;W345,"El valor de la vigencia 2027 supera el valor total",IF(AND(X345&lt;W345,Y345="No"),"El valor total supera el de 2027: requiere vigencias futuras",IF(AND(Y345="Sí",OR(Z345="",Z345="No aplica")),"Indique el estado de la solicitud de vigencias futuras",IF(IF(AND(S345="Mínima cuantía",ISNUMBER(P_TOPE_MINIMA)),W345&gt;P_TOPE_MINIMA,FALSE()),"El valor supera el tope de mínima cuantía 2027",IF(IF(AND(S345="Selección abreviada de menor cuantía",ISNUMBER(P_TOPE_MENOR)),W345&gt;P_TOPE_MENOR,FALSE()),"El valor supera el tope de menor cuantía 2027",IF(OR(ISERROR(SEARCH("@itc.edu.co",AE345)),SUMPRODUCT(--ISNUMBER(SEARCH({"á","é","í","ó","ú","ñ"," "},AE345)))&gt;0),"El correo del responsable no es institucional válido",IF(AND(AF345="Sí",AG345=""),"Indique el N.° de registro 2026 que continúa","OK")))))))))))))))))</f>
        <v/>
      </c>
      <c r="AK345" s="15" t="str">
        <f>IF(AJ345="OK",COUNTIF($AJ$7:AJ345,"OK"),"")</f>
        <v/>
      </c>
    </row>
    <row r="346" spans="1:37" x14ac:dyDescent="0.3">
      <c r="A346" s="13" t="str">
        <f t="shared" si="5"/>
        <v>PN27-340</v>
      </c>
      <c r="B346" s="26"/>
      <c r="C346" s="13" t="str">
        <f>IF(B346="","",IFERROR(INDEX(Catalogos!$R$5:$R$51,MATCH(B346,L_AREAS,0)),""))</f>
        <v/>
      </c>
      <c r="D346" s="13" t="str">
        <f>IF(B346="","",IFERROR(INDEX(Catalogos!$O$5:$O$51,MATCH(B346,L_AREAS,0)),""))</f>
        <v/>
      </c>
      <c r="E346" s="26"/>
      <c r="F346" s="13" t="str">
        <f>IF(E346="","",IFERROR(INDEX(Catalogos!$C$5:$C$49,MATCH(E346,L_METAS,0)),""))</f>
        <v/>
      </c>
      <c r="G346" s="13" t="str">
        <f>IF(E346="","",IFERROR(INDEX(Catalogos!$E$5:$E$49,MATCH(E346,L_METAS,0)),""))</f>
        <v/>
      </c>
      <c r="H346" s="26"/>
      <c r="I346" s="26"/>
      <c r="J346" s="26"/>
      <c r="K346" s="26"/>
      <c r="L346" s="26"/>
      <c r="M346" s="27"/>
      <c r="N346" s="26"/>
      <c r="O346" s="26"/>
      <c r="P346" s="26"/>
      <c r="Q346" s="26"/>
      <c r="R346" s="26"/>
      <c r="S346" s="26"/>
      <c r="T346" s="26"/>
      <c r="U346" s="26"/>
      <c r="V346" s="26"/>
      <c r="W346" s="28"/>
      <c r="X346" s="28"/>
      <c r="Y346" s="26"/>
      <c r="Z346" s="26"/>
      <c r="AA346" s="26"/>
      <c r="AB346" s="26"/>
      <c r="AC346" s="26"/>
      <c r="AD346" s="26"/>
      <c r="AE346" s="26"/>
      <c r="AF346" s="26"/>
      <c r="AG346" s="26"/>
      <c r="AH346" s="26"/>
      <c r="AI346" s="26"/>
      <c r="AJ346" s="15" t="str">
        <f>IF(COUNTA(B346,E346,H346,I346,J346,K346,L346,M346,N346,O346,P346,Q346,R346,S346,T346,U346,V346,W346,X346,Y346,Z346,AA346,AB346,AC346,AD346,AE346,AF346,AG346,AH346,AI346)=0,"",IF(OR(B346="",E346="",H346="",J346="",K346="",L346="",M346="",O346="",P346="",Q346="",R346="",S346="",T346="",U346="",W346="",X346="",Y346="",AB346="",AC346="",AE346="",AF346=""),"Incompleta: faltan campos obligatorios",IF(AND(LEFT(H346,6)="PROPIA",I346=""),"Falta el nombre de la acción propia del área",IF(AND(LEFT(H346,3)="A27",IFERROR(INDEX(Catalogos!$T$5:$T$207,MATCH(H346,Catalogos!$U$5:$U$207,0)),"x")&lt;&gt;LEFT(E346,7)),"La acción no corresponde a la meta seleccionada",IF(OR(NOT(ISNUMBER(M346)),M346&lt;10000000,M346&gt;99999999),"Código UNSPSC inválido: registre 8 dígitos",IF(MOD(M346,10000)=0,"UNSPSC a nivel de segmento o familia: use clase o producto",IF(IFERROR(MATCH(P346,L_MESES,0)&lt;MATCH(O346,L_MESES,0),TRUE()),"El mes de ofertas es anterior al de inicio del proceso",IF(OR(NOT(ISNUMBER(Q346)),Q346&lt;=0),"Duración inválida",IF(OR(NOT(ISNUMBER(W346)),NOT(ISNUMBER(X346))),"Valor inválido: registre solo números",IF(OR(W346&lt;=0,X346&lt;=0),"Valor inválido: debe ser mayor que cero",IF(X346&gt;W346,"El valor de la vigencia 2027 supera el valor total",IF(AND(X346&lt;W346,Y346="No"),"El valor total supera el de 2027: requiere vigencias futuras",IF(AND(Y346="Sí",OR(Z346="",Z346="No aplica")),"Indique el estado de la solicitud de vigencias futuras",IF(IF(AND(S346="Mínima cuantía",ISNUMBER(P_TOPE_MINIMA)),W346&gt;P_TOPE_MINIMA,FALSE()),"El valor supera el tope de mínima cuantía 2027",IF(IF(AND(S346="Selección abreviada de menor cuantía",ISNUMBER(P_TOPE_MENOR)),W346&gt;P_TOPE_MENOR,FALSE()),"El valor supera el tope de menor cuantía 2027",IF(OR(ISERROR(SEARCH("@itc.edu.co",AE346)),SUMPRODUCT(--ISNUMBER(SEARCH({"á","é","í","ó","ú","ñ"," "},AE346)))&gt;0),"El correo del responsable no es institucional válido",IF(AND(AF346="Sí",AG346=""),"Indique el N.° de registro 2026 que continúa","OK")))))))))))))))))</f>
        <v/>
      </c>
      <c r="AK346" s="15" t="str">
        <f>IF(AJ346="OK",COUNTIF($AJ$7:AJ346,"OK"),"")</f>
        <v/>
      </c>
    </row>
    <row r="347" spans="1:37" x14ac:dyDescent="0.3">
      <c r="A347" s="13" t="str">
        <f t="shared" si="5"/>
        <v>PN27-341</v>
      </c>
      <c r="B347" s="26"/>
      <c r="C347" s="13" t="str">
        <f>IF(B347="","",IFERROR(INDEX(Catalogos!$R$5:$R$51,MATCH(B347,L_AREAS,0)),""))</f>
        <v/>
      </c>
      <c r="D347" s="13" t="str">
        <f>IF(B347="","",IFERROR(INDEX(Catalogos!$O$5:$O$51,MATCH(B347,L_AREAS,0)),""))</f>
        <v/>
      </c>
      <c r="E347" s="26"/>
      <c r="F347" s="13" t="str">
        <f>IF(E347="","",IFERROR(INDEX(Catalogos!$C$5:$C$49,MATCH(E347,L_METAS,0)),""))</f>
        <v/>
      </c>
      <c r="G347" s="13" t="str">
        <f>IF(E347="","",IFERROR(INDEX(Catalogos!$E$5:$E$49,MATCH(E347,L_METAS,0)),""))</f>
        <v/>
      </c>
      <c r="H347" s="26"/>
      <c r="I347" s="26"/>
      <c r="J347" s="26"/>
      <c r="K347" s="26"/>
      <c r="L347" s="26"/>
      <c r="M347" s="27"/>
      <c r="N347" s="26"/>
      <c r="O347" s="26"/>
      <c r="P347" s="26"/>
      <c r="Q347" s="26"/>
      <c r="R347" s="26"/>
      <c r="S347" s="26"/>
      <c r="T347" s="26"/>
      <c r="U347" s="26"/>
      <c r="V347" s="26"/>
      <c r="W347" s="28"/>
      <c r="X347" s="28"/>
      <c r="Y347" s="26"/>
      <c r="Z347" s="26"/>
      <c r="AA347" s="26"/>
      <c r="AB347" s="26"/>
      <c r="AC347" s="26"/>
      <c r="AD347" s="26"/>
      <c r="AE347" s="26"/>
      <c r="AF347" s="26"/>
      <c r="AG347" s="26"/>
      <c r="AH347" s="26"/>
      <c r="AI347" s="26"/>
      <c r="AJ347" s="15" t="str">
        <f>IF(COUNTA(B347,E347,H347,I347,J347,K347,L347,M347,N347,O347,P347,Q347,R347,S347,T347,U347,V347,W347,X347,Y347,Z347,AA347,AB347,AC347,AD347,AE347,AF347,AG347,AH347,AI347)=0,"",IF(OR(B347="",E347="",H347="",J347="",K347="",L347="",M347="",O347="",P347="",Q347="",R347="",S347="",T347="",U347="",W347="",X347="",Y347="",AB347="",AC347="",AE347="",AF347=""),"Incompleta: faltan campos obligatorios",IF(AND(LEFT(H347,6)="PROPIA",I347=""),"Falta el nombre de la acción propia del área",IF(AND(LEFT(H347,3)="A27",IFERROR(INDEX(Catalogos!$T$5:$T$207,MATCH(H347,Catalogos!$U$5:$U$207,0)),"x")&lt;&gt;LEFT(E347,7)),"La acción no corresponde a la meta seleccionada",IF(OR(NOT(ISNUMBER(M347)),M347&lt;10000000,M347&gt;99999999),"Código UNSPSC inválido: registre 8 dígitos",IF(MOD(M347,10000)=0,"UNSPSC a nivel de segmento o familia: use clase o producto",IF(IFERROR(MATCH(P347,L_MESES,0)&lt;MATCH(O347,L_MESES,0),TRUE()),"El mes de ofertas es anterior al de inicio del proceso",IF(OR(NOT(ISNUMBER(Q347)),Q347&lt;=0),"Duración inválida",IF(OR(NOT(ISNUMBER(W347)),NOT(ISNUMBER(X347))),"Valor inválido: registre solo números",IF(OR(W347&lt;=0,X347&lt;=0),"Valor inválido: debe ser mayor que cero",IF(X347&gt;W347,"El valor de la vigencia 2027 supera el valor total",IF(AND(X347&lt;W347,Y347="No"),"El valor total supera el de 2027: requiere vigencias futuras",IF(AND(Y347="Sí",OR(Z347="",Z347="No aplica")),"Indique el estado de la solicitud de vigencias futuras",IF(IF(AND(S347="Mínima cuantía",ISNUMBER(P_TOPE_MINIMA)),W347&gt;P_TOPE_MINIMA,FALSE()),"El valor supera el tope de mínima cuantía 2027",IF(IF(AND(S347="Selección abreviada de menor cuantía",ISNUMBER(P_TOPE_MENOR)),W347&gt;P_TOPE_MENOR,FALSE()),"El valor supera el tope de menor cuantía 2027",IF(OR(ISERROR(SEARCH("@itc.edu.co",AE347)),SUMPRODUCT(--ISNUMBER(SEARCH({"á","é","í","ó","ú","ñ"," "},AE347)))&gt;0),"El correo del responsable no es institucional válido",IF(AND(AF347="Sí",AG347=""),"Indique el N.° de registro 2026 que continúa","OK")))))))))))))))))</f>
        <v/>
      </c>
      <c r="AK347" s="15" t="str">
        <f>IF(AJ347="OK",COUNTIF($AJ$7:AJ347,"OK"),"")</f>
        <v/>
      </c>
    </row>
    <row r="348" spans="1:37" x14ac:dyDescent="0.3">
      <c r="A348" s="13" t="str">
        <f t="shared" si="5"/>
        <v>PN27-342</v>
      </c>
      <c r="B348" s="26"/>
      <c r="C348" s="13" t="str">
        <f>IF(B348="","",IFERROR(INDEX(Catalogos!$R$5:$R$51,MATCH(B348,L_AREAS,0)),""))</f>
        <v/>
      </c>
      <c r="D348" s="13" t="str">
        <f>IF(B348="","",IFERROR(INDEX(Catalogos!$O$5:$O$51,MATCH(B348,L_AREAS,0)),""))</f>
        <v/>
      </c>
      <c r="E348" s="26"/>
      <c r="F348" s="13" t="str">
        <f>IF(E348="","",IFERROR(INDEX(Catalogos!$C$5:$C$49,MATCH(E348,L_METAS,0)),""))</f>
        <v/>
      </c>
      <c r="G348" s="13" t="str">
        <f>IF(E348="","",IFERROR(INDEX(Catalogos!$E$5:$E$49,MATCH(E348,L_METAS,0)),""))</f>
        <v/>
      </c>
      <c r="H348" s="26"/>
      <c r="I348" s="26"/>
      <c r="J348" s="26"/>
      <c r="K348" s="26"/>
      <c r="L348" s="26"/>
      <c r="M348" s="27"/>
      <c r="N348" s="26"/>
      <c r="O348" s="26"/>
      <c r="P348" s="26"/>
      <c r="Q348" s="26"/>
      <c r="R348" s="26"/>
      <c r="S348" s="26"/>
      <c r="T348" s="26"/>
      <c r="U348" s="26"/>
      <c r="V348" s="26"/>
      <c r="W348" s="28"/>
      <c r="X348" s="28"/>
      <c r="Y348" s="26"/>
      <c r="Z348" s="26"/>
      <c r="AA348" s="26"/>
      <c r="AB348" s="26"/>
      <c r="AC348" s="26"/>
      <c r="AD348" s="26"/>
      <c r="AE348" s="26"/>
      <c r="AF348" s="26"/>
      <c r="AG348" s="26"/>
      <c r="AH348" s="26"/>
      <c r="AI348" s="26"/>
      <c r="AJ348" s="15" t="str">
        <f>IF(COUNTA(B348,E348,H348,I348,J348,K348,L348,M348,N348,O348,P348,Q348,R348,S348,T348,U348,V348,W348,X348,Y348,Z348,AA348,AB348,AC348,AD348,AE348,AF348,AG348,AH348,AI348)=0,"",IF(OR(B348="",E348="",H348="",J348="",K348="",L348="",M348="",O348="",P348="",Q348="",R348="",S348="",T348="",U348="",W348="",X348="",Y348="",AB348="",AC348="",AE348="",AF348=""),"Incompleta: faltan campos obligatorios",IF(AND(LEFT(H348,6)="PROPIA",I348=""),"Falta el nombre de la acción propia del área",IF(AND(LEFT(H348,3)="A27",IFERROR(INDEX(Catalogos!$T$5:$T$207,MATCH(H348,Catalogos!$U$5:$U$207,0)),"x")&lt;&gt;LEFT(E348,7)),"La acción no corresponde a la meta seleccionada",IF(OR(NOT(ISNUMBER(M348)),M348&lt;10000000,M348&gt;99999999),"Código UNSPSC inválido: registre 8 dígitos",IF(MOD(M348,10000)=0,"UNSPSC a nivel de segmento o familia: use clase o producto",IF(IFERROR(MATCH(P348,L_MESES,0)&lt;MATCH(O348,L_MESES,0),TRUE()),"El mes de ofertas es anterior al de inicio del proceso",IF(OR(NOT(ISNUMBER(Q348)),Q348&lt;=0),"Duración inválida",IF(OR(NOT(ISNUMBER(W348)),NOT(ISNUMBER(X348))),"Valor inválido: registre solo números",IF(OR(W348&lt;=0,X348&lt;=0),"Valor inválido: debe ser mayor que cero",IF(X348&gt;W348,"El valor de la vigencia 2027 supera el valor total",IF(AND(X348&lt;W348,Y348="No"),"El valor total supera el de 2027: requiere vigencias futuras",IF(AND(Y348="Sí",OR(Z348="",Z348="No aplica")),"Indique el estado de la solicitud de vigencias futuras",IF(IF(AND(S348="Mínima cuantía",ISNUMBER(P_TOPE_MINIMA)),W348&gt;P_TOPE_MINIMA,FALSE()),"El valor supera el tope de mínima cuantía 2027",IF(IF(AND(S348="Selección abreviada de menor cuantía",ISNUMBER(P_TOPE_MENOR)),W348&gt;P_TOPE_MENOR,FALSE()),"El valor supera el tope de menor cuantía 2027",IF(OR(ISERROR(SEARCH("@itc.edu.co",AE348)),SUMPRODUCT(--ISNUMBER(SEARCH({"á","é","í","ó","ú","ñ"," "},AE348)))&gt;0),"El correo del responsable no es institucional válido",IF(AND(AF348="Sí",AG348=""),"Indique el N.° de registro 2026 que continúa","OK")))))))))))))))))</f>
        <v/>
      </c>
      <c r="AK348" s="15" t="str">
        <f>IF(AJ348="OK",COUNTIF($AJ$7:AJ348,"OK"),"")</f>
        <v/>
      </c>
    </row>
    <row r="349" spans="1:37" x14ac:dyDescent="0.3">
      <c r="A349" s="13" t="str">
        <f t="shared" si="5"/>
        <v>PN27-343</v>
      </c>
      <c r="B349" s="26"/>
      <c r="C349" s="13" t="str">
        <f>IF(B349="","",IFERROR(INDEX(Catalogos!$R$5:$R$51,MATCH(B349,L_AREAS,0)),""))</f>
        <v/>
      </c>
      <c r="D349" s="13" t="str">
        <f>IF(B349="","",IFERROR(INDEX(Catalogos!$O$5:$O$51,MATCH(B349,L_AREAS,0)),""))</f>
        <v/>
      </c>
      <c r="E349" s="26"/>
      <c r="F349" s="13" t="str">
        <f>IF(E349="","",IFERROR(INDEX(Catalogos!$C$5:$C$49,MATCH(E349,L_METAS,0)),""))</f>
        <v/>
      </c>
      <c r="G349" s="13" t="str">
        <f>IF(E349="","",IFERROR(INDEX(Catalogos!$E$5:$E$49,MATCH(E349,L_METAS,0)),""))</f>
        <v/>
      </c>
      <c r="H349" s="26"/>
      <c r="I349" s="26"/>
      <c r="J349" s="26"/>
      <c r="K349" s="26"/>
      <c r="L349" s="26"/>
      <c r="M349" s="27"/>
      <c r="N349" s="26"/>
      <c r="O349" s="26"/>
      <c r="P349" s="26"/>
      <c r="Q349" s="26"/>
      <c r="R349" s="26"/>
      <c r="S349" s="26"/>
      <c r="T349" s="26"/>
      <c r="U349" s="26"/>
      <c r="V349" s="26"/>
      <c r="W349" s="28"/>
      <c r="X349" s="28"/>
      <c r="Y349" s="26"/>
      <c r="Z349" s="26"/>
      <c r="AA349" s="26"/>
      <c r="AB349" s="26"/>
      <c r="AC349" s="26"/>
      <c r="AD349" s="26"/>
      <c r="AE349" s="26"/>
      <c r="AF349" s="26"/>
      <c r="AG349" s="26"/>
      <c r="AH349" s="26"/>
      <c r="AI349" s="26"/>
      <c r="AJ349" s="15" t="str">
        <f>IF(COUNTA(B349,E349,H349,I349,J349,K349,L349,M349,N349,O349,P349,Q349,R349,S349,T349,U349,V349,W349,X349,Y349,Z349,AA349,AB349,AC349,AD349,AE349,AF349,AG349,AH349,AI349)=0,"",IF(OR(B349="",E349="",H349="",J349="",K349="",L349="",M349="",O349="",P349="",Q349="",R349="",S349="",T349="",U349="",W349="",X349="",Y349="",AB349="",AC349="",AE349="",AF349=""),"Incompleta: faltan campos obligatorios",IF(AND(LEFT(H349,6)="PROPIA",I349=""),"Falta el nombre de la acción propia del área",IF(AND(LEFT(H349,3)="A27",IFERROR(INDEX(Catalogos!$T$5:$T$207,MATCH(H349,Catalogos!$U$5:$U$207,0)),"x")&lt;&gt;LEFT(E349,7)),"La acción no corresponde a la meta seleccionada",IF(OR(NOT(ISNUMBER(M349)),M349&lt;10000000,M349&gt;99999999),"Código UNSPSC inválido: registre 8 dígitos",IF(MOD(M349,10000)=0,"UNSPSC a nivel de segmento o familia: use clase o producto",IF(IFERROR(MATCH(P349,L_MESES,0)&lt;MATCH(O349,L_MESES,0),TRUE()),"El mes de ofertas es anterior al de inicio del proceso",IF(OR(NOT(ISNUMBER(Q349)),Q349&lt;=0),"Duración inválida",IF(OR(NOT(ISNUMBER(W349)),NOT(ISNUMBER(X349))),"Valor inválido: registre solo números",IF(OR(W349&lt;=0,X349&lt;=0),"Valor inválido: debe ser mayor que cero",IF(X349&gt;W349,"El valor de la vigencia 2027 supera el valor total",IF(AND(X349&lt;W349,Y349="No"),"El valor total supera el de 2027: requiere vigencias futuras",IF(AND(Y349="Sí",OR(Z349="",Z349="No aplica")),"Indique el estado de la solicitud de vigencias futuras",IF(IF(AND(S349="Mínima cuantía",ISNUMBER(P_TOPE_MINIMA)),W349&gt;P_TOPE_MINIMA,FALSE()),"El valor supera el tope de mínima cuantía 2027",IF(IF(AND(S349="Selección abreviada de menor cuantía",ISNUMBER(P_TOPE_MENOR)),W349&gt;P_TOPE_MENOR,FALSE()),"El valor supera el tope de menor cuantía 2027",IF(OR(ISERROR(SEARCH("@itc.edu.co",AE349)),SUMPRODUCT(--ISNUMBER(SEARCH({"á","é","í","ó","ú","ñ"," "},AE349)))&gt;0),"El correo del responsable no es institucional válido",IF(AND(AF349="Sí",AG349=""),"Indique el N.° de registro 2026 que continúa","OK")))))))))))))))))</f>
        <v/>
      </c>
      <c r="AK349" s="15" t="str">
        <f>IF(AJ349="OK",COUNTIF($AJ$7:AJ349,"OK"),"")</f>
        <v/>
      </c>
    </row>
    <row r="350" spans="1:37" x14ac:dyDescent="0.3">
      <c r="A350" s="13" t="str">
        <f t="shared" si="5"/>
        <v>PN27-344</v>
      </c>
      <c r="B350" s="26"/>
      <c r="C350" s="13" t="str">
        <f>IF(B350="","",IFERROR(INDEX(Catalogos!$R$5:$R$51,MATCH(B350,L_AREAS,0)),""))</f>
        <v/>
      </c>
      <c r="D350" s="13" t="str">
        <f>IF(B350="","",IFERROR(INDEX(Catalogos!$O$5:$O$51,MATCH(B350,L_AREAS,0)),""))</f>
        <v/>
      </c>
      <c r="E350" s="26"/>
      <c r="F350" s="13" t="str">
        <f>IF(E350="","",IFERROR(INDEX(Catalogos!$C$5:$C$49,MATCH(E350,L_METAS,0)),""))</f>
        <v/>
      </c>
      <c r="G350" s="13" t="str">
        <f>IF(E350="","",IFERROR(INDEX(Catalogos!$E$5:$E$49,MATCH(E350,L_METAS,0)),""))</f>
        <v/>
      </c>
      <c r="H350" s="26"/>
      <c r="I350" s="26"/>
      <c r="J350" s="26"/>
      <c r="K350" s="26"/>
      <c r="L350" s="26"/>
      <c r="M350" s="27"/>
      <c r="N350" s="26"/>
      <c r="O350" s="26"/>
      <c r="P350" s="26"/>
      <c r="Q350" s="26"/>
      <c r="R350" s="26"/>
      <c r="S350" s="26"/>
      <c r="T350" s="26"/>
      <c r="U350" s="26"/>
      <c r="V350" s="26"/>
      <c r="W350" s="28"/>
      <c r="X350" s="28"/>
      <c r="Y350" s="26"/>
      <c r="Z350" s="26"/>
      <c r="AA350" s="26"/>
      <c r="AB350" s="26"/>
      <c r="AC350" s="26"/>
      <c r="AD350" s="26"/>
      <c r="AE350" s="26"/>
      <c r="AF350" s="26"/>
      <c r="AG350" s="26"/>
      <c r="AH350" s="26"/>
      <c r="AI350" s="26"/>
      <c r="AJ350" s="15" t="str">
        <f>IF(COUNTA(B350,E350,H350,I350,J350,K350,L350,M350,N350,O350,P350,Q350,R350,S350,T350,U350,V350,W350,X350,Y350,Z350,AA350,AB350,AC350,AD350,AE350,AF350,AG350,AH350,AI350)=0,"",IF(OR(B350="",E350="",H350="",J350="",K350="",L350="",M350="",O350="",P350="",Q350="",R350="",S350="",T350="",U350="",W350="",X350="",Y350="",AB350="",AC350="",AE350="",AF350=""),"Incompleta: faltan campos obligatorios",IF(AND(LEFT(H350,6)="PROPIA",I350=""),"Falta el nombre de la acción propia del área",IF(AND(LEFT(H350,3)="A27",IFERROR(INDEX(Catalogos!$T$5:$T$207,MATCH(H350,Catalogos!$U$5:$U$207,0)),"x")&lt;&gt;LEFT(E350,7)),"La acción no corresponde a la meta seleccionada",IF(OR(NOT(ISNUMBER(M350)),M350&lt;10000000,M350&gt;99999999),"Código UNSPSC inválido: registre 8 dígitos",IF(MOD(M350,10000)=0,"UNSPSC a nivel de segmento o familia: use clase o producto",IF(IFERROR(MATCH(P350,L_MESES,0)&lt;MATCH(O350,L_MESES,0),TRUE()),"El mes de ofertas es anterior al de inicio del proceso",IF(OR(NOT(ISNUMBER(Q350)),Q350&lt;=0),"Duración inválida",IF(OR(NOT(ISNUMBER(W350)),NOT(ISNUMBER(X350))),"Valor inválido: registre solo números",IF(OR(W350&lt;=0,X350&lt;=0),"Valor inválido: debe ser mayor que cero",IF(X350&gt;W350,"El valor de la vigencia 2027 supera el valor total",IF(AND(X350&lt;W350,Y350="No"),"El valor total supera el de 2027: requiere vigencias futuras",IF(AND(Y350="Sí",OR(Z350="",Z350="No aplica")),"Indique el estado de la solicitud de vigencias futuras",IF(IF(AND(S350="Mínima cuantía",ISNUMBER(P_TOPE_MINIMA)),W350&gt;P_TOPE_MINIMA,FALSE()),"El valor supera el tope de mínima cuantía 2027",IF(IF(AND(S350="Selección abreviada de menor cuantía",ISNUMBER(P_TOPE_MENOR)),W350&gt;P_TOPE_MENOR,FALSE()),"El valor supera el tope de menor cuantía 2027",IF(OR(ISERROR(SEARCH("@itc.edu.co",AE350)),SUMPRODUCT(--ISNUMBER(SEARCH({"á","é","í","ó","ú","ñ"," "},AE350)))&gt;0),"El correo del responsable no es institucional válido",IF(AND(AF350="Sí",AG350=""),"Indique el N.° de registro 2026 que continúa","OK")))))))))))))))))</f>
        <v/>
      </c>
      <c r="AK350" s="15" t="str">
        <f>IF(AJ350="OK",COUNTIF($AJ$7:AJ350,"OK"),"")</f>
        <v/>
      </c>
    </row>
    <row r="351" spans="1:37" x14ac:dyDescent="0.3">
      <c r="A351" s="13" t="str">
        <f t="shared" si="5"/>
        <v>PN27-345</v>
      </c>
      <c r="B351" s="26"/>
      <c r="C351" s="13" t="str">
        <f>IF(B351="","",IFERROR(INDEX(Catalogos!$R$5:$R$51,MATCH(B351,L_AREAS,0)),""))</f>
        <v/>
      </c>
      <c r="D351" s="13" t="str">
        <f>IF(B351="","",IFERROR(INDEX(Catalogos!$O$5:$O$51,MATCH(B351,L_AREAS,0)),""))</f>
        <v/>
      </c>
      <c r="E351" s="26"/>
      <c r="F351" s="13" t="str">
        <f>IF(E351="","",IFERROR(INDEX(Catalogos!$C$5:$C$49,MATCH(E351,L_METAS,0)),""))</f>
        <v/>
      </c>
      <c r="G351" s="13" t="str">
        <f>IF(E351="","",IFERROR(INDEX(Catalogos!$E$5:$E$49,MATCH(E351,L_METAS,0)),""))</f>
        <v/>
      </c>
      <c r="H351" s="26"/>
      <c r="I351" s="26"/>
      <c r="J351" s="26"/>
      <c r="K351" s="26"/>
      <c r="L351" s="26"/>
      <c r="M351" s="27"/>
      <c r="N351" s="26"/>
      <c r="O351" s="26"/>
      <c r="P351" s="26"/>
      <c r="Q351" s="26"/>
      <c r="R351" s="26"/>
      <c r="S351" s="26"/>
      <c r="T351" s="26"/>
      <c r="U351" s="26"/>
      <c r="V351" s="26"/>
      <c r="W351" s="28"/>
      <c r="X351" s="28"/>
      <c r="Y351" s="26"/>
      <c r="Z351" s="26"/>
      <c r="AA351" s="26"/>
      <c r="AB351" s="26"/>
      <c r="AC351" s="26"/>
      <c r="AD351" s="26"/>
      <c r="AE351" s="26"/>
      <c r="AF351" s="26"/>
      <c r="AG351" s="26"/>
      <c r="AH351" s="26"/>
      <c r="AI351" s="26"/>
      <c r="AJ351" s="15" t="str">
        <f>IF(COUNTA(B351,E351,H351,I351,J351,K351,L351,M351,N351,O351,P351,Q351,R351,S351,T351,U351,V351,W351,X351,Y351,Z351,AA351,AB351,AC351,AD351,AE351,AF351,AG351,AH351,AI351)=0,"",IF(OR(B351="",E351="",H351="",J351="",K351="",L351="",M351="",O351="",P351="",Q351="",R351="",S351="",T351="",U351="",W351="",X351="",Y351="",AB351="",AC351="",AE351="",AF351=""),"Incompleta: faltan campos obligatorios",IF(AND(LEFT(H351,6)="PROPIA",I351=""),"Falta el nombre de la acción propia del área",IF(AND(LEFT(H351,3)="A27",IFERROR(INDEX(Catalogos!$T$5:$T$207,MATCH(H351,Catalogos!$U$5:$U$207,0)),"x")&lt;&gt;LEFT(E351,7)),"La acción no corresponde a la meta seleccionada",IF(OR(NOT(ISNUMBER(M351)),M351&lt;10000000,M351&gt;99999999),"Código UNSPSC inválido: registre 8 dígitos",IF(MOD(M351,10000)=0,"UNSPSC a nivel de segmento o familia: use clase o producto",IF(IFERROR(MATCH(P351,L_MESES,0)&lt;MATCH(O351,L_MESES,0),TRUE()),"El mes de ofertas es anterior al de inicio del proceso",IF(OR(NOT(ISNUMBER(Q351)),Q351&lt;=0),"Duración inválida",IF(OR(NOT(ISNUMBER(W351)),NOT(ISNUMBER(X351))),"Valor inválido: registre solo números",IF(OR(W351&lt;=0,X351&lt;=0),"Valor inválido: debe ser mayor que cero",IF(X351&gt;W351,"El valor de la vigencia 2027 supera el valor total",IF(AND(X351&lt;W351,Y351="No"),"El valor total supera el de 2027: requiere vigencias futuras",IF(AND(Y351="Sí",OR(Z351="",Z351="No aplica")),"Indique el estado de la solicitud de vigencias futuras",IF(IF(AND(S351="Mínima cuantía",ISNUMBER(P_TOPE_MINIMA)),W351&gt;P_TOPE_MINIMA,FALSE()),"El valor supera el tope de mínima cuantía 2027",IF(IF(AND(S351="Selección abreviada de menor cuantía",ISNUMBER(P_TOPE_MENOR)),W351&gt;P_TOPE_MENOR,FALSE()),"El valor supera el tope de menor cuantía 2027",IF(OR(ISERROR(SEARCH("@itc.edu.co",AE351)),SUMPRODUCT(--ISNUMBER(SEARCH({"á","é","í","ó","ú","ñ"," "},AE351)))&gt;0),"El correo del responsable no es institucional válido",IF(AND(AF351="Sí",AG351=""),"Indique el N.° de registro 2026 que continúa","OK")))))))))))))))))</f>
        <v/>
      </c>
      <c r="AK351" s="15" t="str">
        <f>IF(AJ351="OK",COUNTIF($AJ$7:AJ351,"OK"),"")</f>
        <v/>
      </c>
    </row>
    <row r="352" spans="1:37" x14ac:dyDescent="0.3">
      <c r="A352" s="13" t="str">
        <f t="shared" si="5"/>
        <v>PN27-346</v>
      </c>
      <c r="B352" s="26"/>
      <c r="C352" s="13" t="str">
        <f>IF(B352="","",IFERROR(INDEX(Catalogos!$R$5:$R$51,MATCH(B352,L_AREAS,0)),""))</f>
        <v/>
      </c>
      <c r="D352" s="13" t="str">
        <f>IF(B352="","",IFERROR(INDEX(Catalogos!$O$5:$O$51,MATCH(B352,L_AREAS,0)),""))</f>
        <v/>
      </c>
      <c r="E352" s="26"/>
      <c r="F352" s="13" t="str">
        <f>IF(E352="","",IFERROR(INDEX(Catalogos!$C$5:$C$49,MATCH(E352,L_METAS,0)),""))</f>
        <v/>
      </c>
      <c r="G352" s="13" t="str">
        <f>IF(E352="","",IFERROR(INDEX(Catalogos!$E$5:$E$49,MATCH(E352,L_METAS,0)),""))</f>
        <v/>
      </c>
      <c r="H352" s="26"/>
      <c r="I352" s="26"/>
      <c r="J352" s="26"/>
      <c r="K352" s="26"/>
      <c r="L352" s="26"/>
      <c r="M352" s="27"/>
      <c r="N352" s="26"/>
      <c r="O352" s="26"/>
      <c r="P352" s="26"/>
      <c r="Q352" s="26"/>
      <c r="R352" s="26"/>
      <c r="S352" s="26"/>
      <c r="T352" s="26"/>
      <c r="U352" s="26"/>
      <c r="V352" s="26"/>
      <c r="W352" s="28"/>
      <c r="X352" s="28"/>
      <c r="Y352" s="26"/>
      <c r="Z352" s="26"/>
      <c r="AA352" s="26"/>
      <c r="AB352" s="26"/>
      <c r="AC352" s="26"/>
      <c r="AD352" s="26"/>
      <c r="AE352" s="26"/>
      <c r="AF352" s="26"/>
      <c r="AG352" s="26"/>
      <c r="AH352" s="26"/>
      <c r="AI352" s="26"/>
      <c r="AJ352" s="15" t="str">
        <f>IF(COUNTA(B352,E352,H352,I352,J352,K352,L352,M352,N352,O352,P352,Q352,R352,S352,T352,U352,V352,W352,X352,Y352,Z352,AA352,AB352,AC352,AD352,AE352,AF352,AG352,AH352,AI352)=0,"",IF(OR(B352="",E352="",H352="",J352="",K352="",L352="",M352="",O352="",P352="",Q352="",R352="",S352="",T352="",U352="",W352="",X352="",Y352="",AB352="",AC352="",AE352="",AF352=""),"Incompleta: faltan campos obligatorios",IF(AND(LEFT(H352,6)="PROPIA",I352=""),"Falta el nombre de la acción propia del área",IF(AND(LEFT(H352,3)="A27",IFERROR(INDEX(Catalogos!$T$5:$T$207,MATCH(H352,Catalogos!$U$5:$U$207,0)),"x")&lt;&gt;LEFT(E352,7)),"La acción no corresponde a la meta seleccionada",IF(OR(NOT(ISNUMBER(M352)),M352&lt;10000000,M352&gt;99999999),"Código UNSPSC inválido: registre 8 dígitos",IF(MOD(M352,10000)=0,"UNSPSC a nivel de segmento o familia: use clase o producto",IF(IFERROR(MATCH(P352,L_MESES,0)&lt;MATCH(O352,L_MESES,0),TRUE()),"El mes de ofertas es anterior al de inicio del proceso",IF(OR(NOT(ISNUMBER(Q352)),Q352&lt;=0),"Duración inválida",IF(OR(NOT(ISNUMBER(W352)),NOT(ISNUMBER(X352))),"Valor inválido: registre solo números",IF(OR(W352&lt;=0,X352&lt;=0),"Valor inválido: debe ser mayor que cero",IF(X352&gt;W352,"El valor de la vigencia 2027 supera el valor total",IF(AND(X352&lt;W352,Y352="No"),"El valor total supera el de 2027: requiere vigencias futuras",IF(AND(Y352="Sí",OR(Z352="",Z352="No aplica")),"Indique el estado de la solicitud de vigencias futuras",IF(IF(AND(S352="Mínima cuantía",ISNUMBER(P_TOPE_MINIMA)),W352&gt;P_TOPE_MINIMA,FALSE()),"El valor supera el tope de mínima cuantía 2027",IF(IF(AND(S352="Selección abreviada de menor cuantía",ISNUMBER(P_TOPE_MENOR)),W352&gt;P_TOPE_MENOR,FALSE()),"El valor supera el tope de menor cuantía 2027",IF(OR(ISERROR(SEARCH("@itc.edu.co",AE352)),SUMPRODUCT(--ISNUMBER(SEARCH({"á","é","í","ó","ú","ñ"," "},AE352)))&gt;0),"El correo del responsable no es institucional válido",IF(AND(AF352="Sí",AG352=""),"Indique el N.° de registro 2026 que continúa","OK")))))))))))))))))</f>
        <v/>
      </c>
      <c r="AK352" s="15" t="str">
        <f>IF(AJ352="OK",COUNTIF($AJ$7:AJ352,"OK"),"")</f>
        <v/>
      </c>
    </row>
    <row r="353" spans="1:37" x14ac:dyDescent="0.3">
      <c r="A353" s="13" t="str">
        <f t="shared" si="5"/>
        <v>PN27-347</v>
      </c>
      <c r="B353" s="26"/>
      <c r="C353" s="13" t="str">
        <f>IF(B353="","",IFERROR(INDEX(Catalogos!$R$5:$R$51,MATCH(B353,L_AREAS,0)),""))</f>
        <v/>
      </c>
      <c r="D353" s="13" t="str">
        <f>IF(B353="","",IFERROR(INDEX(Catalogos!$O$5:$O$51,MATCH(B353,L_AREAS,0)),""))</f>
        <v/>
      </c>
      <c r="E353" s="26"/>
      <c r="F353" s="13" t="str">
        <f>IF(E353="","",IFERROR(INDEX(Catalogos!$C$5:$C$49,MATCH(E353,L_METAS,0)),""))</f>
        <v/>
      </c>
      <c r="G353" s="13" t="str">
        <f>IF(E353="","",IFERROR(INDEX(Catalogos!$E$5:$E$49,MATCH(E353,L_METAS,0)),""))</f>
        <v/>
      </c>
      <c r="H353" s="26"/>
      <c r="I353" s="26"/>
      <c r="J353" s="26"/>
      <c r="K353" s="26"/>
      <c r="L353" s="26"/>
      <c r="M353" s="27"/>
      <c r="N353" s="26"/>
      <c r="O353" s="26"/>
      <c r="P353" s="26"/>
      <c r="Q353" s="26"/>
      <c r="R353" s="26"/>
      <c r="S353" s="26"/>
      <c r="T353" s="26"/>
      <c r="U353" s="26"/>
      <c r="V353" s="26"/>
      <c r="W353" s="28"/>
      <c r="X353" s="28"/>
      <c r="Y353" s="26"/>
      <c r="Z353" s="26"/>
      <c r="AA353" s="26"/>
      <c r="AB353" s="26"/>
      <c r="AC353" s="26"/>
      <c r="AD353" s="26"/>
      <c r="AE353" s="26"/>
      <c r="AF353" s="26"/>
      <c r="AG353" s="26"/>
      <c r="AH353" s="26"/>
      <c r="AI353" s="26"/>
      <c r="AJ353" s="15" t="str">
        <f>IF(COUNTA(B353,E353,H353,I353,J353,K353,L353,M353,N353,O353,P353,Q353,R353,S353,T353,U353,V353,W353,X353,Y353,Z353,AA353,AB353,AC353,AD353,AE353,AF353,AG353,AH353,AI353)=0,"",IF(OR(B353="",E353="",H353="",J353="",K353="",L353="",M353="",O353="",P353="",Q353="",R353="",S353="",T353="",U353="",W353="",X353="",Y353="",AB353="",AC353="",AE353="",AF353=""),"Incompleta: faltan campos obligatorios",IF(AND(LEFT(H353,6)="PROPIA",I353=""),"Falta el nombre de la acción propia del área",IF(AND(LEFT(H353,3)="A27",IFERROR(INDEX(Catalogos!$T$5:$T$207,MATCH(H353,Catalogos!$U$5:$U$207,0)),"x")&lt;&gt;LEFT(E353,7)),"La acción no corresponde a la meta seleccionada",IF(OR(NOT(ISNUMBER(M353)),M353&lt;10000000,M353&gt;99999999),"Código UNSPSC inválido: registre 8 dígitos",IF(MOD(M353,10000)=0,"UNSPSC a nivel de segmento o familia: use clase o producto",IF(IFERROR(MATCH(P353,L_MESES,0)&lt;MATCH(O353,L_MESES,0),TRUE()),"El mes de ofertas es anterior al de inicio del proceso",IF(OR(NOT(ISNUMBER(Q353)),Q353&lt;=0),"Duración inválida",IF(OR(NOT(ISNUMBER(W353)),NOT(ISNUMBER(X353))),"Valor inválido: registre solo números",IF(OR(W353&lt;=0,X353&lt;=0),"Valor inválido: debe ser mayor que cero",IF(X353&gt;W353,"El valor de la vigencia 2027 supera el valor total",IF(AND(X353&lt;W353,Y353="No"),"El valor total supera el de 2027: requiere vigencias futuras",IF(AND(Y353="Sí",OR(Z353="",Z353="No aplica")),"Indique el estado de la solicitud de vigencias futuras",IF(IF(AND(S353="Mínima cuantía",ISNUMBER(P_TOPE_MINIMA)),W353&gt;P_TOPE_MINIMA,FALSE()),"El valor supera el tope de mínima cuantía 2027",IF(IF(AND(S353="Selección abreviada de menor cuantía",ISNUMBER(P_TOPE_MENOR)),W353&gt;P_TOPE_MENOR,FALSE()),"El valor supera el tope de menor cuantía 2027",IF(OR(ISERROR(SEARCH("@itc.edu.co",AE353)),SUMPRODUCT(--ISNUMBER(SEARCH({"á","é","í","ó","ú","ñ"," "},AE353)))&gt;0),"El correo del responsable no es institucional válido",IF(AND(AF353="Sí",AG353=""),"Indique el N.° de registro 2026 que continúa","OK")))))))))))))))))</f>
        <v/>
      </c>
      <c r="AK353" s="15" t="str">
        <f>IF(AJ353="OK",COUNTIF($AJ$7:AJ353,"OK"),"")</f>
        <v/>
      </c>
    </row>
    <row r="354" spans="1:37" x14ac:dyDescent="0.3">
      <c r="A354" s="13" t="str">
        <f t="shared" si="5"/>
        <v>PN27-348</v>
      </c>
      <c r="B354" s="26"/>
      <c r="C354" s="13" t="str">
        <f>IF(B354="","",IFERROR(INDEX(Catalogos!$R$5:$R$51,MATCH(B354,L_AREAS,0)),""))</f>
        <v/>
      </c>
      <c r="D354" s="13" t="str">
        <f>IF(B354="","",IFERROR(INDEX(Catalogos!$O$5:$O$51,MATCH(B354,L_AREAS,0)),""))</f>
        <v/>
      </c>
      <c r="E354" s="26"/>
      <c r="F354" s="13" t="str">
        <f>IF(E354="","",IFERROR(INDEX(Catalogos!$C$5:$C$49,MATCH(E354,L_METAS,0)),""))</f>
        <v/>
      </c>
      <c r="G354" s="13" t="str">
        <f>IF(E354="","",IFERROR(INDEX(Catalogos!$E$5:$E$49,MATCH(E354,L_METAS,0)),""))</f>
        <v/>
      </c>
      <c r="H354" s="26"/>
      <c r="I354" s="26"/>
      <c r="J354" s="26"/>
      <c r="K354" s="26"/>
      <c r="L354" s="26"/>
      <c r="M354" s="27"/>
      <c r="N354" s="26"/>
      <c r="O354" s="26"/>
      <c r="P354" s="26"/>
      <c r="Q354" s="26"/>
      <c r="R354" s="26"/>
      <c r="S354" s="26"/>
      <c r="T354" s="26"/>
      <c r="U354" s="26"/>
      <c r="V354" s="26"/>
      <c r="W354" s="28"/>
      <c r="X354" s="28"/>
      <c r="Y354" s="26"/>
      <c r="Z354" s="26"/>
      <c r="AA354" s="26"/>
      <c r="AB354" s="26"/>
      <c r="AC354" s="26"/>
      <c r="AD354" s="26"/>
      <c r="AE354" s="26"/>
      <c r="AF354" s="26"/>
      <c r="AG354" s="26"/>
      <c r="AH354" s="26"/>
      <c r="AI354" s="26"/>
      <c r="AJ354" s="15" t="str">
        <f>IF(COUNTA(B354,E354,H354,I354,J354,K354,L354,M354,N354,O354,P354,Q354,R354,S354,T354,U354,V354,W354,X354,Y354,Z354,AA354,AB354,AC354,AD354,AE354,AF354,AG354,AH354,AI354)=0,"",IF(OR(B354="",E354="",H354="",J354="",K354="",L354="",M354="",O354="",P354="",Q354="",R354="",S354="",T354="",U354="",W354="",X354="",Y354="",AB354="",AC354="",AE354="",AF354=""),"Incompleta: faltan campos obligatorios",IF(AND(LEFT(H354,6)="PROPIA",I354=""),"Falta el nombre de la acción propia del área",IF(AND(LEFT(H354,3)="A27",IFERROR(INDEX(Catalogos!$T$5:$T$207,MATCH(H354,Catalogos!$U$5:$U$207,0)),"x")&lt;&gt;LEFT(E354,7)),"La acción no corresponde a la meta seleccionada",IF(OR(NOT(ISNUMBER(M354)),M354&lt;10000000,M354&gt;99999999),"Código UNSPSC inválido: registre 8 dígitos",IF(MOD(M354,10000)=0,"UNSPSC a nivel de segmento o familia: use clase o producto",IF(IFERROR(MATCH(P354,L_MESES,0)&lt;MATCH(O354,L_MESES,0),TRUE()),"El mes de ofertas es anterior al de inicio del proceso",IF(OR(NOT(ISNUMBER(Q354)),Q354&lt;=0),"Duración inválida",IF(OR(NOT(ISNUMBER(W354)),NOT(ISNUMBER(X354))),"Valor inválido: registre solo números",IF(OR(W354&lt;=0,X354&lt;=0),"Valor inválido: debe ser mayor que cero",IF(X354&gt;W354,"El valor de la vigencia 2027 supera el valor total",IF(AND(X354&lt;W354,Y354="No"),"El valor total supera el de 2027: requiere vigencias futuras",IF(AND(Y354="Sí",OR(Z354="",Z354="No aplica")),"Indique el estado de la solicitud de vigencias futuras",IF(IF(AND(S354="Mínima cuantía",ISNUMBER(P_TOPE_MINIMA)),W354&gt;P_TOPE_MINIMA,FALSE()),"El valor supera el tope de mínima cuantía 2027",IF(IF(AND(S354="Selección abreviada de menor cuantía",ISNUMBER(P_TOPE_MENOR)),W354&gt;P_TOPE_MENOR,FALSE()),"El valor supera el tope de menor cuantía 2027",IF(OR(ISERROR(SEARCH("@itc.edu.co",AE354)),SUMPRODUCT(--ISNUMBER(SEARCH({"á","é","í","ó","ú","ñ"," "},AE354)))&gt;0),"El correo del responsable no es institucional válido",IF(AND(AF354="Sí",AG354=""),"Indique el N.° de registro 2026 que continúa","OK")))))))))))))))))</f>
        <v/>
      </c>
      <c r="AK354" s="15" t="str">
        <f>IF(AJ354="OK",COUNTIF($AJ$7:AJ354,"OK"),"")</f>
        <v/>
      </c>
    </row>
    <row r="355" spans="1:37" x14ac:dyDescent="0.3">
      <c r="A355" s="13" t="str">
        <f t="shared" si="5"/>
        <v>PN27-349</v>
      </c>
      <c r="B355" s="26"/>
      <c r="C355" s="13" t="str">
        <f>IF(B355="","",IFERROR(INDEX(Catalogos!$R$5:$R$51,MATCH(B355,L_AREAS,0)),""))</f>
        <v/>
      </c>
      <c r="D355" s="13" t="str">
        <f>IF(B355="","",IFERROR(INDEX(Catalogos!$O$5:$O$51,MATCH(B355,L_AREAS,0)),""))</f>
        <v/>
      </c>
      <c r="E355" s="26"/>
      <c r="F355" s="13" t="str">
        <f>IF(E355="","",IFERROR(INDEX(Catalogos!$C$5:$C$49,MATCH(E355,L_METAS,0)),""))</f>
        <v/>
      </c>
      <c r="G355" s="13" t="str">
        <f>IF(E355="","",IFERROR(INDEX(Catalogos!$E$5:$E$49,MATCH(E355,L_METAS,0)),""))</f>
        <v/>
      </c>
      <c r="H355" s="26"/>
      <c r="I355" s="26"/>
      <c r="J355" s="26"/>
      <c r="K355" s="26"/>
      <c r="L355" s="26"/>
      <c r="M355" s="27"/>
      <c r="N355" s="26"/>
      <c r="O355" s="26"/>
      <c r="P355" s="26"/>
      <c r="Q355" s="26"/>
      <c r="R355" s="26"/>
      <c r="S355" s="26"/>
      <c r="T355" s="26"/>
      <c r="U355" s="26"/>
      <c r="V355" s="26"/>
      <c r="W355" s="28"/>
      <c r="X355" s="28"/>
      <c r="Y355" s="26"/>
      <c r="Z355" s="26"/>
      <c r="AA355" s="26"/>
      <c r="AB355" s="26"/>
      <c r="AC355" s="26"/>
      <c r="AD355" s="26"/>
      <c r="AE355" s="26"/>
      <c r="AF355" s="26"/>
      <c r="AG355" s="26"/>
      <c r="AH355" s="26"/>
      <c r="AI355" s="26"/>
      <c r="AJ355" s="15" t="str">
        <f>IF(COUNTA(B355,E355,H355,I355,J355,K355,L355,M355,N355,O355,P355,Q355,R355,S355,T355,U355,V355,W355,X355,Y355,Z355,AA355,AB355,AC355,AD355,AE355,AF355,AG355,AH355,AI355)=0,"",IF(OR(B355="",E355="",H355="",J355="",K355="",L355="",M355="",O355="",P355="",Q355="",R355="",S355="",T355="",U355="",W355="",X355="",Y355="",AB355="",AC355="",AE355="",AF355=""),"Incompleta: faltan campos obligatorios",IF(AND(LEFT(H355,6)="PROPIA",I355=""),"Falta el nombre de la acción propia del área",IF(AND(LEFT(H355,3)="A27",IFERROR(INDEX(Catalogos!$T$5:$T$207,MATCH(H355,Catalogos!$U$5:$U$207,0)),"x")&lt;&gt;LEFT(E355,7)),"La acción no corresponde a la meta seleccionada",IF(OR(NOT(ISNUMBER(M355)),M355&lt;10000000,M355&gt;99999999),"Código UNSPSC inválido: registre 8 dígitos",IF(MOD(M355,10000)=0,"UNSPSC a nivel de segmento o familia: use clase o producto",IF(IFERROR(MATCH(P355,L_MESES,0)&lt;MATCH(O355,L_MESES,0),TRUE()),"El mes de ofertas es anterior al de inicio del proceso",IF(OR(NOT(ISNUMBER(Q355)),Q355&lt;=0),"Duración inválida",IF(OR(NOT(ISNUMBER(W355)),NOT(ISNUMBER(X355))),"Valor inválido: registre solo números",IF(OR(W355&lt;=0,X355&lt;=0),"Valor inválido: debe ser mayor que cero",IF(X355&gt;W355,"El valor de la vigencia 2027 supera el valor total",IF(AND(X355&lt;W355,Y355="No"),"El valor total supera el de 2027: requiere vigencias futuras",IF(AND(Y355="Sí",OR(Z355="",Z355="No aplica")),"Indique el estado de la solicitud de vigencias futuras",IF(IF(AND(S355="Mínima cuantía",ISNUMBER(P_TOPE_MINIMA)),W355&gt;P_TOPE_MINIMA,FALSE()),"El valor supera el tope de mínima cuantía 2027",IF(IF(AND(S355="Selección abreviada de menor cuantía",ISNUMBER(P_TOPE_MENOR)),W355&gt;P_TOPE_MENOR,FALSE()),"El valor supera el tope de menor cuantía 2027",IF(OR(ISERROR(SEARCH("@itc.edu.co",AE355)),SUMPRODUCT(--ISNUMBER(SEARCH({"á","é","í","ó","ú","ñ"," "},AE355)))&gt;0),"El correo del responsable no es institucional válido",IF(AND(AF355="Sí",AG355=""),"Indique el N.° de registro 2026 que continúa","OK")))))))))))))))))</f>
        <v/>
      </c>
      <c r="AK355" s="15" t="str">
        <f>IF(AJ355="OK",COUNTIF($AJ$7:AJ355,"OK"),"")</f>
        <v/>
      </c>
    </row>
    <row r="356" spans="1:37" x14ac:dyDescent="0.3">
      <c r="A356" s="13" t="str">
        <f t="shared" si="5"/>
        <v>PN27-350</v>
      </c>
      <c r="B356" s="26"/>
      <c r="C356" s="13" t="str">
        <f>IF(B356="","",IFERROR(INDEX(Catalogos!$R$5:$R$51,MATCH(B356,L_AREAS,0)),""))</f>
        <v/>
      </c>
      <c r="D356" s="13" t="str">
        <f>IF(B356="","",IFERROR(INDEX(Catalogos!$O$5:$O$51,MATCH(B356,L_AREAS,0)),""))</f>
        <v/>
      </c>
      <c r="E356" s="26"/>
      <c r="F356" s="13" t="str">
        <f>IF(E356="","",IFERROR(INDEX(Catalogos!$C$5:$C$49,MATCH(E356,L_METAS,0)),""))</f>
        <v/>
      </c>
      <c r="G356" s="13" t="str">
        <f>IF(E356="","",IFERROR(INDEX(Catalogos!$E$5:$E$49,MATCH(E356,L_METAS,0)),""))</f>
        <v/>
      </c>
      <c r="H356" s="26"/>
      <c r="I356" s="26"/>
      <c r="J356" s="26"/>
      <c r="K356" s="26"/>
      <c r="L356" s="26"/>
      <c r="M356" s="27"/>
      <c r="N356" s="26"/>
      <c r="O356" s="26"/>
      <c r="P356" s="26"/>
      <c r="Q356" s="26"/>
      <c r="R356" s="26"/>
      <c r="S356" s="26"/>
      <c r="T356" s="26"/>
      <c r="U356" s="26"/>
      <c r="V356" s="26"/>
      <c r="W356" s="28"/>
      <c r="X356" s="28"/>
      <c r="Y356" s="26"/>
      <c r="Z356" s="26"/>
      <c r="AA356" s="26"/>
      <c r="AB356" s="26"/>
      <c r="AC356" s="26"/>
      <c r="AD356" s="26"/>
      <c r="AE356" s="26"/>
      <c r="AF356" s="26"/>
      <c r="AG356" s="26"/>
      <c r="AH356" s="26"/>
      <c r="AI356" s="26"/>
      <c r="AJ356" s="15" t="str">
        <f>IF(COUNTA(B356,E356,H356,I356,J356,K356,L356,M356,N356,O356,P356,Q356,R356,S356,T356,U356,V356,W356,X356,Y356,Z356,AA356,AB356,AC356,AD356,AE356,AF356,AG356,AH356,AI356)=0,"",IF(OR(B356="",E356="",H356="",J356="",K356="",L356="",M356="",O356="",P356="",Q356="",R356="",S356="",T356="",U356="",W356="",X356="",Y356="",AB356="",AC356="",AE356="",AF356=""),"Incompleta: faltan campos obligatorios",IF(AND(LEFT(H356,6)="PROPIA",I356=""),"Falta el nombre de la acción propia del área",IF(AND(LEFT(H356,3)="A27",IFERROR(INDEX(Catalogos!$T$5:$T$207,MATCH(H356,Catalogos!$U$5:$U$207,0)),"x")&lt;&gt;LEFT(E356,7)),"La acción no corresponde a la meta seleccionada",IF(OR(NOT(ISNUMBER(M356)),M356&lt;10000000,M356&gt;99999999),"Código UNSPSC inválido: registre 8 dígitos",IF(MOD(M356,10000)=0,"UNSPSC a nivel de segmento o familia: use clase o producto",IF(IFERROR(MATCH(P356,L_MESES,0)&lt;MATCH(O356,L_MESES,0),TRUE()),"El mes de ofertas es anterior al de inicio del proceso",IF(OR(NOT(ISNUMBER(Q356)),Q356&lt;=0),"Duración inválida",IF(OR(NOT(ISNUMBER(W356)),NOT(ISNUMBER(X356))),"Valor inválido: registre solo números",IF(OR(W356&lt;=0,X356&lt;=0),"Valor inválido: debe ser mayor que cero",IF(X356&gt;W356,"El valor de la vigencia 2027 supera el valor total",IF(AND(X356&lt;W356,Y356="No"),"El valor total supera el de 2027: requiere vigencias futuras",IF(AND(Y356="Sí",OR(Z356="",Z356="No aplica")),"Indique el estado de la solicitud de vigencias futuras",IF(IF(AND(S356="Mínima cuantía",ISNUMBER(P_TOPE_MINIMA)),W356&gt;P_TOPE_MINIMA,FALSE()),"El valor supera el tope de mínima cuantía 2027",IF(IF(AND(S356="Selección abreviada de menor cuantía",ISNUMBER(P_TOPE_MENOR)),W356&gt;P_TOPE_MENOR,FALSE()),"El valor supera el tope de menor cuantía 2027",IF(OR(ISERROR(SEARCH("@itc.edu.co",AE356)),SUMPRODUCT(--ISNUMBER(SEARCH({"á","é","í","ó","ú","ñ"," "},AE356)))&gt;0),"El correo del responsable no es institucional válido",IF(AND(AF356="Sí",AG356=""),"Indique el N.° de registro 2026 que continúa","OK")))))))))))))))))</f>
        <v/>
      </c>
      <c r="AK356" s="15" t="str">
        <f>IF(AJ356="OK",COUNTIF($AJ$7:AJ356,"OK"),"")</f>
        <v/>
      </c>
    </row>
    <row r="357" spans="1:37" x14ac:dyDescent="0.3">
      <c r="A357" s="13" t="str">
        <f t="shared" si="5"/>
        <v>PN27-351</v>
      </c>
      <c r="B357" s="26"/>
      <c r="C357" s="13" t="str">
        <f>IF(B357="","",IFERROR(INDEX(Catalogos!$R$5:$R$51,MATCH(B357,L_AREAS,0)),""))</f>
        <v/>
      </c>
      <c r="D357" s="13" t="str">
        <f>IF(B357="","",IFERROR(INDEX(Catalogos!$O$5:$O$51,MATCH(B357,L_AREAS,0)),""))</f>
        <v/>
      </c>
      <c r="E357" s="26"/>
      <c r="F357" s="13" t="str">
        <f>IF(E357="","",IFERROR(INDEX(Catalogos!$C$5:$C$49,MATCH(E357,L_METAS,0)),""))</f>
        <v/>
      </c>
      <c r="G357" s="13" t="str">
        <f>IF(E357="","",IFERROR(INDEX(Catalogos!$E$5:$E$49,MATCH(E357,L_METAS,0)),""))</f>
        <v/>
      </c>
      <c r="H357" s="26"/>
      <c r="I357" s="26"/>
      <c r="J357" s="26"/>
      <c r="K357" s="26"/>
      <c r="L357" s="26"/>
      <c r="M357" s="27"/>
      <c r="N357" s="26"/>
      <c r="O357" s="26"/>
      <c r="P357" s="26"/>
      <c r="Q357" s="26"/>
      <c r="R357" s="26"/>
      <c r="S357" s="26"/>
      <c r="T357" s="26"/>
      <c r="U357" s="26"/>
      <c r="V357" s="26"/>
      <c r="W357" s="28"/>
      <c r="X357" s="28"/>
      <c r="Y357" s="26"/>
      <c r="Z357" s="26"/>
      <c r="AA357" s="26"/>
      <c r="AB357" s="26"/>
      <c r="AC357" s="26"/>
      <c r="AD357" s="26"/>
      <c r="AE357" s="26"/>
      <c r="AF357" s="26"/>
      <c r="AG357" s="26"/>
      <c r="AH357" s="26"/>
      <c r="AI357" s="26"/>
      <c r="AJ357" s="15" t="str">
        <f>IF(COUNTA(B357,E357,H357,I357,J357,K357,L357,M357,N357,O357,P357,Q357,R357,S357,T357,U357,V357,W357,X357,Y357,Z357,AA357,AB357,AC357,AD357,AE357,AF357,AG357,AH357,AI357)=0,"",IF(OR(B357="",E357="",H357="",J357="",K357="",L357="",M357="",O357="",P357="",Q357="",R357="",S357="",T357="",U357="",W357="",X357="",Y357="",AB357="",AC357="",AE357="",AF357=""),"Incompleta: faltan campos obligatorios",IF(AND(LEFT(H357,6)="PROPIA",I357=""),"Falta el nombre de la acción propia del área",IF(AND(LEFT(H357,3)="A27",IFERROR(INDEX(Catalogos!$T$5:$T$207,MATCH(H357,Catalogos!$U$5:$U$207,0)),"x")&lt;&gt;LEFT(E357,7)),"La acción no corresponde a la meta seleccionada",IF(OR(NOT(ISNUMBER(M357)),M357&lt;10000000,M357&gt;99999999),"Código UNSPSC inválido: registre 8 dígitos",IF(MOD(M357,10000)=0,"UNSPSC a nivel de segmento o familia: use clase o producto",IF(IFERROR(MATCH(P357,L_MESES,0)&lt;MATCH(O357,L_MESES,0),TRUE()),"El mes de ofertas es anterior al de inicio del proceso",IF(OR(NOT(ISNUMBER(Q357)),Q357&lt;=0),"Duración inválida",IF(OR(NOT(ISNUMBER(W357)),NOT(ISNUMBER(X357))),"Valor inválido: registre solo números",IF(OR(W357&lt;=0,X357&lt;=0),"Valor inválido: debe ser mayor que cero",IF(X357&gt;W357,"El valor de la vigencia 2027 supera el valor total",IF(AND(X357&lt;W357,Y357="No"),"El valor total supera el de 2027: requiere vigencias futuras",IF(AND(Y357="Sí",OR(Z357="",Z357="No aplica")),"Indique el estado de la solicitud de vigencias futuras",IF(IF(AND(S357="Mínima cuantía",ISNUMBER(P_TOPE_MINIMA)),W357&gt;P_TOPE_MINIMA,FALSE()),"El valor supera el tope de mínima cuantía 2027",IF(IF(AND(S357="Selección abreviada de menor cuantía",ISNUMBER(P_TOPE_MENOR)),W357&gt;P_TOPE_MENOR,FALSE()),"El valor supera el tope de menor cuantía 2027",IF(OR(ISERROR(SEARCH("@itc.edu.co",AE357)),SUMPRODUCT(--ISNUMBER(SEARCH({"á","é","í","ó","ú","ñ"," "},AE357)))&gt;0),"El correo del responsable no es institucional válido",IF(AND(AF357="Sí",AG357=""),"Indique el N.° de registro 2026 que continúa","OK")))))))))))))))))</f>
        <v/>
      </c>
      <c r="AK357" s="15" t="str">
        <f>IF(AJ357="OK",COUNTIF($AJ$7:AJ357,"OK"),"")</f>
        <v/>
      </c>
    </row>
    <row r="358" spans="1:37" x14ac:dyDescent="0.3">
      <c r="A358" s="13" t="str">
        <f t="shared" si="5"/>
        <v>PN27-352</v>
      </c>
      <c r="B358" s="26"/>
      <c r="C358" s="13" t="str">
        <f>IF(B358="","",IFERROR(INDEX(Catalogos!$R$5:$R$51,MATCH(B358,L_AREAS,0)),""))</f>
        <v/>
      </c>
      <c r="D358" s="13" t="str">
        <f>IF(B358="","",IFERROR(INDEX(Catalogos!$O$5:$O$51,MATCH(B358,L_AREAS,0)),""))</f>
        <v/>
      </c>
      <c r="E358" s="26"/>
      <c r="F358" s="13" t="str">
        <f>IF(E358="","",IFERROR(INDEX(Catalogos!$C$5:$C$49,MATCH(E358,L_METAS,0)),""))</f>
        <v/>
      </c>
      <c r="G358" s="13" t="str">
        <f>IF(E358="","",IFERROR(INDEX(Catalogos!$E$5:$E$49,MATCH(E358,L_METAS,0)),""))</f>
        <v/>
      </c>
      <c r="H358" s="26"/>
      <c r="I358" s="26"/>
      <c r="J358" s="26"/>
      <c r="K358" s="26"/>
      <c r="L358" s="26"/>
      <c r="M358" s="27"/>
      <c r="N358" s="26"/>
      <c r="O358" s="26"/>
      <c r="P358" s="26"/>
      <c r="Q358" s="26"/>
      <c r="R358" s="26"/>
      <c r="S358" s="26"/>
      <c r="T358" s="26"/>
      <c r="U358" s="26"/>
      <c r="V358" s="26"/>
      <c r="W358" s="28"/>
      <c r="X358" s="28"/>
      <c r="Y358" s="26"/>
      <c r="Z358" s="26"/>
      <c r="AA358" s="26"/>
      <c r="AB358" s="26"/>
      <c r="AC358" s="26"/>
      <c r="AD358" s="26"/>
      <c r="AE358" s="26"/>
      <c r="AF358" s="26"/>
      <c r="AG358" s="26"/>
      <c r="AH358" s="26"/>
      <c r="AI358" s="26"/>
      <c r="AJ358" s="15" t="str">
        <f>IF(COUNTA(B358,E358,H358,I358,J358,K358,L358,M358,N358,O358,P358,Q358,R358,S358,T358,U358,V358,W358,X358,Y358,Z358,AA358,AB358,AC358,AD358,AE358,AF358,AG358,AH358,AI358)=0,"",IF(OR(B358="",E358="",H358="",J358="",K358="",L358="",M358="",O358="",P358="",Q358="",R358="",S358="",T358="",U358="",W358="",X358="",Y358="",AB358="",AC358="",AE358="",AF358=""),"Incompleta: faltan campos obligatorios",IF(AND(LEFT(H358,6)="PROPIA",I358=""),"Falta el nombre de la acción propia del área",IF(AND(LEFT(H358,3)="A27",IFERROR(INDEX(Catalogos!$T$5:$T$207,MATCH(H358,Catalogos!$U$5:$U$207,0)),"x")&lt;&gt;LEFT(E358,7)),"La acción no corresponde a la meta seleccionada",IF(OR(NOT(ISNUMBER(M358)),M358&lt;10000000,M358&gt;99999999),"Código UNSPSC inválido: registre 8 dígitos",IF(MOD(M358,10000)=0,"UNSPSC a nivel de segmento o familia: use clase o producto",IF(IFERROR(MATCH(P358,L_MESES,0)&lt;MATCH(O358,L_MESES,0),TRUE()),"El mes de ofertas es anterior al de inicio del proceso",IF(OR(NOT(ISNUMBER(Q358)),Q358&lt;=0),"Duración inválida",IF(OR(NOT(ISNUMBER(W358)),NOT(ISNUMBER(X358))),"Valor inválido: registre solo números",IF(OR(W358&lt;=0,X358&lt;=0),"Valor inválido: debe ser mayor que cero",IF(X358&gt;W358,"El valor de la vigencia 2027 supera el valor total",IF(AND(X358&lt;W358,Y358="No"),"El valor total supera el de 2027: requiere vigencias futuras",IF(AND(Y358="Sí",OR(Z358="",Z358="No aplica")),"Indique el estado de la solicitud de vigencias futuras",IF(IF(AND(S358="Mínima cuantía",ISNUMBER(P_TOPE_MINIMA)),W358&gt;P_TOPE_MINIMA,FALSE()),"El valor supera el tope de mínima cuantía 2027",IF(IF(AND(S358="Selección abreviada de menor cuantía",ISNUMBER(P_TOPE_MENOR)),W358&gt;P_TOPE_MENOR,FALSE()),"El valor supera el tope de menor cuantía 2027",IF(OR(ISERROR(SEARCH("@itc.edu.co",AE358)),SUMPRODUCT(--ISNUMBER(SEARCH({"á","é","í","ó","ú","ñ"," "},AE358)))&gt;0),"El correo del responsable no es institucional válido",IF(AND(AF358="Sí",AG358=""),"Indique el N.° de registro 2026 que continúa","OK")))))))))))))))))</f>
        <v/>
      </c>
      <c r="AK358" s="15" t="str">
        <f>IF(AJ358="OK",COUNTIF($AJ$7:AJ358,"OK"),"")</f>
        <v/>
      </c>
    </row>
    <row r="359" spans="1:37" x14ac:dyDescent="0.3">
      <c r="A359" s="13" t="str">
        <f t="shared" si="5"/>
        <v>PN27-353</v>
      </c>
      <c r="B359" s="26"/>
      <c r="C359" s="13" t="str">
        <f>IF(B359="","",IFERROR(INDEX(Catalogos!$R$5:$R$51,MATCH(B359,L_AREAS,0)),""))</f>
        <v/>
      </c>
      <c r="D359" s="13" t="str">
        <f>IF(B359="","",IFERROR(INDEX(Catalogos!$O$5:$O$51,MATCH(B359,L_AREAS,0)),""))</f>
        <v/>
      </c>
      <c r="E359" s="26"/>
      <c r="F359" s="13" t="str">
        <f>IF(E359="","",IFERROR(INDEX(Catalogos!$C$5:$C$49,MATCH(E359,L_METAS,0)),""))</f>
        <v/>
      </c>
      <c r="G359" s="13" t="str">
        <f>IF(E359="","",IFERROR(INDEX(Catalogos!$E$5:$E$49,MATCH(E359,L_METAS,0)),""))</f>
        <v/>
      </c>
      <c r="H359" s="26"/>
      <c r="I359" s="26"/>
      <c r="J359" s="26"/>
      <c r="K359" s="26"/>
      <c r="L359" s="26"/>
      <c r="M359" s="27"/>
      <c r="N359" s="26"/>
      <c r="O359" s="26"/>
      <c r="P359" s="26"/>
      <c r="Q359" s="26"/>
      <c r="R359" s="26"/>
      <c r="S359" s="26"/>
      <c r="T359" s="26"/>
      <c r="U359" s="26"/>
      <c r="V359" s="26"/>
      <c r="W359" s="28"/>
      <c r="X359" s="28"/>
      <c r="Y359" s="26"/>
      <c r="Z359" s="26"/>
      <c r="AA359" s="26"/>
      <c r="AB359" s="26"/>
      <c r="AC359" s="26"/>
      <c r="AD359" s="26"/>
      <c r="AE359" s="26"/>
      <c r="AF359" s="26"/>
      <c r="AG359" s="26"/>
      <c r="AH359" s="26"/>
      <c r="AI359" s="26"/>
      <c r="AJ359" s="15" t="str">
        <f>IF(COUNTA(B359,E359,H359,I359,J359,K359,L359,M359,N359,O359,P359,Q359,R359,S359,T359,U359,V359,W359,X359,Y359,Z359,AA359,AB359,AC359,AD359,AE359,AF359,AG359,AH359,AI359)=0,"",IF(OR(B359="",E359="",H359="",J359="",K359="",L359="",M359="",O359="",P359="",Q359="",R359="",S359="",T359="",U359="",W359="",X359="",Y359="",AB359="",AC359="",AE359="",AF359=""),"Incompleta: faltan campos obligatorios",IF(AND(LEFT(H359,6)="PROPIA",I359=""),"Falta el nombre de la acción propia del área",IF(AND(LEFT(H359,3)="A27",IFERROR(INDEX(Catalogos!$T$5:$T$207,MATCH(H359,Catalogos!$U$5:$U$207,0)),"x")&lt;&gt;LEFT(E359,7)),"La acción no corresponde a la meta seleccionada",IF(OR(NOT(ISNUMBER(M359)),M359&lt;10000000,M359&gt;99999999),"Código UNSPSC inválido: registre 8 dígitos",IF(MOD(M359,10000)=0,"UNSPSC a nivel de segmento o familia: use clase o producto",IF(IFERROR(MATCH(P359,L_MESES,0)&lt;MATCH(O359,L_MESES,0),TRUE()),"El mes de ofertas es anterior al de inicio del proceso",IF(OR(NOT(ISNUMBER(Q359)),Q359&lt;=0),"Duración inválida",IF(OR(NOT(ISNUMBER(W359)),NOT(ISNUMBER(X359))),"Valor inválido: registre solo números",IF(OR(W359&lt;=0,X359&lt;=0),"Valor inválido: debe ser mayor que cero",IF(X359&gt;W359,"El valor de la vigencia 2027 supera el valor total",IF(AND(X359&lt;W359,Y359="No"),"El valor total supera el de 2027: requiere vigencias futuras",IF(AND(Y359="Sí",OR(Z359="",Z359="No aplica")),"Indique el estado de la solicitud de vigencias futuras",IF(IF(AND(S359="Mínima cuantía",ISNUMBER(P_TOPE_MINIMA)),W359&gt;P_TOPE_MINIMA,FALSE()),"El valor supera el tope de mínima cuantía 2027",IF(IF(AND(S359="Selección abreviada de menor cuantía",ISNUMBER(P_TOPE_MENOR)),W359&gt;P_TOPE_MENOR,FALSE()),"El valor supera el tope de menor cuantía 2027",IF(OR(ISERROR(SEARCH("@itc.edu.co",AE359)),SUMPRODUCT(--ISNUMBER(SEARCH({"á","é","í","ó","ú","ñ"," "},AE359)))&gt;0),"El correo del responsable no es institucional válido",IF(AND(AF359="Sí",AG359=""),"Indique el N.° de registro 2026 que continúa","OK")))))))))))))))))</f>
        <v/>
      </c>
      <c r="AK359" s="15" t="str">
        <f>IF(AJ359="OK",COUNTIF($AJ$7:AJ359,"OK"),"")</f>
        <v/>
      </c>
    </row>
    <row r="360" spans="1:37" x14ac:dyDescent="0.3">
      <c r="A360" s="13" t="str">
        <f t="shared" si="5"/>
        <v>PN27-354</v>
      </c>
      <c r="B360" s="26"/>
      <c r="C360" s="13" t="str">
        <f>IF(B360="","",IFERROR(INDEX(Catalogos!$R$5:$R$51,MATCH(B360,L_AREAS,0)),""))</f>
        <v/>
      </c>
      <c r="D360" s="13" t="str">
        <f>IF(B360="","",IFERROR(INDEX(Catalogos!$O$5:$O$51,MATCH(B360,L_AREAS,0)),""))</f>
        <v/>
      </c>
      <c r="E360" s="26"/>
      <c r="F360" s="13" t="str">
        <f>IF(E360="","",IFERROR(INDEX(Catalogos!$C$5:$C$49,MATCH(E360,L_METAS,0)),""))</f>
        <v/>
      </c>
      <c r="G360" s="13" t="str">
        <f>IF(E360="","",IFERROR(INDEX(Catalogos!$E$5:$E$49,MATCH(E360,L_METAS,0)),""))</f>
        <v/>
      </c>
      <c r="H360" s="26"/>
      <c r="I360" s="26"/>
      <c r="J360" s="26"/>
      <c r="K360" s="26"/>
      <c r="L360" s="26"/>
      <c r="M360" s="27"/>
      <c r="N360" s="26"/>
      <c r="O360" s="26"/>
      <c r="P360" s="26"/>
      <c r="Q360" s="26"/>
      <c r="R360" s="26"/>
      <c r="S360" s="26"/>
      <c r="T360" s="26"/>
      <c r="U360" s="26"/>
      <c r="V360" s="26"/>
      <c r="W360" s="28"/>
      <c r="X360" s="28"/>
      <c r="Y360" s="26"/>
      <c r="Z360" s="26"/>
      <c r="AA360" s="26"/>
      <c r="AB360" s="26"/>
      <c r="AC360" s="26"/>
      <c r="AD360" s="26"/>
      <c r="AE360" s="26"/>
      <c r="AF360" s="26"/>
      <c r="AG360" s="26"/>
      <c r="AH360" s="26"/>
      <c r="AI360" s="26"/>
      <c r="AJ360" s="15" t="str">
        <f>IF(COUNTA(B360,E360,H360,I360,J360,K360,L360,M360,N360,O360,P360,Q360,R360,S360,T360,U360,V360,W360,X360,Y360,Z360,AA360,AB360,AC360,AD360,AE360,AF360,AG360,AH360,AI360)=0,"",IF(OR(B360="",E360="",H360="",J360="",K360="",L360="",M360="",O360="",P360="",Q360="",R360="",S360="",T360="",U360="",W360="",X360="",Y360="",AB360="",AC360="",AE360="",AF360=""),"Incompleta: faltan campos obligatorios",IF(AND(LEFT(H360,6)="PROPIA",I360=""),"Falta el nombre de la acción propia del área",IF(AND(LEFT(H360,3)="A27",IFERROR(INDEX(Catalogos!$T$5:$T$207,MATCH(H360,Catalogos!$U$5:$U$207,0)),"x")&lt;&gt;LEFT(E360,7)),"La acción no corresponde a la meta seleccionada",IF(OR(NOT(ISNUMBER(M360)),M360&lt;10000000,M360&gt;99999999),"Código UNSPSC inválido: registre 8 dígitos",IF(MOD(M360,10000)=0,"UNSPSC a nivel de segmento o familia: use clase o producto",IF(IFERROR(MATCH(P360,L_MESES,0)&lt;MATCH(O360,L_MESES,0),TRUE()),"El mes de ofertas es anterior al de inicio del proceso",IF(OR(NOT(ISNUMBER(Q360)),Q360&lt;=0),"Duración inválida",IF(OR(NOT(ISNUMBER(W360)),NOT(ISNUMBER(X360))),"Valor inválido: registre solo números",IF(OR(W360&lt;=0,X360&lt;=0),"Valor inválido: debe ser mayor que cero",IF(X360&gt;W360,"El valor de la vigencia 2027 supera el valor total",IF(AND(X360&lt;W360,Y360="No"),"El valor total supera el de 2027: requiere vigencias futuras",IF(AND(Y360="Sí",OR(Z360="",Z360="No aplica")),"Indique el estado de la solicitud de vigencias futuras",IF(IF(AND(S360="Mínima cuantía",ISNUMBER(P_TOPE_MINIMA)),W360&gt;P_TOPE_MINIMA,FALSE()),"El valor supera el tope de mínima cuantía 2027",IF(IF(AND(S360="Selección abreviada de menor cuantía",ISNUMBER(P_TOPE_MENOR)),W360&gt;P_TOPE_MENOR,FALSE()),"El valor supera el tope de menor cuantía 2027",IF(OR(ISERROR(SEARCH("@itc.edu.co",AE360)),SUMPRODUCT(--ISNUMBER(SEARCH({"á","é","í","ó","ú","ñ"," "},AE360)))&gt;0),"El correo del responsable no es institucional válido",IF(AND(AF360="Sí",AG360=""),"Indique el N.° de registro 2026 que continúa","OK")))))))))))))))))</f>
        <v/>
      </c>
      <c r="AK360" s="15" t="str">
        <f>IF(AJ360="OK",COUNTIF($AJ$7:AJ360,"OK"),"")</f>
        <v/>
      </c>
    </row>
    <row r="361" spans="1:37" x14ac:dyDescent="0.3">
      <c r="A361" s="13" t="str">
        <f t="shared" si="5"/>
        <v>PN27-355</v>
      </c>
      <c r="B361" s="26"/>
      <c r="C361" s="13" t="str">
        <f>IF(B361="","",IFERROR(INDEX(Catalogos!$R$5:$R$51,MATCH(B361,L_AREAS,0)),""))</f>
        <v/>
      </c>
      <c r="D361" s="13" t="str">
        <f>IF(B361="","",IFERROR(INDEX(Catalogos!$O$5:$O$51,MATCH(B361,L_AREAS,0)),""))</f>
        <v/>
      </c>
      <c r="E361" s="26"/>
      <c r="F361" s="13" t="str">
        <f>IF(E361="","",IFERROR(INDEX(Catalogos!$C$5:$C$49,MATCH(E361,L_METAS,0)),""))</f>
        <v/>
      </c>
      <c r="G361" s="13" t="str">
        <f>IF(E361="","",IFERROR(INDEX(Catalogos!$E$5:$E$49,MATCH(E361,L_METAS,0)),""))</f>
        <v/>
      </c>
      <c r="H361" s="26"/>
      <c r="I361" s="26"/>
      <c r="J361" s="26"/>
      <c r="K361" s="26"/>
      <c r="L361" s="26"/>
      <c r="M361" s="27"/>
      <c r="N361" s="26"/>
      <c r="O361" s="26"/>
      <c r="P361" s="26"/>
      <c r="Q361" s="26"/>
      <c r="R361" s="26"/>
      <c r="S361" s="26"/>
      <c r="T361" s="26"/>
      <c r="U361" s="26"/>
      <c r="V361" s="26"/>
      <c r="W361" s="28"/>
      <c r="X361" s="28"/>
      <c r="Y361" s="26"/>
      <c r="Z361" s="26"/>
      <c r="AA361" s="26"/>
      <c r="AB361" s="26"/>
      <c r="AC361" s="26"/>
      <c r="AD361" s="26"/>
      <c r="AE361" s="26"/>
      <c r="AF361" s="26"/>
      <c r="AG361" s="26"/>
      <c r="AH361" s="26"/>
      <c r="AI361" s="26"/>
      <c r="AJ361" s="15" t="str">
        <f>IF(COUNTA(B361,E361,H361,I361,J361,K361,L361,M361,N361,O361,P361,Q361,R361,S361,T361,U361,V361,W361,X361,Y361,Z361,AA361,AB361,AC361,AD361,AE361,AF361,AG361,AH361,AI361)=0,"",IF(OR(B361="",E361="",H361="",J361="",K361="",L361="",M361="",O361="",P361="",Q361="",R361="",S361="",T361="",U361="",W361="",X361="",Y361="",AB361="",AC361="",AE361="",AF361=""),"Incompleta: faltan campos obligatorios",IF(AND(LEFT(H361,6)="PROPIA",I361=""),"Falta el nombre de la acción propia del área",IF(AND(LEFT(H361,3)="A27",IFERROR(INDEX(Catalogos!$T$5:$T$207,MATCH(H361,Catalogos!$U$5:$U$207,0)),"x")&lt;&gt;LEFT(E361,7)),"La acción no corresponde a la meta seleccionada",IF(OR(NOT(ISNUMBER(M361)),M361&lt;10000000,M361&gt;99999999),"Código UNSPSC inválido: registre 8 dígitos",IF(MOD(M361,10000)=0,"UNSPSC a nivel de segmento o familia: use clase o producto",IF(IFERROR(MATCH(P361,L_MESES,0)&lt;MATCH(O361,L_MESES,0),TRUE()),"El mes de ofertas es anterior al de inicio del proceso",IF(OR(NOT(ISNUMBER(Q361)),Q361&lt;=0),"Duración inválida",IF(OR(NOT(ISNUMBER(W361)),NOT(ISNUMBER(X361))),"Valor inválido: registre solo números",IF(OR(W361&lt;=0,X361&lt;=0),"Valor inválido: debe ser mayor que cero",IF(X361&gt;W361,"El valor de la vigencia 2027 supera el valor total",IF(AND(X361&lt;W361,Y361="No"),"El valor total supera el de 2027: requiere vigencias futuras",IF(AND(Y361="Sí",OR(Z361="",Z361="No aplica")),"Indique el estado de la solicitud de vigencias futuras",IF(IF(AND(S361="Mínima cuantía",ISNUMBER(P_TOPE_MINIMA)),W361&gt;P_TOPE_MINIMA,FALSE()),"El valor supera el tope de mínima cuantía 2027",IF(IF(AND(S361="Selección abreviada de menor cuantía",ISNUMBER(P_TOPE_MENOR)),W361&gt;P_TOPE_MENOR,FALSE()),"El valor supera el tope de menor cuantía 2027",IF(OR(ISERROR(SEARCH("@itc.edu.co",AE361)),SUMPRODUCT(--ISNUMBER(SEARCH({"á","é","í","ó","ú","ñ"," "},AE361)))&gt;0),"El correo del responsable no es institucional válido",IF(AND(AF361="Sí",AG361=""),"Indique el N.° de registro 2026 que continúa","OK")))))))))))))))))</f>
        <v/>
      </c>
      <c r="AK361" s="15" t="str">
        <f>IF(AJ361="OK",COUNTIF($AJ$7:AJ361,"OK"),"")</f>
        <v/>
      </c>
    </row>
    <row r="362" spans="1:37" x14ac:dyDescent="0.3">
      <c r="A362" s="13" t="str">
        <f t="shared" si="5"/>
        <v>PN27-356</v>
      </c>
      <c r="B362" s="26"/>
      <c r="C362" s="13" t="str">
        <f>IF(B362="","",IFERROR(INDEX(Catalogos!$R$5:$R$51,MATCH(B362,L_AREAS,0)),""))</f>
        <v/>
      </c>
      <c r="D362" s="13" t="str">
        <f>IF(B362="","",IFERROR(INDEX(Catalogos!$O$5:$O$51,MATCH(B362,L_AREAS,0)),""))</f>
        <v/>
      </c>
      <c r="E362" s="26"/>
      <c r="F362" s="13" t="str">
        <f>IF(E362="","",IFERROR(INDEX(Catalogos!$C$5:$C$49,MATCH(E362,L_METAS,0)),""))</f>
        <v/>
      </c>
      <c r="G362" s="13" t="str">
        <f>IF(E362="","",IFERROR(INDEX(Catalogos!$E$5:$E$49,MATCH(E362,L_METAS,0)),""))</f>
        <v/>
      </c>
      <c r="H362" s="26"/>
      <c r="I362" s="26"/>
      <c r="J362" s="26"/>
      <c r="K362" s="26"/>
      <c r="L362" s="26"/>
      <c r="M362" s="27"/>
      <c r="N362" s="26"/>
      <c r="O362" s="26"/>
      <c r="P362" s="26"/>
      <c r="Q362" s="26"/>
      <c r="R362" s="26"/>
      <c r="S362" s="26"/>
      <c r="T362" s="26"/>
      <c r="U362" s="26"/>
      <c r="V362" s="26"/>
      <c r="W362" s="28"/>
      <c r="X362" s="28"/>
      <c r="Y362" s="26"/>
      <c r="Z362" s="26"/>
      <c r="AA362" s="26"/>
      <c r="AB362" s="26"/>
      <c r="AC362" s="26"/>
      <c r="AD362" s="26"/>
      <c r="AE362" s="26"/>
      <c r="AF362" s="26"/>
      <c r="AG362" s="26"/>
      <c r="AH362" s="26"/>
      <c r="AI362" s="26"/>
      <c r="AJ362" s="15" t="str">
        <f>IF(COUNTA(B362,E362,H362,I362,J362,K362,L362,M362,N362,O362,P362,Q362,R362,S362,T362,U362,V362,W362,X362,Y362,Z362,AA362,AB362,AC362,AD362,AE362,AF362,AG362,AH362,AI362)=0,"",IF(OR(B362="",E362="",H362="",J362="",K362="",L362="",M362="",O362="",P362="",Q362="",R362="",S362="",T362="",U362="",W362="",X362="",Y362="",AB362="",AC362="",AE362="",AF362=""),"Incompleta: faltan campos obligatorios",IF(AND(LEFT(H362,6)="PROPIA",I362=""),"Falta el nombre de la acción propia del área",IF(AND(LEFT(H362,3)="A27",IFERROR(INDEX(Catalogos!$T$5:$T$207,MATCH(H362,Catalogos!$U$5:$U$207,0)),"x")&lt;&gt;LEFT(E362,7)),"La acción no corresponde a la meta seleccionada",IF(OR(NOT(ISNUMBER(M362)),M362&lt;10000000,M362&gt;99999999),"Código UNSPSC inválido: registre 8 dígitos",IF(MOD(M362,10000)=0,"UNSPSC a nivel de segmento o familia: use clase o producto",IF(IFERROR(MATCH(P362,L_MESES,0)&lt;MATCH(O362,L_MESES,0),TRUE()),"El mes de ofertas es anterior al de inicio del proceso",IF(OR(NOT(ISNUMBER(Q362)),Q362&lt;=0),"Duración inválida",IF(OR(NOT(ISNUMBER(W362)),NOT(ISNUMBER(X362))),"Valor inválido: registre solo números",IF(OR(W362&lt;=0,X362&lt;=0),"Valor inválido: debe ser mayor que cero",IF(X362&gt;W362,"El valor de la vigencia 2027 supera el valor total",IF(AND(X362&lt;W362,Y362="No"),"El valor total supera el de 2027: requiere vigencias futuras",IF(AND(Y362="Sí",OR(Z362="",Z362="No aplica")),"Indique el estado de la solicitud de vigencias futuras",IF(IF(AND(S362="Mínima cuantía",ISNUMBER(P_TOPE_MINIMA)),W362&gt;P_TOPE_MINIMA,FALSE()),"El valor supera el tope de mínima cuantía 2027",IF(IF(AND(S362="Selección abreviada de menor cuantía",ISNUMBER(P_TOPE_MENOR)),W362&gt;P_TOPE_MENOR,FALSE()),"El valor supera el tope de menor cuantía 2027",IF(OR(ISERROR(SEARCH("@itc.edu.co",AE362)),SUMPRODUCT(--ISNUMBER(SEARCH({"á","é","í","ó","ú","ñ"," "},AE362)))&gt;0),"El correo del responsable no es institucional válido",IF(AND(AF362="Sí",AG362=""),"Indique el N.° de registro 2026 que continúa","OK")))))))))))))))))</f>
        <v/>
      </c>
      <c r="AK362" s="15" t="str">
        <f>IF(AJ362="OK",COUNTIF($AJ$7:AJ362,"OK"),"")</f>
        <v/>
      </c>
    </row>
    <row r="363" spans="1:37" x14ac:dyDescent="0.3">
      <c r="A363" s="13" t="str">
        <f t="shared" si="5"/>
        <v>PN27-357</v>
      </c>
      <c r="B363" s="26"/>
      <c r="C363" s="13" t="str">
        <f>IF(B363="","",IFERROR(INDEX(Catalogos!$R$5:$R$51,MATCH(B363,L_AREAS,0)),""))</f>
        <v/>
      </c>
      <c r="D363" s="13" t="str">
        <f>IF(B363="","",IFERROR(INDEX(Catalogos!$O$5:$O$51,MATCH(B363,L_AREAS,0)),""))</f>
        <v/>
      </c>
      <c r="E363" s="26"/>
      <c r="F363" s="13" t="str">
        <f>IF(E363="","",IFERROR(INDEX(Catalogos!$C$5:$C$49,MATCH(E363,L_METAS,0)),""))</f>
        <v/>
      </c>
      <c r="G363" s="13" t="str">
        <f>IF(E363="","",IFERROR(INDEX(Catalogos!$E$5:$E$49,MATCH(E363,L_METAS,0)),""))</f>
        <v/>
      </c>
      <c r="H363" s="26"/>
      <c r="I363" s="26"/>
      <c r="J363" s="26"/>
      <c r="K363" s="26"/>
      <c r="L363" s="26"/>
      <c r="M363" s="27"/>
      <c r="N363" s="26"/>
      <c r="O363" s="26"/>
      <c r="P363" s="26"/>
      <c r="Q363" s="26"/>
      <c r="R363" s="26"/>
      <c r="S363" s="26"/>
      <c r="T363" s="26"/>
      <c r="U363" s="26"/>
      <c r="V363" s="26"/>
      <c r="W363" s="28"/>
      <c r="X363" s="28"/>
      <c r="Y363" s="26"/>
      <c r="Z363" s="26"/>
      <c r="AA363" s="26"/>
      <c r="AB363" s="26"/>
      <c r="AC363" s="26"/>
      <c r="AD363" s="26"/>
      <c r="AE363" s="26"/>
      <c r="AF363" s="26"/>
      <c r="AG363" s="26"/>
      <c r="AH363" s="26"/>
      <c r="AI363" s="26"/>
      <c r="AJ363" s="15" t="str">
        <f>IF(COUNTA(B363,E363,H363,I363,J363,K363,L363,M363,N363,O363,P363,Q363,R363,S363,T363,U363,V363,W363,X363,Y363,Z363,AA363,AB363,AC363,AD363,AE363,AF363,AG363,AH363,AI363)=0,"",IF(OR(B363="",E363="",H363="",J363="",K363="",L363="",M363="",O363="",P363="",Q363="",R363="",S363="",T363="",U363="",W363="",X363="",Y363="",AB363="",AC363="",AE363="",AF363=""),"Incompleta: faltan campos obligatorios",IF(AND(LEFT(H363,6)="PROPIA",I363=""),"Falta el nombre de la acción propia del área",IF(AND(LEFT(H363,3)="A27",IFERROR(INDEX(Catalogos!$T$5:$T$207,MATCH(H363,Catalogos!$U$5:$U$207,0)),"x")&lt;&gt;LEFT(E363,7)),"La acción no corresponde a la meta seleccionada",IF(OR(NOT(ISNUMBER(M363)),M363&lt;10000000,M363&gt;99999999),"Código UNSPSC inválido: registre 8 dígitos",IF(MOD(M363,10000)=0,"UNSPSC a nivel de segmento o familia: use clase o producto",IF(IFERROR(MATCH(P363,L_MESES,0)&lt;MATCH(O363,L_MESES,0),TRUE()),"El mes de ofertas es anterior al de inicio del proceso",IF(OR(NOT(ISNUMBER(Q363)),Q363&lt;=0),"Duración inválida",IF(OR(NOT(ISNUMBER(W363)),NOT(ISNUMBER(X363))),"Valor inválido: registre solo números",IF(OR(W363&lt;=0,X363&lt;=0),"Valor inválido: debe ser mayor que cero",IF(X363&gt;W363,"El valor de la vigencia 2027 supera el valor total",IF(AND(X363&lt;W363,Y363="No"),"El valor total supera el de 2027: requiere vigencias futuras",IF(AND(Y363="Sí",OR(Z363="",Z363="No aplica")),"Indique el estado de la solicitud de vigencias futuras",IF(IF(AND(S363="Mínima cuantía",ISNUMBER(P_TOPE_MINIMA)),W363&gt;P_TOPE_MINIMA,FALSE()),"El valor supera el tope de mínima cuantía 2027",IF(IF(AND(S363="Selección abreviada de menor cuantía",ISNUMBER(P_TOPE_MENOR)),W363&gt;P_TOPE_MENOR,FALSE()),"El valor supera el tope de menor cuantía 2027",IF(OR(ISERROR(SEARCH("@itc.edu.co",AE363)),SUMPRODUCT(--ISNUMBER(SEARCH({"á","é","í","ó","ú","ñ"," "},AE363)))&gt;0),"El correo del responsable no es institucional válido",IF(AND(AF363="Sí",AG363=""),"Indique el N.° de registro 2026 que continúa","OK")))))))))))))))))</f>
        <v/>
      </c>
      <c r="AK363" s="15" t="str">
        <f>IF(AJ363="OK",COUNTIF($AJ$7:AJ363,"OK"),"")</f>
        <v/>
      </c>
    </row>
    <row r="364" spans="1:37" x14ac:dyDescent="0.3">
      <c r="A364" s="13" t="str">
        <f t="shared" si="5"/>
        <v>PN27-358</v>
      </c>
      <c r="B364" s="26"/>
      <c r="C364" s="13" t="str">
        <f>IF(B364="","",IFERROR(INDEX(Catalogos!$R$5:$R$51,MATCH(B364,L_AREAS,0)),""))</f>
        <v/>
      </c>
      <c r="D364" s="13" t="str">
        <f>IF(B364="","",IFERROR(INDEX(Catalogos!$O$5:$O$51,MATCH(B364,L_AREAS,0)),""))</f>
        <v/>
      </c>
      <c r="E364" s="26"/>
      <c r="F364" s="13" t="str">
        <f>IF(E364="","",IFERROR(INDEX(Catalogos!$C$5:$C$49,MATCH(E364,L_METAS,0)),""))</f>
        <v/>
      </c>
      <c r="G364" s="13" t="str">
        <f>IF(E364="","",IFERROR(INDEX(Catalogos!$E$5:$E$49,MATCH(E364,L_METAS,0)),""))</f>
        <v/>
      </c>
      <c r="H364" s="26"/>
      <c r="I364" s="26"/>
      <c r="J364" s="26"/>
      <c r="K364" s="26"/>
      <c r="L364" s="26"/>
      <c r="M364" s="27"/>
      <c r="N364" s="26"/>
      <c r="O364" s="26"/>
      <c r="P364" s="26"/>
      <c r="Q364" s="26"/>
      <c r="R364" s="26"/>
      <c r="S364" s="26"/>
      <c r="T364" s="26"/>
      <c r="U364" s="26"/>
      <c r="V364" s="26"/>
      <c r="W364" s="28"/>
      <c r="X364" s="28"/>
      <c r="Y364" s="26"/>
      <c r="Z364" s="26"/>
      <c r="AA364" s="26"/>
      <c r="AB364" s="26"/>
      <c r="AC364" s="26"/>
      <c r="AD364" s="26"/>
      <c r="AE364" s="26"/>
      <c r="AF364" s="26"/>
      <c r="AG364" s="26"/>
      <c r="AH364" s="26"/>
      <c r="AI364" s="26"/>
      <c r="AJ364" s="15" t="str">
        <f>IF(COUNTA(B364,E364,H364,I364,J364,K364,L364,M364,N364,O364,P364,Q364,R364,S364,T364,U364,V364,W364,X364,Y364,Z364,AA364,AB364,AC364,AD364,AE364,AF364,AG364,AH364,AI364)=0,"",IF(OR(B364="",E364="",H364="",J364="",K364="",L364="",M364="",O364="",P364="",Q364="",R364="",S364="",T364="",U364="",W364="",X364="",Y364="",AB364="",AC364="",AE364="",AF364=""),"Incompleta: faltan campos obligatorios",IF(AND(LEFT(H364,6)="PROPIA",I364=""),"Falta el nombre de la acción propia del área",IF(AND(LEFT(H364,3)="A27",IFERROR(INDEX(Catalogos!$T$5:$T$207,MATCH(H364,Catalogos!$U$5:$U$207,0)),"x")&lt;&gt;LEFT(E364,7)),"La acción no corresponde a la meta seleccionada",IF(OR(NOT(ISNUMBER(M364)),M364&lt;10000000,M364&gt;99999999),"Código UNSPSC inválido: registre 8 dígitos",IF(MOD(M364,10000)=0,"UNSPSC a nivel de segmento o familia: use clase o producto",IF(IFERROR(MATCH(P364,L_MESES,0)&lt;MATCH(O364,L_MESES,0),TRUE()),"El mes de ofertas es anterior al de inicio del proceso",IF(OR(NOT(ISNUMBER(Q364)),Q364&lt;=0),"Duración inválida",IF(OR(NOT(ISNUMBER(W364)),NOT(ISNUMBER(X364))),"Valor inválido: registre solo números",IF(OR(W364&lt;=0,X364&lt;=0),"Valor inválido: debe ser mayor que cero",IF(X364&gt;W364,"El valor de la vigencia 2027 supera el valor total",IF(AND(X364&lt;W364,Y364="No"),"El valor total supera el de 2027: requiere vigencias futuras",IF(AND(Y364="Sí",OR(Z364="",Z364="No aplica")),"Indique el estado de la solicitud de vigencias futuras",IF(IF(AND(S364="Mínima cuantía",ISNUMBER(P_TOPE_MINIMA)),W364&gt;P_TOPE_MINIMA,FALSE()),"El valor supera el tope de mínima cuantía 2027",IF(IF(AND(S364="Selección abreviada de menor cuantía",ISNUMBER(P_TOPE_MENOR)),W364&gt;P_TOPE_MENOR,FALSE()),"El valor supera el tope de menor cuantía 2027",IF(OR(ISERROR(SEARCH("@itc.edu.co",AE364)),SUMPRODUCT(--ISNUMBER(SEARCH({"á","é","í","ó","ú","ñ"," "},AE364)))&gt;0),"El correo del responsable no es institucional válido",IF(AND(AF364="Sí",AG364=""),"Indique el N.° de registro 2026 que continúa","OK")))))))))))))))))</f>
        <v/>
      </c>
      <c r="AK364" s="15" t="str">
        <f>IF(AJ364="OK",COUNTIF($AJ$7:AJ364,"OK"),"")</f>
        <v/>
      </c>
    </row>
    <row r="365" spans="1:37" x14ac:dyDescent="0.3">
      <c r="A365" s="13" t="str">
        <f t="shared" si="5"/>
        <v>PN27-359</v>
      </c>
      <c r="B365" s="26"/>
      <c r="C365" s="13" t="str">
        <f>IF(B365="","",IFERROR(INDEX(Catalogos!$R$5:$R$51,MATCH(B365,L_AREAS,0)),""))</f>
        <v/>
      </c>
      <c r="D365" s="13" t="str">
        <f>IF(B365="","",IFERROR(INDEX(Catalogos!$O$5:$O$51,MATCH(B365,L_AREAS,0)),""))</f>
        <v/>
      </c>
      <c r="E365" s="26"/>
      <c r="F365" s="13" t="str">
        <f>IF(E365="","",IFERROR(INDEX(Catalogos!$C$5:$C$49,MATCH(E365,L_METAS,0)),""))</f>
        <v/>
      </c>
      <c r="G365" s="13" t="str">
        <f>IF(E365="","",IFERROR(INDEX(Catalogos!$E$5:$E$49,MATCH(E365,L_METAS,0)),""))</f>
        <v/>
      </c>
      <c r="H365" s="26"/>
      <c r="I365" s="26"/>
      <c r="J365" s="26"/>
      <c r="K365" s="26"/>
      <c r="L365" s="26"/>
      <c r="M365" s="27"/>
      <c r="N365" s="26"/>
      <c r="O365" s="26"/>
      <c r="P365" s="26"/>
      <c r="Q365" s="26"/>
      <c r="R365" s="26"/>
      <c r="S365" s="26"/>
      <c r="T365" s="26"/>
      <c r="U365" s="26"/>
      <c r="V365" s="26"/>
      <c r="W365" s="28"/>
      <c r="X365" s="28"/>
      <c r="Y365" s="26"/>
      <c r="Z365" s="26"/>
      <c r="AA365" s="26"/>
      <c r="AB365" s="26"/>
      <c r="AC365" s="26"/>
      <c r="AD365" s="26"/>
      <c r="AE365" s="26"/>
      <c r="AF365" s="26"/>
      <c r="AG365" s="26"/>
      <c r="AH365" s="26"/>
      <c r="AI365" s="26"/>
      <c r="AJ365" s="15" t="str">
        <f>IF(COUNTA(B365,E365,H365,I365,J365,K365,L365,M365,N365,O365,P365,Q365,R365,S365,T365,U365,V365,W365,X365,Y365,Z365,AA365,AB365,AC365,AD365,AE365,AF365,AG365,AH365,AI365)=0,"",IF(OR(B365="",E365="",H365="",J365="",K365="",L365="",M365="",O365="",P365="",Q365="",R365="",S365="",T365="",U365="",W365="",X365="",Y365="",AB365="",AC365="",AE365="",AF365=""),"Incompleta: faltan campos obligatorios",IF(AND(LEFT(H365,6)="PROPIA",I365=""),"Falta el nombre de la acción propia del área",IF(AND(LEFT(H365,3)="A27",IFERROR(INDEX(Catalogos!$T$5:$T$207,MATCH(H365,Catalogos!$U$5:$U$207,0)),"x")&lt;&gt;LEFT(E365,7)),"La acción no corresponde a la meta seleccionada",IF(OR(NOT(ISNUMBER(M365)),M365&lt;10000000,M365&gt;99999999),"Código UNSPSC inválido: registre 8 dígitos",IF(MOD(M365,10000)=0,"UNSPSC a nivel de segmento o familia: use clase o producto",IF(IFERROR(MATCH(P365,L_MESES,0)&lt;MATCH(O365,L_MESES,0),TRUE()),"El mes de ofertas es anterior al de inicio del proceso",IF(OR(NOT(ISNUMBER(Q365)),Q365&lt;=0),"Duración inválida",IF(OR(NOT(ISNUMBER(W365)),NOT(ISNUMBER(X365))),"Valor inválido: registre solo números",IF(OR(W365&lt;=0,X365&lt;=0),"Valor inválido: debe ser mayor que cero",IF(X365&gt;W365,"El valor de la vigencia 2027 supera el valor total",IF(AND(X365&lt;W365,Y365="No"),"El valor total supera el de 2027: requiere vigencias futuras",IF(AND(Y365="Sí",OR(Z365="",Z365="No aplica")),"Indique el estado de la solicitud de vigencias futuras",IF(IF(AND(S365="Mínima cuantía",ISNUMBER(P_TOPE_MINIMA)),W365&gt;P_TOPE_MINIMA,FALSE()),"El valor supera el tope de mínima cuantía 2027",IF(IF(AND(S365="Selección abreviada de menor cuantía",ISNUMBER(P_TOPE_MENOR)),W365&gt;P_TOPE_MENOR,FALSE()),"El valor supera el tope de menor cuantía 2027",IF(OR(ISERROR(SEARCH("@itc.edu.co",AE365)),SUMPRODUCT(--ISNUMBER(SEARCH({"á","é","í","ó","ú","ñ"," "},AE365)))&gt;0),"El correo del responsable no es institucional válido",IF(AND(AF365="Sí",AG365=""),"Indique el N.° de registro 2026 que continúa","OK")))))))))))))))))</f>
        <v/>
      </c>
      <c r="AK365" s="15" t="str">
        <f>IF(AJ365="OK",COUNTIF($AJ$7:AJ365,"OK"),"")</f>
        <v/>
      </c>
    </row>
    <row r="366" spans="1:37" x14ac:dyDescent="0.3">
      <c r="A366" s="13" t="str">
        <f t="shared" si="5"/>
        <v>PN27-360</v>
      </c>
      <c r="B366" s="26"/>
      <c r="C366" s="13" t="str">
        <f>IF(B366="","",IFERROR(INDEX(Catalogos!$R$5:$R$51,MATCH(B366,L_AREAS,0)),""))</f>
        <v/>
      </c>
      <c r="D366" s="13" t="str">
        <f>IF(B366="","",IFERROR(INDEX(Catalogos!$O$5:$O$51,MATCH(B366,L_AREAS,0)),""))</f>
        <v/>
      </c>
      <c r="E366" s="26"/>
      <c r="F366" s="13" t="str">
        <f>IF(E366="","",IFERROR(INDEX(Catalogos!$C$5:$C$49,MATCH(E366,L_METAS,0)),""))</f>
        <v/>
      </c>
      <c r="G366" s="13" t="str">
        <f>IF(E366="","",IFERROR(INDEX(Catalogos!$E$5:$E$49,MATCH(E366,L_METAS,0)),""))</f>
        <v/>
      </c>
      <c r="H366" s="26"/>
      <c r="I366" s="26"/>
      <c r="J366" s="26"/>
      <c r="K366" s="26"/>
      <c r="L366" s="26"/>
      <c r="M366" s="27"/>
      <c r="N366" s="26"/>
      <c r="O366" s="26"/>
      <c r="P366" s="26"/>
      <c r="Q366" s="26"/>
      <c r="R366" s="26"/>
      <c r="S366" s="26"/>
      <c r="T366" s="26"/>
      <c r="U366" s="26"/>
      <c r="V366" s="26"/>
      <c r="W366" s="28"/>
      <c r="X366" s="28"/>
      <c r="Y366" s="26"/>
      <c r="Z366" s="26"/>
      <c r="AA366" s="26"/>
      <c r="AB366" s="26"/>
      <c r="AC366" s="26"/>
      <c r="AD366" s="26"/>
      <c r="AE366" s="26"/>
      <c r="AF366" s="26"/>
      <c r="AG366" s="26"/>
      <c r="AH366" s="26"/>
      <c r="AI366" s="26"/>
      <c r="AJ366" s="15" t="str">
        <f>IF(COUNTA(B366,E366,H366,I366,J366,K366,L366,M366,N366,O366,P366,Q366,R366,S366,T366,U366,V366,W366,X366,Y366,Z366,AA366,AB366,AC366,AD366,AE366,AF366,AG366,AH366,AI366)=0,"",IF(OR(B366="",E366="",H366="",J366="",K366="",L366="",M366="",O366="",P366="",Q366="",R366="",S366="",T366="",U366="",W366="",X366="",Y366="",AB366="",AC366="",AE366="",AF366=""),"Incompleta: faltan campos obligatorios",IF(AND(LEFT(H366,6)="PROPIA",I366=""),"Falta el nombre de la acción propia del área",IF(AND(LEFT(H366,3)="A27",IFERROR(INDEX(Catalogos!$T$5:$T$207,MATCH(H366,Catalogos!$U$5:$U$207,0)),"x")&lt;&gt;LEFT(E366,7)),"La acción no corresponde a la meta seleccionada",IF(OR(NOT(ISNUMBER(M366)),M366&lt;10000000,M366&gt;99999999),"Código UNSPSC inválido: registre 8 dígitos",IF(MOD(M366,10000)=0,"UNSPSC a nivel de segmento o familia: use clase o producto",IF(IFERROR(MATCH(P366,L_MESES,0)&lt;MATCH(O366,L_MESES,0),TRUE()),"El mes de ofertas es anterior al de inicio del proceso",IF(OR(NOT(ISNUMBER(Q366)),Q366&lt;=0),"Duración inválida",IF(OR(NOT(ISNUMBER(W366)),NOT(ISNUMBER(X366))),"Valor inválido: registre solo números",IF(OR(W366&lt;=0,X366&lt;=0),"Valor inválido: debe ser mayor que cero",IF(X366&gt;W366,"El valor de la vigencia 2027 supera el valor total",IF(AND(X366&lt;W366,Y366="No"),"El valor total supera el de 2027: requiere vigencias futuras",IF(AND(Y366="Sí",OR(Z366="",Z366="No aplica")),"Indique el estado de la solicitud de vigencias futuras",IF(IF(AND(S366="Mínima cuantía",ISNUMBER(P_TOPE_MINIMA)),W366&gt;P_TOPE_MINIMA,FALSE()),"El valor supera el tope de mínima cuantía 2027",IF(IF(AND(S366="Selección abreviada de menor cuantía",ISNUMBER(P_TOPE_MENOR)),W366&gt;P_TOPE_MENOR,FALSE()),"El valor supera el tope de menor cuantía 2027",IF(OR(ISERROR(SEARCH("@itc.edu.co",AE366)),SUMPRODUCT(--ISNUMBER(SEARCH({"á","é","í","ó","ú","ñ"," "},AE366)))&gt;0),"El correo del responsable no es institucional válido",IF(AND(AF366="Sí",AG366=""),"Indique el N.° de registro 2026 que continúa","OK")))))))))))))))))</f>
        <v/>
      </c>
      <c r="AK366" s="15" t="str">
        <f>IF(AJ366="OK",COUNTIF($AJ$7:AJ366,"OK"),"")</f>
        <v/>
      </c>
    </row>
    <row r="367" spans="1:37" x14ac:dyDescent="0.3">
      <c r="A367" s="13" t="str">
        <f t="shared" si="5"/>
        <v>PN27-361</v>
      </c>
      <c r="B367" s="26"/>
      <c r="C367" s="13" t="str">
        <f>IF(B367="","",IFERROR(INDEX(Catalogos!$R$5:$R$51,MATCH(B367,L_AREAS,0)),""))</f>
        <v/>
      </c>
      <c r="D367" s="13" t="str">
        <f>IF(B367="","",IFERROR(INDEX(Catalogos!$O$5:$O$51,MATCH(B367,L_AREAS,0)),""))</f>
        <v/>
      </c>
      <c r="E367" s="26"/>
      <c r="F367" s="13" t="str">
        <f>IF(E367="","",IFERROR(INDEX(Catalogos!$C$5:$C$49,MATCH(E367,L_METAS,0)),""))</f>
        <v/>
      </c>
      <c r="G367" s="13" t="str">
        <f>IF(E367="","",IFERROR(INDEX(Catalogos!$E$5:$E$49,MATCH(E367,L_METAS,0)),""))</f>
        <v/>
      </c>
      <c r="H367" s="26"/>
      <c r="I367" s="26"/>
      <c r="J367" s="26"/>
      <c r="K367" s="26"/>
      <c r="L367" s="26"/>
      <c r="M367" s="27"/>
      <c r="N367" s="26"/>
      <c r="O367" s="26"/>
      <c r="P367" s="26"/>
      <c r="Q367" s="26"/>
      <c r="R367" s="26"/>
      <c r="S367" s="26"/>
      <c r="T367" s="26"/>
      <c r="U367" s="26"/>
      <c r="V367" s="26"/>
      <c r="W367" s="28"/>
      <c r="X367" s="28"/>
      <c r="Y367" s="26"/>
      <c r="Z367" s="26"/>
      <c r="AA367" s="26"/>
      <c r="AB367" s="26"/>
      <c r="AC367" s="26"/>
      <c r="AD367" s="26"/>
      <c r="AE367" s="26"/>
      <c r="AF367" s="26"/>
      <c r="AG367" s="26"/>
      <c r="AH367" s="26"/>
      <c r="AI367" s="26"/>
      <c r="AJ367" s="15" t="str">
        <f>IF(COUNTA(B367,E367,H367,I367,J367,K367,L367,M367,N367,O367,P367,Q367,R367,S367,T367,U367,V367,W367,X367,Y367,Z367,AA367,AB367,AC367,AD367,AE367,AF367,AG367,AH367,AI367)=0,"",IF(OR(B367="",E367="",H367="",J367="",K367="",L367="",M367="",O367="",P367="",Q367="",R367="",S367="",T367="",U367="",W367="",X367="",Y367="",AB367="",AC367="",AE367="",AF367=""),"Incompleta: faltan campos obligatorios",IF(AND(LEFT(H367,6)="PROPIA",I367=""),"Falta el nombre de la acción propia del área",IF(AND(LEFT(H367,3)="A27",IFERROR(INDEX(Catalogos!$T$5:$T$207,MATCH(H367,Catalogos!$U$5:$U$207,0)),"x")&lt;&gt;LEFT(E367,7)),"La acción no corresponde a la meta seleccionada",IF(OR(NOT(ISNUMBER(M367)),M367&lt;10000000,M367&gt;99999999),"Código UNSPSC inválido: registre 8 dígitos",IF(MOD(M367,10000)=0,"UNSPSC a nivel de segmento o familia: use clase o producto",IF(IFERROR(MATCH(P367,L_MESES,0)&lt;MATCH(O367,L_MESES,0),TRUE()),"El mes de ofertas es anterior al de inicio del proceso",IF(OR(NOT(ISNUMBER(Q367)),Q367&lt;=0),"Duración inválida",IF(OR(NOT(ISNUMBER(W367)),NOT(ISNUMBER(X367))),"Valor inválido: registre solo números",IF(OR(W367&lt;=0,X367&lt;=0),"Valor inválido: debe ser mayor que cero",IF(X367&gt;W367,"El valor de la vigencia 2027 supera el valor total",IF(AND(X367&lt;W367,Y367="No"),"El valor total supera el de 2027: requiere vigencias futuras",IF(AND(Y367="Sí",OR(Z367="",Z367="No aplica")),"Indique el estado de la solicitud de vigencias futuras",IF(IF(AND(S367="Mínima cuantía",ISNUMBER(P_TOPE_MINIMA)),W367&gt;P_TOPE_MINIMA,FALSE()),"El valor supera el tope de mínima cuantía 2027",IF(IF(AND(S367="Selección abreviada de menor cuantía",ISNUMBER(P_TOPE_MENOR)),W367&gt;P_TOPE_MENOR,FALSE()),"El valor supera el tope de menor cuantía 2027",IF(OR(ISERROR(SEARCH("@itc.edu.co",AE367)),SUMPRODUCT(--ISNUMBER(SEARCH({"á","é","í","ó","ú","ñ"," "},AE367)))&gt;0),"El correo del responsable no es institucional válido",IF(AND(AF367="Sí",AG367=""),"Indique el N.° de registro 2026 que continúa","OK")))))))))))))))))</f>
        <v/>
      </c>
      <c r="AK367" s="15" t="str">
        <f>IF(AJ367="OK",COUNTIF($AJ$7:AJ367,"OK"),"")</f>
        <v/>
      </c>
    </row>
    <row r="368" spans="1:37" x14ac:dyDescent="0.3">
      <c r="A368" s="13" t="str">
        <f t="shared" si="5"/>
        <v>PN27-362</v>
      </c>
      <c r="B368" s="26"/>
      <c r="C368" s="13" t="str">
        <f>IF(B368="","",IFERROR(INDEX(Catalogos!$R$5:$R$51,MATCH(B368,L_AREAS,0)),""))</f>
        <v/>
      </c>
      <c r="D368" s="13" t="str">
        <f>IF(B368="","",IFERROR(INDEX(Catalogos!$O$5:$O$51,MATCH(B368,L_AREAS,0)),""))</f>
        <v/>
      </c>
      <c r="E368" s="26"/>
      <c r="F368" s="13" t="str">
        <f>IF(E368="","",IFERROR(INDEX(Catalogos!$C$5:$C$49,MATCH(E368,L_METAS,0)),""))</f>
        <v/>
      </c>
      <c r="G368" s="13" t="str">
        <f>IF(E368="","",IFERROR(INDEX(Catalogos!$E$5:$E$49,MATCH(E368,L_METAS,0)),""))</f>
        <v/>
      </c>
      <c r="H368" s="26"/>
      <c r="I368" s="26"/>
      <c r="J368" s="26"/>
      <c r="K368" s="26"/>
      <c r="L368" s="26"/>
      <c r="M368" s="27"/>
      <c r="N368" s="26"/>
      <c r="O368" s="26"/>
      <c r="P368" s="26"/>
      <c r="Q368" s="26"/>
      <c r="R368" s="26"/>
      <c r="S368" s="26"/>
      <c r="T368" s="26"/>
      <c r="U368" s="26"/>
      <c r="V368" s="26"/>
      <c r="W368" s="28"/>
      <c r="X368" s="28"/>
      <c r="Y368" s="26"/>
      <c r="Z368" s="26"/>
      <c r="AA368" s="26"/>
      <c r="AB368" s="26"/>
      <c r="AC368" s="26"/>
      <c r="AD368" s="26"/>
      <c r="AE368" s="26"/>
      <c r="AF368" s="26"/>
      <c r="AG368" s="26"/>
      <c r="AH368" s="26"/>
      <c r="AI368" s="26"/>
      <c r="AJ368" s="15" t="str">
        <f>IF(COUNTA(B368,E368,H368,I368,J368,K368,L368,M368,N368,O368,P368,Q368,R368,S368,T368,U368,V368,W368,X368,Y368,Z368,AA368,AB368,AC368,AD368,AE368,AF368,AG368,AH368,AI368)=0,"",IF(OR(B368="",E368="",H368="",J368="",K368="",L368="",M368="",O368="",P368="",Q368="",R368="",S368="",T368="",U368="",W368="",X368="",Y368="",AB368="",AC368="",AE368="",AF368=""),"Incompleta: faltan campos obligatorios",IF(AND(LEFT(H368,6)="PROPIA",I368=""),"Falta el nombre de la acción propia del área",IF(AND(LEFT(H368,3)="A27",IFERROR(INDEX(Catalogos!$T$5:$T$207,MATCH(H368,Catalogos!$U$5:$U$207,0)),"x")&lt;&gt;LEFT(E368,7)),"La acción no corresponde a la meta seleccionada",IF(OR(NOT(ISNUMBER(M368)),M368&lt;10000000,M368&gt;99999999),"Código UNSPSC inválido: registre 8 dígitos",IF(MOD(M368,10000)=0,"UNSPSC a nivel de segmento o familia: use clase o producto",IF(IFERROR(MATCH(P368,L_MESES,0)&lt;MATCH(O368,L_MESES,0),TRUE()),"El mes de ofertas es anterior al de inicio del proceso",IF(OR(NOT(ISNUMBER(Q368)),Q368&lt;=0),"Duración inválida",IF(OR(NOT(ISNUMBER(W368)),NOT(ISNUMBER(X368))),"Valor inválido: registre solo números",IF(OR(W368&lt;=0,X368&lt;=0),"Valor inválido: debe ser mayor que cero",IF(X368&gt;W368,"El valor de la vigencia 2027 supera el valor total",IF(AND(X368&lt;W368,Y368="No"),"El valor total supera el de 2027: requiere vigencias futuras",IF(AND(Y368="Sí",OR(Z368="",Z368="No aplica")),"Indique el estado de la solicitud de vigencias futuras",IF(IF(AND(S368="Mínima cuantía",ISNUMBER(P_TOPE_MINIMA)),W368&gt;P_TOPE_MINIMA,FALSE()),"El valor supera el tope de mínima cuantía 2027",IF(IF(AND(S368="Selección abreviada de menor cuantía",ISNUMBER(P_TOPE_MENOR)),W368&gt;P_TOPE_MENOR,FALSE()),"El valor supera el tope de menor cuantía 2027",IF(OR(ISERROR(SEARCH("@itc.edu.co",AE368)),SUMPRODUCT(--ISNUMBER(SEARCH({"á","é","í","ó","ú","ñ"," "},AE368)))&gt;0),"El correo del responsable no es institucional válido",IF(AND(AF368="Sí",AG368=""),"Indique el N.° de registro 2026 que continúa","OK")))))))))))))))))</f>
        <v/>
      </c>
      <c r="AK368" s="15" t="str">
        <f>IF(AJ368="OK",COUNTIF($AJ$7:AJ368,"OK"),"")</f>
        <v/>
      </c>
    </row>
    <row r="369" spans="1:37" x14ac:dyDescent="0.3">
      <c r="A369" s="13" t="str">
        <f t="shared" si="5"/>
        <v>PN27-363</v>
      </c>
      <c r="B369" s="26"/>
      <c r="C369" s="13" t="str">
        <f>IF(B369="","",IFERROR(INDEX(Catalogos!$R$5:$R$51,MATCH(B369,L_AREAS,0)),""))</f>
        <v/>
      </c>
      <c r="D369" s="13" t="str">
        <f>IF(B369="","",IFERROR(INDEX(Catalogos!$O$5:$O$51,MATCH(B369,L_AREAS,0)),""))</f>
        <v/>
      </c>
      <c r="E369" s="26"/>
      <c r="F369" s="13" t="str">
        <f>IF(E369="","",IFERROR(INDEX(Catalogos!$C$5:$C$49,MATCH(E369,L_METAS,0)),""))</f>
        <v/>
      </c>
      <c r="G369" s="13" t="str">
        <f>IF(E369="","",IFERROR(INDEX(Catalogos!$E$5:$E$49,MATCH(E369,L_METAS,0)),""))</f>
        <v/>
      </c>
      <c r="H369" s="26"/>
      <c r="I369" s="26"/>
      <c r="J369" s="26"/>
      <c r="K369" s="26"/>
      <c r="L369" s="26"/>
      <c r="M369" s="27"/>
      <c r="N369" s="26"/>
      <c r="O369" s="26"/>
      <c r="P369" s="26"/>
      <c r="Q369" s="26"/>
      <c r="R369" s="26"/>
      <c r="S369" s="26"/>
      <c r="T369" s="26"/>
      <c r="U369" s="26"/>
      <c r="V369" s="26"/>
      <c r="W369" s="28"/>
      <c r="X369" s="28"/>
      <c r="Y369" s="26"/>
      <c r="Z369" s="26"/>
      <c r="AA369" s="26"/>
      <c r="AB369" s="26"/>
      <c r="AC369" s="26"/>
      <c r="AD369" s="26"/>
      <c r="AE369" s="26"/>
      <c r="AF369" s="26"/>
      <c r="AG369" s="26"/>
      <c r="AH369" s="26"/>
      <c r="AI369" s="26"/>
      <c r="AJ369" s="15" t="str">
        <f>IF(COUNTA(B369,E369,H369,I369,J369,K369,L369,M369,N369,O369,P369,Q369,R369,S369,T369,U369,V369,W369,X369,Y369,Z369,AA369,AB369,AC369,AD369,AE369,AF369,AG369,AH369,AI369)=0,"",IF(OR(B369="",E369="",H369="",J369="",K369="",L369="",M369="",O369="",P369="",Q369="",R369="",S369="",T369="",U369="",W369="",X369="",Y369="",AB369="",AC369="",AE369="",AF369=""),"Incompleta: faltan campos obligatorios",IF(AND(LEFT(H369,6)="PROPIA",I369=""),"Falta el nombre de la acción propia del área",IF(AND(LEFT(H369,3)="A27",IFERROR(INDEX(Catalogos!$T$5:$T$207,MATCH(H369,Catalogos!$U$5:$U$207,0)),"x")&lt;&gt;LEFT(E369,7)),"La acción no corresponde a la meta seleccionada",IF(OR(NOT(ISNUMBER(M369)),M369&lt;10000000,M369&gt;99999999),"Código UNSPSC inválido: registre 8 dígitos",IF(MOD(M369,10000)=0,"UNSPSC a nivel de segmento o familia: use clase o producto",IF(IFERROR(MATCH(P369,L_MESES,0)&lt;MATCH(O369,L_MESES,0),TRUE()),"El mes de ofertas es anterior al de inicio del proceso",IF(OR(NOT(ISNUMBER(Q369)),Q369&lt;=0),"Duración inválida",IF(OR(NOT(ISNUMBER(W369)),NOT(ISNUMBER(X369))),"Valor inválido: registre solo números",IF(OR(W369&lt;=0,X369&lt;=0),"Valor inválido: debe ser mayor que cero",IF(X369&gt;W369,"El valor de la vigencia 2027 supera el valor total",IF(AND(X369&lt;W369,Y369="No"),"El valor total supera el de 2027: requiere vigencias futuras",IF(AND(Y369="Sí",OR(Z369="",Z369="No aplica")),"Indique el estado de la solicitud de vigencias futuras",IF(IF(AND(S369="Mínima cuantía",ISNUMBER(P_TOPE_MINIMA)),W369&gt;P_TOPE_MINIMA,FALSE()),"El valor supera el tope de mínima cuantía 2027",IF(IF(AND(S369="Selección abreviada de menor cuantía",ISNUMBER(P_TOPE_MENOR)),W369&gt;P_TOPE_MENOR,FALSE()),"El valor supera el tope de menor cuantía 2027",IF(OR(ISERROR(SEARCH("@itc.edu.co",AE369)),SUMPRODUCT(--ISNUMBER(SEARCH({"á","é","í","ó","ú","ñ"," "},AE369)))&gt;0),"El correo del responsable no es institucional válido",IF(AND(AF369="Sí",AG369=""),"Indique el N.° de registro 2026 que continúa","OK")))))))))))))))))</f>
        <v/>
      </c>
      <c r="AK369" s="15" t="str">
        <f>IF(AJ369="OK",COUNTIF($AJ$7:AJ369,"OK"),"")</f>
        <v/>
      </c>
    </row>
    <row r="370" spans="1:37" x14ac:dyDescent="0.3">
      <c r="A370" s="13" t="str">
        <f t="shared" si="5"/>
        <v>PN27-364</v>
      </c>
      <c r="B370" s="26"/>
      <c r="C370" s="13" t="str">
        <f>IF(B370="","",IFERROR(INDEX(Catalogos!$R$5:$R$51,MATCH(B370,L_AREAS,0)),""))</f>
        <v/>
      </c>
      <c r="D370" s="13" t="str">
        <f>IF(B370="","",IFERROR(INDEX(Catalogos!$O$5:$O$51,MATCH(B370,L_AREAS,0)),""))</f>
        <v/>
      </c>
      <c r="E370" s="26"/>
      <c r="F370" s="13" t="str">
        <f>IF(E370="","",IFERROR(INDEX(Catalogos!$C$5:$C$49,MATCH(E370,L_METAS,0)),""))</f>
        <v/>
      </c>
      <c r="G370" s="13" t="str">
        <f>IF(E370="","",IFERROR(INDEX(Catalogos!$E$5:$E$49,MATCH(E370,L_METAS,0)),""))</f>
        <v/>
      </c>
      <c r="H370" s="26"/>
      <c r="I370" s="26"/>
      <c r="J370" s="26"/>
      <c r="K370" s="26"/>
      <c r="L370" s="26"/>
      <c r="M370" s="27"/>
      <c r="N370" s="26"/>
      <c r="O370" s="26"/>
      <c r="P370" s="26"/>
      <c r="Q370" s="26"/>
      <c r="R370" s="26"/>
      <c r="S370" s="26"/>
      <c r="T370" s="26"/>
      <c r="U370" s="26"/>
      <c r="V370" s="26"/>
      <c r="W370" s="28"/>
      <c r="X370" s="28"/>
      <c r="Y370" s="26"/>
      <c r="Z370" s="26"/>
      <c r="AA370" s="26"/>
      <c r="AB370" s="26"/>
      <c r="AC370" s="26"/>
      <c r="AD370" s="26"/>
      <c r="AE370" s="26"/>
      <c r="AF370" s="26"/>
      <c r="AG370" s="26"/>
      <c r="AH370" s="26"/>
      <c r="AI370" s="26"/>
      <c r="AJ370" s="15" t="str">
        <f>IF(COUNTA(B370,E370,H370,I370,J370,K370,L370,M370,N370,O370,P370,Q370,R370,S370,T370,U370,V370,W370,X370,Y370,Z370,AA370,AB370,AC370,AD370,AE370,AF370,AG370,AH370,AI370)=0,"",IF(OR(B370="",E370="",H370="",J370="",K370="",L370="",M370="",O370="",P370="",Q370="",R370="",S370="",T370="",U370="",W370="",X370="",Y370="",AB370="",AC370="",AE370="",AF370=""),"Incompleta: faltan campos obligatorios",IF(AND(LEFT(H370,6)="PROPIA",I370=""),"Falta el nombre de la acción propia del área",IF(AND(LEFT(H370,3)="A27",IFERROR(INDEX(Catalogos!$T$5:$T$207,MATCH(H370,Catalogos!$U$5:$U$207,0)),"x")&lt;&gt;LEFT(E370,7)),"La acción no corresponde a la meta seleccionada",IF(OR(NOT(ISNUMBER(M370)),M370&lt;10000000,M370&gt;99999999),"Código UNSPSC inválido: registre 8 dígitos",IF(MOD(M370,10000)=0,"UNSPSC a nivel de segmento o familia: use clase o producto",IF(IFERROR(MATCH(P370,L_MESES,0)&lt;MATCH(O370,L_MESES,0),TRUE()),"El mes de ofertas es anterior al de inicio del proceso",IF(OR(NOT(ISNUMBER(Q370)),Q370&lt;=0),"Duración inválida",IF(OR(NOT(ISNUMBER(W370)),NOT(ISNUMBER(X370))),"Valor inválido: registre solo números",IF(OR(W370&lt;=0,X370&lt;=0),"Valor inválido: debe ser mayor que cero",IF(X370&gt;W370,"El valor de la vigencia 2027 supera el valor total",IF(AND(X370&lt;W370,Y370="No"),"El valor total supera el de 2027: requiere vigencias futuras",IF(AND(Y370="Sí",OR(Z370="",Z370="No aplica")),"Indique el estado de la solicitud de vigencias futuras",IF(IF(AND(S370="Mínima cuantía",ISNUMBER(P_TOPE_MINIMA)),W370&gt;P_TOPE_MINIMA,FALSE()),"El valor supera el tope de mínima cuantía 2027",IF(IF(AND(S370="Selección abreviada de menor cuantía",ISNUMBER(P_TOPE_MENOR)),W370&gt;P_TOPE_MENOR,FALSE()),"El valor supera el tope de menor cuantía 2027",IF(OR(ISERROR(SEARCH("@itc.edu.co",AE370)),SUMPRODUCT(--ISNUMBER(SEARCH({"á","é","í","ó","ú","ñ"," "},AE370)))&gt;0),"El correo del responsable no es institucional válido",IF(AND(AF370="Sí",AG370=""),"Indique el N.° de registro 2026 que continúa","OK")))))))))))))))))</f>
        <v/>
      </c>
      <c r="AK370" s="15" t="str">
        <f>IF(AJ370="OK",COUNTIF($AJ$7:AJ370,"OK"),"")</f>
        <v/>
      </c>
    </row>
    <row r="371" spans="1:37" x14ac:dyDescent="0.3">
      <c r="A371" s="13" t="str">
        <f t="shared" si="5"/>
        <v>PN27-365</v>
      </c>
      <c r="B371" s="26"/>
      <c r="C371" s="13" t="str">
        <f>IF(B371="","",IFERROR(INDEX(Catalogos!$R$5:$R$51,MATCH(B371,L_AREAS,0)),""))</f>
        <v/>
      </c>
      <c r="D371" s="13" t="str">
        <f>IF(B371="","",IFERROR(INDEX(Catalogos!$O$5:$O$51,MATCH(B371,L_AREAS,0)),""))</f>
        <v/>
      </c>
      <c r="E371" s="26"/>
      <c r="F371" s="13" t="str">
        <f>IF(E371="","",IFERROR(INDEX(Catalogos!$C$5:$C$49,MATCH(E371,L_METAS,0)),""))</f>
        <v/>
      </c>
      <c r="G371" s="13" t="str">
        <f>IF(E371="","",IFERROR(INDEX(Catalogos!$E$5:$E$49,MATCH(E371,L_METAS,0)),""))</f>
        <v/>
      </c>
      <c r="H371" s="26"/>
      <c r="I371" s="26"/>
      <c r="J371" s="26"/>
      <c r="K371" s="26"/>
      <c r="L371" s="26"/>
      <c r="M371" s="27"/>
      <c r="N371" s="26"/>
      <c r="O371" s="26"/>
      <c r="P371" s="26"/>
      <c r="Q371" s="26"/>
      <c r="R371" s="26"/>
      <c r="S371" s="26"/>
      <c r="T371" s="26"/>
      <c r="U371" s="26"/>
      <c r="V371" s="26"/>
      <c r="W371" s="28"/>
      <c r="X371" s="28"/>
      <c r="Y371" s="26"/>
      <c r="Z371" s="26"/>
      <c r="AA371" s="26"/>
      <c r="AB371" s="26"/>
      <c r="AC371" s="26"/>
      <c r="AD371" s="26"/>
      <c r="AE371" s="26"/>
      <c r="AF371" s="26"/>
      <c r="AG371" s="26"/>
      <c r="AH371" s="26"/>
      <c r="AI371" s="26"/>
      <c r="AJ371" s="15" t="str">
        <f>IF(COUNTA(B371,E371,H371,I371,J371,K371,L371,M371,N371,O371,P371,Q371,R371,S371,T371,U371,V371,W371,X371,Y371,Z371,AA371,AB371,AC371,AD371,AE371,AF371,AG371,AH371,AI371)=0,"",IF(OR(B371="",E371="",H371="",J371="",K371="",L371="",M371="",O371="",P371="",Q371="",R371="",S371="",T371="",U371="",W371="",X371="",Y371="",AB371="",AC371="",AE371="",AF371=""),"Incompleta: faltan campos obligatorios",IF(AND(LEFT(H371,6)="PROPIA",I371=""),"Falta el nombre de la acción propia del área",IF(AND(LEFT(H371,3)="A27",IFERROR(INDEX(Catalogos!$T$5:$T$207,MATCH(H371,Catalogos!$U$5:$U$207,0)),"x")&lt;&gt;LEFT(E371,7)),"La acción no corresponde a la meta seleccionada",IF(OR(NOT(ISNUMBER(M371)),M371&lt;10000000,M371&gt;99999999),"Código UNSPSC inválido: registre 8 dígitos",IF(MOD(M371,10000)=0,"UNSPSC a nivel de segmento o familia: use clase o producto",IF(IFERROR(MATCH(P371,L_MESES,0)&lt;MATCH(O371,L_MESES,0),TRUE()),"El mes de ofertas es anterior al de inicio del proceso",IF(OR(NOT(ISNUMBER(Q371)),Q371&lt;=0),"Duración inválida",IF(OR(NOT(ISNUMBER(W371)),NOT(ISNUMBER(X371))),"Valor inválido: registre solo números",IF(OR(W371&lt;=0,X371&lt;=0),"Valor inválido: debe ser mayor que cero",IF(X371&gt;W371,"El valor de la vigencia 2027 supera el valor total",IF(AND(X371&lt;W371,Y371="No"),"El valor total supera el de 2027: requiere vigencias futuras",IF(AND(Y371="Sí",OR(Z371="",Z371="No aplica")),"Indique el estado de la solicitud de vigencias futuras",IF(IF(AND(S371="Mínima cuantía",ISNUMBER(P_TOPE_MINIMA)),W371&gt;P_TOPE_MINIMA,FALSE()),"El valor supera el tope de mínima cuantía 2027",IF(IF(AND(S371="Selección abreviada de menor cuantía",ISNUMBER(P_TOPE_MENOR)),W371&gt;P_TOPE_MENOR,FALSE()),"El valor supera el tope de menor cuantía 2027",IF(OR(ISERROR(SEARCH("@itc.edu.co",AE371)),SUMPRODUCT(--ISNUMBER(SEARCH({"á","é","í","ó","ú","ñ"," "},AE371)))&gt;0),"El correo del responsable no es institucional válido",IF(AND(AF371="Sí",AG371=""),"Indique el N.° de registro 2026 que continúa","OK")))))))))))))))))</f>
        <v/>
      </c>
      <c r="AK371" s="15" t="str">
        <f>IF(AJ371="OK",COUNTIF($AJ$7:AJ371,"OK"),"")</f>
        <v/>
      </c>
    </row>
    <row r="372" spans="1:37" x14ac:dyDescent="0.3">
      <c r="A372" s="13" t="str">
        <f t="shared" si="5"/>
        <v>PN27-366</v>
      </c>
      <c r="B372" s="26"/>
      <c r="C372" s="13" t="str">
        <f>IF(B372="","",IFERROR(INDEX(Catalogos!$R$5:$R$51,MATCH(B372,L_AREAS,0)),""))</f>
        <v/>
      </c>
      <c r="D372" s="13" t="str">
        <f>IF(B372="","",IFERROR(INDEX(Catalogos!$O$5:$O$51,MATCH(B372,L_AREAS,0)),""))</f>
        <v/>
      </c>
      <c r="E372" s="26"/>
      <c r="F372" s="13" t="str">
        <f>IF(E372="","",IFERROR(INDEX(Catalogos!$C$5:$C$49,MATCH(E372,L_METAS,0)),""))</f>
        <v/>
      </c>
      <c r="G372" s="13" t="str">
        <f>IF(E372="","",IFERROR(INDEX(Catalogos!$E$5:$E$49,MATCH(E372,L_METAS,0)),""))</f>
        <v/>
      </c>
      <c r="H372" s="26"/>
      <c r="I372" s="26"/>
      <c r="J372" s="26"/>
      <c r="K372" s="26"/>
      <c r="L372" s="26"/>
      <c r="M372" s="27"/>
      <c r="N372" s="26"/>
      <c r="O372" s="26"/>
      <c r="P372" s="26"/>
      <c r="Q372" s="26"/>
      <c r="R372" s="26"/>
      <c r="S372" s="26"/>
      <c r="T372" s="26"/>
      <c r="U372" s="26"/>
      <c r="V372" s="26"/>
      <c r="W372" s="28"/>
      <c r="X372" s="28"/>
      <c r="Y372" s="26"/>
      <c r="Z372" s="26"/>
      <c r="AA372" s="26"/>
      <c r="AB372" s="26"/>
      <c r="AC372" s="26"/>
      <c r="AD372" s="26"/>
      <c r="AE372" s="26"/>
      <c r="AF372" s="26"/>
      <c r="AG372" s="26"/>
      <c r="AH372" s="26"/>
      <c r="AI372" s="26"/>
      <c r="AJ372" s="15" t="str">
        <f>IF(COUNTA(B372,E372,H372,I372,J372,K372,L372,M372,N372,O372,P372,Q372,R372,S372,T372,U372,V372,W372,X372,Y372,Z372,AA372,AB372,AC372,AD372,AE372,AF372,AG372,AH372,AI372)=0,"",IF(OR(B372="",E372="",H372="",J372="",K372="",L372="",M372="",O372="",P372="",Q372="",R372="",S372="",T372="",U372="",W372="",X372="",Y372="",AB372="",AC372="",AE372="",AF372=""),"Incompleta: faltan campos obligatorios",IF(AND(LEFT(H372,6)="PROPIA",I372=""),"Falta el nombre de la acción propia del área",IF(AND(LEFT(H372,3)="A27",IFERROR(INDEX(Catalogos!$T$5:$T$207,MATCH(H372,Catalogos!$U$5:$U$207,0)),"x")&lt;&gt;LEFT(E372,7)),"La acción no corresponde a la meta seleccionada",IF(OR(NOT(ISNUMBER(M372)),M372&lt;10000000,M372&gt;99999999),"Código UNSPSC inválido: registre 8 dígitos",IF(MOD(M372,10000)=0,"UNSPSC a nivel de segmento o familia: use clase o producto",IF(IFERROR(MATCH(P372,L_MESES,0)&lt;MATCH(O372,L_MESES,0),TRUE()),"El mes de ofertas es anterior al de inicio del proceso",IF(OR(NOT(ISNUMBER(Q372)),Q372&lt;=0),"Duración inválida",IF(OR(NOT(ISNUMBER(W372)),NOT(ISNUMBER(X372))),"Valor inválido: registre solo números",IF(OR(W372&lt;=0,X372&lt;=0),"Valor inválido: debe ser mayor que cero",IF(X372&gt;W372,"El valor de la vigencia 2027 supera el valor total",IF(AND(X372&lt;W372,Y372="No"),"El valor total supera el de 2027: requiere vigencias futuras",IF(AND(Y372="Sí",OR(Z372="",Z372="No aplica")),"Indique el estado de la solicitud de vigencias futuras",IF(IF(AND(S372="Mínima cuantía",ISNUMBER(P_TOPE_MINIMA)),W372&gt;P_TOPE_MINIMA,FALSE()),"El valor supera el tope de mínima cuantía 2027",IF(IF(AND(S372="Selección abreviada de menor cuantía",ISNUMBER(P_TOPE_MENOR)),W372&gt;P_TOPE_MENOR,FALSE()),"El valor supera el tope de menor cuantía 2027",IF(OR(ISERROR(SEARCH("@itc.edu.co",AE372)),SUMPRODUCT(--ISNUMBER(SEARCH({"á","é","í","ó","ú","ñ"," "},AE372)))&gt;0),"El correo del responsable no es institucional válido",IF(AND(AF372="Sí",AG372=""),"Indique el N.° de registro 2026 que continúa","OK")))))))))))))))))</f>
        <v/>
      </c>
      <c r="AK372" s="15" t="str">
        <f>IF(AJ372="OK",COUNTIF($AJ$7:AJ372,"OK"),"")</f>
        <v/>
      </c>
    </row>
    <row r="373" spans="1:37" x14ac:dyDescent="0.3">
      <c r="A373" s="13" t="str">
        <f t="shared" si="5"/>
        <v>PN27-367</v>
      </c>
      <c r="B373" s="26"/>
      <c r="C373" s="13" t="str">
        <f>IF(B373="","",IFERROR(INDEX(Catalogos!$R$5:$R$51,MATCH(B373,L_AREAS,0)),""))</f>
        <v/>
      </c>
      <c r="D373" s="13" t="str">
        <f>IF(B373="","",IFERROR(INDEX(Catalogos!$O$5:$O$51,MATCH(B373,L_AREAS,0)),""))</f>
        <v/>
      </c>
      <c r="E373" s="26"/>
      <c r="F373" s="13" t="str">
        <f>IF(E373="","",IFERROR(INDEX(Catalogos!$C$5:$C$49,MATCH(E373,L_METAS,0)),""))</f>
        <v/>
      </c>
      <c r="G373" s="13" t="str">
        <f>IF(E373="","",IFERROR(INDEX(Catalogos!$E$5:$E$49,MATCH(E373,L_METAS,0)),""))</f>
        <v/>
      </c>
      <c r="H373" s="26"/>
      <c r="I373" s="26"/>
      <c r="J373" s="26"/>
      <c r="K373" s="26"/>
      <c r="L373" s="26"/>
      <c r="M373" s="27"/>
      <c r="N373" s="26"/>
      <c r="O373" s="26"/>
      <c r="P373" s="26"/>
      <c r="Q373" s="26"/>
      <c r="R373" s="26"/>
      <c r="S373" s="26"/>
      <c r="T373" s="26"/>
      <c r="U373" s="26"/>
      <c r="V373" s="26"/>
      <c r="W373" s="28"/>
      <c r="X373" s="28"/>
      <c r="Y373" s="26"/>
      <c r="Z373" s="26"/>
      <c r="AA373" s="26"/>
      <c r="AB373" s="26"/>
      <c r="AC373" s="26"/>
      <c r="AD373" s="26"/>
      <c r="AE373" s="26"/>
      <c r="AF373" s="26"/>
      <c r="AG373" s="26"/>
      <c r="AH373" s="26"/>
      <c r="AI373" s="26"/>
      <c r="AJ373" s="15" t="str">
        <f>IF(COUNTA(B373,E373,H373,I373,J373,K373,L373,M373,N373,O373,P373,Q373,R373,S373,T373,U373,V373,W373,X373,Y373,Z373,AA373,AB373,AC373,AD373,AE373,AF373,AG373,AH373,AI373)=0,"",IF(OR(B373="",E373="",H373="",J373="",K373="",L373="",M373="",O373="",P373="",Q373="",R373="",S373="",T373="",U373="",W373="",X373="",Y373="",AB373="",AC373="",AE373="",AF373=""),"Incompleta: faltan campos obligatorios",IF(AND(LEFT(H373,6)="PROPIA",I373=""),"Falta el nombre de la acción propia del área",IF(AND(LEFT(H373,3)="A27",IFERROR(INDEX(Catalogos!$T$5:$T$207,MATCH(H373,Catalogos!$U$5:$U$207,0)),"x")&lt;&gt;LEFT(E373,7)),"La acción no corresponde a la meta seleccionada",IF(OR(NOT(ISNUMBER(M373)),M373&lt;10000000,M373&gt;99999999),"Código UNSPSC inválido: registre 8 dígitos",IF(MOD(M373,10000)=0,"UNSPSC a nivel de segmento o familia: use clase o producto",IF(IFERROR(MATCH(P373,L_MESES,0)&lt;MATCH(O373,L_MESES,0),TRUE()),"El mes de ofertas es anterior al de inicio del proceso",IF(OR(NOT(ISNUMBER(Q373)),Q373&lt;=0),"Duración inválida",IF(OR(NOT(ISNUMBER(W373)),NOT(ISNUMBER(X373))),"Valor inválido: registre solo números",IF(OR(W373&lt;=0,X373&lt;=0),"Valor inválido: debe ser mayor que cero",IF(X373&gt;W373,"El valor de la vigencia 2027 supera el valor total",IF(AND(X373&lt;W373,Y373="No"),"El valor total supera el de 2027: requiere vigencias futuras",IF(AND(Y373="Sí",OR(Z373="",Z373="No aplica")),"Indique el estado de la solicitud de vigencias futuras",IF(IF(AND(S373="Mínima cuantía",ISNUMBER(P_TOPE_MINIMA)),W373&gt;P_TOPE_MINIMA,FALSE()),"El valor supera el tope de mínima cuantía 2027",IF(IF(AND(S373="Selección abreviada de menor cuantía",ISNUMBER(P_TOPE_MENOR)),W373&gt;P_TOPE_MENOR,FALSE()),"El valor supera el tope de menor cuantía 2027",IF(OR(ISERROR(SEARCH("@itc.edu.co",AE373)),SUMPRODUCT(--ISNUMBER(SEARCH({"á","é","í","ó","ú","ñ"," "},AE373)))&gt;0),"El correo del responsable no es institucional válido",IF(AND(AF373="Sí",AG373=""),"Indique el N.° de registro 2026 que continúa","OK")))))))))))))))))</f>
        <v/>
      </c>
      <c r="AK373" s="15" t="str">
        <f>IF(AJ373="OK",COUNTIF($AJ$7:AJ373,"OK"),"")</f>
        <v/>
      </c>
    </row>
    <row r="374" spans="1:37" x14ac:dyDescent="0.3">
      <c r="A374" s="13" t="str">
        <f t="shared" si="5"/>
        <v>PN27-368</v>
      </c>
      <c r="B374" s="26"/>
      <c r="C374" s="13" t="str">
        <f>IF(B374="","",IFERROR(INDEX(Catalogos!$R$5:$R$51,MATCH(B374,L_AREAS,0)),""))</f>
        <v/>
      </c>
      <c r="D374" s="13" t="str">
        <f>IF(B374="","",IFERROR(INDEX(Catalogos!$O$5:$O$51,MATCH(B374,L_AREAS,0)),""))</f>
        <v/>
      </c>
      <c r="E374" s="26"/>
      <c r="F374" s="13" t="str">
        <f>IF(E374="","",IFERROR(INDEX(Catalogos!$C$5:$C$49,MATCH(E374,L_METAS,0)),""))</f>
        <v/>
      </c>
      <c r="G374" s="13" t="str">
        <f>IF(E374="","",IFERROR(INDEX(Catalogos!$E$5:$E$49,MATCH(E374,L_METAS,0)),""))</f>
        <v/>
      </c>
      <c r="H374" s="26"/>
      <c r="I374" s="26"/>
      <c r="J374" s="26"/>
      <c r="K374" s="26"/>
      <c r="L374" s="26"/>
      <c r="M374" s="27"/>
      <c r="N374" s="26"/>
      <c r="O374" s="26"/>
      <c r="P374" s="26"/>
      <c r="Q374" s="26"/>
      <c r="R374" s="26"/>
      <c r="S374" s="26"/>
      <c r="T374" s="26"/>
      <c r="U374" s="26"/>
      <c r="V374" s="26"/>
      <c r="W374" s="28"/>
      <c r="X374" s="28"/>
      <c r="Y374" s="26"/>
      <c r="Z374" s="26"/>
      <c r="AA374" s="26"/>
      <c r="AB374" s="26"/>
      <c r="AC374" s="26"/>
      <c r="AD374" s="26"/>
      <c r="AE374" s="26"/>
      <c r="AF374" s="26"/>
      <c r="AG374" s="26"/>
      <c r="AH374" s="26"/>
      <c r="AI374" s="26"/>
      <c r="AJ374" s="15" t="str">
        <f>IF(COUNTA(B374,E374,H374,I374,J374,K374,L374,M374,N374,O374,P374,Q374,R374,S374,T374,U374,V374,W374,X374,Y374,Z374,AA374,AB374,AC374,AD374,AE374,AF374,AG374,AH374,AI374)=0,"",IF(OR(B374="",E374="",H374="",J374="",K374="",L374="",M374="",O374="",P374="",Q374="",R374="",S374="",T374="",U374="",W374="",X374="",Y374="",AB374="",AC374="",AE374="",AF374=""),"Incompleta: faltan campos obligatorios",IF(AND(LEFT(H374,6)="PROPIA",I374=""),"Falta el nombre de la acción propia del área",IF(AND(LEFT(H374,3)="A27",IFERROR(INDEX(Catalogos!$T$5:$T$207,MATCH(H374,Catalogos!$U$5:$U$207,0)),"x")&lt;&gt;LEFT(E374,7)),"La acción no corresponde a la meta seleccionada",IF(OR(NOT(ISNUMBER(M374)),M374&lt;10000000,M374&gt;99999999),"Código UNSPSC inválido: registre 8 dígitos",IF(MOD(M374,10000)=0,"UNSPSC a nivel de segmento o familia: use clase o producto",IF(IFERROR(MATCH(P374,L_MESES,0)&lt;MATCH(O374,L_MESES,0),TRUE()),"El mes de ofertas es anterior al de inicio del proceso",IF(OR(NOT(ISNUMBER(Q374)),Q374&lt;=0),"Duración inválida",IF(OR(NOT(ISNUMBER(W374)),NOT(ISNUMBER(X374))),"Valor inválido: registre solo números",IF(OR(W374&lt;=0,X374&lt;=0),"Valor inválido: debe ser mayor que cero",IF(X374&gt;W374,"El valor de la vigencia 2027 supera el valor total",IF(AND(X374&lt;W374,Y374="No"),"El valor total supera el de 2027: requiere vigencias futuras",IF(AND(Y374="Sí",OR(Z374="",Z374="No aplica")),"Indique el estado de la solicitud de vigencias futuras",IF(IF(AND(S374="Mínima cuantía",ISNUMBER(P_TOPE_MINIMA)),W374&gt;P_TOPE_MINIMA,FALSE()),"El valor supera el tope de mínima cuantía 2027",IF(IF(AND(S374="Selección abreviada de menor cuantía",ISNUMBER(P_TOPE_MENOR)),W374&gt;P_TOPE_MENOR,FALSE()),"El valor supera el tope de menor cuantía 2027",IF(OR(ISERROR(SEARCH("@itc.edu.co",AE374)),SUMPRODUCT(--ISNUMBER(SEARCH({"á","é","í","ó","ú","ñ"," "},AE374)))&gt;0),"El correo del responsable no es institucional válido",IF(AND(AF374="Sí",AG374=""),"Indique el N.° de registro 2026 que continúa","OK")))))))))))))))))</f>
        <v/>
      </c>
      <c r="AK374" s="15" t="str">
        <f>IF(AJ374="OK",COUNTIF($AJ$7:AJ374,"OK"),"")</f>
        <v/>
      </c>
    </row>
    <row r="375" spans="1:37" x14ac:dyDescent="0.3">
      <c r="A375" s="13" t="str">
        <f t="shared" si="5"/>
        <v>PN27-369</v>
      </c>
      <c r="B375" s="26"/>
      <c r="C375" s="13" t="str">
        <f>IF(B375="","",IFERROR(INDEX(Catalogos!$R$5:$R$51,MATCH(B375,L_AREAS,0)),""))</f>
        <v/>
      </c>
      <c r="D375" s="13" t="str">
        <f>IF(B375="","",IFERROR(INDEX(Catalogos!$O$5:$O$51,MATCH(B375,L_AREAS,0)),""))</f>
        <v/>
      </c>
      <c r="E375" s="26"/>
      <c r="F375" s="13" t="str">
        <f>IF(E375="","",IFERROR(INDEX(Catalogos!$C$5:$C$49,MATCH(E375,L_METAS,0)),""))</f>
        <v/>
      </c>
      <c r="G375" s="13" t="str">
        <f>IF(E375="","",IFERROR(INDEX(Catalogos!$E$5:$E$49,MATCH(E375,L_METAS,0)),""))</f>
        <v/>
      </c>
      <c r="H375" s="26"/>
      <c r="I375" s="26"/>
      <c r="J375" s="26"/>
      <c r="K375" s="26"/>
      <c r="L375" s="26"/>
      <c r="M375" s="27"/>
      <c r="N375" s="26"/>
      <c r="O375" s="26"/>
      <c r="P375" s="26"/>
      <c r="Q375" s="26"/>
      <c r="R375" s="26"/>
      <c r="S375" s="26"/>
      <c r="T375" s="26"/>
      <c r="U375" s="26"/>
      <c r="V375" s="26"/>
      <c r="W375" s="28"/>
      <c r="X375" s="28"/>
      <c r="Y375" s="26"/>
      <c r="Z375" s="26"/>
      <c r="AA375" s="26"/>
      <c r="AB375" s="26"/>
      <c r="AC375" s="26"/>
      <c r="AD375" s="26"/>
      <c r="AE375" s="26"/>
      <c r="AF375" s="26"/>
      <c r="AG375" s="26"/>
      <c r="AH375" s="26"/>
      <c r="AI375" s="26"/>
      <c r="AJ375" s="15" t="str">
        <f>IF(COUNTA(B375,E375,H375,I375,J375,K375,L375,M375,N375,O375,P375,Q375,R375,S375,T375,U375,V375,W375,X375,Y375,Z375,AA375,AB375,AC375,AD375,AE375,AF375,AG375,AH375,AI375)=0,"",IF(OR(B375="",E375="",H375="",J375="",K375="",L375="",M375="",O375="",P375="",Q375="",R375="",S375="",T375="",U375="",W375="",X375="",Y375="",AB375="",AC375="",AE375="",AF375=""),"Incompleta: faltan campos obligatorios",IF(AND(LEFT(H375,6)="PROPIA",I375=""),"Falta el nombre de la acción propia del área",IF(AND(LEFT(H375,3)="A27",IFERROR(INDEX(Catalogos!$T$5:$T$207,MATCH(H375,Catalogos!$U$5:$U$207,0)),"x")&lt;&gt;LEFT(E375,7)),"La acción no corresponde a la meta seleccionada",IF(OR(NOT(ISNUMBER(M375)),M375&lt;10000000,M375&gt;99999999),"Código UNSPSC inválido: registre 8 dígitos",IF(MOD(M375,10000)=0,"UNSPSC a nivel de segmento o familia: use clase o producto",IF(IFERROR(MATCH(P375,L_MESES,0)&lt;MATCH(O375,L_MESES,0),TRUE()),"El mes de ofertas es anterior al de inicio del proceso",IF(OR(NOT(ISNUMBER(Q375)),Q375&lt;=0),"Duración inválida",IF(OR(NOT(ISNUMBER(W375)),NOT(ISNUMBER(X375))),"Valor inválido: registre solo números",IF(OR(W375&lt;=0,X375&lt;=0),"Valor inválido: debe ser mayor que cero",IF(X375&gt;W375,"El valor de la vigencia 2027 supera el valor total",IF(AND(X375&lt;W375,Y375="No"),"El valor total supera el de 2027: requiere vigencias futuras",IF(AND(Y375="Sí",OR(Z375="",Z375="No aplica")),"Indique el estado de la solicitud de vigencias futuras",IF(IF(AND(S375="Mínima cuantía",ISNUMBER(P_TOPE_MINIMA)),W375&gt;P_TOPE_MINIMA,FALSE()),"El valor supera el tope de mínima cuantía 2027",IF(IF(AND(S375="Selección abreviada de menor cuantía",ISNUMBER(P_TOPE_MENOR)),W375&gt;P_TOPE_MENOR,FALSE()),"El valor supera el tope de menor cuantía 2027",IF(OR(ISERROR(SEARCH("@itc.edu.co",AE375)),SUMPRODUCT(--ISNUMBER(SEARCH({"á","é","í","ó","ú","ñ"," "},AE375)))&gt;0),"El correo del responsable no es institucional válido",IF(AND(AF375="Sí",AG375=""),"Indique el N.° de registro 2026 que continúa","OK")))))))))))))))))</f>
        <v/>
      </c>
      <c r="AK375" s="15" t="str">
        <f>IF(AJ375="OK",COUNTIF($AJ$7:AJ375,"OK"),"")</f>
        <v/>
      </c>
    </row>
    <row r="376" spans="1:37" x14ac:dyDescent="0.3">
      <c r="A376" s="13" t="str">
        <f t="shared" si="5"/>
        <v>PN27-370</v>
      </c>
      <c r="B376" s="26"/>
      <c r="C376" s="13" t="str">
        <f>IF(B376="","",IFERROR(INDEX(Catalogos!$R$5:$R$51,MATCH(B376,L_AREAS,0)),""))</f>
        <v/>
      </c>
      <c r="D376" s="13" t="str">
        <f>IF(B376="","",IFERROR(INDEX(Catalogos!$O$5:$O$51,MATCH(B376,L_AREAS,0)),""))</f>
        <v/>
      </c>
      <c r="E376" s="26"/>
      <c r="F376" s="13" t="str">
        <f>IF(E376="","",IFERROR(INDEX(Catalogos!$C$5:$C$49,MATCH(E376,L_METAS,0)),""))</f>
        <v/>
      </c>
      <c r="G376" s="13" t="str">
        <f>IF(E376="","",IFERROR(INDEX(Catalogos!$E$5:$E$49,MATCH(E376,L_METAS,0)),""))</f>
        <v/>
      </c>
      <c r="H376" s="26"/>
      <c r="I376" s="26"/>
      <c r="J376" s="26"/>
      <c r="K376" s="26"/>
      <c r="L376" s="26"/>
      <c r="M376" s="27"/>
      <c r="N376" s="26"/>
      <c r="O376" s="26"/>
      <c r="P376" s="26"/>
      <c r="Q376" s="26"/>
      <c r="R376" s="26"/>
      <c r="S376" s="26"/>
      <c r="T376" s="26"/>
      <c r="U376" s="26"/>
      <c r="V376" s="26"/>
      <c r="W376" s="28"/>
      <c r="X376" s="28"/>
      <c r="Y376" s="26"/>
      <c r="Z376" s="26"/>
      <c r="AA376" s="26"/>
      <c r="AB376" s="26"/>
      <c r="AC376" s="26"/>
      <c r="AD376" s="26"/>
      <c r="AE376" s="26"/>
      <c r="AF376" s="26"/>
      <c r="AG376" s="26"/>
      <c r="AH376" s="26"/>
      <c r="AI376" s="26"/>
      <c r="AJ376" s="15" t="str">
        <f>IF(COUNTA(B376,E376,H376,I376,J376,K376,L376,M376,N376,O376,P376,Q376,R376,S376,T376,U376,V376,W376,X376,Y376,Z376,AA376,AB376,AC376,AD376,AE376,AF376,AG376,AH376,AI376)=0,"",IF(OR(B376="",E376="",H376="",J376="",K376="",L376="",M376="",O376="",P376="",Q376="",R376="",S376="",T376="",U376="",W376="",X376="",Y376="",AB376="",AC376="",AE376="",AF376=""),"Incompleta: faltan campos obligatorios",IF(AND(LEFT(H376,6)="PROPIA",I376=""),"Falta el nombre de la acción propia del área",IF(AND(LEFT(H376,3)="A27",IFERROR(INDEX(Catalogos!$T$5:$T$207,MATCH(H376,Catalogos!$U$5:$U$207,0)),"x")&lt;&gt;LEFT(E376,7)),"La acción no corresponde a la meta seleccionada",IF(OR(NOT(ISNUMBER(M376)),M376&lt;10000000,M376&gt;99999999),"Código UNSPSC inválido: registre 8 dígitos",IF(MOD(M376,10000)=0,"UNSPSC a nivel de segmento o familia: use clase o producto",IF(IFERROR(MATCH(P376,L_MESES,0)&lt;MATCH(O376,L_MESES,0),TRUE()),"El mes de ofertas es anterior al de inicio del proceso",IF(OR(NOT(ISNUMBER(Q376)),Q376&lt;=0),"Duración inválida",IF(OR(NOT(ISNUMBER(W376)),NOT(ISNUMBER(X376))),"Valor inválido: registre solo números",IF(OR(W376&lt;=0,X376&lt;=0),"Valor inválido: debe ser mayor que cero",IF(X376&gt;W376,"El valor de la vigencia 2027 supera el valor total",IF(AND(X376&lt;W376,Y376="No"),"El valor total supera el de 2027: requiere vigencias futuras",IF(AND(Y376="Sí",OR(Z376="",Z376="No aplica")),"Indique el estado de la solicitud de vigencias futuras",IF(IF(AND(S376="Mínima cuantía",ISNUMBER(P_TOPE_MINIMA)),W376&gt;P_TOPE_MINIMA,FALSE()),"El valor supera el tope de mínima cuantía 2027",IF(IF(AND(S376="Selección abreviada de menor cuantía",ISNUMBER(P_TOPE_MENOR)),W376&gt;P_TOPE_MENOR,FALSE()),"El valor supera el tope de menor cuantía 2027",IF(OR(ISERROR(SEARCH("@itc.edu.co",AE376)),SUMPRODUCT(--ISNUMBER(SEARCH({"á","é","í","ó","ú","ñ"," "},AE376)))&gt;0),"El correo del responsable no es institucional válido",IF(AND(AF376="Sí",AG376=""),"Indique el N.° de registro 2026 que continúa","OK")))))))))))))))))</f>
        <v/>
      </c>
      <c r="AK376" s="15" t="str">
        <f>IF(AJ376="OK",COUNTIF($AJ$7:AJ376,"OK"),"")</f>
        <v/>
      </c>
    </row>
    <row r="377" spans="1:37" x14ac:dyDescent="0.3">
      <c r="A377" s="13" t="str">
        <f t="shared" si="5"/>
        <v>PN27-371</v>
      </c>
      <c r="B377" s="26"/>
      <c r="C377" s="13" t="str">
        <f>IF(B377="","",IFERROR(INDEX(Catalogos!$R$5:$R$51,MATCH(B377,L_AREAS,0)),""))</f>
        <v/>
      </c>
      <c r="D377" s="13" t="str">
        <f>IF(B377="","",IFERROR(INDEX(Catalogos!$O$5:$O$51,MATCH(B377,L_AREAS,0)),""))</f>
        <v/>
      </c>
      <c r="E377" s="26"/>
      <c r="F377" s="13" t="str">
        <f>IF(E377="","",IFERROR(INDEX(Catalogos!$C$5:$C$49,MATCH(E377,L_METAS,0)),""))</f>
        <v/>
      </c>
      <c r="G377" s="13" t="str">
        <f>IF(E377="","",IFERROR(INDEX(Catalogos!$E$5:$E$49,MATCH(E377,L_METAS,0)),""))</f>
        <v/>
      </c>
      <c r="H377" s="26"/>
      <c r="I377" s="26"/>
      <c r="J377" s="26"/>
      <c r="K377" s="26"/>
      <c r="L377" s="26"/>
      <c r="M377" s="27"/>
      <c r="N377" s="26"/>
      <c r="O377" s="26"/>
      <c r="P377" s="26"/>
      <c r="Q377" s="26"/>
      <c r="R377" s="26"/>
      <c r="S377" s="26"/>
      <c r="T377" s="26"/>
      <c r="U377" s="26"/>
      <c r="V377" s="26"/>
      <c r="W377" s="28"/>
      <c r="X377" s="28"/>
      <c r="Y377" s="26"/>
      <c r="Z377" s="26"/>
      <c r="AA377" s="26"/>
      <c r="AB377" s="26"/>
      <c r="AC377" s="26"/>
      <c r="AD377" s="26"/>
      <c r="AE377" s="26"/>
      <c r="AF377" s="26"/>
      <c r="AG377" s="26"/>
      <c r="AH377" s="26"/>
      <c r="AI377" s="26"/>
      <c r="AJ377" s="15" t="str">
        <f>IF(COUNTA(B377,E377,H377,I377,J377,K377,L377,M377,N377,O377,P377,Q377,R377,S377,T377,U377,V377,W377,X377,Y377,Z377,AA377,AB377,AC377,AD377,AE377,AF377,AG377,AH377,AI377)=0,"",IF(OR(B377="",E377="",H377="",J377="",K377="",L377="",M377="",O377="",P377="",Q377="",R377="",S377="",T377="",U377="",W377="",X377="",Y377="",AB377="",AC377="",AE377="",AF377=""),"Incompleta: faltan campos obligatorios",IF(AND(LEFT(H377,6)="PROPIA",I377=""),"Falta el nombre de la acción propia del área",IF(AND(LEFT(H377,3)="A27",IFERROR(INDEX(Catalogos!$T$5:$T$207,MATCH(H377,Catalogos!$U$5:$U$207,0)),"x")&lt;&gt;LEFT(E377,7)),"La acción no corresponde a la meta seleccionada",IF(OR(NOT(ISNUMBER(M377)),M377&lt;10000000,M377&gt;99999999),"Código UNSPSC inválido: registre 8 dígitos",IF(MOD(M377,10000)=0,"UNSPSC a nivel de segmento o familia: use clase o producto",IF(IFERROR(MATCH(P377,L_MESES,0)&lt;MATCH(O377,L_MESES,0),TRUE()),"El mes de ofertas es anterior al de inicio del proceso",IF(OR(NOT(ISNUMBER(Q377)),Q377&lt;=0),"Duración inválida",IF(OR(NOT(ISNUMBER(W377)),NOT(ISNUMBER(X377))),"Valor inválido: registre solo números",IF(OR(W377&lt;=0,X377&lt;=0),"Valor inválido: debe ser mayor que cero",IF(X377&gt;W377,"El valor de la vigencia 2027 supera el valor total",IF(AND(X377&lt;W377,Y377="No"),"El valor total supera el de 2027: requiere vigencias futuras",IF(AND(Y377="Sí",OR(Z377="",Z377="No aplica")),"Indique el estado de la solicitud de vigencias futuras",IF(IF(AND(S377="Mínima cuantía",ISNUMBER(P_TOPE_MINIMA)),W377&gt;P_TOPE_MINIMA,FALSE()),"El valor supera el tope de mínima cuantía 2027",IF(IF(AND(S377="Selección abreviada de menor cuantía",ISNUMBER(P_TOPE_MENOR)),W377&gt;P_TOPE_MENOR,FALSE()),"El valor supera el tope de menor cuantía 2027",IF(OR(ISERROR(SEARCH("@itc.edu.co",AE377)),SUMPRODUCT(--ISNUMBER(SEARCH({"á","é","í","ó","ú","ñ"," "},AE377)))&gt;0),"El correo del responsable no es institucional válido",IF(AND(AF377="Sí",AG377=""),"Indique el N.° de registro 2026 que continúa","OK")))))))))))))))))</f>
        <v/>
      </c>
      <c r="AK377" s="15" t="str">
        <f>IF(AJ377="OK",COUNTIF($AJ$7:AJ377,"OK"),"")</f>
        <v/>
      </c>
    </row>
    <row r="378" spans="1:37" x14ac:dyDescent="0.3">
      <c r="A378" s="13" t="str">
        <f t="shared" si="5"/>
        <v>PN27-372</v>
      </c>
      <c r="B378" s="26"/>
      <c r="C378" s="13" t="str">
        <f>IF(B378="","",IFERROR(INDEX(Catalogos!$R$5:$R$51,MATCH(B378,L_AREAS,0)),""))</f>
        <v/>
      </c>
      <c r="D378" s="13" t="str">
        <f>IF(B378="","",IFERROR(INDEX(Catalogos!$O$5:$O$51,MATCH(B378,L_AREAS,0)),""))</f>
        <v/>
      </c>
      <c r="E378" s="26"/>
      <c r="F378" s="13" t="str">
        <f>IF(E378="","",IFERROR(INDEX(Catalogos!$C$5:$C$49,MATCH(E378,L_METAS,0)),""))</f>
        <v/>
      </c>
      <c r="G378" s="13" t="str">
        <f>IF(E378="","",IFERROR(INDEX(Catalogos!$E$5:$E$49,MATCH(E378,L_METAS,0)),""))</f>
        <v/>
      </c>
      <c r="H378" s="26"/>
      <c r="I378" s="26"/>
      <c r="J378" s="26"/>
      <c r="K378" s="26"/>
      <c r="L378" s="26"/>
      <c r="M378" s="27"/>
      <c r="N378" s="26"/>
      <c r="O378" s="26"/>
      <c r="P378" s="26"/>
      <c r="Q378" s="26"/>
      <c r="R378" s="26"/>
      <c r="S378" s="26"/>
      <c r="T378" s="26"/>
      <c r="U378" s="26"/>
      <c r="V378" s="26"/>
      <c r="W378" s="28"/>
      <c r="X378" s="28"/>
      <c r="Y378" s="26"/>
      <c r="Z378" s="26"/>
      <c r="AA378" s="26"/>
      <c r="AB378" s="26"/>
      <c r="AC378" s="26"/>
      <c r="AD378" s="26"/>
      <c r="AE378" s="26"/>
      <c r="AF378" s="26"/>
      <c r="AG378" s="26"/>
      <c r="AH378" s="26"/>
      <c r="AI378" s="26"/>
      <c r="AJ378" s="15" t="str">
        <f>IF(COUNTA(B378,E378,H378,I378,J378,K378,L378,M378,N378,O378,P378,Q378,R378,S378,T378,U378,V378,W378,X378,Y378,Z378,AA378,AB378,AC378,AD378,AE378,AF378,AG378,AH378,AI378)=0,"",IF(OR(B378="",E378="",H378="",J378="",K378="",L378="",M378="",O378="",P378="",Q378="",R378="",S378="",T378="",U378="",W378="",X378="",Y378="",AB378="",AC378="",AE378="",AF378=""),"Incompleta: faltan campos obligatorios",IF(AND(LEFT(H378,6)="PROPIA",I378=""),"Falta el nombre de la acción propia del área",IF(AND(LEFT(H378,3)="A27",IFERROR(INDEX(Catalogos!$T$5:$T$207,MATCH(H378,Catalogos!$U$5:$U$207,0)),"x")&lt;&gt;LEFT(E378,7)),"La acción no corresponde a la meta seleccionada",IF(OR(NOT(ISNUMBER(M378)),M378&lt;10000000,M378&gt;99999999),"Código UNSPSC inválido: registre 8 dígitos",IF(MOD(M378,10000)=0,"UNSPSC a nivel de segmento o familia: use clase o producto",IF(IFERROR(MATCH(P378,L_MESES,0)&lt;MATCH(O378,L_MESES,0),TRUE()),"El mes de ofertas es anterior al de inicio del proceso",IF(OR(NOT(ISNUMBER(Q378)),Q378&lt;=0),"Duración inválida",IF(OR(NOT(ISNUMBER(W378)),NOT(ISNUMBER(X378))),"Valor inválido: registre solo números",IF(OR(W378&lt;=0,X378&lt;=0),"Valor inválido: debe ser mayor que cero",IF(X378&gt;W378,"El valor de la vigencia 2027 supera el valor total",IF(AND(X378&lt;W378,Y378="No"),"El valor total supera el de 2027: requiere vigencias futuras",IF(AND(Y378="Sí",OR(Z378="",Z378="No aplica")),"Indique el estado de la solicitud de vigencias futuras",IF(IF(AND(S378="Mínima cuantía",ISNUMBER(P_TOPE_MINIMA)),W378&gt;P_TOPE_MINIMA,FALSE()),"El valor supera el tope de mínima cuantía 2027",IF(IF(AND(S378="Selección abreviada de menor cuantía",ISNUMBER(P_TOPE_MENOR)),W378&gt;P_TOPE_MENOR,FALSE()),"El valor supera el tope de menor cuantía 2027",IF(OR(ISERROR(SEARCH("@itc.edu.co",AE378)),SUMPRODUCT(--ISNUMBER(SEARCH({"á","é","í","ó","ú","ñ"," "},AE378)))&gt;0),"El correo del responsable no es institucional válido",IF(AND(AF378="Sí",AG378=""),"Indique el N.° de registro 2026 que continúa","OK")))))))))))))))))</f>
        <v/>
      </c>
      <c r="AK378" s="15" t="str">
        <f>IF(AJ378="OK",COUNTIF($AJ$7:AJ378,"OK"),"")</f>
        <v/>
      </c>
    </row>
    <row r="379" spans="1:37" x14ac:dyDescent="0.3">
      <c r="A379" s="13" t="str">
        <f t="shared" si="5"/>
        <v>PN27-373</v>
      </c>
      <c r="B379" s="26"/>
      <c r="C379" s="13" t="str">
        <f>IF(B379="","",IFERROR(INDEX(Catalogos!$R$5:$R$51,MATCH(B379,L_AREAS,0)),""))</f>
        <v/>
      </c>
      <c r="D379" s="13" t="str">
        <f>IF(B379="","",IFERROR(INDEX(Catalogos!$O$5:$O$51,MATCH(B379,L_AREAS,0)),""))</f>
        <v/>
      </c>
      <c r="E379" s="26"/>
      <c r="F379" s="13" t="str">
        <f>IF(E379="","",IFERROR(INDEX(Catalogos!$C$5:$C$49,MATCH(E379,L_METAS,0)),""))</f>
        <v/>
      </c>
      <c r="G379" s="13" t="str">
        <f>IF(E379="","",IFERROR(INDEX(Catalogos!$E$5:$E$49,MATCH(E379,L_METAS,0)),""))</f>
        <v/>
      </c>
      <c r="H379" s="26"/>
      <c r="I379" s="26"/>
      <c r="J379" s="26"/>
      <c r="K379" s="26"/>
      <c r="L379" s="26"/>
      <c r="M379" s="27"/>
      <c r="N379" s="26"/>
      <c r="O379" s="26"/>
      <c r="P379" s="26"/>
      <c r="Q379" s="26"/>
      <c r="R379" s="26"/>
      <c r="S379" s="26"/>
      <c r="T379" s="26"/>
      <c r="U379" s="26"/>
      <c r="V379" s="26"/>
      <c r="W379" s="28"/>
      <c r="X379" s="28"/>
      <c r="Y379" s="26"/>
      <c r="Z379" s="26"/>
      <c r="AA379" s="26"/>
      <c r="AB379" s="26"/>
      <c r="AC379" s="26"/>
      <c r="AD379" s="26"/>
      <c r="AE379" s="26"/>
      <c r="AF379" s="26"/>
      <c r="AG379" s="26"/>
      <c r="AH379" s="26"/>
      <c r="AI379" s="26"/>
      <c r="AJ379" s="15" t="str">
        <f>IF(COUNTA(B379,E379,H379,I379,J379,K379,L379,M379,N379,O379,P379,Q379,R379,S379,T379,U379,V379,W379,X379,Y379,Z379,AA379,AB379,AC379,AD379,AE379,AF379,AG379,AH379,AI379)=0,"",IF(OR(B379="",E379="",H379="",J379="",K379="",L379="",M379="",O379="",P379="",Q379="",R379="",S379="",T379="",U379="",W379="",X379="",Y379="",AB379="",AC379="",AE379="",AF379=""),"Incompleta: faltan campos obligatorios",IF(AND(LEFT(H379,6)="PROPIA",I379=""),"Falta el nombre de la acción propia del área",IF(AND(LEFT(H379,3)="A27",IFERROR(INDEX(Catalogos!$T$5:$T$207,MATCH(H379,Catalogos!$U$5:$U$207,0)),"x")&lt;&gt;LEFT(E379,7)),"La acción no corresponde a la meta seleccionada",IF(OR(NOT(ISNUMBER(M379)),M379&lt;10000000,M379&gt;99999999),"Código UNSPSC inválido: registre 8 dígitos",IF(MOD(M379,10000)=0,"UNSPSC a nivel de segmento o familia: use clase o producto",IF(IFERROR(MATCH(P379,L_MESES,0)&lt;MATCH(O379,L_MESES,0),TRUE()),"El mes de ofertas es anterior al de inicio del proceso",IF(OR(NOT(ISNUMBER(Q379)),Q379&lt;=0),"Duración inválida",IF(OR(NOT(ISNUMBER(W379)),NOT(ISNUMBER(X379))),"Valor inválido: registre solo números",IF(OR(W379&lt;=0,X379&lt;=0),"Valor inválido: debe ser mayor que cero",IF(X379&gt;W379,"El valor de la vigencia 2027 supera el valor total",IF(AND(X379&lt;W379,Y379="No"),"El valor total supera el de 2027: requiere vigencias futuras",IF(AND(Y379="Sí",OR(Z379="",Z379="No aplica")),"Indique el estado de la solicitud de vigencias futuras",IF(IF(AND(S379="Mínima cuantía",ISNUMBER(P_TOPE_MINIMA)),W379&gt;P_TOPE_MINIMA,FALSE()),"El valor supera el tope de mínima cuantía 2027",IF(IF(AND(S379="Selección abreviada de menor cuantía",ISNUMBER(P_TOPE_MENOR)),W379&gt;P_TOPE_MENOR,FALSE()),"El valor supera el tope de menor cuantía 2027",IF(OR(ISERROR(SEARCH("@itc.edu.co",AE379)),SUMPRODUCT(--ISNUMBER(SEARCH({"á","é","í","ó","ú","ñ"," "},AE379)))&gt;0),"El correo del responsable no es institucional válido",IF(AND(AF379="Sí",AG379=""),"Indique el N.° de registro 2026 que continúa","OK")))))))))))))))))</f>
        <v/>
      </c>
      <c r="AK379" s="15" t="str">
        <f>IF(AJ379="OK",COUNTIF($AJ$7:AJ379,"OK"),"")</f>
        <v/>
      </c>
    </row>
    <row r="380" spans="1:37" x14ac:dyDescent="0.3">
      <c r="A380" s="13" t="str">
        <f t="shared" si="5"/>
        <v>PN27-374</v>
      </c>
      <c r="B380" s="26"/>
      <c r="C380" s="13" t="str">
        <f>IF(B380="","",IFERROR(INDEX(Catalogos!$R$5:$R$51,MATCH(B380,L_AREAS,0)),""))</f>
        <v/>
      </c>
      <c r="D380" s="13" t="str">
        <f>IF(B380="","",IFERROR(INDEX(Catalogos!$O$5:$O$51,MATCH(B380,L_AREAS,0)),""))</f>
        <v/>
      </c>
      <c r="E380" s="26"/>
      <c r="F380" s="13" t="str">
        <f>IF(E380="","",IFERROR(INDEX(Catalogos!$C$5:$C$49,MATCH(E380,L_METAS,0)),""))</f>
        <v/>
      </c>
      <c r="G380" s="13" t="str">
        <f>IF(E380="","",IFERROR(INDEX(Catalogos!$E$5:$E$49,MATCH(E380,L_METAS,0)),""))</f>
        <v/>
      </c>
      <c r="H380" s="26"/>
      <c r="I380" s="26"/>
      <c r="J380" s="26"/>
      <c r="K380" s="26"/>
      <c r="L380" s="26"/>
      <c r="M380" s="27"/>
      <c r="N380" s="26"/>
      <c r="O380" s="26"/>
      <c r="P380" s="26"/>
      <c r="Q380" s="26"/>
      <c r="R380" s="26"/>
      <c r="S380" s="26"/>
      <c r="T380" s="26"/>
      <c r="U380" s="26"/>
      <c r="V380" s="26"/>
      <c r="W380" s="28"/>
      <c r="X380" s="28"/>
      <c r="Y380" s="26"/>
      <c r="Z380" s="26"/>
      <c r="AA380" s="26"/>
      <c r="AB380" s="26"/>
      <c r="AC380" s="26"/>
      <c r="AD380" s="26"/>
      <c r="AE380" s="26"/>
      <c r="AF380" s="26"/>
      <c r="AG380" s="26"/>
      <c r="AH380" s="26"/>
      <c r="AI380" s="26"/>
      <c r="AJ380" s="15" t="str">
        <f>IF(COUNTA(B380,E380,H380,I380,J380,K380,L380,M380,N380,O380,P380,Q380,R380,S380,T380,U380,V380,W380,X380,Y380,Z380,AA380,AB380,AC380,AD380,AE380,AF380,AG380,AH380,AI380)=0,"",IF(OR(B380="",E380="",H380="",J380="",K380="",L380="",M380="",O380="",P380="",Q380="",R380="",S380="",T380="",U380="",W380="",X380="",Y380="",AB380="",AC380="",AE380="",AF380=""),"Incompleta: faltan campos obligatorios",IF(AND(LEFT(H380,6)="PROPIA",I380=""),"Falta el nombre de la acción propia del área",IF(AND(LEFT(H380,3)="A27",IFERROR(INDEX(Catalogos!$T$5:$T$207,MATCH(H380,Catalogos!$U$5:$U$207,0)),"x")&lt;&gt;LEFT(E380,7)),"La acción no corresponde a la meta seleccionada",IF(OR(NOT(ISNUMBER(M380)),M380&lt;10000000,M380&gt;99999999),"Código UNSPSC inválido: registre 8 dígitos",IF(MOD(M380,10000)=0,"UNSPSC a nivel de segmento o familia: use clase o producto",IF(IFERROR(MATCH(P380,L_MESES,0)&lt;MATCH(O380,L_MESES,0),TRUE()),"El mes de ofertas es anterior al de inicio del proceso",IF(OR(NOT(ISNUMBER(Q380)),Q380&lt;=0),"Duración inválida",IF(OR(NOT(ISNUMBER(W380)),NOT(ISNUMBER(X380))),"Valor inválido: registre solo números",IF(OR(W380&lt;=0,X380&lt;=0),"Valor inválido: debe ser mayor que cero",IF(X380&gt;W380,"El valor de la vigencia 2027 supera el valor total",IF(AND(X380&lt;W380,Y380="No"),"El valor total supera el de 2027: requiere vigencias futuras",IF(AND(Y380="Sí",OR(Z380="",Z380="No aplica")),"Indique el estado de la solicitud de vigencias futuras",IF(IF(AND(S380="Mínima cuantía",ISNUMBER(P_TOPE_MINIMA)),W380&gt;P_TOPE_MINIMA,FALSE()),"El valor supera el tope de mínima cuantía 2027",IF(IF(AND(S380="Selección abreviada de menor cuantía",ISNUMBER(P_TOPE_MENOR)),W380&gt;P_TOPE_MENOR,FALSE()),"El valor supera el tope de menor cuantía 2027",IF(OR(ISERROR(SEARCH("@itc.edu.co",AE380)),SUMPRODUCT(--ISNUMBER(SEARCH({"á","é","í","ó","ú","ñ"," "},AE380)))&gt;0),"El correo del responsable no es institucional válido",IF(AND(AF380="Sí",AG380=""),"Indique el N.° de registro 2026 que continúa","OK")))))))))))))))))</f>
        <v/>
      </c>
      <c r="AK380" s="15" t="str">
        <f>IF(AJ380="OK",COUNTIF($AJ$7:AJ380,"OK"),"")</f>
        <v/>
      </c>
    </row>
    <row r="381" spans="1:37" x14ac:dyDescent="0.3">
      <c r="A381" s="13" t="str">
        <f t="shared" si="5"/>
        <v>PN27-375</v>
      </c>
      <c r="B381" s="26"/>
      <c r="C381" s="13" t="str">
        <f>IF(B381="","",IFERROR(INDEX(Catalogos!$R$5:$R$51,MATCH(B381,L_AREAS,0)),""))</f>
        <v/>
      </c>
      <c r="D381" s="13" t="str">
        <f>IF(B381="","",IFERROR(INDEX(Catalogos!$O$5:$O$51,MATCH(B381,L_AREAS,0)),""))</f>
        <v/>
      </c>
      <c r="E381" s="26"/>
      <c r="F381" s="13" t="str">
        <f>IF(E381="","",IFERROR(INDEX(Catalogos!$C$5:$C$49,MATCH(E381,L_METAS,0)),""))</f>
        <v/>
      </c>
      <c r="G381" s="13" t="str">
        <f>IF(E381="","",IFERROR(INDEX(Catalogos!$E$5:$E$49,MATCH(E381,L_METAS,0)),""))</f>
        <v/>
      </c>
      <c r="H381" s="26"/>
      <c r="I381" s="26"/>
      <c r="J381" s="26"/>
      <c r="K381" s="26"/>
      <c r="L381" s="26"/>
      <c r="M381" s="27"/>
      <c r="N381" s="26"/>
      <c r="O381" s="26"/>
      <c r="P381" s="26"/>
      <c r="Q381" s="26"/>
      <c r="R381" s="26"/>
      <c r="S381" s="26"/>
      <c r="T381" s="26"/>
      <c r="U381" s="26"/>
      <c r="V381" s="26"/>
      <c r="W381" s="28"/>
      <c r="X381" s="28"/>
      <c r="Y381" s="26"/>
      <c r="Z381" s="26"/>
      <c r="AA381" s="26"/>
      <c r="AB381" s="26"/>
      <c r="AC381" s="26"/>
      <c r="AD381" s="26"/>
      <c r="AE381" s="26"/>
      <c r="AF381" s="26"/>
      <c r="AG381" s="26"/>
      <c r="AH381" s="26"/>
      <c r="AI381" s="26"/>
      <c r="AJ381" s="15" t="str">
        <f>IF(COUNTA(B381,E381,H381,I381,J381,K381,L381,M381,N381,O381,P381,Q381,R381,S381,T381,U381,V381,W381,X381,Y381,Z381,AA381,AB381,AC381,AD381,AE381,AF381,AG381,AH381,AI381)=0,"",IF(OR(B381="",E381="",H381="",J381="",K381="",L381="",M381="",O381="",P381="",Q381="",R381="",S381="",T381="",U381="",W381="",X381="",Y381="",AB381="",AC381="",AE381="",AF381=""),"Incompleta: faltan campos obligatorios",IF(AND(LEFT(H381,6)="PROPIA",I381=""),"Falta el nombre de la acción propia del área",IF(AND(LEFT(H381,3)="A27",IFERROR(INDEX(Catalogos!$T$5:$T$207,MATCH(H381,Catalogos!$U$5:$U$207,0)),"x")&lt;&gt;LEFT(E381,7)),"La acción no corresponde a la meta seleccionada",IF(OR(NOT(ISNUMBER(M381)),M381&lt;10000000,M381&gt;99999999),"Código UNSPSC inválido: registre 8 dígitos",IF(MOD(M381,10000)=0,"UNSPSC a nivel de segmento o familia: use clase o producto",IF(IFERROR(MATCH(P381,L_MESES,0)&lt;MATCH(O381,L_MESES,0),TRUE()),"El mes de ofertas es anterior al de inicio del proceso",IF(OR(NOT(ISNUMBER(Q381)),Q381&lt;=0),"Duración inválida",IF(OR(NOT(ISNUMBER(W381)),NOT(ISNUMBER(X381))),"Valor inválido: registre solo números",IF(OR(W381&lt;=0,X381&lt;=0),"Valor inválido: debe ser mayor que cero",IF(X381&gt;W381,"El valor de la vigencia 2027 supera el valor total",IF(AND(X381&lt;W381,Y381="No"),"El valor total supera el de 2027: requiere vigencias futuras",IF(AND(Y381="Sí",OR(Z381="",Z381="No aplica")),"Indique el estado de la solicitud de vigencias futuras",IF(IF(AND(S381="Mínima cuantía",ISNUMBER(P_TOPE_MINIMA)),W381&gt;P_TOPE_MINIMA,FALSE()),"El valor supera el tope de mínima cuantía 2027",IF(IF(AND(S381="Selección abreviada de menor cuantía",ISNUMBER(P_TOPE_MENOR)),W381&gt;P_TOPE_MENOR,FALSE()),"El valor supera el tope de menor cuantía 2027",IF(OR(ISERROR(SEARCH("@itc.edu.co",AE381)),SUMPRODUCT(--ISNUMBER(SEARCH({"á","é","í","ó","ú","ñ"," "},AE381)))&gt;0),"El correo del responsable no es institucional válido",IF(AND(AF381="Sí",AG381=""),"Indique el N.° de registro 2026 que continúa","OK")))))))))))))))))</f>
        <v/>
      </c>
      <c r="AK381" s="15" t="str">
        <f>IF(AJ381="OK",COUNTIF($AJ$7:AJ381,"OK"),"")</f>
        <v/>
      </c>
    </row>
    <row r="382" spans="1:37" x14ac:dyDescent="0.3">
      <c r="A382" s="13" t="str">
        <f t="shared" si="5"/>
        <v>PN27-376</v>
      </c>
      <c r="B382" s="26"/>
      <c r="C382" s="13" t="str">
        <f>IF(B382="","",IFERROR(INDEX(Catalogos!$R$5:$R$51,MATCH(B382,L_AREAS,0)),""))</f>
        <v/>
      </c>
      <c r="D382" s="13" t="str">
        <f>IF(B382="","",IFERROR(INDEX(Catalogos!$O$5:$O$51,MATCH(B382,L_AREAS,0)),""))</f>
        <v/>
      </c>
      <c r="E382" s="26"/>
      <c r="F382" s="13" t="str">
        <f>IF(E382="","",IFERROR(INDEX(Catalogos!$C$5:$C$49,MATCH(E382,L_METAS,0)),""))</f>
        <v/>
      </c>
      <c r="G382" s="13" t="str">
        <f>IF(E382="","",IFERROR(INDEX(Catalogos!$E$5:$E$49,MATCH(E382,L_METAS,0)),""))</f>
        <v/>
      </c>
      <c r="H382" s="26"/>
      <c r="I382" s="26"/>
      <c r="J382" s="26"/>
      <c r="K382" s="26"/>
      <c r="L382" s="26"/>
      <c r="M382" s="27"/>
      <c r="N382" s="26"/>
      <c r="O382" s="26"/>
      <c r="P382" s="26"/>
      <c r="Q382" s="26"/>
      <c r="R382" s="26"/>
      <c r="S382" s="26"/>
      <c r="T382" s="26"/>
      <c r="U382" s="26"/>
      <c r="V382" s="26"/>
      <c r="W382" s="28"/>
      <c r="X382" s="28"/>
      <c r="Y382" s="26"/>
      <c r="Z382" s="26"/>
      <c r="AA382" s="26"/>
      <c r="AB382" s="26"/>
      <c r="AC382" s="26"/>
      <c r="AD382" s="26"/>
      <c r="AE382" s="26"/>
      <c r="AF382" s="26"/>
      <c r="AG382" s="26"/>
      <c r="AH382" s="26"/>
      <c r="AI382" s="26"/>
      <c r="AJ382" s="15" t="str">
        <f>IF(COUNTA(B382,E382,H382,I382,J382,K382,L382,M382,N382,O382,P382,Q382,R382,S382,T382,U382,V382,W382,X382,Y382,Z382,AA382,AB382,AC382,AD382,AE382,AF382,AG382,AH382,AI382)=0,"",IF(OR(B382="",E382="",H382="",J382="",K382="",L382="",M382="",O382="",P382="",Q382="",R382="",S382="",T382="",U382="",W382="",X382="",Y382="",AB382="",AC382="",AE382="",AF382=""),"Incompleta: faltan campos obligatorios",IF(AND(LEFT(H382,6)="PROPIA",I382=""),"Falta el nombre de la acción propia del área",IF(AND(LEFT(H382,3)="A27",IFERROR(INDEX(Catalogos!$T$5:$T$207,MATCH(H382,Catalogos!$U$5:$U$207,0)),"x")&lt;&gt;LEFT(E382,7)),"La acción no corresponde a la meta seleccionada",IF(OR(NOT(ISNUMBER(M382)),M382&lt;10000000,M382&gt;99999999),"Código UNSPSC inválido: registre 8 dígitos",IF(MOD(M382,10000)=0,"UNSPSC a nivel de segmento o familia: use clase o producto",IF(IFERROR(MATCH(P382,L_MESES,0)&lt;MATCH(O382,L_MESES,0),TRUE()),"El mes de ofertas es anterior al de inicio del proceso",IF(OR(NOT(ISNUMBER(Q382)),Q382&lt;=0),"Duración inválida",IF(OR(NOT(ISNUMBER(W382)),NOT(ISNUMBER(X382))),"Valor inválido: registre solo números",IF(OR(W382&lt;=0,X382&lt;=0),"Valor inválido: debe ser mayor que cero",IF(X382&gt;W382,"El valor de la vigencia 2027 supera el valor total",IF(AND(X382&lt;W382,Y382="No"),"El valor total supera el de 2027: requiere vigencias futuras",IF(AND(Y382="Sí",OR(Z382="",Z382="No aplica")),"Indique el estado de la solicitud de vigencias futuras",IF(IF(AND(S382="Mínima cuantía",ISNUMBER(P_TOPE_MINIMA)),W382&gt;P_TOPE_MINIMA,FALSE()),"El valor supera el tope de mínima cuantía 2027",IF(IF(AND(S382="Selección abreviada de menor cuantía",ISNUMBER(P_TOPE_MENOR)),W382&gt;P_TOPE_MENOR,FALSE()),"El valor supera el tope de menor cuantía 2027",IF(OR(ISERROR(SEARCH("@itc.edu.co",AE382)),SUMPRODUCT(--ISNUMBER(SEARCH({"á","é","í","ó","ú","ñ"," "},AE382)))&gt;0),"El correo del responsable no es institucional válido",IF(AND(AF382="Sí",AG382=""),"Indique el N.° de registro 2026 que continúa","OK")))))))))))))))))</f>
        <v/>
      </c>
      <c r="AK382" s="15" t="str">
        <f>IF(AJ382="OK",COUNTIF($AJ$7:AJ382,"OK"),"")</f>
        <v/>
      </c>
    </row>
    <row r="383" spans="1:37" x14ac:dyDescent="0.3">
      <c r="A383" s="13" t="str">
        <f t="shared" si="5"/>
        <v>PN27-377</v>
      </c>
      <c r="B383" s="26"/>
      <c r="C383" s="13" t="str">
        <f>IF(B383="","",IFERROR(INDEX(Catalogos!$R$5:$R$51,MATCH(B383,L_AREAS,0)),""))</f>
        <v/>
      </c>
      <c r="D383" s="13" t="str">
        <f>IF(B383="","",IFERROR(INDEX(Catalogos!$O$5:$O$51,MATCH(B383,L_AREAS,0)),""))</f>
        <v/>
      </c>
      <c r="E383" s="26"/>
      <c r="F383" s="13" t="str">
        <f>IF(E383="","",IFERROR(INDEX(Catalogos!$C$5:$C$49,MATCH(E383,L_METAS,0)),""))</f>
        <v/>
      </c>
      <c r="G383" s="13" t="str">
        <f>IF(E383="","",IFERROR(INDEX(Catalogos!$E$5:$E$49,MATCH(E383,L_METAS,0)),""))</f>
        <v/>
      </c>
      <c r="H383" s="26"/>
      <c r="I383" s="26"/>
      <c r="J383" s="26"/>
      <c r="K383" s="26"/>
      <c r="L383" s="26"/>
      <c r="M383" s="27"/>
      <c r="N383" s="26"/>
      <c r="O383" s="26"/>
      <c r="P383" s="26"/>
      <c r="Q383" s="26"/>
      <c r="R383" s="26"/>
      <c r="S383" s="26"/>
      <c r="T383" s="26"/>
      <c r="U383" s="26"/>
      <c r="V383" s="26"/>
      <c r="W383" s="28"/>
      <c r="X383" s="28"/>
      <c r="Y383" s="26"/>
      <c r="Z383" s="26"/>
      <c r="AA383" s="26"/>
      <c r="AB383" s="26"/>
      <c r="AC383" s="26"/>
      <c r="AD383" s="26"/>
      <c r="AE383" s="26"/>
      <c r="AF383" s="26"/>
      <c r="AG383" s="26"/>
      <c r="AH383" s="26"/>
      <c r="AI383" s="26"/>
      <c r="AJ383" s="15" t="str">
        <f>IF(COUNTA(B383,E383,H383,I383,J383,K383,L383,M383,N383,O383,P383,Q383,R383,S383,T383,U383,V383,W383,X383,Y383,Z383,AA383,AB383,AC383,AD383,AE383,AF383,AG383,AH383,AI383)=0,"",IF(OR(B383="",E383="",H383="",J383="",K383="",L383="",M383="",O383="",P383="",Q383="",R383="",S383="",T383="",U383="",W383="",X383="",Y383="",AB383="",AC383="",AE383="",AF383=""),"Incompleta: faltan campos obligatorios",IF(AND(LEFT(H383,6)="PROPIA",I383=""),"Falta el nombre de la acción propia del área",IF(AND(LEFT(H383,3)="A27",IFERROR(INDEX(Catalogos!$T$5:$T$207,MATCH(H383,Catalogos!$U$5:$U$207,0)),"x")&lt;&gt;LEFT(E383,7)),"La acción no corresponde a la meta seleccionada",IF(OR(NOT(ISNUMBER(M383)),M383&lt;10000000,M383&gt;99999999),"Código UNSPSC inválido: registre 8 dígitos",IF(MOD(M383,10000)=0,"UNSPSC a nivel de segmento o familia: use clase o producto",IF(IFERROR(MATCH(P383,L_MESES,0)&lt;MATCH(O383,L_MESES,0),TRUE()),"El mes de ofertas es anterior al de inicio del proceso",IF(OR(NOT(ISNUMBER(Q383)),Q383&lt;=0),"Duración inválida",IF(OR(NOT(ISNUMBER(W383)),NOT(ISNUMBER(X383))),"Valor inválido: registre solo números",IF(OR(W383&lt;=0,X383&lt;=0),"Valor inválido: debe ser mayor que cero",IF(X383&gt;W383,"El valor de la vigencia 2027 supera el valor total",IF(AND(X383&lt;W383,Y383="No"),"El valor total supera el de 2027: requiere vigencias futuras",IF(AND(Y383="Sí",OR(Z383="",Z383="No aplica")),"Indique el estado de la solicitud de vigencias futuras",IF(IF(AND(S383="Mínima cuantía",ISNUMBER(P_TOPE_MINIMA)),W383&gt;P_TOPE_MINIMA,FALSE()),"El valor supera el tope de mínima cuantía 2027",IF(IF(AND(S383="Selección abreviada de menor cuantía",ISNUMBER(P_TOPE_MENOR)),W383&gt;P_TOPE_MENOR,FALSE()),"El valor supera el tope de menor cuantía 2027",IF(OR(ISERROR(SEARCH("@itc.edu.co",AE383)),SUMPRODUCT(--ISNUMBER(SEARCH({"á","é","í","ó","ú","ñ"," "},AE383)))&gt;0),"El correo del responsable no es institucional válido",IF(AND(AF383="Sí",AG383=""),"Indique el N.° de registro 2026 que continúa","OK")))))))))))))))))</f>
        <v/>
      </c>
      <c r="AK383" s="15" t="str">
        <f>IF(AJ383="OK",COUNTIF($AJ$7:AJ383,"OK"),"")</f>
        <v/>
      </c>
    </row>
    <row r="384" spans="1:37" x14ac:dyDescent="0.3">
      <c r="A384" s="13" t="str">
        <f t="shared" si="5"/>
        <v>PN27-378</v>
      </c>
      <c r="B384" s="26"/>
      <c r="C384" s="13" t="str">
        <f>IF(B384="","",IFERROR(INDEX(Catalogos!$R$5:$R$51,MATCH(B384,L_AREAS,0)),""))</f>
        <v/>
      </c>
      <c r="D384" s="13" t="str">
        <f>IF(B384="","",IFERROR(INDEX(Catalogos!$O$5:$O$51,MATCH(B384,L_AREAS,0)),""))</f>
        <v/>
      </c>
      <c r="E384" s="26"/>
      <c r="F384" s="13" t="str">
        <f>IF(E384="","",IFERROR(INDEX(Catalogos!$C$5:$C$49,MATCH(E384,L_METAS,0)),""))</f>
        <v/>
      </c>
      <c r="G384" s="13" t="str">
        <f>IF(E384="","",IFERROR(INDEX(Catalogos!$E$5:$E$49,MATCH(E384,L_METAS,0)),""))</f>
        <v/>
      </c>
      <c r="H384" s="26"/>
      <c r="I384" s="26"/>
      <c r="J384" s="26"/>
      <c r="K384" s="26"/>
      <c r="L384" s="26"/>
      <c r="M384" s="27"/>
      <c r="N384" s="26"/>
      <c r="O384" s="26"/>
      <c r="P384" s="26"/>
      <c r="Q384" s="26"/>
      <c r="R384" s="26"/>
      <c r="S384" s="26"/>
      <c r="T384" s="26"/>
      <c r="U384" s="26"/>
      <c r="V384" s="26"/>
      <c r="W384" s="28"/>
      <c r="X384" s="28"/>
      <c r="Y384" s="26"/>
      <c r="Z384" s="26"/>
      <c r="AA384" s="26"/>
      <c r="AB384" s="26"/>
      <c r="AC384" s="26"/>
      <c r="AD384" s="26"/>
      <c r="AE384" s="26"/>
      <c r="AF384" s="26"/>
      <c r="AG384" s="26"/>
      <c r="AH384" s="26"/>
      <c r="AI384" s="26"/>
      <c r="AJ384" s="15" t="str">
        <f>IF(COUNTA(B384,E384,H384,I384,J384,K384,L384,M384,N384,O384,P384,Q384,R384,S384,T384,U384,V384,W384,X384,Y384,Z384,AA384,AB384,AC384,AD384,AE384,AF384,AG384,AH384,AI384)=0,"",IF(OR(B384="",E384="",H384="",J384="",K384="",L384="",M384="",O384="",P384="",Q384="",R384="",S384="",T384="",U384="",W384="",X384="",Y384="",AB384="",AC384="",AE384="",AF384=""),"Incompleta: faltan campos obligatorios",IF(AND(LEFT(H384,6)="PROPIA",I384=""),"Falta el nombre de la acción propia del área",IF(AND(LEFT(H384,3)="A27",IFERROR(INDEX(Catalogos!$T$5:$T$207,MATCH(H384,Catalogos!$U$5:$U$207,0)),"x")&lt;&gt;LEFT(E384,7)),"La acción no corresponde a la meta seleccionada",IF(OR(NOT(ISNUMBER(M384)),M384&lt;10000000,M384&gt;99999999),"Código UNSPSC inválido: registre 8 dígitos",IF(MOD(M384,10000)=0,"UNSPSC a nivel de segmento o familia: use clase o producto",IF(IFERROR(MATCH(P384,L_MESES,0)&lt;MATCH(O384,L_MESES,0),TRUE()),"El mes de ofertas es anterior al de inicio del proceso",IF(OR(NOT(ISNUMBER(Q384)),Q384&lt;=0),"Duración inválida",IF(OR(NOT(ISNUMBER(W384)),NOT(ISNUMBER(X384))),"Valor inválido: registre solo números",IF(OR(W384&lt;=0,X384&lt;=0),"Valor inválido: debe ser mayor que cero",IF(X384&gt;W384,"El valor de la vigencia 2027 supera el valor total",IF(AND(X384&lt;W384,Y384="No"),"El valor total supera el de 2027: requiere vigencias futuras",IF(AND(Y384="Sí",OR(Z384="",Z384="No aplica")),"Indique el estado de la solicitud de vigencias futuras",IF(IF(AND(S384="Mínima cuantía",ISNUMBER(P_TOPE_MINIMA)),W384&gt;P_TOPE_MINIMA,FALSE()),"El valor supera el tope de mínima cuantía 2027",IF(IF(AND(S384="Selección abreviada de menor cuantía",ISNUMBER(P_TOPE_MENOR)),W384&gt;P_TOPE_MENOR,FALSE()),"El valor supera el tope de menor cuantía 2027",IF(OR(ISERROR(SEARCH("@itc.edu.co",AE384)),SUMPRODUCT(--ISNUMBER(SEARCH({"á","é","í","ó","ú","ñ"," "},AE384)))&gt;0),"El correo del responsable no es institucional válido",IF(AND(AF384="Sí",AG384=""),"Indique el N.° de registro 2026 que continúa","OK")))))))))))))))))</f>
        <v/>
      </c>
      <c r="AK384" s="15" t="str">
        <f>IF(AJ384="OK",COUNTIF($AJ$7:AJ384,"OK"),"")</f>
        <v/>
      </c>
    </row>
    <row r="385" spans="1:37" x14ac:dyDescent="0.3">
      <c r="A385" s="13" t="str">
        <f t="shared" si="5"/>
        <v>PN27-379</v>
      </c>
      <c r="B385" s="26"/>
      <c r="C385" s="13" t="str">
        <f>IF(B385="","",IFERROR(INDEX(Catalogos!$R$5:$R$51,MATCH(B385,L_AREAS,0)),""))</f>
        <v/>
      </c>
      <c r="D385" s="13" t="str">
        <f>IF(B385="","",IFERROR(INDEX(Catalogos!$O$5:$O$51,MATCH(B385,L_AREAS,0)),""))</f>
        <v/>
      </c>
      <c r="E385" s="26"/>
      <c r="F385" s="13" t="str">
        <f>IF(E385="","",IFERROR(INDEX(Catalogos!$C$5:$C$49,MATCH(E385,L_METAS,0)),""))</f>
        <v/>
      </c>
      <c r="G385" s="13" t="str">
        <f>IF(E385="","",IFERROR(INDEX(Catalogos!$E$5:$E$49,MATCH(E385,L_METAS,0)),""))</f>
        <v/>
      </c>
      <c r="H385" s="26"/>
      <c r="I385" s="26"/>
      <c r="J385" s="26"/>
      <c r="K385" s="26"/>
      <c r="L385" s="26"/>
      <c r="M385" s="27"/>
      <c r="N385" s="26"/>
      <c r="O385" s="26"/>
      <c r="P385" s="26"/>
      <c r="Q385" s="26"/>
      <c r="R385" s="26"/>
      <c r="S385" s="26"/>
      <c r="T385" s="26"/>
      <c r="U385" s="26"/>
      <c r="V385" s="26"/>
      <c r="W385" s="28"/>
      <c r="X385" s="28"/>
      <c r="Y385" s="26"/>
      <c r="Z385" s="26"/>
      <c r="AA385" s="26"/>
      <c r="AB385" s="26"/>
      <c r="AC385" s="26"/>
      <c r="AD385" s="26"/>
      <c r="AE385" s="26"/>
      <c r="AF385" s="26"/>
      <c r="AG385" s="26"/>
      <c r="AH385" s="26"/>
      <c r="AI385" s="26"/>
      <c r="AJ385" s="15" t="str">
        <f>IF(COUNTA(B385,E385,H385,I385,J385,K385,L385,M385,N385,O385,P385,Q385,R385,S385,T385,U385,V385,W385,X385,Y385,Z385,AA385,AB385,AC385,AD385,AE385,AF385,AG385,AH385,AI385)=0,"",IF(OR(B385="",E385="",H385="",J385="",K385="",L385="",M385="",O385="",P385="",Q385="",R385="",S385="",T385="",U385="",W385="",X385="",Y385="",AB385="",AC385="",AE385="",AF385=""),"Incompleta: faltan campos obligatorios",IF(AND(LEFT(H385,6)="PROPIA",I385=""),"Falta el nombre de la acción propia del área",IF(AND(LEFT(H385,3)="A27",IFERROR(INDEX(Catalogos!$T$5:$T$207,MATCH(H385,Catalogos!$U$5:$U$207,0)),"x")&lt;&gt;LEFT(E385,7)),"La acción no corresponde a la meta seleccionada",IF(OR(NOT(ISNUMBER(M385)),M385&lt;10000000,M385&gt;99999999),"Código UNSPSC inválido: registre 8 dígitos",IF(MOD(M385,10000)=0,"UNSPSC a nivel de segmento o familia: use clase o producto",IF(IFERROR(MATCH(P385,L_MESES,0)&lt;MATCH(O385,L_MESES,0),TRUE()),"El mes de ofertas es anterior al de inicio del proceso",IF(OR(NOT(ISNUMBER(Q385)),Q385&lt;=0),"Duración inválida",IF(OR(NOT(ISNUMBER(W385)),NOT(ISNUMBER(X385))),"Valor inválido: registre solo números",IF(OR(W385&lt;=0,X385&lt;=0),"Valor inválido: debe ser mayor que cero",IF(X385&gt;W385,"El valor de la vigencia 2027 supera el valor total",IF(AND(X385&lt;W385,Y385="No"),"El valor total supera el de 2027: requiere vigencias futuras",IF(AND(Y385="Sí",OR(Z385="",Z385="No aplica")),"Indique el estado de la solicitud de vigencias futuras",IF(IF(AND(S385="Mínima cuantía",ISNUMBER(P_TOPE_MINIMA)),W385&gt;P_TOPE_MINIMA,FALSE()),"El valor supera el tope de mínima cuantía 2027",IF(IF(AND(S385="Selección abreviada de menor cuantía",ISNUMBER(P_TOPE_MENOR)),W385&gt;P_TOPE_MENOR,FALSE()),"El valor supera el tope de menor cuantía 2027",IF(OR(ISERROR(SEARCH("@itc.edu.co",AE385)),SUMPRODUCT(--ISNUMBER(SEARCH({"á","é","í","ó","ú","ñ"," "},AE385)))&gt;0),"El correo del responsable no es institucional válido",IF(AND(AF385="Sí",AG385=""),"Indique el N.° de registro 2026 que continúa","OK")))))))))))))))))</f>
        <v/>
      </c>
      <c r="AK385" s="15" t="str">
        <f>IF(AJ385="OK",COUNTIF($AJ$7:AJ385,"OK"),"")</f>
        <v/>
      </c>
    </row>
    <row r="386" spans="1:37" x14ac:dyDescent="0.3">
      <c r="A386" s="13" t="str">
        <f t="shared" si="5"/>
        <v>PN27-380</v>
      </c>
      <c r="B386" s="26"/>
      <c r="C386" s="13" t="str">
        <f>IF(B386="","",IFERROR(INDEX(Catalogos!$R$5:$R$51,MATCH(B386,L_AREAS,0)),""))</f>
        <v/>
      </c>
      <c r="D386" s="13" t="str">
        <f>IF(B386="","",IFERROR(INDEX(Catalogos!$O$5:$O$51,MATCH(B386,L_AREAS,0)),""))</f>
        <v/>
      </c>
      <c r="E386" s="26"/>
      <c r="F386" s="13" t="str">
        <f>IF(E386="","",IFERROR(INDEX(Catalogos!$C$5:$C$49,MATCH(E386,L_METAS,0)),""))</f>
        <v/>
      </c>
      <c r="G386" s="13" t="str">
        <f>IF(E386="","",IFERROR(INDEX(Catalogos!$E$5:$E$49,MATCH(E386,L_METAS,0)),""))</f>
        <v/>
      </c>
      <c r="H386" s="26"/>
      <c r="I386" s="26"/>
      <c r="J386" s="26"/>
      <c r="K386" s="26"/>
      <c r="L386" s="26"/>
      <c r="M386" s="27"/>
      <c r="N386" s="26"/>
      <c r="O386" s="26"/>
      <c r="P386" s="26"/>
      <c r="Q386" s="26"/>
      <c r="R386" s="26"/>
      <c r="S386" s="26"/>
      <c r="T386" s="26"/>
      <c r="U386" s="26"/>
      <c r="V386" s="26"/>
      <c r="W386" s="28"/>
      <c r="X386" s="28"/>
      <c r="Y386" s="26"/>
      <c r="Z386" s="26"/>
      <c r="AA386" s="26"/>
      <c r="AB386" s="26"/>
      <c r="AC386" s="26"/>
      <c r="AD386" s="26"/>
      <c r="AE386" s="26"/>
      <c r="AF386" s="26"/>
      <c r="AG386" s="26"/>
      <c r="AH386" s="26"/>
      <c r="AI386" s="26"/>
      <c r="AJ386" s="15" t="str">
        <f>IF(COUNTA(B386,E386,H386,I386,J386,K386,L386,M386,N386,O386,P386,Q386,R386,S386,T386,U386,V386,W386,X386,Y386,Z386,AA386,AB386,AC386,AD386,AE386,AF386,AG386,AH386,AI386)=0,"",IF(OR(B386="",E386="",H386="",J386="",K386="",L386="",M386="",O386="",P386="",Q386="",R386="",S386="",T386="",U386="",W386="",X386="",Y386="",AB386="",AC386="",AE386="",AF386=""),"Incompleta: faltan campos obligatorios",IF(AND(LEFT(H386,6)="PROPIA",I386=""),"Falta el nombre de la acción propia del área",IF(AND(LEFT(H386,3)="A27",IFERROR(INDEX(Catalogos!$T$5:$T$207,MATCH(H386,Catalogos!$U$5:$U$207,0)),"x")&lt;&gt;LEFT(E386,7)),"La acción no corresponde a la meta seleccionada",IF(OR(NOT(ISNUMBER(M386)),M386&lt;10000000,M386&gt;99999999),"Código UNSPSC inválido: registre 8 dígitos",IF(MOD(M386,10000)=0,"UNSPSC a nivel de segmento o familia: use clase o producto",IF(IFERROR(MATCH(P386,L_MESES,0)&lt;MATCH(O386,L_MESES,0),TRUE()),"El mes de ofertas es anterior al de inicio del proceso",IF(OR(NOT(ISNUMBER(Q386)),Q386&lt;=0),"Duración inválida",IF(OR(NOT(ISNUMBER(W386)),NOT(ISNUMBER(X386))),"Valor inválido: registre solo números",IF(OR(W386&lt;=0,X386&lt;=0),"Valor inválido: debe ser mayor que cero",IF(X386&gt;W386,"El valor de la vigencia 2027 supera el valor total",IF(AND(X386&lt;W386,Y386="No"),"El valor total supera el de 2027: requiere vigencias futuras",IF(AND(Y386="Sí",OR(Z386="",Z386="No aplica")),"Indique el estado de la solicitud de vigencias futuras",IF(IF(AND(S386="Mínima cuantía",ISNUMBER(P_TOPE_MINIMA)),W386&gt;P_TOPE_MINIMA,FALSE()),"El valor supera el tope de mínima cuantía 2027",IF(IF(AND(S386="Selección abreviada de menor cuantía",ISNUMBER(P_TOPE_MENOR)),W386&gt;P_TOPE_MENOR,FALSE()),"El valor supera el tope de menor cuantía 2027",IF(OR(ISERROR(SEARCH("@itc.edu.co",AE386)),SUMPRODUCT(--ISNUMBER(SEARCH({"á","é","í","ó","ú","ñ"," "},AE386)))&gt;0),"El correo del responsable no es institucional válido",IF(AND(AF386="Sí",AG386=""),"Indique el N.° de registro 2026 que continúa","OK")))))))))))))))))</f>
        <v/>
      </c>
      <c r="AK386" s="15" t="str">
        <f>IF(AJ386="OK",COUNTIF($AJ$7:AJ386,"OK"),"")</f>
        <v/>
      </c>
    </row>
    <row r="387" spans="1:37" x14ac:dyDescent="0.3">
      <c r="A387" s="13" t="str">
        <f t="shared" si="5"/>
        <v>PN27-381</v>
      </c>
      <c r="B387" s="26"/>
      <c r="C387" s="13" t="str">
        <f>IF(B387="","",IFERROR(INDEX(Catalogos!$R$5:$R$51,MATCH(B387,L_AREAS,0)),""))</f>
        <v/>
      </c>
      <c r="D387" s="13" t="str">
        <f>IF(B387="","",IFERROR(INDEX(Catalogos!$O$5:$O$51,MATCH(B387,L_AREAS,0)),""))</f>
        <v/>
      </c>
      <c r="E387" s="26"/>
      <c r="F387" s="13" t="str">
        <f>IF(E387="","",IFERROR(INDEX(Catalogos!$C$5:$C$49,MATCH(E387,L_METAS,0)),""))</f>
        <v/>
      </c>
      <c r="G387" s="13" t="str">
        <f>IF(E387="","",IFERROR(INDEX(Catalogos!$E$5:$E$49,MATCH(E387,L_METAS,0)),""))</f>
        <v/>
      </c>
      <c r="H387" s="26"/>
      <c r="I387" s="26"/>
      <c r="J387" s="26"/>
      <c r="K387" s="26"/>
      <c r="L387" s="26"/>
      <c r="M387" s="27"/>
      <c r="N387" s="26"/>
      <c r="O387" s="26"/>
      <c r="P387" s="26"/>
      <c r="Q387" s="26"/>
      <c r="R387" s="26"/>
      <c r="S387" s="26"/>
      <c r="T387" s="26"/>
      <c r="U387" s="26"/>
      <c r="V387" s="26"/>
      <c r="W387" s="28"/>
      <c r="X387" s="28"/>
      <c r="Y387" s="26"/>
      <c r="Z387" s="26"/>
      <c r="AA387" s="26"/>
      <c r="AB387" s="26"/>
      <c r="AC387" s="26"/>
      <c r="AD387" s="26"/>
      <c r="AE387" s="26"/>
      <c r="AF387" s="26"/>
      <c r="AG387" s="26"/>
      <c r="AH387" s="26"/>
      <c r="AI387" s="26"/>
      <c r="AJ387" s="15" t="str">
        <f>IF(COUNTA(B387,E387,H387,I387,J387,K387,L387,M387,N387,O387,P387,Q387,R387,S387,T387,U387,V387,W387,X387,Y387,Z387,AA387,AB387,AC387,AD387,AE387,AF387,AG387,AH387,AI387)=0,"",IF(OR(B387="",E387="",H387="",J387="",K387="",L387="",M387="",O387="",P387="",Q387="",R387="",S387="",T387="",U387="",W387="",X387="",Y387="",AB387="",AC387="",AE387="",AF387=""),"Incompleta: faltan campos obligatorios",IF(AND(LEFT(H387,6)="PROPIA",I387=""),"Falta el nombre de la acción propia del área",IF(AND(LEFT(H387,3)="A27",IFERROR(INDEX(Catalogos!$T$5:$T$207,MATCH(H387,Catalogos!$U$5:$U$207,0)),"x")&lt;&gt;LEFT(E387,7)),"La acción no corresponde a la meta seleccionada",IF(OR(NOT(ISNUMBER(M387)),M387&lt;10000000,M387&gt;99999999),"Código UNSPSC inválido: registre 8 dígitos",IF(MOD(M387,10000)=0,"UNSPSC a nivel de segmento o familia: use clase o producto",IF(IFERROR(MATCH(P387,L_MESES,0)&lt;MATCH(O387,L_MESES,0),TRUE()),"El mes de ofertas es anterior al de inicio del proceso",IF(OR(NOT(ISNUMBER(Q387)),Q387&lt;=0),"Duración inválida",IF(OR(NOT(ISNUMBER(W387)),NOT(ISNUMBER(X387))),"Valor inválido: registre solo números",IF(OR(W387&lt;=0,X387&lt;=0),"Valor inválido: debe ser mayor que cero",IF(X387&gt;W387,"El valor de la vigencia 2027 supera el valor total",IF(AND(X387&lt;W387,Y387="No"),"El valor total supera el de 2027: requiere vigencias futuras",IF(AND(Y387="Sí",OR(Z387="",Z387="No aplica")),"Indique el estado de la solicitud de vigencias futuras",IF(IF(AND(S387="Mínima cuantía",ISNUMBER(P_TOPE_MINIMA)),W387&gt;P_TOPE_MINIMA,FALSE()),"El valor supera el tope de mínima cuantía 2027",IF(IF(AND(S387="Selección abreviada de menor cuantía",ISNUMBER(P_TOPE_MENOR)),W387&gt;P_TOPE_MENOR,FALSE()),"El valor supera el tope de menor cuantía 2027",IF(OR(ISERROR(SEARCH("@itc.edu.co",AE387)),SUMPRODUCT(--ISNUMBER(SEARCH({"á","é","í","ó","ú","ñ"," "},AE387)))&gt;0),"El correo del responsable no es institucional válido",IF(AND(AF387="Sí",AG387=""),"Indique el N.° de registro 2026 que continúa","OK")))))))))))))))))</f>
        <v/>
      </c>
      <c r="AK387" s="15" t="str">
        <f>IF(AJ387="OK",COUNTIF($AJ$7:AJ387,"OK"),"")</f>
        <v/>
      </c>
    </row>
    <row r="388" spans="1:37" x14ac:dyDescent="0.3">
      <c r="A388" s="13" t="str">
        <f t="shared" si="5"/>
        <v>PN27-382</v>
      </c>
      <c r="B388" s="26"/>
      <c r="C388" s="13" t="str">
        <f>IF(B388="","",IFERROR(INDEX(Catalogos!$R$5:$R$51,MATCH(B388,L_AREAS,0)),""))</f>
        <v/>
      </c>
      <c r="D388" s="13" t="str">
        <f>IF(B388="","",IFERROR(INDEX(Catalogos!$O$5:$O$51,MATCH(B388,L_AREAS,0)),""))</f>
        <v/>
      </c>
      <c r="E388" s="26"/>
      <c r="F388" s="13" t="str">
        <f>IF(E388="","",IFERROR(INDEX(Catalogos!$C$5:$C$49,MATCH(E388,L_METAS,0)),""))</f>
        <v/>
      </c>
      <c r="G388" s="13" t="str">
        <f>IF(E388="","",IFERROR(INDEX(Catalogos!$E$5:$E$49,MATCH(E388,L_METAS,0)),""))</f>
        <v/>
      </c>
      <c r="H388" s="26"/>
      <c r="I388" s="26"/>
      <c r="J388" s="26"/>
      <c r="K388" s="26"/>
      <c r="L388" s="26"/>
      <c r="M388" s="27"/>
      <c r="N388" s="26"/>
      <c r="O388" s="26"/>
      <c r="P388" s="26"/>
      <c r="Q388" s="26"/>
      <c r="R388" s="26"/>
      <c r="S388" s="26"/>
      <c r="T388" s="26"/>
      <c r="U388" s="26"/>
      <c r="V388" s="26"/>
      <c r="W388" s="28"/>
      <c r="X388" s="28"/>
      <c r="Y388" s="26"/>
      <c r="Z388" s="26"/>
      <c r="AA388" s="26"/>
      <c r="AB388" s="26"/>
      <c r="AC388" s="26"/>
      <c r="AD388" s="26"/>
      <c r="AE388" s="26"/>
      <c r="AF388" s="26"/>
      <c r="AG388" s="26"/>
      <c r="AH388" s="26"/>
      <c r="AI388" s="26"/>
      <c r="AJ388" s="15" t="str">
        <f>IF(COUNTA(B388,E388,H388,I388,J388,K388,L388,M388,N388,O388,P388,Q388,R388,S388,T388,U388,V388,W388,X388,Y388,Z388,AA388,AB388,AC388,AD388,AE388,AF388,AG388,AH388,AI388)=0,"",IF(OR(B388="",E388="",H388="",J388="",K388="",L388="",M388="",O388="",P388="",Q388="",R388="",S388="",T388="",U388="",W388="",X388="",Y388="",AB388="",AC388="",AE388="",AF388=""),"Incompleta: faltan campos obligatorios",IF(AND(LEFT(H388,6)="PROPIA",I388=""),"Falta el nombre de la acción propia del área",IF(AND(LEFT(H388,3)="A27",IFERROR(INDEX(Catalogos!$T$5:$T$207,MATCH(H388,Catalogos!$U$5:$U$207,0)),"x")&lt;&gt;LEFT(E388,7)),"La acción no corresponde a la meta seleccionada",IF(OR(NOT(ISNUMBER(M388)),M388&lt;10000000,M388&gt;99999999),"Código UNSPSC inválido: registre 8 dígitos",IF(MOD(M388,10000)=0,"UNSPSC a nivel de segmento o familia: use clase o producto",IF(IFERROR(MATCH(P388,L_MESES,0)&lt;MATCH(O388,L_MESES,0),TRUE()),"El mes de ofertas es anterior al de inicio del proceso",IF(OR(NOT(ISNUMBER(Q388)),Q388&lt;=0),"Duración inválida",IF(OR(NOT(ISNUMBER(W388)),NOT(ISNUMBER(X388))),"Valor inválido: registre solo números",IF(OR(W388&lt;=0,X388&lt;=0),"Valor inválido: debe ser mayor que cero",IF(X388&gt;W388,"El valor de la vigencia 2027 supera el valor total",IF(AND(X388&lt;W388,Y388="No"),"El valor total supera el de 2027: requiere vigencias futuras",IF(AND(Y388="Sí",OR(Z388="",Z388="No aplica")),"Indique el estado de la solicitud de vigencias futuras",IF(IF(AND(S388="Mínima cuantía",ISNUMBER(P_TOPE_MINIMA)),W388&gt;P_TOPE_MINIMA,FALSE()),"El valor supera el tope de mínima cuantía 2027",IF(IF(AND(S388="Selección abreviada de menor cuantía",ISNUMBER(P_TOPE_MENOR)),W388&gt;P_TOPE_MENOR,FALSE()),"El valor supera el tope de menor cuantía 2027",IF(OR(ISERROR(SEARCH("@itc.edu.co",AE388)),SUMPRODUCT(--ISNUMBER(SEARCH({"á","é","í","ó","ú","ñ"," "},AE388)))&gt;0),"El correo del responsable no es institucional válido",IF(AND(AF388="Sí",AG388=""),"Indique el N.° de registro 2026 que continúa","OK")))))))))))))))))</f>
        <v/>
      </c>
      <c r="AK388" s="15" t="str">
        <f>IF(AJ388="OK",COUNTIF($AJ$7:AJ388,"OK"),"")</f>
        <v/>
      </c>
    </row>
    <row r="389" spans="1:37" x14ac:dyDescent="0.3">
      <c r="A389" s="13" t="str">
        <f t="shared" si="5"/>
        <v>PN27-383</v>
      </c>
      <c r="B389" s="26"/>
      <c r="C389" s="13" t="str">
        <f>IF(B389="","",IFERROR(INDEX(Catalogos!$R$5:$R$51,MATCH(B389,L_AREAS,0)),""))</f>
        <v/>
      </c>
      <c r="D389" s="13" t="str">
        <f>IF(B389="","",IFERROR(INDEX(Catalogos!$O$5:$O$51,MATCH(B389,L_AREAS,0)),""))</f>
        <v/>
      </c>
      <c r="E389" s="26"/>
      <c r="F389" s="13" t="str">
        <f>IF(E389="","",IFERROR(INDEX(Catalogos!$C$5:$C$49,MATCH(E389,L_METAS,0)),""))</f>
        <v/>
      </c>
      <c r="G389" s="13" t="str">
        <f>IF(E389="","",IFERROR(INDEX(Catalogos!$E$5:$E$49,MATCH(E389,L_METAS,0)),""))</f>
        <v/>
      </c>
      <c r="H389" s="26"/>
      <c r="I389" s="26"/>
      <c r="J389" s="26"/>
      <c r="K389" s="26"/>
      <c r="L389" s="26"/>
      <c r="M389" s="27"/>
      <c r="N389" s="26"/>
      <c r="O389" s="26"/>
      <c r="P389" s="26"/>
      <c r="Q389" s="26"/>
      <c r="R389" s="26"/>
      <c r="S389" s="26"/>
      <c r="T389" s="26"/>
      <c r="U389" s="26"/>
      <c r="V389" s="26"/>
      <c r="W389" s="28"/>
      <c r="X389" s="28"/>
      <c r="Y389" s="26"/>
      <c r="Z389" s="26"/>
      <c r="AA389" s="26"/>
      <c r="AB389" s="26"/>
      <c r="AC389" s="26"/>
      <c r="AD389" s="26"/>
      <c r="AE389" s="26"/>
      <c r="AF389" s="26"/>
      <c r="AG389" s="26"/>
      <c r="AH389" s="26"/>
      <c r="AI389" s="26"/>
      <c r="AJ389" s="15" t="str">
        <f>IF(COUNTA(B389,E389,H389,I389,J389,K389,L389,M389,N389,O389,P389,Q389,R389,S389,T389,U389,V389,W389,X389,Y389,Z389,AA389,AB389,AC389,AD389,AE389,AF389,AG389,AH389,AI389)=0,"",IF(OR(B389="",E389="",H389="",J389="",K389="",L389="",M389="",O389="",P389="",Q389="",R389="",S389="",T389="",U389="",W389="",X389="",Y389="",AB389="",AC389="",AE389="",AF389=""),"Incompleta: faltan campos obligatorios",IF(AND(LEFT(H389,6)="PROPIA",I389=""),"Falta el nombre de la acción propia del área",IF(AND(LEFT(H389,3)="A27",IFERROR(INDEX(Catalogos!$T$5:$T$207,MATCH(H389,Catalogos!$U$5:$U$207,0)),"x")&lt;&gt;LEFT(E389,7)),"La acción no corresponde a la meta seleccionada",IF(OR(NOT(ISNUMBER(M389)),M389&lt;10000000,M389&gt;99999999),"Código UNSPSC inválido: registre 8 dígitos",IF(MOD(M389,10000)=0,"UNSPSC a nivel de segmento o familia: use clase o producto",IF(IFERROR(MATCH(P389,L_MESES,0)&lt;MATCH(O389,L_MESES,0),TRUE()),"El mes de ofertas es anterior al de inicio del proceso",IF(OR(NOT(ISNUMBER(Q389)),Q389&lt;=0),"Duración inválida",IF(OR(NOT(ISNUMBER(W389)),NOT(ISNUMBER(X389))),"Valor inválido: registre solo números",IF(OR(W389&lt;=0,X389&lt;=0),"Valor inválido: debe ser mayor que cero",IF(X389&gt;W389,"El valor de la vigencia 2027 supera el valor total",IF(AND(X389&lt;W389,Y389="No"),"El valor total supera el de 2027: requiere vigencias futuras",IF(AND(Y389="Sí",OR(Z389="",Z389="No aplica")),"Indique el estado de la solicitud de vigencias futuras",IF(IF(AND(S389="Mínima cuantía",ISNUMBER(P_TOPE_MINIMA)),W389&gt;P_TOPE_MINIMA,FALSE()),"El valor supera el tope de mínima cuantía 2027",IF(IF(AND(S389="Selección abreviada de menor cuantía",ISNUMBER(P_TOPE_MENOR)),W389&gt;P_TOPE_MENOR,FALSE()),"El valor supera el tope de menor cuantía 2027",IF(OR(ISERROR(SEARCH("@itc.edu.co",AE389)),SUMPRODUCT(--ISNUMBER(SEARCH({"á","é","í","ó","ú","ñ"," "},AE389)))&gt;0),"El correo del responsable no es institucional válido",IF(AND(AF389="Sí",AG389=""),"Indique el N.° de registro 2026 que continúa","OK")))))))))))))))))</f>
        <v/>
      </c>
      <c r="AK389" s="15" t="str">
        <f>IF(AJ389="OK",COUNTIF($AJ$7:AJ389,"OK"),"")</f>
        <v/>
      </c>
    </row>
    <row r="390" spans="1:37" x14ac:dyDescent="0.3">
      <c r="A390" s="13" t="str">
        <f t="shared" si="5"/>
        <v>PN27-384</v>
      </c>
      <c r="B390" s="26"/>
      <c r="C390" s="13" t="str">
        <f>IF(B390="","",IFERROR(INDEX(Catalogos!$R$5:$R$51,MATCH(B390,L_AREAS,0)),""))</f>
        <v/>
      </c>
      <c r="D390" s="13" t="str">
        <f>IF(B390="","",IFERROR(INDEX(Catalogos!$O$5:$O$51,MATCH(B390,L_AREAS,0)),""))</f>
        <v/>
      </c>
      <c r="E390" s="26"/>
      <c r="F390" s="13" t="str">
        <f>IF(E390="","",IFERROR(INDEX(Catalogos!$C$5:$C$49,MATCH(E390,L_METAS,0)),""))</f>
        <v/>
      </c>
      <c r="G390" s="13" t="str">
        <f>IF(E390="","",IFERROR(INDEX(Catalogos!$E$5:$E$49,MATCH(E390,L_METAS,0)),""))</f>
        <v/>
      </c>
      <c r="H390" s="26"/>
      <c r="I390" s="26"/>
      <c r="J390" s="26"/>
      <c r="K390" s="26"/>
      <c r="L390" s="26"/>
      <c r="M390" s="27"/>
      <c r="N390" s="26"/>
      <c r="O390" s="26"/>
      <c r="P390" s="26"/>
      <c r="Q390" s="26"/>
      <c r="R390" s="26"/>
      <c r="S390" s="26"/>
      <c r="T390" s="26"/>
      <c r="U390" s="26"/>
      <c r="V390" s="26"/>
      <c r="W390" s="28"/>
      <c r="X390" s="28"/>
      <c r="Y390" s="26"/>
      <c r="Z390" s="26"/>
      <c r="AA390" s="26"/>
      <c r="AB390" s="26"/>
      <c r="AC390" s="26"/>
      <c r="AD390" s="26"/>
      <c r="AE390" s="26"/>
      <c r="AF390" s="26"/>
      <c r="AG390" s="26"/>
      <c r="AH390" s="26"/>
      <c r="AI390" s="26"/>
      <c r="AJ390" s="15" t="str">
        <f>IF(COUNTA(B390,E390,H390,I390,J390,K390,L390,M390,N390,O390,P390,Q390,R390,S390,T390,U390,V390,W390,X390,Y390,Z390,AA390,AB390,AC390,AD390,AE390,AF390,AG390,AH390,AI390)=0,"",IF(OR(B390="",E390="",H390="",J390="",K390="",L390="",M390="",O390="",P390="",Q390="",R390="",S390="",T390="",U390="",W390="",X390="",Y390="",AB390="",AC390="",AE390="",AF390=""),"Incompleta: faltan campos obligatorios",IF(AND(LEFT(H390,6)="PROPIA",I390=""),"Falta el nombre de la acción propia del área",IF(AND(LEFT(H390,3)="A27",IFERROR(INDEX(Catalogos!$T$5:$T$207,MATCH(H390,Catalogos!$U$5:$U$207,0)),"x")&lt;&gt;LEFT(E390,7)),"La acción no corresponde a la meta seleccionada",IF(OR(NOT(ISNUMBER(M390)),M390&lt;10000000,M390&gt;99999999),"Código UNSPSC inválido: registre 8 dígitos",IF(MOD(M390,10000)=0,"UNSPSC a nivel de segmento o familia: use clase o producto",IF(IFERROR(MATCH(P390,L_MESES,0)&lt;MATCH(O390,L_MESES,0),TRUE()),"El mes de ofertas es anterior al de inicio del proceso",IF(OR(NOT(ISNUMBER(Q390)),Q390&lt;=0),"Duración inválida",IF(OR(NOT(ISNUMBER(W390)),NOT(ISNUMBER(X390))),"Valor inválido: registre solo números",IF(OR(W390&lt;=0,X390&lt;=0),"Valor inválido: debe ser mayor que cero",IF(X390&gt;W390,"El valor de la vigencia 2027 supera el valor total",IF(AND(X390&lt;W390,Y390="No"),"El valor total supera el de 2027: requiere vigencias futuras",IF(AND(Y390="Sí",OR(Z390="",Z390="No aplica")),"Indique el estado de la solicitud de vigencias futuras",IF(IF(AND(S390="Mínima cuantía",ISNUMBER(P_TOPE_MINIMA)),W390&gt;P_TOPE_MINIMA,FALSE()),"El valor supera el tope de mínima cuantía 2027",IF(IF(AND(S390="Selección abreviada de menor cuantía",ISNUMBER(P_TOPE_MENOR)),W390&gt;P_TOPE_MENOR,FALSE()),"El valor supera el tope de menor cuantía 2027",IF(OR(ISERROR(SEARCH("@itc.edu.co",AE390)),SUMPRODUCT(--ISNUMBER(SEARCH({"á","é","í","ó","ú","ñ"," "},AE390)))&gt;0),"El correo del responsable no es institucional válido",IF(AND(AF390="Sí",AG390=""),"Indique el N.° de registro 2026 que continúa","OK")))))))))))))))))</f>
        <v/>
      </c>
      <c r="AK390" s="15" t="str">
        <f>IF(AJ390="OK",COUNTIF($AJ$7:AJ390,"OK"),"")</f>
        <v/>
      </c>
    </row>
    <row r="391" spans="1:37" x14ac:dyDescent="0.3">
      <c r="A391" s="13" t="str">
        <f t="shared" ref="A391:A454" si="6">"PN27-"&amp;TEXT(ROW()-6,"000")</f>
        <v>PN27-385</v>
      </c>
      <c r="B391" s="26"/>
      <c r="C391" s="13" t="str">
        <f>IF(B391="","",IFERROR(INDEX(Catalogos!$R$5:$R$51,MATCH(B391,L_AREAS,0)),""))</f>
        <v/>
      </c>
      <c r="D391" s="13" t="str">
        <f>IF(B391="","",IFERROR(INDEX(Catalogos!$O$5:$O$51,MATCH(B391,L_AREAS,0)),""))</f>
        <v/>
      </c>
      <c r="E391" s="26"/>
      <c r="F391" s="13" t="str">
        <f>IF(E391="","",IFERROR(INDEX(Catalogos!$C$5:$C$49,MATCH(E391,L_METAS,0)),""))</f>
        <v/>
      </c>
      <c r="G391" s="13" t="str">
        <f>IF(E391="","",IFERROR(INDEX(Catalogos!$E$5:$E$49,MATCH(E391,L_METAS,0)),""))</f>
        <v/>
      </c>
      <c r="H391" s="26"/>
      <c r="I391" s="26"/>
      <c r="J391" s="26"/>
      <c r="K391" s="26"/>
      <c r="L391" s="26"/>
      <c r="M391" s="27"/>
      <c r="N391" s="26"/>
      <c r="O391" s="26"/>
      <c r="P391" s="26"/>
      <c r="Q391" s="26"/>
      <c r="R391" s="26"/>
      <c r="S391" s="26"/>
      <c r="T391" s="26"/>
      <c r="U391" s="26"/>
      <c r="V391" s="26"/>
      <c r="W391" s="28"/>
      <c r="X391" s="28"/>
      <c r="Y391" s="26"/>
      <c r="Z391" s="26"/>
      <c r="AA391" s="26"/>
      <c r="AB391" s="26"/>
      <c r="AC391" s="26"/>
      <c r="AD391" s="26"/>
      <c r="AE391" s="26"/>
      <c r="AF391" s="26"/>
      <c r="AG391" s="26"/>
      <c r="AH391" s="26"/>
      <c r="AI391" s="26"/>
      <c r="AJ391" s="15" t="str">
        <f>IF(COUNTA(B391,E391,H391,I391,J391,K391,L391,M391,N391,O391,P391,Q391,R391,S391,T391,U391,V391,W391,X391,Y391,Z391,AA391,AB391,AC391,AD391,AE391,AF391,AG391,AH391,AI391)=0,"",IF(OR(B391="",E391="",H391="",J391="",K391="",L391="",M391="",O391="",P391="",Q391="",R391="",S391="",T391="",U391="",W391="",X391="",Y391="",AB391="",AC391="",AE391="",AF391=""),"Incompleta: faltan campos obligatorios",IF(AND(LEFT(H391,6)="PROPIA",I391=""),"Falta el nombre de la acción propia del área",IF(AND(LEFT(H391,3)="A27",IFERROR(INDEX(Catalogos!$T$5:$T$207,MATCH(H391,Catalogos!$U$5:$U$207,0)),"x")&lt;&gt;LEFT(E391,7)),"La acción no corresponde a la meta seleccionada",IF(OR(NOT(ISNUMBER(M391)),M391&lt;10000000,M391&gt;99999999),"Código UNSPSC inválido: registre 8 dígitos",IF(MOD(M391,10000)=0,"UNSPSC a nivel de segmento o familia: use clase o producto",IF(IFERROR(MATCH(P391,L_MESES,0)&lt;MATCH(O391,L_MESES,0),TRUE()),"El mes de ofertas es anterior al de inicio del proceso",IF(OR(NOT(ISNUMBER(Q391)),Q391&lt;=0),"Duración inválida",IF(OR(NOT(ISNUMBER(W391)),NOT(ISNUMBER(X391))),"Valor inválido: registre solo números",IF(OR(W391&lt;=0,X391&lt;=0),"Valor inválido: debe ser mayor que cero",IF(X391&gt;W391,"El valor de la vigencia 2027 supera el valor total",IF(AND(X391&lt;W391,Y391="No"),"El valor total supera el de 2027: requiere vigencias futuras",IF(AND(Y391="Sí",OR(Z391="",Z391="No aplica")),"Indique el estado de la solicitud de vigencias futuras",IF(IF(AND(S391="Mínima cuantía",ISNUMBER(P_TOPE_MINIMA)),W391&gt;P_TOPE_MINIMA,FALSE()),"El valor supera el tope de mínima cuantía 2027",IF(IF(AND(S391="Selección abreviada de menor cuantía",ISNUMBER(P_TOPE_MENOR)),W391&gt;P_TOPE_MENOR,FALSE()),"El valor supera el tope de menor cuantía 2027",IF(OR(ISERROR(SEARCH("@itc.edu.co",AE391)),SUMPRODUCT(--ISNUMBER(SEARCH({"á","é","í","ó","ú","ñ"," "},AE391)))&gt;0),"El correo del responsable no es institucional válido",IF(AND(AF391="Sí",AG391=""),"Indique el N.° de registro 2026 que continúa","OK")))))))))))))))))</f>
        <v/>
      </c>
      <c r="AK391" s="15" t="str">
        <f>IF(AJ391="OK",COUNTIF($AJ$7:AJ391,"OK"),"")</f>
        <v/>
      </c>
    </row>
    <row r="392" spans="1:37" x14ac:dyDescent="0.3">
      <c r="A392" s="13" t="str">
        <f t="shared" si="6"/>
        <v>PN27-386</v>
      </c>
      <c r="B392" s="26"/>
      <c r="C392" s="13" t="str">
        <f>IF(B392="","",IFERROR(INDEX(Catalogos!$R$5:$R$51,MATCH(B392,L_AREAS,0)),""))</f>
        <v/>
      </c>
      <c r="D392" s="13" t="str">
        <f>IF(B392="","",IFERROR(INDEX(Catalogos!$O$5:$O$51,MATCH(B392,L_AREAS,0)),""))</f>
        <v/>
      </c>
      <c r="E392" s="26"/>
      <c r="F392" s="13" t="str">
        <f>IF(E392="","",IFERROR(INDEX(Catalogos!$C$5:$C$49,MATCH(E392,L_METAS,0)),""))</f>
        <v/>
      </c>
      <c r="G392" s="13" t="str">
        <f>IF(E392="","",IFERROR(INDEX(Catalogos!$E$5:$E$49,MATCH(E392,L_METAS,0)),""))</f>
        <v/>
      </c>
      <c r="H392" s="26"/>
      <c r="I392" s="26"/>
      <c r="J392" s="26"/>
      <c r="K392" s="26"/>
      <c r="L392" s="26"/>
      <c r="M392" s="27"/>
      <c r="N392" s="26"/>
      <c r="O392" s="26"/>
      <c r="P392" s="26"/>
      <c r="Q392" s="26"/>
      <c r="R392" s="26"/>
      <c r="S392" s="26"/>
      <c r="T392" s="26"/>
      <c r="U392" s="26"/>
      <c r="V392" s="26"/>
      <c r="W392" s="28"/>
      <c r="X392" s="28"/>
      <c r="Y392" s="26"/>
      <c r="Z392" s="26"/>
      <c r="AA392" s="26"/>
      <c r="AB392" s="26"/>
      <c r="AC392" s="26"/>
      <c r="AD392" s="26"/>
      <c r="AE392" s="26"/>
      <c r="AF392" s="26"/>
      <c r="AG392" s="26"/>
      <c r="AH392" s="26"/>
      <c r="AI392" s="26"/>
      <c r="AJ392" s="15" t="str">
        <f>IF(COUNTA(B392,E392,H392,I392,J392,K392,L392,M392,N392,O392,P392,Q392,R392,S392,T392,U392,V392,W392,X392,Y392,Z392,AA392,AB392,AC392,AD392,AE392,AF392,AG392,AH392,AI392)=0,"",IF(OR(B392="",E392="",H392="",J392="",K392="",L392="",M392="",O392="",P392="",Q392="",R392="",S392="",T392="",U392="",W392="",X392="",Y392="",AB392="",AC392="",AE392="",AF392=""),"Incompleta: faltan campos obligatorios",IF(AND(LEFT(H392,6)="PROPIA",I392=""),"Falta el nombre de la acción propia del área",IF(AND(LEFT(H392,3)="A27",IFERROR(INDEX(Catalogos!$T$5:$T$207,MATCH(H392,Catalogos!$U$5:$U$207,0)),"x")&lt;&gt;LEFT(E392,7)),"La acción no corresponde a la meta seleccionada",IF(OR(NOT(ISNUMBER(M392)),M392&lt;10000000,M392&gt;99999999),"Código UNSPSC inválido: registre 8 dígitos",IF(MOD(M392,10000)=0,"UNSPSC a nivel de segmento o familia: use clase o producto",IF(IFERROR(MATCH(P392,L_MESES,0)&lt;MATCH(O392,L_MESES,0),TRUE()),"El mes de ofertas es anterior al de inicio del proceso",IF(OR(NOT(ISNUMBER(Q392)),Q392&lt;=0),"Duración inválida",IF(OR(NOT(ISNUMBER(W392)),NOT(ISNUMBER(X392))),"Valor inválido: registre solo números",IF(OR(W392&lt;=0,X392&lt;=0),"Valor inválido: debe ser mayor que cero",IF(X392&gt;W392,"El valor de la vigencia 2027 supera el valor total",IF(AND(X392&lt;W392,Y392="No"),"El valor total supera el de 2027: requiere vigencias futuras",IF(AND(Y392="Sí",OR(Z392="",Z392="No aplica")),"Indique el estado de la solicitud de vigencias futuras",IF(IF(AND(S392="Mínima cuantía",ISNUMBER(P_TOPE_MINIMA)),W392&gt;P_TOPE_MINIMA,FALSE()),"El valor supera el tope de mínima cuantía 2027",IF(IF(AND(S392="Selección abreviada de menor cuantía",ISNUMBER(P_TOPE_MENOR)),W392&gt;P_TOPE_MENOR,FALSE()),"El valor supera el tope de menor cuantía 2027",IF(OR(ISERROR(SEARCH("@itc.edu.co",AE392)),SUMPRODUCT(--ISNUMBER(SEARCH({"á","é","í","ó","ú","ñ"," "},AE392)))&gt;0),"El correo del responsable no es institucional válido",IF(AND(AF392="Sí",AG392=""),"Indique el N.° de registro 2026 que continúa","OK")))))))))))))))))</f>
        <v/>
      </c>
      <c r="AK392" s="15" t="str">
        <f>IF(AJ392="OK",COUNTIF($AJ$7:AJ392,"OK"),"")</f>
        <v/>
      </c>
    </row>
    <row r="393" spans="1:37" x14ac:dyDescent="0.3">
      <c r="A393" s="13" t="str">
        <f t="shared" si="6"/>
        <v>PN27-387</v>
      </c>
      <c r="B393" s="26"/>
      <c r="C393" s="13" t="str">
        <f>IF(B393="","",IFERROR(INDEX(Catalogos!$R$5:$R$51,MATCH(B393,L_AREAS,0)),""))</f>
        <v/>
      </c>
      <c r="D393" s="13" t="str">
        <f>IF(B393="","",IFERROR(INDEX(Catalogos!$O$5:$O$51,MATCH(B393,L_AREAS,0)),""))</f>
        <v/>
      </c>
      <c r="E393" s="26"/>
      <c r="F393" s="13" t="str">
        <f>IF(E393="","",IFERROR(INDEX(Catalogos!$C$5:$C$49,MATCH(E393,L_METAS,0)),""))</f>
        <v/>
      </c>
      <c r="G393" s="13" t="str">
        <f>IF(E393="","",IFERROR(INDEX(Catalogos!$E$5:$E$49,MATCH(E393,L_METAS,0)),""))</f>
        <v/>
      </c>
      <c r="H393" s="26"/>
      <c r="I393" s="26"/>
      <c r="J393" s="26"/>
      <c r="K393" s="26"/>
      <c r="L393" s="26"/>
      <c r="M393" s="27"/>
      <c r="N393" s="26"/>
      <c r="O393" s="26"/>
      <c r="P393" s="26"/>
      <c r="Q393" s="26"/>
      <c r="R393" s="26"/>
      <c r="S393" s="26"/>
      <c r="T393" s="26"/>
      <c r="U393" s="26"/>
      <c r="V393" s="26"/>
      <c r="W393" s="28"/>
      <c r="X393" s="28"/>
      <c r="Y393" s="26"/>
      <c r="Z393" s="26"/>
      <c r="AA393" s="26"/>
      <c r="AB393" s="26"/>
      <c r="AC393" s="26"/>
      <c r="AD393" s="26"/>
      <c r="AE393" s="26"/>
      <c r="AF393" s="26"/>
      <c r="AG393" s="26"/>
      <c r="AH393" s="26"/>
      <c r="AI393" s="26"/>
      <c r="AJ393" s="15" t="str">
        <f>IF(COUNTA(B393,E393,H393,I393,J393,K393,L393,M393,N393,O393,P393,Q393,R393,S393,T393,U393,V393,W393,X393,Y393,Z393,AA393,AB393,AC393,AD393,AE393,AF393,AG393,AH393,AI393)=0,"",IF(OR(B393="",E393="",H393="",J393="",K393="",L393="",M393="",O393="",P393="",Q393="",R393="",S393="",T393="",U393="",W393="",X393="",Y393="",AB393="",AC393="",AE393="",AF393=""),"Incompleta: faltan campos obligatorios",IF(AND(LEFT(H393,6)="PROPIA",I393=""),"Falta el nombre de la acción propia del área",IF(AND(LEFT(H393,3)="A27",IFERROR(INDEX(Catalogos!$T$5:$T$207,MATCH(H393,Catalogos!$U$5:$U$207,0)),"x")&lt;&gt;LEFT(E393,7)),"La acción no corresponde a la meta seleccionada",IF(OR(NOT(ISNUMBER(M393)),M393&lt;10000000,M393&gt;99999999),"Código UNSPSC inválido: registre 8 dígitos",IF(MOD(M393,10000)=0,"UNSPSC a nivel de segmento o familia: use clase o producto",IF(IFERROR(MATCH(P393,L_MESES,0)&lt;MATCH(O393,L_MESES,0),TRUE()),"El mes de ofertas es anterior al de inicio del proceso",IF(OR(NOT(ISNUMBER(Q393)),Q393&lt;=0),"Duración inválida",IF(OR(NOT(ISNUMBER(W393)),NOT(ISNUMBER(X393))),"Valor inválido: registre solo números",IF(OR(W393&lt;=0,X393&lt;=0),"Valor inválido: debe ser mayor que cero",IF(X393&gt;W393,"El valor de la vigencia 2027 supera el valor total",IF(AND(X393&lt;W393,Y393="No"),"El valor total supera el de 2027: requiere vigencias futuras",IF(AND(Y393="Sí",OR(Z393="",Z393="No aplica")),"Indique el estado de la solicitud de vigencias futuras",IF(IF(AND(S393="Mínima cuantía",ISNUMBER(P_TOPE_MINIMA)),W393&gt;P_TOPE_MINIMA,FALSE()),"El valor supera el tope de mínima cuantía 2027",IF(IF(AND(S393="Selección abreviada de menor cuantía",ISNUMBER(P_TOPE_MENOR)),W393&gt;P_TOPE_MENOR,FALSE()),"El valor supera el tope de menor cuantía 2027",IF(OR(ISERROR(SEARCH("@itc.edu.co",AE393)),SUMPRODUCT(--ISNUMBER(SEARCH({"á","é","í","ó","ú","ñ"," "},AE393)))&gt;0),"El correo del responsable no es institucional válido",IF(AND(AF393="Sí",AG393=""),"Indique el N.° de registro 2026 que continúa","OK")))))))))))))))))</f>
        <v/>
      </c>
      <c r="AK393" s="15" t="str">
        <f>IF(AJ393="OK",COUNTIF($AJ$7:AJ393,"OK"),"")</f>
        <v/>
      </c>
    </row>
    <row r="394" spans="1:37" x14ac:dyDescent="0.3">
      <c r="A394" s="13" t="str">
        <f t="shared" si="6"/>
        <v>PN27-388</v>
      </c>
      <c r="B394" s="26"/>
      <c r="C394" s="13" t="str">
        <f>IF(B394="","",IFERROR(INDEX(Catalogos!$R$5:$R$51,MATCH(B394,L_AREAS,0)),""))</f>
        <v/>
      </c>
      <c r="D394" s="13" t="str">
        <f>IF(B394="","",IFERROR(INDEX(Catalogos!$O$5:$O$51,MATCH(B394,L_AREAS,0)),""))</f>
        <v/>
      </c>
      <c r="E394" s="26"/>
      <c r="F394" s="13" t="str">
        <f>IF(E394="","",IFERROR(INDEX(Catalogos!$C$5:$C$49,MATCH(E394,L_METAS,0)),""))</f>
        <v/>
      </c>
      <c r="G394" s="13" t="str">
        <f>IF(E394="","",IFERROR(INDEX(Catalogos!$E$5:$E$49,MATCH(E394,L_METAS,0)),""))</f>
        <v/>
      </c>
      <c r="H394" s="26"/>
      <c r="I394" s="26"/>
      <c r="J394" s="26"/>
      <c r="K394" s="26"/>
      <c r="L394" s="26"/>
      <c r="M394" s="27"/>
      <c r="N394" s="26"/>
      <c r="O394" s="26"/>
      <c r="P394" s="26"/>
      <c r="Q394" s="26"/>
      <c r="R394" s="26"/>
      <c r="S394" s="26"/>
      <c r="T394" s="26"/>
      <c r="U394" s="26"/>
      <c r="V394" s="26"/>
      <c r="W394" s="28"/>
      <c r="X394" s="28"/>
      <c r="Y394" s="26"/>
      <c r="Z394" s="26"/>
      <c r="AA394" s="26"/>
      <c r="AB394" s="26"/>
      <c r="AC394" s="26"/>
      <c r="AD394" s="26"/>
      <c r="AE394" s="26"/>
      <c r="AF394" s="26"/>
      <c r="AG394" s="26"/>
      <c r="AH394" s="26"/>
      <c r="AI394" s="26"/>
      <c r="AJ394" s="15" t="str">
        <f>IF(COUNTA(B394,E394,H394,I394,J394,K394,L394,M394,N394,O394,P394,Q394,R394,S394,T394,U394,V394,W394,X394,Y394,Z394,AA394,AB394,AC394,AD394,AE394,AF394,AG394,AH394,AI394)=0,"",IF(OR(B394="",E394="",H394="",J394="",K394="",L394="",M394="",O394="",P394="",Q394="",R394="",S394="",T394="",U394="",W394="",X394="",Y394="",AB394="",AC394="",AE394="",AF394=""),"Incompleta: faltan campos obligatorios",IF(AND(LEFT(H394,6)="PROPIA",I394=""),"Falta el nombre de la acción propia del área",IF(AND(LEFT(H394,3)="A27",IFERROR(INDEX(Catalogos!$T$5:$T$207,MATCH(H394,Catalogos!$U$5:$U$207,0)),"x")&lt;&gt;LEFT(E394,7)),"La acción no corresponde a la meta seleccionada",IF(OR(NOT(ISNUMBER(M394)),M394&lt;10000000,M394&gt;99999999),"Código UNSPSC inválido: registre 8 dígitos",IF(MOD(M394,10000)=0,"UNSPSC a nivel de segmento o familia: use clase o producto",IF(IFERROR(MATCH(P394,L_MESES,0)&lt;MATCH(O394,L_MESES,0),TRUE()),"El mes de ofertas es anterior al de inicio del proceso",IF(OR(NOT(ISNUMBER(Q394)),Q394&lt;=0),"Duración inválida",IF(OR(NOT(ISNUMBER(W394)),NOT(ISNUMBER(X394))),"Valor inválido: registre solo números",IF(OR(W394&lt;=0,X394&lt;=0),"Valor inválido: debe ser mayor que cero",IF(X394&gt;W394,"El valor de la vigencia 2027 supera el valor total",IF(AND(X394&lt;W394,Y394="No"),"El valor total supera el de 2027: requiere vigencias futuras",IF(AND(Y394="Sí",OR(Z394="",Z394="No aplica")),"Indique el estado de la solicitud de vigencias futuras",IF(IF(AND(S394="Mínima cuantía",ISNUMBER(P_TOPE_MINIMA)),W394&gt;P_TOPE_MINIMA,FALSE()),"El valor supera el tope de mínima cuantía 2027",IF(IF(AND(S394="Selección abreviada de menor cuantía",ISNUMBER(P_TOPE_MENOR)),W394&gt;P_TOPE_MENOR,FALSE()),"El valor supera el tope de menor cuantía 2027",IF(OR(ISERROR(SEARCH("@itc.edu.co",AE394)),SUMPRODUCT(--ISNUMBER(SEARCH({"á","é","í","ó","ú","ñ"," "},AE394)))&gt;0),"El correo del responsable no es institucional válido",IF(AND(AF394="Sí",AG394=""),"Indique el N.° de registro 2026 que continúa","OK")))))))))))))))))</f>
        <v/>
      </c>
      <c r="AK394" s="15" t="str">
        <f>IF(AJ394="OK",COUNTIF($AJ$7:AJ394,"OK"),"")</f>
        <v/>
      </c>
    </row>
    <row r="395" spans="1:37" x14ac:dyDescent="0.3">
      <c r="A395" s="13" t="str">
        <f t="shared" si="6"/>
        <v>PN27-389</v>
      </c>
      <c r="B395" s="26"/>
      <c r="C395" s="13" t="str">
        <f>IF(B395="","",IFERROR(INDEX(Catalogos!$R$5:$R$51,MATCH(B395,L_AREAS,0)),""))</f>
        <v/>
      </c>
      <c r="D395" s="13" t="str">
        <f>IF(B395="","",IFERROR(INDEX(Catalogos!$O$5:$O$51,MATCH(B395,L_AREAS,0)),""))</f>
        <v/>
      </c>
      <c r="E395" s="26"/>
      <c r="F395" s="13" t="str">
        <f>IF(E395="","",IFERROR(INDEX(Catalogos!$C$5:$C$49,MATCH(E395,L_METAS,0)),""))</f>
        <v/>
      </c>
      <c r="G395" s="13" t="str">
        <f>IF(E395="","",IFERROR(INDEX(Catalogos!$E$5:$E$49,MATCH(E395,L_METAS,0)),""))</f>
        <v/>
      </c>
      <c r="H395" s="26"/>
      <c r="I395" s="26"/>
      <c r="J395" s="26"/>
      <c r="K395" s="26"/>
      <c r="L395" s="26"/>
      <c r="M395" s="27"/>
      <c r="N395" s="26"/>
      <c r="O395" s="26"/>
      <c r="P395" s="26"/>
      <c r="Q395" s="26"/>
      <c r="R395" s="26"/>
      <c r="S395" s="26"/>
      <c r="T395" s="26"/>
      <c r="U395" s="26"/>
      <c r="V395" s="26"/>
      <c r="W395" s="28"/>
      <c r="X395" s="28"/>
      <c r="Y395" s="26"/>
      <c r="Z395" s="26"/>
      <c r="AA395" s="26"/>
      <c r="AB395" s="26"/>
      <c r="AC395" s="26"/>
      <c r="AD395" s="26"/>
      <c r="AE395" s="26"/>
      <c r="AF395" s="26"/>
      <c r="AG395" s="26"/>
      <c r="AH395" s="26"/>
      <c r="AI395" s="26"/>
      <c r="AJ395" s="15" t="str">
        <f>IF(COUNTA(B395,E395,H395,I395,J395,K395,L395,M395,N395,O395,P395,Q395,R395,S395,T395,U395,V395,W395,X395,Y395,Z395,AA395,AB395,AC395,AD395,AE395,AF395,AG395,AH395,AI395)=0,"",IF(OR(B395="",E395="",H395="",J395="",K395="",L395="",M395="",O395="",P395="",Q395="",R395="",S395="",T395="",U395="",W395="",X395="",Y395="",AB395="",AC395="",AE395="",AF395=""),"Incompleta: faltan campos obligatorios",IF(AND(LEFT(H395,6)="PROPIA",I395=""),"Falta el nombre de la acción propia del área",IF(AND(LEFT(H395,3)="A27",IFERROR(INDEX(Catalogos!$T$5:$T$207,MATCH(H395,Catalogos!$U$5:$U$207,0)),"x")&lt;&gt;LEFT(E395,7)),"La acción no corresponde a la meta seleccionada",IF(OR(NOT(ISNUMBER(M395)),M395&lt;10000000,M395&gt;99999999),"Código UNSPSC inválido: registre 8 dígitos",IF(MOD(M395,10000)=0,"UNSPSC a nivel de segmento o familia: use clase o producto",IF(IFERROR(MATCH(P395,L_MESES,0)&lt;MATCH(O395,L_MESES,0),TRUE()),"El mes de ofertas es anterior al de inicio del proceso",IF(OR(NOT(ISNUMBER(Q395)),Q395&lt;=0),"Duración inválida",IF(OR(NOT(ISNUMBER(W395)),NOT(ISNUMBER(X395))),"Valor inválido: registre solo números",IF(OR(W395&lt;=0,X395&lt;=0),"Valor inválido: debe ser mayor que cero",IF(X395&gt;W395,"El valor de la vigencia 2027 supera el valor total",IF(AND(X395&lt;W395,Y395="No"),"El valor total supera el de 2027: requiere vigencias futuras",IF(AND(Y395="Sí",OR(Z395="",Z395="No aplica")),"Indique el estado de la solicitud de vigencias futuras",IF(IF(AND(S395="Mínima cuantía",ISNUMBER(P_TOPE_MINIMA)),W395&gt;P_TOPE_MINIMA,FALSE()),"El valor supera el tope de mínima cuantía 2027",IF(IF(AND(S395="Selección abreviada de menor cuantía",ISNUMBER(P_TOPE_MENOR)),W395&gt;P_TOPE_MENOR,FALSE()),"El valor supera el tope de menor cuantía 2027",IF(OR(ISERROR(SEARCH("@itc.edu.co",AE395)),SUMPRODUCT(--ISNUMBER(SEARCH({"á","é","í","ó","ú","ñ"," "},AE395)))&gt;0),"El correo del responsable no es institucional válido",IF(AND(AF395="Sí",AG395=""),"Indique el N.° de registro 2026 que continúa","OK")))))))))))))))))</f>
        <v/>
      </c>
      <c r="AK395" s="15" t="str">
        <f>IF(AJ395="OK",COUNTIF($AJ$7:AJ395,"OK"),"")</f>
        <v/>
      </c>
    </row>
    <row r="396" spans="1:37" x14ac:dyDescent="0.3">
      <c r="A396" s="13" t="str">
        <f t="shared" si="6"/>
        <v>PN27-390</v>
      </c>
      <c r="B396" s="26"/>
      <c r="C396" s="13" t="str">
        <f>IF(B396="","",IFERROR(INDEX(Catalogos!$R$5:$R$51,MATCH(B396,L_AREAS,0)),""))</f>
        <v/>
      </c>
      <c r="D396" s="13" t="str">
        <f>IF(B396="","",IFERROR(INDEX(Catalogos!$O$5:$O$51,MATCH(B396,L_AREAS,0)),""))</f>
        <v/>
      </c>
      <c r="E396" s="26"/>
      <c r="F396" s="13" t="str">
        <f>IF(E396="","",IFERROR(INDEX(Catalogos!$C$5:$C$49,MATCH(E396,L_METAS,0)),""))</f>
        <v/>
      </c>
      <c r="G396" s="13" t="str">
        <f>IF(E396="","",IFERROR(INDEX(Catalogos!$E$5:$E$49,MATCH(E396,L_METAS,0)),""))</f>
        <v/>
      </c>
      <c r="H396" s="26"/>
      <c r="I396" s="26"/>
      <c r="J396" s="26"/>
      <c r="K396" s="26"/>
      <c r="L396" s="26"/>
      <c r="M396" s="27"/>
      <c r="N396" s="26"/>
      <c r="O396" s="26"/>
      <c r="P396" s="26"/>
      <c r="Q396" s="26"/>
      <c r="R396" s="26"/>
      <c r="S396" s="26"/>
      <c r="T396" s="26"/>
      <c r="U396" s="26"/>
      <c r="V396" s="26"/>
      <c r="W396" s="28"/>
      <c r="X396" s="28"/>
      <c r="Y396" s="26"/>
      <c r="Z396" s="26"/>
      <c r="AA396" s="26"/>
      <c r="AB396" s="26"/>
      <c r="AC396" s="26"/>
      <c r="AD396" s="26"/>
      <c r="AE396" s="26"/>
      <c r="AF396" s="26"/>
      <c r="AG396" s="26"/>
      <c r="AH396" s="26"/>
      <c r="AI396" s="26"/>
      <c r="AJ396" s="15" t="str">
        <f>IF(COUNTA(B396,E396,H396,I396,J396,K396,L396,M396,N396,O396,P396,Q396,R396,S396,T396,U396,V396,W396,X396,Y396,Z396,AA396,AB396,AC396,AD396,AE396,AF396,AG396,AH396,AI396)=0,"",IF(OR(B396="",E396="",H396="",J396="",K396="",L396="",M396="",O396="",P396="",Q396="",R396="",S396="",T396="",U396="",W396="",X396="",Y396="",AB396="",AC396="",AE396="",AF396=""),"Incompleta: faltan campos obligatorios",IF(AND(LEFT(H396,6)="PROPIA",I396=""),"Falta el nombre de la acción propia del área",IF(AND(LEFT(H396,3)="A27",IFERROR(INDEX(Catalogos!$T$5:$T$207,MATCH(H396,Catalogos!$U$5:$U$207,0)),"x")&lt;&gt;LEFT(E396,7)),"La acción no corresponde a la meta seleccionada",IF(OR(NOT(ISNUMBER(M396)),M396&lt;10000000,M396&gt;99999999),"Código UNSPSC inválido: registre 8 dígitos",IF(MOD(M396,10000)=0,"UNSPSC a nivel de segmento o familia: use clase o producto",IF(IFERROR(MATCH(P396,L_MESES,0)&lt;MATCH(O396,L_MESES,0),TRUE()),"El mes de ofertas es anterior al de inicio del proceso",IF(OR(NOT(ISNUMBER(Q396)),Q396&lt;=0),"Duración inválida",IF(OR(NOT(ISNUMBER(W396)),NOT(ISNUMBER(X396))),"Valor inválido: registre solo números",IF(OR(W396&lt;=0,X396&lt;=0),"Valor inválido: debe ser mayor que cero",IF(X396&gt;W396,"El valor de la vigencia 2027 supera el valor total",IF(AND(X396&lt;W396,Y396="No"),"El valor total supera el de 2027: requiere vigencias futuras",IF(AND(Y396="Sí",OR(Z396="",Z396="No aplica")),"Indique el estado de la solicitud de vigencias futuras",IF(IF(AND(S396="Mínima cuantía",ISNUMBER(P_TOPE_MINIMA)),W396&gt;P_TOPE_MINIMA,FALSE()),"El valor supera el tope de mínima cuantía 2027",IF(IF(AND(S396="Selección abreviada de menor cuantía",ISNUMBER(P_TOPE_MENOR)),W396&gt;P_TOPE_MENOR,FALSE()),"El valor supera el tope de menor cuantía 2027",IF(OR(ISERROR(SEARCH("@itc.edu.co",AE396)),SUMPRODUCT(--ISNUMBER(SEARCH({"á","é","í","ó","ú","ñ"," "},AE396)))&gt;0),"El correo del responsable no es institucional válido",IF(AND(AF396="Sí",AG396=""),"Indique el N.° de registro 2026 que continúa","OK")))))))))))))))))</f>
        <v/>
      </c>
      <c r="AK396" s="15" t="str">
        <f>IF(AJ396="OK",COUNTIF($AJ$7:AJ396,"OK"),"")</f>
        <v/>
      </c>
    </row>
    <row r="397" spans="1:37" x14ac:dyDescent="0.3">
      <c r="A397" s="13" t="str">
        <f t="shared" si="6"/>
        <v>PN27-391</v>
      </c>
      <c r="B397" s="26"/>
      <c r="C397" s="13" t="str">
        <f>IF(B397="","",IFERROR(INDEX(Catalogos!$R$5:$R$51,MATCH(B397,L_AREAS,0)),""))</f>
        <v/>
      </c>
      <c r="D397" s="13" t="str">
        <f>IF(B397="","",IFERROR(INDEX(Catalogos!$O$5:$O$51,MATCH(B397,L_AREAS,0)),""))</f>
        <v/>
      </c>
      <c r="E397" s="26"/>
      <c r="F397" s="13" t="str">
        <f>IF(E397="","",IFERROR(INDEX(Catalogos!$C$5:$C$49,MATCH(E397,L_METAS,0)),""))</f>
        <v/>
      </c>
      <c r="G397" s="13" t="str">
        <f>IF(E397="","",IFERROR(INDEX(Catalogos!$E$5:$E$49,MATCH(E397,L_METAS,0)),""))</f>
        <v/>
      </c>
      <c r="H397" s="26"/>
      <c r="I397" s="26"/>
      <c r="J397" s="26"/>
      <c r="K397" s="26"/>
      <c r="L397" s="26"/>
      <c r="M397" s="27"/>
      <c r="N397" s="26"/>
      <c r="O397" s="26"/>
      <c r="P397" s="26"/>
      <c r="Q397" s="26"/>
      <c r="R397" s="26"/>
      <c r="S397" s="26"/>
      <c r="T397" s="26"/>
      <c r="U397" s="26"/>
      <c r="V397" s="26"/>
      <c r="W397" s="28"/>
      <c r="X397" s="28"/>
      <c r="Y397" s="26"/>
      <c r="Z397" s="26"/>
      <c r="AA397" s="26"/>
      <c r="AB397" s="26"/>
      <c r="AC397" s="26"/>
      <c r="AD397" s="26"/>
      <c r="AE397" s="26"/>
      <c r="AF397" s="26"/>
      <c r="AG397" s="26"/>
      <c r="AH397" s="26"/>
      <c r="AI397" s="26"/>
      <c r="AJ397" s="15" t="str">
        <f>IF(COUNTA(B397,E397,H397,I397,J397,K397,L397,M397,N397,O397,P397,Q397,R397,S397,T397,U397,V397,W397,X397,Y397,Z397,AA397,AB397,AC397,AD397,AE397,AF397,AG397,AH397,AI397)=0,"",IF(OR(B397="",E397="",H397="",J397="",K397="",L397="",M397="",O397="",P397="",Q397="",R397="",S397="",T397="",U397="",W397="",X397="",Y397="",AB397="",AC397="",AE397="",AF397=""),"Incompleta: faltan campos obligatorios",IF(AND(LEFT(H397,6)="PROPIA",I397=""),"Falta el nombre de la acción propia del área",IF(AND(LEFT(H397,3)="A27",IFERROR(INDEX(Catalogos!$T$5:$T$207,MATCH(H397,Catalogos!$U$5:$U$207,0)),"x")&lt;&gt;LEFT(E397,7)),"La acción no corresponde a la meta seleccionada",IF(OR(NOT(ISNUMBER(M397)),M397&lt;10000000,M397&gt;99999999),"Código UNSPSC inválido: registre 8 dígitos",IF(MOD(M397,10000)=0,"UNSPSC a nivel de segmento o familia: use clase o producto",IF(IFERROR(MATCH(P397,L_MESES,0)&lt;MATCH(O397,L_MESES,0),TRUE()),"El mes de ofertas es anterior al de inicio del proceso",IF(OR(NOT(ISNUMBER(Q397)),Q397&lt;=0),"Duración inválida",IF(OR(NOT(ISNUMBER(W397)),NOT(ISNUMBER(X397))),"Valor inválido: registre solo números",IF(OR(W397&lt;=0,X397&lt;=0),"Valor inválido: debe ser mayor que cero",IF(X397&gt;W397,"El valor de la vigencia 2027 supera el valor total",IF(AND(X397&lt;W397,Y397="No"),"El valor total supera el de 2027: requiere vigencias futuras",IF(AND(Y397="Sí",OR(Z397="",Z397="No aplica")),"Indique el estado de la solicitud de vigencias futuras",IF(IF(AND(S397="Mínima cuantía",ISNUMBER(P_TOPE_MINIMA)),W397&gt;P_TOPE_MINIMA,FALSE()),"El valor supera el tope de mínima cuantía 2027",IF(IF(AND(S397="Selección abreviada de menor cuantía",ISNUMBER(P_TOPE_MENOR)),W397&gt;P_TOPE_MENOR,FALSE()),"El valor supera el tope de menor cuantía 2027",IF(OR(ISERROR(SEARCH("@itc.edu.co",AE397)),SUMPRODUCT(--ISNUMBER(SEARCH({"á","é","í","ó","ú","ñ"," "},AE397)))&gt;0),"El correo del responsable no es institucional válido",IF(AND(AF397="Sí",AG397=""),"Indique el N.° de registro 2026 que continúa","OK")))))))))))))))))</f>
        <v/>
      </c>
      <c r="AK397" s="15" t="str">
        <f>IF(AJ397="OK",COUNTIF($AJ$7:AJ397,"OK"),"")</f>
        <v/>
      </c>
    </row>
    <row r="398" spans="1:37" x14ac:dyDescent="0.3">
      <c r="A398" s="13" t="str">
        <f t="shared" si="6"/>
        <v>PN27-392</v>
      </c>
      <c r="B398" s="26"/>
      <c r="C398" s="13" t="str">
        <f>IF(B398="","",IFERROR(INDEX(Catalogos!$R$5:$R$51,MATCH(B398,L_AREAS,0)),""))</f>
        <v/>
      </c>
      <c r="D398" s="13" t="str">
        <f>IF(B398="","",IFERROR(INDEX(Catalogos!$O$5:$O$51,MATCH(B398,L_AREAS,0)),""))</f>
        <v/>
      </c>
      <c r="E398" s="26"/>
      <c r="F398" s="13" t="str">
        <f>IF(E398="","",IFERROR(INDEX(Catalogos!$C$5:$C$49,MATCH(E398,L_METAS,0)),""))</f>
        <v/>
      </c>
      <c r="G398" s="13" t="str">
        <f>IF(E398="","",IFERROR(INDEX(Catalogos!$E$5:$E$49,MATCH(E398,L_METAS,0)),""))</f>
        <v/>
      </c>
      <c r="H398" s="26"/>
      <c r="I398" s="26"/>
      <c r="J398" s="26"/>
      <c r="K398" s="26"/>
      <c r="L398" s="26"/>
      <c r="M398" s="27"/>
      <c r="N398" s="26"/>
      <c r="O398" s="26"/>
      <c r="P398" s="26"/>
      <c r="Q398" s="26"/>
      <c r="R398" s="26"/>
      <c r="S398" s="26"/>
      <c r="T398" s="26"/>
      <c r="U398" s="26"/>
      <c r="V398" s="26"/>
      <c r="W398" s="28"/>
      <c r="X398" s="28"/>
      <c r="Y398" s="26"/>
      <c r="Z398" s="26"/>
      <c r="AA398" s="26"/>
      <c r="AB398" s="26"/>
      <c r="AC398" s="26"/>
      <c r="AD398" s="26"/>
      <c r="AE398" s="26"/>
      <c r="AF398" s="26"/>
      <c r="AG398" s="26"/>
      <c r="AH398" s="26"/>
      <c r="AI398" s="26"/>
      <c r="AJ398" s="15" t="str">
        <f>IF(COUNTA(B398,E398,H398,I398,J398,K398,L398,M398,N398,O398,P398,Q398,R398,S398,T398,U398,V398,W398,X398,Y398,Z398,AA398,AB398,AC398,AD398,AE398,AF398,AG398,AH398,AI398)=0,"",IF(OR(B398="",E398="",H398="",J398="",K398="",L398="",M398="",O398="",P398="",Q398="",R398="",S398="",T398="",U398="",W398="",X398="",Y398="",AB398="",AC398="",AE398="",AF398=""),"Incompleta: faltan campos obligatorios",IF(AND(LEFT(H398,6)="PROPIA",I398=""),"Falta el nombre de la acción propia del área",IF(AND(LEFT(H398,3)="A27",IFERROR(INDEX(Catalogos!$T$5:$T$207,MATCH(H398,Catalogos!$U$5:$U$207,0)),"x")&lt;&gt;LEFT(E398,7)),"La acción no corresponde a la meta seleccionada",IF(OR(NOT(ISNUMBER(M398)),M398&lt;10000000,M398&gt;99999999),"Código UNSPSC inválido: registre 8 dígitos",IF(MOD(M398,10000)=0,"UNSPSC a nivel de segmento o familia: use clase o producto",IF(IFERROR(MATCH(P398,L_MESES,0)&lt;MATCH(O398,L_MESES,0),TRUE()),"El mes de ofertas es anterior al de inicio del proceso",IF(OR(NOT(ISNUMBER(Q398)),Q398&lt;=0),"Duración inválida",IF(OR(NOT(ISNUMBER(W398)),NOT(ISNUMBER(X398))),"Valor inválido: registre solo números",IF(OR(W398&lt;=0,X398&lt;=0),"Valor inválido: debe ser mayor que cero",IF(X398&gt;W398,"El valor de la vigencia 2027 supera el valor total",IF(AND(X398&lt;W398,Y398="No"),"El valor total supera el de 2027: requiere vigencias futuras",IF(AND(Y398="Sí",OR(Z398="",Z398="No aplica")),"Indique el estado de la solicitud de vigencias futuras",IF(IF(AND(S398="Mínima cuantía",ISNUMBER(P_TOPE_MINIMA)),W398&gt;P_TOPE_MINIMA,FALSE()),"El valor supera el tope de mínima cuantía 2027",IF(IF(AND(S398="Selección abreviada de menor cuantía",ISNUMBER(P_TOPE_MENOR)),W398&gt;P_TOPE_MENOR,FALSE()),"El valor supera el tope de menor cuantía 2027",IF(OR(ISERROR(SEARCH("@itc.edu.co",AE398)),SUMPRODUCT(--ISNUMBER(SEARCH({"á","é","í","ó","ú","ñ"," "},AE398)))&gt;0),"El correo del responsable no es institucional válido",IF(AND(AF398="Sí",AG398=""),"Indique el N.° de registro 2026 que continúa","OK")))))))))))))))))</f>
        <v/>
      </c>
      <c r="AK398" s="15" t="str">
        <f>IF(AJ398="OK",COUNTIF($AJ$7:AJ398,"OK"),"")</f>
        <v/>
      </c>
    </row>
    <row r="399" spans="1:37" x14ac:dyDescent="0.3">
      <c r="A399" s="13" t="str">
        <f t="shared" si="6"/>
        <v>PN27-393</v>
      </c>
      <c r="B399" s="26"/>
      <c r="C399" s="13" t="str">
        <f>IF(B399="","",IFERROR(INDEX(Catalogos!$R$5:$R$51,MATCH(B399,L_AREAS,0)),""))</f>
        <v/>
      </c>
      <c r="D399" s="13" t="str">
        <f>IF(B399="","",IFERROR(INDEX(Catalogos!$O$5:$O$51,MATCH(B399,L_AREAS,0)),""))</f>
        <v/>
      </c>
      <c r="E399" s="26"/>
      <c r="F399" s="13" t="str">
        <f>IF(E399="","",IFERROR(INDEX(Catalogos!$C$5:$C$49,MATCH(E399,L_METAS,0)),""))</f>
        <v/>
      </c>
      <c r="G399" s="13" t="str">
        <f>IF(E399="","",IFERROR(INDEX(Catalogos!$E$5:$E$49,MATCH(E399,L_METAS,0)),""))</f>
        <v/>
      </c>
      <c r="H399" s="26"/>
      <c r="I399" s="26"/>
      <c r="J399" s="26"/>
      <c r="K399" s="26"/>
      <c r="L399" s="26"/>
      <c r="M399" s="27"/>
      <c r="N399" s="26"/>
      <c r="O399" s="26"/>
      <c r="P399" s="26"/>
      <c r="Q399" s="26"/>
      <c r="R399" s="26"/>
      <c r="S399" s="26"/>
      <c r="T399" s="26"/>
      <c r="U399" s="26"/>
      <c r="V399" s="26"/>
      <c r="W399" s="28"/>
      <c r="X399" s="28"/>
      <c r="Y399" s="26"/>
      <c r="Z399" s="26"/>
      <c r="AA399" s="26"/>
      <c r="AB399" s="26"/>
      <c r="AC399" s="26"/>
      <c r="AD399" s="26"/>
      <c r="AE399" s="26"/>
      <c r="AF399" s="26"/>
      <c r="AG399" s="26"/>
      <c r="AH399" s="26"/>
      <c r="AI399" s="26"/>
      <c r="AJ399" s="15" t="str">
        <f>IF(COUNTA(B399,E399,H399,I399,J399,K399,L399,M399,N399,O399,P399,Q399,R399,S399,T399,U399,V399,W399,X399,Y399,Z399,AA399,AB399,AC399,AD399,AE399,AF399,AG399,AH399,AI399)=0,"",IF(OR(B399="",E399="",H399="",J399="",K399="",L399="",M399="",O399="",P399="",Q399="",R399="",S399="",T399="",U399="",W399="",X399="",Y399="",AB399="",AC399="",AE399="",AF399=""),"Incompleta: faltan campos obligatorios",IF(AND(LEFT(H399,6)="PROPIA",I399=""),"Falta el nombre de la acción propia del área",IF(AND(LEFT(H399,3)="A27",IFERROR(INDEX(Catalogos!$T$5:$T$207,MATCH(H399,Catalogos!$U$5:$U$207,0)),"x")&lt;&gt;LEFT(E399,7)),"La acción no corresponde a la meta seleccionada",IF(OR(NOT(ISNUMBER(M399)),M399&lt;10000000,M399&gt;99999999),"Código UNSPSC inválido: registre 8 dígitos",IF(MOD(M399,10000)=0,"UNSPSC a nivel de segmento o familia: use clase o producto",IF(IFERROR(MATCH(P399,L_MESES,0)&lt;MATCH(O399,L_MESES,0),TRUE()),"El mes de ofertas es anterior al de inicio del proceso",IF(OR(NOT(ISNUMBER(Q399)),Q399&lt;=0),"Duración inválida",IF(OR(NOT(ISNUMBER(W399)),NOT(ISNUMBER(X399))),"Valor inválido: registre solo números",IF(OR(W399&lt;=0,X399&lt;=0),"Valor inválido: debe ser mayor que cero",IF(X399&gt;W399,"El valor de la vigencia 2027 supera el valor total",IF(AND(X399&lt;W399,Y399="No"),"El valor total supera el de 2027: requiere vigencias futuras",IF(AND(Y399="Sí",OR(Z399="",Z399="No aplica")),"Indique el estado de la solicitud de vigencias futuras",IF(IF(AND(S399="Mínima cuantía",ISNUMBER(P_TOPE_MINIMA)),W399&gt;P_TOPE_MINIMA,FALSE()),"El valor supera el tope de mínima cuantía 2027",IF(IF(AND(S399="Selección abreviada de menor cuantía",ISNUMBER(P_TOPE_MENOR)),W399&gt;P_TOPE_MENOR,FALSE()),"El valor supera el tope de menor cuantía 2027",IF(OR(ISERROR(SEARCH("@itc.edu.co",AE399)),SUMPRODUCT(--ISNUMBER(SEARCH({"á","é","í","ó","ú","ñ"," "},AE399)))&gt;0),"El correo del responsable no es institucional válido",IF(AND(AF399="Sí",AG399=""),"Indique el N.° de registro 2026 que continúa","OK")))))))))))))))))</f>
        <v/>
      </c>
      <c r="AK399" s="15" t="str">
        <f>IF(AJ399="OK",COUNTIF($AJ$7:AJ399,"OK"),"")</f>
        <v/>
      </c>
    </row>
    <row r="400" spans="1:37" x14ac:dyDescent="0.3">
      <c r="A400" s="13" t="str">
        <f t="shared" si="6"/>
        <v>PN27-394</v>
      </c>
      <c r="B400" s="26"/>
      <c r="C400" s="13" t="str">
        <f>IF(B400="","",IFERROR(INDEX(Catalogos!$R$5:$R$51,MATCH(B400,L_AREAS,0)),""))</f>
        <v/>
      </c>
      <c r="D400" s="13" t="str">
        <f>IF(B400="","",IFERROR(INDEX(Catalogos!$O$5:$O$51,MATCH(B400,L_AREAS,0)),""))</f>
        <v/>
      </c>
      <c r="E400" s="26"/>
      <c r="F400" s="13" t="str">
        <f>IF(E400="","",IFERROR(INDEX(Catalogos!$C$5:$C$49,MATCH(E400,L_METAS,0)),""))</f>
        <v/>
      </c>
      <c r="G400" s="13" t="str">
        <f>IF(E400="","",IFERROR(INDEX(Catalogos!$E$5:$E$49,MATCH(E400,L_METAS,0)),""))</f>
        <v/>
      </c>
      <c r="H400" s="26"/>
      <c r="I400" s="26"/>
      <c r="J400" s="26"/>
      <c r="K400" s="26"/>
      <c r="L400" s="26"/>
      <c r="M400" s="27"/>
      <c r="N400" s="26"/>
      <c r="O400" s="26"/>
      <c r="P400" s="26"/>
      <c r="Q400" s="26"/>
      <c r="R400" s="26"/>
      <c r="S400" s="26"/>
      <c r="T400" s="26"/>
      <c r="U400" s="26"/>
      <c r="V400" s="26"/>
      <c r="W400" s="28"/>
      <c r="X400" s="28"/>
      <c r="Y400" s="26"/>
      <c r="Z400" s="26"/>
      <c r="AA400" s="26"/>
      <c r="AB400" s="26"/>
      <c r="AC400" s="26"/>
      <c r="AD400" s="26"/>
      <c r="AE400" s="26"/>
      <c r="AF400" s="26"/>
      <c r="AG400" s="26"/>
      <c r="AH400" s="26"/>
      <c r="AI400" s="26"/>
      <c r="AJ400" s="15" t="str">
        <f>IF(COUNTA(B400,E400,H400,I400,J400,K400,L400,M400,N400,O400,P400,Q400,R400,S400,T400,U400,V400,W400,X400,Y400,Z400,AA400,AB400,AC400,AD400,AE400,AF400,AG400,AH400,AI400)=0,"",IF(OR(B400="",E400="",H400="",J400="",K400="",L400="",M400="",O400="",P400="",Q400="",R400="",S400="",T400="",U400="",W400="",X400="",Y400="",AB400="",AC400="",AE400="",AF400=""),"Incompleta: faltan campos obligatorios",IF(AND(LEFT(H400,6)="PROPIA",I400=""),"Falta el nombre de la acción propia del área",IF(AND(LEFT(H400,3)="A27",IFERROR(INDEX(Catalogos!$T$5:$T$207,MATCH(H400,Catalogos!$U$5:$U$207,0)),"x")&lt;&gt;LEFT(E400,7)),"La acción no corresponde a la meta seleccionada",IF(OR(NOT(ISNUMBER(M400)),M400&lt;10000000,M400&gt;99999999),"Código UNSPSC inválido: registre 8 dígitos",IF(MOD(M400,10000)=0,"UNSPSC a nivel de segmento o familia: use clase o producto",IF(IFERROR(MATCH(P400,L_MESES,0)&lt;MATCH(O400,L_MESES,0),TRUE()),"El mes de ofertas es anterior al de inicio del proceso",IF(OR(NOT(ISNUMBER(Q400)),Q400&lt;=0),"Duración inválida",IF(OR(NOT(ISNUMBER(W400)),NOT(ISNUMBER(X400))),"Valor inválido: registre solo números",IF(OR(W400&lt;=0,X400&lt;=0),"Valor inválido: debe ser mayor que cero",IF(X400&gt;W400,"El valor de la vigencia 2027 supera el valor total",IF(AND(X400&lt;W400,Y400="No"),"El valor total supera el de 2027: requiere vigencias futuras",IF(AND(Y400="Sí",OR(Z400="",Z400="No aplica")),"Indique el estado de la solicitud de vigencias futuras",IF(IF(AND(S400="Mínima cuantía",ISNUMBER(P_TOPE_MINIMA)),W400&gt;P_TOPE_MINIMA,FALSE()),"El valor supera el tope de mínima cuantía 2027",IF(IF(AND(S400="Selección abreviada de menor cuantía",ISNUMBER(P_TOPE_MENOR)),W400&gt;P_TOPE_MENOR,FALSE()),"El valor supera el tope de menor cuantía 2027",IF(OR(ISERROR(SEARCH("@itc.edu.co",AE400)),SUMPRODUCT(--ISNUMBER(SEARCH({"á","é","í","ó","ú","ñ"," "},AE400)))&gt;0),"El correo del responsable no es institucional válido",IF(AND(AF400="Sí",AG400=""),"Indique el N.° de registro 2026 que continúa","OK")))))))))))))))))</f>
        <v/>
      </c>
      <c r="AK400" s="15" t="str">
        <f>IF(AJ400="OK",COUNTIF($AJ$7:AJ400,"OK"),"")</f>
        <v/>
      </c>
    </row>
    <row r="401" spans="1:37" x14ac:dyDescent="0.3">
      <c r="A401" s="13" t="str">
        <f t="shared" si="6"/>
        <v>PN27-395</v>
      </c>
      <c r="B401" s="26"/>
      <c r="C401" s="13" t="str">
        <f>IF(B401="","",IFERROR(INDEX(Catalogos!$R$5:$R$51,MATCH(B401,L_AREAS,0)),""))</f>
        <v/>
      </c>
      <c r="D401" s="13" t="str">
        <f>IF(B401="","",IFERROR(INDEX(Catalogos!$O$5:$O$51,MATCH(B401,L_AREAS,0)),""))</f>
        <v/>
      </c>
      <c r="E401" s="26"/>
      <c r="F401" s="13" t="str">
        <f>IF(E401="","",IFERROR(INDEX(Catalogos!$C$5:$C$49,MATCH(E401,L_METAS,0)),""))</f>
        <v/>
      </c>
      <c r="G401" s="13" t="str">
        <f>IF(E401="","",IFERROR(INDEX(Catalogos!$E$5:$E$49,MATCH(E401,L_METAS,0)),""))</f>
        <v/>
      </c>
      <c r="H401" s="26"/>
      <c r="I401" s="26"/>
      <c r="J401" s="26"/>
      <c r="K401" s="26"/>
      <c r="L401" s="26"/>
      <c r="M401" s="27"/>
      <c r="N401" s="26"/>
      <c r="O401" s="26"/>
      <c r="P401" s="26"/>
      <c r="Q401" s="26"/>
      <c r="R401" s="26"/>
      <c r="S401" s="26"/>
      <c r="T401" s="26"/>
      <c r="U401" s="26"/>
      <c r="V401" s="26"/>
      <c r="W401" s="28"/>
      <c r="X401" s="28"/>
      <c r="Y401" s="26"/>
      <c r="Z401" s="26"/>
      <c r="AA401" s="26"/>
      <c r="AB401" s="26"/>
      <c r="AC401" s="26"/>
      <c r="AD401" s="26"/>
      <c r="AE401" s="26"/>
      <c r="AF401" s="26"/>
      <c r="AG401" s="26"/>
      <c r="AH401" s="26"/>
      <c r="AI401" s="26"/>
      <c r="AJ401" s="15" t="str">
        <f>IF(COUNTA(B401,E401,H401,I401,J401,K401,L401,M401,N401,O401,P401,Q401,R401,S401,T401,U401,V401,W401,X401,Y401,Z401,AA401,AB401,AC401,AD401,AE401,AF401,AG401,AH401,AI401)=0,"",IF(OR(B401="",E401="",H401="",J401="",K401="",L401="",M401="",O401="",P401="",Q401="",R401="",S401="",T401="",U401="",W401="",X401="",Y401="",AB401="",AC401="",AE401="",AF401=""),"Incompleta: faltan campos obligatorios",IF(AND(LEFT(H401,6)="PROPIA",I401=""),"Falta el nombre de la acción propia del área",IF(AND(LEFT(H401,3)="A27",IFERROR(INDEX(Catalogos!$T$5:$T$207,MATCH(H401,Catalogos!$U$5:$U$207,0)),"x")&lt;&gt;LEFT(E401,7)),"La acción no corresponde a la meta seleccionada",IF(OR(NOT(ISNUMBER(M401)),M401&lt;10000000,M401&gt;99999999),"Código UNSPSC inválido: registre 8 dígitos",IF(MOD(M401,10000)=0,"UNSPSC a nivel de segmento o familia: use clase o producto",IF(IFERROR(MATCH(P401,L_MESES,0)&lt;MATCH(O401,L_MESES,0),TRUE()),"El mes de ofertas es anterior al de inicio del proceso",IF(OR(NOT(ISNUMBER(Q401)),Q401&lt;=0),"Duración inválida",IF(OR(NOT(ISNUMBER(W401)),NOT(ISNUMBER(X401))),"Valor inválido: registre solo números",IF(OR(W401&lt;=0,X401&lt;=0),"Valor inválido: debe ser mayor que cero",IF(X401&gt;W401,"El valor de la vigencia 2027 supera el valor total",IF(AND(X401&lt;W401,Y401="No"),"El valor total supera el de 2027: requiere vigencias futuras",IF(AND(Y401="Sí",OR(Z401="",Z401="No aplica")),"Indique el estado de la solicitud de vigencias futuras",IF(IF(AND(S401="Mínima cuantía",ISNUMBER(P_TOPE_MINIMA)),W401&gt;P_TOPE_MINIMA,FALSE()),"El valor supera el tope de mínima cuantía 2027",IF(IF(AND(S401="Selección abreviada de menor cuantía",ISNUMBER(P_TOPE_MENOR)),W401&gt;P_TOPE_MENOR,FALSE()),"El valor supera el tope de menor cuantía 2027",IF(OR(ISERROR(SEARCH("@itc.edu.co",AE401)),SUMPRODUCT(--ISNUMBER(SEARCH({"á","é","í","ó","ú","ñ"," "},AE401)))&gt;0),"El correo del responsable no es institucional válido",IF(AND(AF401="Sí",AG401=""),"Indique el N.° de registro 2026 que continúa","OK")))))))))))))))))</f>
        <v/>
      </c>
      <c r="AK401" s="15" t="str">
        <f>IF(AJ401="OK",COUNTIF($AJ$7:AJ401,"OK"),"")</f>
        <v/>
      </c>
    </row>
    <row r="402" spans="1:37" x14ac:dyDescent="0.3">
      <c r="A402" s="13" t="str">
        <f t="shared" si="6"/>
        <v>PN27-396</v>
      </c>
      <c r="B402" s="26"/>
      <c r="C402" s="13" t="str">
        <f>IF(B402="","",IFERROR(INDEX(Catalogos!$R$5:$R$51,MATCH(B402,L_AREAS,0)),""))</f>
        <v/>
      </c>
      <c r="D402" s="13" t="str">
        <f>IF(B402="","",IFERROR(INDEX(Catalogos!$O$5:$O$51,MATCH(B402,L_AREAS,0)),""))</f>
        <v/>
      </c>
      <c r="E402" s="26"/>
      <c r="F402" s="13" t="str">
        <f>IF(E402="","",IFERROR(INDEX(Catalogos!$C$5:$C$49,MATCH(E402,L_METAS,0)),""))</f>
        <v/>
      </c>
      <c r="G402" s="13" t="str">
        <f>IF(E402="","",IFERROR(INDEX(Catalogos!$E$5:$E$49,MATCH(E402,L_METAS,0)),""))</f>
        <v/>
      </c>
      <c r="H402" s="26"/>
      <c r="I402" s="26"/>
      <c r="J402" s="26"/>
      <c r="K402" s="26"/>
      <c r="L402" s="26"/>
      <c r="M402" s="27"/>
      <c r="N402" s="26"/>
      <c r="O402" s="26"/>
      <c r="P402" s="26"/>
      <c r="Q402" s="26"/>
      <c r="R402" s="26"/>
      <c r="S402" s="26"/>
      <c r="T402" s="26"/>
      <c r="U402" s="26"/>
      <c r="V402" s="26"/>
      <c r="W402" s="28"/>
      <c r="X402" s="28"/>
      <c r="Y402" s="26"/>
      <c r="Z402" s="26"/>
      <c r="AA402" s="26"/>
      <c r="AB402" s="26"/>
      <c r="AC402" s="26"/>
      <c r="AD402" s="26"/>
      <c r="AE402" s="26"/>
      <c r="AF402" s="26"/>
      <c r="AG402" s="26"/>
      <c r="AH402" s="26"/>
      <c r="AI402" s="26"/>
      <c r="AJ402" s="15" t="str">
        <f>IF(COUNTA(B402,E402,H402,I402,J402,K402,L402,M402,N402,O402,P402,Q402,R402,S402,T402,U402,V402,W402,X402,Y402,Z402,AA402,AB402,AC402,AD402,AE402,AF402,AG402,AH402,AI402)=0,"",IF(OR(B402="",E402="",H402="",J402="",K402="",L402="",M402="",O402="",P402="",Q402="",R402="",S402="",T402="",U402="",W402="",X402="",Y402="",AB402="",AC402="",AE402="",AF402=""),"Incompleta: faltan campos obligatorios",IF(AND(LEFT(H402,6)="PROPIA",I402=""),"Falta el nombre de la acción propia del área",IF(AND(LEFT(H402,3)="A27",IFERROR(INDEX(Catalogos!$T$5:$T$207,MATCH(H402,Catalogos!$U$5:$U$207,0)),"x")&lt;&gt;LEFT(E402,7)),"La acción no corresponde a la meta seleccionada",IF(OR(NOT(ISNUMBER(M402)),M402&lt;10000000,M402&gt;99999999),"Código UNSPSC inválido: registre 8 dígitos",IF(MOD(M402,10000)=0,"UNSPSC a nivel de segmento o familia: use clase o producto",IF(IFERROR(MATCH(P402,L_MESES,0)&lt;MATCH(O402,L_MESES,0),TRUE()),"El mes de ofertas es anterior al de inicio del proceso",IF(OR(NOT(ISNUMBER(Q402)),Q402&lt;=0),"Duración inválida",IF(OR(NOT(ISNUMBER(W402)),NOT(ISNUMBER(X402))),"Valor inválido: registre solo números",IF(OR(W402&lt;=0,X402&lt;=0),"Valor inválido: debe ser mayor que cero",IF(X402&gt;W402,"El valor de la vigencia 2027 supera el valor total",IF(AND(X402&lt;W402,Y402="No"),"El valor total supera el de 2027: requiere vigencias futuras",IF(AND(Y402="Sí",OR(Z402="",Z402="No aplica")),"Indique el estado de la solicitud de vigencias futuras",IF(IF(AND(S402="Mínima cuantía",ISNUMBER(P_TOPE_MINIMA)),W402&gt;P_TOPE_MINIMA,FALSE()),"El valor supera el tope de mínima cuantía 2027",IF(IF(AND(S402="Selección abreviada de menor cuantía",ISNUMBER(P_TOPE_MENOR)),W402&gt;P_TOPE_MENOR,FALSE()),"El valor supera el tope de menor cuantía 2027",IF(OR(ISERROR(SEARCH("@itc.edu.co",AE402)),SUMPRODUCT(--ISNUMBER(SEARCH({"á","é","í","ó","ú","ñ"," "},AE402)))&gt;0),"El correo del responsable no es institucional válido",IF(AND(AF402="Sí",AG402=""),"Indique el N.° de registro 2026 que continúa","OK")))))))))))))))))</f>
        <v/>
      </c>
      <c r="AK402" s="15" t="str">
        <f>IF(AJ402="OK",COUNTIF($AJ$7:AJ402,"OK"),"")</f>
        <v/>
      </c>
    </row>
    <row r="403" spans="1:37" x14ac:dyDescent="0.3">
      <c r="A403" s="13" t="str">
        <f t="shared" si="6"/>
        <v>PN27-397</v>
      </c>
      <c r="B403" s="26"/>
      <c r="C403" s="13" t="str">
        <f>IF(B403="","",IFERROR(INDEX(Catalogos!$R$5:$R$51,MATCH(B403,L_AREAS,0)),""))</f>
        <v/>
      </c>
      <c r="D403" s="13" t="str">
        <f>IF(B403="","",IFERROR(INDEX(Catalogos!$O$5:$O$51,MATCH(B403,L_AREAS,0)),""))</f>
        <v/>
      </c>
      <c r="E403" s="26"/>
      <c r="F403" s="13" t="str">
        <f>IF(E403="","",IFERROR(INDEX(Catalogos!$C$5:$C$49,MATCH(E403,L_METAS,0)),""))</f>
        <v/>
      </c>
      <c r="G403" s="13" t="str">
        <f>IF(E403="","",IFERROR(INDEX(Catalogos!$E$5:$E$49,MATCH(E403,L_METAS,0)),""))</f>
        <v/>
      </c>
      <c r="H403" s="26"/>
      <c r="I403" s="26"/>
      <c r="J403" s="26"/>
      <c r="K403" s="26"/>
      <c r="L403" s="26"/>
      <c r="M403" s="27"/>
      <c r="N403" s="26"/>
      <c r="O403" s="26"/>
      <c r="P403" s="26"/>
      <c r="Q403" s="26"/>
      <c r="R403" s="26"/>
      <c r="S403" s="26"/>
      <c r="T403" s="26"/>
      <c r="U403" s="26"/>
      <c r="V403" s="26"/>
      <c r="W403" s="28"/>
      <c r="X403" s="28"/>
      <c r="Y403" s="26"/>
      <c r="Z403" s="26"/>
      <c r="AA403" s="26"/>
      <c r="AB403" s="26"/>
      <c r="AC403" s="26"/>
      <c r="AD403" s="26"/>
      <c r="AE403" s="26"/>
      <c r="AF403" s="26"/>
      <c r="AG403" s="26"/>
      <c r="AH403" s="26"/>
      <c r="AI403" s="26"/>
      <c r="AJ403" s="15" t="str">
        <f>IF(COUNTA(B403,E403,H403,I403,J403,K403,L403,M403,N403,O403,P403,Q403,R403,S403,T403,U403,V403,W403,X403,Y403,Z403,AA403,AB403,AC403,AD403,AE403,AF403,AG403,AH403,AI403)=0,"",IF(OR(B403="",E403="",H403="",J403="",K403="",L403="",M403="",O403="",P403="",Q403="",R403="",S403="",T403="",U403="",W403="",X403="",Y403="",AB403="",AC403="",AE403="",AF403=""),"Incompleta: faltan campos obligatorios",IF(AND(LEFT(H403,6)="PROPIA",I403=""),"Falta el nombre de la acción propia del área",IF(AND(LEFT(H403,3)="A27",IFERROR(INDEX(Catalogos!$T$5:$T$207,MATCH(H403,Catalogos!$U$5:$U$207,0)),"x")&lt;&gt;LEFT(E403,7)),"La acción no corresponde a la meta seleccionada",IF(OR(NOT(ISNUMBER(M403)),M403&lt;10000000,M403&gt;99999999),"Código UNSPSC inválido: registre 8 dígitos",IF(MOD(M403,10000)=0,"UNSPSC a nivel de segmento o familia: use clase o producto",IF(IFERROR(MATCH(P403,L_MESES,0)&lt;MATCH(O403,L_MESES,0),TRUE()),"El mes de ofertas es anterior al de inicio del proceso",IF(OR(NOT(ISNUMBER(Q403)),Q403&lt;=0),"Duración inválida",IF(OR(NOT(ISNUMBER(W403)),NOT(ISNUMBER(X403))),"Valor inválido: registre solo números",IF(OR(W403&lt;=0,X403&lt;=0),"Valor inválido: debe ser mayor que cero",IF(X403&gt;W403,"El valor de la vigencia 2027 supera el valor total",IF(AND(X403&lt;W403,Y403="No"),"El valor total supera el de 2027: requiere vigencias futuras",IF(AND(Y403="Sí",OR(Z403="",Z403="No aplica")),"Indique el estado de la solicitud de vigencias futuras",IF(IF(AND(S403="Mínima cuantía",ISNUMBER(P_TOPE_MINIMA)),W403&gt;P_TOPE_MINIMA,FALSE()),"El valor supera el tope de mínima cuantía 2027",IF(IF(AND(S403="Selección abreviada de menor cuantía",ISNUMBER(P_TOPE_MENOR)),W403&gt;P_TOPE_MENOR,FALSE()),"El valor supera el tope de menor cuantía 2027",IF(OR(ISERROR(SEARCH("@itc.edu.co",AE403)),SUMPRODUCT(--ISNUMBER(SEARCH({"á","é","í","ó","ú","ñ"," "},AE403)))&gt;0),"El correo del responsable no es institucional válido",IF(AND(AF403="Sí",AG403=""),"Indique el N.° de registro 2026 que continúa","OK")))))))))))))))))</f>
        <v/>
      </c>
      <c r="AK403" s="15" t="str">
        <f>IF(AJ403="OK",COUNTIF($AJ$7:AJ403,"OK"),"")</f>
        <v/>
      </c>
    </row>
    <row r="404" spans="1:37" x14ac:dyDescent="0.3">
      <c r="A404" s="13" t="str">
        <f t="shared" si="6"/>
        <v>PN27-398</v>
      </c>
      <c r="B404" s="26"/>
      <c r="C404" s="13" t="str">
        <f>IF(B404="","",IFERROR(INDEX(Catalogos!$R$5:$R$51,MATCH(B404,L_AREAS,0)),""))</f>
        <v/>
      </c>
      <c r="D404" s="13" t="str">
        <f>IF(B404="","",IFERROR(INDEX(Catalogos!$O$5:$O$51,MATCH(B404,L_AREAS,0)),""))</f>
        <v/>
      </c>
      <c r="E404" s="26"/>
      <c r="F404" s="13" t="str">
        <f>IF(E404="","",IFERROR(INDEX(Catalogos!$C$5:$C$49,MATCH(E404,L_METAS,0)),""))</f>
        <v/>
      </c>
      <c r="G404" s="13" t="str">
        <f>IF(E404="","",IFERROR(INDEX(Catalogos!$E$5:$E$49,MATCH(E404,L_METAS,0)),""))</f>
        <v/>
      </c>
      <c r="H404" s="26"/>
      <c r="I404" s="26"/>
      <c r="J404" s="26"/>
      <c r="K404" s="26"/>
      <c r="L404" s="26"/>
      <c r="M404" s="27"/>
      <c r="N404" s="26"/>
      <c r="O404" s="26"/>
      <c r="P404" s="26"/>
      <c r="Q404" s="26"/>
      <c r="R404" s="26"/>
      <c r="S404" s="26"/>
      <c r="T404" s="26"/>
      <c r="U404" s="26"/>
      <c r="V404" s="26"/>
      <c r="W404" s="28"/>
      <c r="X404" s="28"/>
      <c r="Y404" s="26"/>
      <c r="Z404" s="26"/>
      <c r="AA404" s="26"/>
      <c r="AB404" s="26"/>
      <c r="AC404" s="26"/>
      <c r="AD404" s="26"/>
      <c r="AE404" s="26"/>
      <c r="AF404" s="26"/>
      <c r="AG404" s="26"/>
      <c r="AH404" s="26"/>
      <c r="AI404" s="26"/>
      <c r="AJ404" s="15" t="str">
        <f>IF(COUNTA(B404,E404,H404,I404,J404,K404,L404,M404,N404,O404,P404,Q404,R404,S404,T404,U404,V404,W404,X404,Y404,Z404,AA404,AB404,AC404,AD404,AE404,AF404,AG404,AH404,AI404)=0,"",IF(OR(B404="",E404="",H404="",J404="",K404="",L404="",M404="",O404="",P404="",Q404="",R404="",S404="",T404="",U404="",W404="",X404="",Y404="",AB404="",AC404="",AE404="",AF404=""),"Incompleta: faltan campos obligatorios",IF(AND(LEFT(H404,6)="PROPIA",I404=""),"Falta el nombre de la acción propia del área",IF(AND(LEFT(H404,3)="A27",IFERROR(INDEX(Catalogos!$T$5:$T$207,MATCH(H404,Catalogos!$U$5:$U$207,0)),"x")&lt;&gt;LEFT(E404,7)),"La acción no corresponde a la meta seleccionada",IF(OR(NOT(ISNUMBER(M404)),M404&lt;10000000,M404&gt;99999999),"Código UNSPSC inválido: registre 8 dígitos",IF(MOD(M404,10000)=0,"UNSPSC a nivel de segmento o familia: use clase o producto",IF(IFERROR(MATCH(P404,L_MESES,0)&lt;MATCH(O404,L_MESES,0),TRUE()),"El mes de ofertas es anterior al de inicio del proceso",IF(OR(NOT(ISNUMBER(Q404)),Q404&lt;=0),"Duración inválida",IF(OR(NOT(ISNUMBER(W404)),NOT(ISNUMBER(X404))),"Valor inválido: registre solo números",IF(OR(W404&lt;=0,X404&lt;=0),"Valor inválido: debe ser mayor que cero",IF(X404&gt;W404,"El valor de la vigencia 2027 supera el valor total",IF(AND(X404&lt;W404,Y404="No"),"El valor total supera el de 2027: requiere vigencias futuras",IF(AND(Y404="Sí",OR(Z404="",Z404="No aplica")),"Indique el estado de la solicitud de vigencias futuras",IF(IF(AND(S404="Mínima cuantía",ISNUMBER(P_TOPE_MINIMA)),W404&gt;P_TOPE_MINIMA,FALSE()),"El valor supera el tope de mínima cuantía 2027",IF(IF(AND(S404="Selección abreviada de menor cuantía",ISNUMBER(P_TOPE_MENOR)),W404&gt;P_TOPE_MENOR,FALSE()),"El valor supera el tope de menor cuantía 2027",IF(OR(ISERROR(SEARCH("@itc.edu.co",AE404)),SUMPRODUCT(--ISNUMBER(SEARCH({"á","é","í","ó","ú","ñ"," "},AE404)))&gt;0),"El correo del responsable no es institucional válido",IF(AND(AF404="Sí",AG404=""),"Indique el N.° de registro 2026 que continúa","OK")))))))))))))))))</f>
        <v/>
      </c>
      <c r="AK404" s="15" t="str">
        <f>IF(AJ404="OK",COUNTIF($AJ$7:AJ404,"OK"),"")</f>
        <v/>
      </c>
    </row>
    <row r="405" spans="1:37" x14ac:dyDescent="0.3">
      <c r="A405" s="13" t="str">
        <f t="shared" si="6"/>
        <v>PN27-399</v>
      </c>
      <c r="B405" s="26"/>
      <c r="C405" s="13" t="str">
        <f>IF(B405="","",IFERROR(INDEX(Catalogos!$R$5:$R$51,MATCH(B405,L_AREAS,0)),""))</f>
        <v/>
      </c>
      <c r="D405" s="13" t="str">
        <f>IF(B405="","",IFERROR(INDEX(Catalogos!$O$5:$O$51,MATCH(B405,L_AREAS,0)),""))</f>
        <v/>
      </c>
      <c r="E405" s="26"/>
      <c r="F405" s="13" t="str">
        <f>IF(E405="","",IFERROR(INDEX(Catalogos!$C$5:$C$49,MATCH(E405,L_METAS,0)),""))</f>
        <v/>
      </c>
      <c r="G405" s="13" t="str">
        <f>IF(E405="","",IFERROR(INDEX(Catalogos!$E$5:$E$49,MATCH(E405,L_METAS,0)),""))</f>
        <v/>
      </c>
      <c r="H405" s="26"/>
      <c r="I405" s="26"/>
      <c r="J405" s="26"/>
      <c r="K405" s="26"/>
      <c r="L405" s="26"/>
      <c r="M405" s="27"/>
      <c r="N405" s="26"/>
      <c r="O405" s="26"/>
      <c r="P405" s="26"/>
      <c r="Q405" s="26"/>
      <c r="R405" s="26"/>
      <c r="S405" s="26"/>
      <c r="T405" s="26"/>
      <c r="U405" s="26"/>
      <c r="V405" s="26"/>
      <c r="W405" s="28"/>
      <c r="X405" s="28"/>
      <c r="Y405" s="26"/>
      <c r="Z405" s="26"/>
      <c r="AA405" s="26"/>
      <c r="AB405" s="26"/>
      <c r="AC405" s="26"/>
      <c r="AD405" s="26"/>
      <c r="AE405" s="26"/>
      <c r="AF405" s="26"/>
      <c r="AG405" s="26"/>
      <c r="AH405" s="26"/>
      <c r="AI405" s="26"/>
      <c r="AJ405" s="15" t="str">
        <f>IF(COUNTA(B405,E405,H405,I405,J405,K405,L405,M405,N405,O405,P405,Q405,R405,S405,T405,U405,V405,W405,X405,Y405,Z405,AA405,AB405,AC405,AD405,AE405,AF405,AG405,AH405,AI405)=0,"",IF(OR(B405="",E405="",H405="",J405="",K405="",L405="",M405="",O405="",P405="",Q405="",R405="",S405="",T405="",U405="",W405="",X405="",Y405="",AB405="",AC405="",AE405="",AF405=""),"Incompleta: faltan campos obligatorios",IF(AND(LEFT(H405,6)="PROPIA",I405=""),"Falta el nombre de la acción propia del área",IF(AND(LEFT(H405,3)="A27",IFERROR(INDEX(Catalogos!$T$5:$T$207,MATCH(H405,Catalogos!$U$5:$U$207,0)),"x")&lt;&gt;LEFT(E405,7)),"La acción no corresponde a la meta seleccionada",IF(OR(NOT(ISNUMBER(M405)),M405&lt;10000000,M405&gt;99999999),"Código UNSPSC inválido: registre 8 dígitos",IF(MOD(M405,10000)=0,"UNSPSC a nivel de segmento o familia: use clase o producto",IF(IFERROR(MATCH(P405,L_MESES,0)&lt;MATCH(O405,L_MESES,0),TRUE()),"El mes de ofertas es anterior al de inicio del proceso",IF(OR(NOT(ISNUMBER(Q405)),Q405&lt;=0),"Duración inválida",IF(OR(NOT(ISNUMBER(W405)),NOT(ISNUMBER(X405))),"Valor inválido: registre solo números",IF(OR(W405&lt;=0,X405&lt;=0),"Valor inválido: debe ser mayor que cero",IF(X405&gt;W405,"El valor de la vigencia 2027 supera el valor total",IF(AND(X405&lt;W405,Y405="No"),"El valor total supera el de 2027: requiere vigencias futuras",IF(AND(Y405="Sí",OR(Z405="",Z405="No aplica")),"Indique el estado de la solicitud de vigencias futuras",IF(IF(AND(S405="Mínima cuantía",ISNUMBER(P_TOPE_MINIMA)),W405&gt;P_TOPE_MINIMA,FALSE()),"El valor supera el tope de mínima cuantía 2027",IF(IF(AND(S405="Selección abreviada de menor cuantía",ISNUMBER(P_TOPE_MENOR)),W405&gt;P_TOPE_MENOR,FALSE()),"El valor supera el tope de menor cuantía 2027",IF(OR(ISERROR(SEARCH("@itc.edu.co",AE405)),SUMPRODUCT(--ISNUMBER(SEARCH({"á","é","í","ó","ú","ñ"," "},AE405)))&gt;0),"El correo del responsable no es institucional válido",IF(AND(AF405="Sí",AG405=""),"Indique el N.° de registro 2026 que continúa","OK")))))))))))))))))</f>
        <v/>
      </c>
      <c r="AK405" s="15" t="str">
        <f>IF(AJ405="OK",COUNTIF($AJ$7:AJ405,"OK"),"")</f>
        <v/>
      </c>
    </row>
    <row r="406" spans="1:37" x14ac:dyDescent="0.3">
      <c r="A406" s="13" t="str">
        <f t="shared" si="6"/>
        <v>PN27-400</v>
      </c>
      <c r="B406" s="26"/>
      <c r="C406" s="13" t="str">
        <f>IF(B406="","",IFERROR(INDEX(Catalogos!$R$5:$R$51,MATCH(B406,L_AREAS,0)),""))</f>
        <v/>
      </c>
      <c r="D406" s="13" t="str">
        <f>IF(B406="","",IFERROR(INDEX(Catalogos!$O$5:$O$51,MATCH(B406,L_AREAS,0)),""))</f>
        <v/>
      </c>
      <c r="E406" s="26"/>
      <c r="F406" s="13" t="str">
        <f>IF(E406="","",IFERROR(INDEX(Catalogos!$C$5:$C$49,MATCH(E406,L_METAS,0)),""))</f>
        <v/>
      </c>
      <c r="G406" s="13" t="str">
        <f>IF(E406="","",IFERROR(INDEX(Catalogos!$E$5:$E$49,MATCH(E406,L_METAS,0)),""))</f>
        <v/>
      </c>
      <c r="H406" s="26"/>
      <c r="I406" s="26"/>
      <c r="J406" s="26"/>
      <c r="K406" s="26"/>
      <c r="L406" s="26"/>
      <c r="M406" s="27"/>
      <c r="N406" s="26"/>
      <c r="O406" s="26"/>
      <c r="P406" s="26"/>
      <c r="Q406" s="26"/>
      <c r="R406" s="26"/>
      <c r="S406" s="26"/>
      <c r="T406" s="26"/>
      <c r="U406" s="26"/>
      <c r="V406" s="26"/>
      <c r="W406" s="28"/>
      <c r="X406" s="28"/>
      <c r="Y406" s="26"/>
      <c r="Z406" s="26"/>
      <c r="AA406" s="26"/>
      <c r="AB406" s="26"/>
      <c r="AC406" s="26"/>
      <c r="AD406" s="26"/>
      <c r="AE406" s="26"/>
      <c r="AF406" s="26"/>
      <c r="AG406" s="26"/>
      <c r="AH406" s="26"/>
      <c r="AI406" s="26"/>
      <c r="AJ406" s="15" t="str">
        <f>IF(COUNTA(B406,E406,H406,I406,J406,K406,L406,M406,N406,O406,P406,Q406,R406,S406,T406,U406,V406,W406,X406,Y406,Z406,AA406,AB406,AC406,AD406,AE406,AF406,AG406,AH406,AI406)=0,"",IF(OR(B406="",E406="",H406="",J406="",K406="",L406="",M406="",O406="",P406="",Q406="",R406="",S406="",T406="",U406="",W406="",X406="",Y406="",AB406="",AC406="",AE406="",AF406=""),"Incompleta: faltan campos obligatorios",IF(AND(LEFT(H406,6)="PROPIA",I406=""),"Falta el nombre de la acción propia del área",IF(AND(LEFT(H406,3)="A27",IFERROR(INDEX(Catalogos!$T$5:$T$207,MATCH(H406,Catalogos!$U$5:$U$207,0)),"x")&lt;&gt;LEFT(E406,7)),"La acción no corresponde a la meta seleccionada",IF(OR(NOT(ISNUMBER(M406)),M406&lt;10000000,M406&gt;99999999),"Código UNSPSC inválido: registre 8 dígitos",IF(MOD(M406,10000)=0,"UNSPSC a nivel de segmento o familia: use clase o producto",IF(IFERROR(MATCH(P406,L_MESES,0)&lt;MATCH(O406,L_MESES,0),TRUE()),"El mes de ofertas es anterior al de inicio del proceso",IF(OR(NOT(ISNUMBER(Q406)),Q406&lt;=0),"Duración inválida",IF(OR(NOT(ISNUMBER(W406)),NOT(ISNUMBER(X406))),"Valor inválido: registre solo números",IF(OR(W406&lt;=0,X406&lt;=0),"Valor inválido: debe ser mayor que cero",IF(X406&gt;W406,"El valor de la vigencia 2027 supera el valor total",IF(AND(X406&lt;W406,Y406="No"),"El valor total supera el de 2027: requiere vigencias futuras",IF(AND(Y406="Sí",OR(Z406="",Z406="No aplica")),"Indique el estado de la solicitud de vigencias futuras",IF(IF(AND(S406="Mínima cuantía",ISNUMBER(P_TOPE_MINIMA)),W406&gt;P_TOPE_MINIMA,FALSE()),"El valor supera el tope de mínima cuantía 2027",IF(IF(AND(S406="Selección abreviada de menor cuantía",ISNUMBER(P_TOPE_MENOR)),W406&gt;P_TOPE_MENOR,FALSE()),"El valor supera el tope de menor cuantía 2027",IF(OR(ISERROR(SEARCH("@itc.edu.co",AE406)),SUMPRODUCT(--ISNUMBER(SEARCH({"á","é","í","ó","ú","ñ"," "},AE406)))&gt;0),"El correo del responsable no es institucional válido",IF(AND(AF406="Sí",AG406=""),"Indique el N.° de registro 2026 que continúa","OK")))))))))))))))))</f>
        <v/>
      </c>
      <c r="AK406" s="15" t="str">
        <f>IF(AJ406="OK",COUNTIF($AJ$7:AJ406,"OK"),"")</f>
        <v/>
      </c>
    </row>
    <row r="407" spans="1:37" x14ac:dyDescent="0.3">
      <c r="A407" s="13" t="str">
        <f t="shared" si="6"/>
        <v>PN27-401</v>
      </c>
      <c r="B407" s="26"/>
      <c r="C407" s="13" t="str">
        <f>IF(B407="","",IFERROR(INDEX(Catalogos!$R$5:$R$51,MATCH(B407,L_AREAS,0)),""))</f>
        <v/>
      </c>
      <c r="D407" s="13" t="str">
        <f>IF(B407="","",IFERROR(INDEX(Catalogos!$O$5:$O$51,MATCH(B407,L_AREAS,0)),""))</f>
        <v/>
      </c>
      <c r="E407" s="26"/>
      <c r="F407" s="13" t="str">
        <f>IF(E407="","",IFERROR(INDEX(Catalogos!$C$5:$C$49,MATCH(E407,L_METAS,0)),""))</f>
        <v/>
      </c>
      <c r="G407" s="13" t="str">
        <f>IF(E407="","",IFERROR(INDEX(Catalogos!$E$5:$E$49,MATCH(E407,L_METAS,0)),""))</f>
        <v/>
      </c>
      <c r="H407" s="26"/>
      <c r="I407" s="26"/>
      <c r="J407" s="26"/>
      <c r="K407" s="26"/>
      <c r="L407" s="26"/>
      <c r="M407" s="27"/>
      <c r="N407" s="26"/>
      <c r="O407" s="26"/>
      <c r="P407" s="26"/>
      <c r="Q407" s="26"/>
      <c r="R407" s="26"/>
      <c r="S407" s="26"/>
      <c r="T407" s="26"/>
      <c r="U407" s="26"/>
      <c r="V407" s="26"/>
      <c r="W407" s="28"/>
      <c r="X407" s="28"/>
      <c r="Y407" s="26"/>
      <c r="Z407" s="26"/>
      <c r="AA407" s="26"/>
      <c r="AB407" s="26"/>
      <c r="AC407" s="26"/>
      <c r="AD407" s="26"/>
      <c r="AE407" s="26"/>
      <c r="AF407" s="26"/>
      <c r="AG407" s="26"/>
      <c r="AH407" s="26"/>
      <c r="AI407" s="26"/>
      <c r="AJ407" s="15" t="str">
        <f>IF(COUNTA(B407,E407,H407,I407,J407,K407,L407,M407,N407,O407,P407,Q407,R407,S407,T407,U407,V407,W407,X407,Y407,Z407,AA407,AB407,AC407,AD407,AE407,AF407,AG407,AH407,AI407)=0,"",IF(OR(B407="",E407="",H407="",J407="",K407="",L407="",M407="",O407="",P407="",Q407="",R407="",S407="",T407="",U407="",W407="",X407="",Y407="",AB407="",AC407="",AE407="",AF407=""),"Incompleta: faltan campos obligatorios",IF(AND(LEFT(H407,6)="PROPIA",I407=""),"Falta el nombre de la acción propia del área",IF(AND(LEFT(H407,3)="A27",IFERROR(INDEX(Catalogos!$T$5:$T$207,MATCH(H407,Catalogos!$U$5:$U$207,0)),"x")&lt;&gt;LEFT(E407,7)),"La acción no corresponde a la meta seleccionada",IF(OR(NOT(ISNUMBER(M407)),M407&lt;10000000,M407&gt;99999999),"Código UNSPSC inválido: registre 8 dígitos",IF(MOD(M407,10000)=0,"UNSPSC a nivel de segmento o familia: use clase o producto",IF(IFERROR(MATCH(P407,L_MESES,0)&lt;MATCH(O407,L_MESES,0),TRUE()),"El mes de ofertas es anterior al de inicio del proceso",IF(OR(NOT(ISNUMBER(Q407)),Q407&lt;=0),"Duración inválida",IF(OR(NOT(ISNUMBER(W407)),NOT(ISNUMBER(X407))),"Valor inválido: registre solo números",IF(OR(W407&lt;=0,X407&lt;=0),"Valor inválido: debe ser mayor que cero",IF(X407&gt;W407,"El valor de la vigencia 2027 supera el valor total",IF(AND(X407&lt;W407,Y407="No"),"El valor total supera el de 2027: requiere vigencias futuras",IF(AND(Y407="Sí",OR(Z407="",Z407="No aplica")),"Indique el estado de la solicitud de vigencias futuras",IF(IF(AND(S407="Mínima cuantía",ISNUMBER(P_TOPE_MINIMA)),W407&gt;P_TOPE_MINIMA,FALSE()),"El valor supera el tope de mínima cuantía 2027",IF(IF(AND(S407="Selección abreviada de menor cuantía",ISNUMBER(P_TOPE_MENOR)),W407&gt;P_TOPE_MENOR,FALSE()),"El valor supera el tope de menor cuantía 2027",IF(OR(ISERROR(SEARCH("@itc.edu.co",AE407)),SUMPRODUCT(--ISNUMBER(SEARCH({"á","é","í","ó","ú","ñ"," "},AE407)))&gt;0),"El correo del responsable no es institucional válido",IF(AND(AF407="Sí",AG407=""),"Indique el N.° de registro 2026 que continúa","OK")))))))))))))))))</f>
        <v/>
      </c>
      <c r="AK407" s="15" t="str">
        <f>IF(AJ407="OK",COUNTIF($AJ$7:AJ407,"OK"),"")</f>
        <v/>
      </c>
    </row>
    <row r="408" spans="1:37" x14ac:dyDescent="0.3">
      <c r="A408" s="13" t="str">
        <f t="shared" si="6"/>
        <v>PN27-402</v>
      </c>
      <c r="B408" s="26"/>
      <c r="C408" s="13" t="str">
        <f>IF(B408="","",IFERROR(INDEX(Catalogos!$R$5:$R$51,MATCH(B408,L_AREAS,0)),""))</f>
        <v/>
      </c>
      <c r="D408" s="13" t="str">
        <f>IF(B408="","",IFERROR(INDEX(Catalogos!$O$5:$O$51,MATCH(B408,L_AREAS,0)),""))</f>
        <v/>
      </c>
      <c r="E408" s="26"/>
      <c r="F408" s="13" t="str">
        <f>IF(E408="","",IFERROR(INDEX(Catalogos!$C$5:$C$49,MATCH(E408,L_METAS,0)),""))</f>
        <v/>
      </c>
      <c r="G408" s="13" t="str">
        <f>IF(E408="","",IFERROR(INDEX(Catalogos!$E$5:$E$49,MATCH(E408,L_METAS,0)),""))</f>
        <v/>
      </c>
      <c r="H408" s="26"/>
      <c r="I408" s="26"/>
      <c r="J408" s="26"/>
      <c r="K408" s="26"/>
      <c r="L408" s="26"/>
      <c r="M408" s="27"/>
      <c r="N408" s="26"/>
      <c r="O408" s="26"/>
      <c r="P408" s="26"/>
      <c r="Q408" s="26"/>
      <c r="R408" s="26"/>
      <c r="S408" s="26"/>
      <c r="T408" s="26"/>
      <c r="U408" s="26"/>
      <c r="V408" s="26"/>
      <c r="W408" s="28"/>
      <c r="X408" s="28"/>
      <c r="Y408" s="26"/>
      <c r="Z408" s="26"/>
      <c r="AA408" s="26"/>
      <c r="AB408" s="26"/>
      <c r="AC408" s="26"/>
      <c r="AD408" s="26"/>
      <c r="AE408" s="26"/>
      <c r="AF408" s="26"/>
      <c r="AG408" s="26"/>
      <c r="AH408" s="26"/>
      <c r="AI408" s="26"/>
      <c r="AJ408" s="15" t="str">
        <f>IF(COUNTA(B408,E408,H408,I408,J408,K408,L408,M408,N408,O408,P408,Q408,R408,S408,T408,U408,V408,W408,X408,Y408,Z408,AA408,AB408,AC408,AD408,AE408,AF408,AG408,AH408,AI408)=0,"",IF(OR(B408="",E408="",H408="",J408="",K408="",L408="",M408="",O408="",P408="",Q408="",R408="",S408="",T408="",U408="",W408="",X408="",Y408="",AB408="",AC408="",AE408="",AF408=""),"Incompleta: faltan campos obligatorios",IF(AND(LEFT(H408,6)="PROPIA",I408=""),"Falta el nombre de la acción propia del área",IF(AND(LEFT(H408,3)="A27",IFERROR(INDEX(Catalogos!$T$5:$T$207,MATCH(H408,Catalogos!$U$5:$U$207,0)),"x")&lt;&gt;LEFT(E408,7)),"La acción no corresponde a la meta seleccionada",IF(OR(NOT(ISNUMBER(M408)),M408&lt;10000000,M408&gt;99999999),"Código UNSPSC inválido: registre 8 dígitos",IF(MOD(M408,10000)=0,"UNSPSC a nivel de segmento o familia: use clase o producto",IF(IFERROR(MATCH(P408,L_MESES,0)&lt;MATCH(O408,L_MESES,0),TRUE()),"El mes de ofertas es anterior al de inicio del proceso",IF(OR(NOT(ISNUMBER(Q408)),Q408&lt;=0),"Duración inválida",IF(OR(NOT(ISNUMBER(W408)),NOT(ISNUMBER(X408))),"Valor inválido: registre solo números",IF(OR(W408&lt;=0,X408&lt;=0),"Valor inválido: debe ser mayor que cero",IF(X408&gt;W408,"El valor de la vigencia 2027 supera el valor total",IF(AND(X408&lt;W408,Y408="No"),"El valor total supera el de 2027: requiere vigencias futuras",IF(AND(Y408="Sí",OR(Z408="",Z408="No aplica")),"Indique el estado de la solicitud de vigencias futuras",IF(IF(AND(S408="Mínima cuantía",ISNUMBER(P_TOPE_MINIMA)),W408&gt;P_TOPE_MINIMA,FALSE()),"El valor supera el tope de mínima cuantía 2027",IF(IF(AND(S408="Selección abreviada de menor cuantía",ISNUMBER(P_TOPE_MENOR)),W408&gt;P_TOPE_MENOR,FALSE()),"El valor supera el tope de menor cuantía 2027",IF(OR(ISERROR(SEARCH("@itc.edu.co",AE408)),SUMPRODUCT(--ISNUMBER(SEARCH({"á","é","í","ó","ú","ñ"," "},AE408)))&gt;0),"El correo del responsable no es institucional válido",IF(AND(AF408="Sí",AG408=""),"Indique el N.° de registro 2026 que continúa","OK")))))))))))))))))</f>
        <v/>
      </c>
      <c r="AK408" s="15" t="str">
        <f>IF(AJ408="OK",COUNTIF($AJ$7:AJ408,"OK"),"")</f>
        <v/>
      </c>
    </row>
    <row r="409" spans="1:37" x14ac:dyDescent="0.3">
      <c r="A409" s="13" t="str">
        <f t="shared" si="6"/>
        <v>PN27-403</v>
      </c>
      <c r="B409" s="26"/>
      <c r="C409" s="13" t="str">
        <f>IF(B409="","",IFERROR(INDEX(Catalogos!$R$5:$R$51,MATCH(B409,L_AREAS,0)),""))</f>
        <v/>
      </c>
      <c r="D409" s="13" t="str">
        <f>IF(B409="","",IFERROR(INDEX(Catalogos!$O$5:$O$51,MATCH(B409,L_AREAS,0)),""))</f>
        <v/>
      </c>
      <c r="E409" s="26"/>
      <c r="F409" s="13" t="str">
        <f>IF(E409="","",IFERROR(INDEX(Catalogos!$C$5:$C$49,MATCH(E409,L_METAS,0)),""))</f>
        <v/>
      </c>
      <c r="G409" s="13" t="str">
        <f>IF(E409="","",IFERROR(INDEX(Catalogos!$E$5:$E$49,MATCH(E409,L_METAS,0)),""))</f>
        <v/>
      </c>
      <c r="H409" s="26"/>
      <c r="I409" s="26"/>
      <c r="J409" s="26"/>
      <c r="K409" s="26"/>
      <c r="L409" s="26"/>
      <c r="M409" s="27"/>
      <c r="N409" s="26"/>
      <c r="O409" s="26"/>
      <c r="P409" s="26"/>
      <c r="Q409" s="26"/>
      <c r="R409" s="26"/>
      <c r="S409" s="26"/>
      <c r="T409" s="26"/>
      <c r="U409" s="26"/>
      <c r="V409" s="26"/>
      <c r="W409" s="28"/>
      <c r="X409" s="28"/>
      <c r="Y409" s="26"/>
      <c r="Z409" s="26"/>
      <c r="AA409" s="26"/>
      <c r="AB409" s="26"/>
      <c r="AC409" s="26"/>
      <c r="AD409" s="26"/>
      <c r="AE409" s="26"/>
      <c r="AF409" s="26"/>
      <c r="AG409" s="26"/>
      <c r="AH409" s="26"/>
      <c r="AI409" s="26"/>
      <c r="AJ409" s="15" t="str">
        <f>IF(COUNTA(B409,E409,H409,I409,J409,K409,L409,M409,N409,O409,P409,Q409,R409,S409,T409,U409,V409,W409,X409,Y409,Z409,AA409,AB409,AC409,AD409,AE409,AF409,AG409,AH409,AI409)=0,"",IF(OR(B409="",E409="",H409="",J409="",K409="",L409="",M409="",O409="",P409="",Q409="",R409="",S409="",T409="",U409="",W409="",X409="",Y409="",AB409="",AC409="",AE409="",AF409=""),"Incompleta: faltan campos obligatorios",IF(AND(LEFT(H409,6)="PROPIA",I409=""),"Falta el nombre de la acción propia del área",IF(AND(LEFT(H409,3)="A27",IFERROR(INDEX(Catalogos!$T$5:$T$207,MATCH(H409,Catalogos!$U$5:$U$207,0)),"x")&lt;&gt;LEFT(E409,7)),"La acción no corresponde a la meta seleccionada",IF(OR(NOT(ISNUMBER(M409)),M409&lt;10000000,M409&gt;99999999),"Código UNSPSC inválido: registre 8 dígitos",IF(MOD(M409,10000)=0,"UNSPSC a nivel de segmento o familia: use clase o producto",IF(IFERROR(MATCH(P409,L_MESES,0)&lt;MATCH(O409,L_MESES,0),TRUE()),"El mes de ofertas es anterior al de inicio del proceso",IF(OR(NOT(ISNUMBER(Q409)),Q409&lt;=0),"Duración inválida",IF(OR(NOT(ISNUMBER(W409)),NOT(ISNUMBER(X409))),"Valor inválido: registre solo números",IF(OR(W409&lt;=0,X409&lt;=0),"Valor inválido: debe ser mayor que cero",IF(X409&gt;W409,"El valor de la vigencia 2027 supera el valor total",IF(AND(X409&lt;W409,Y409="No"),"El valor total supera el de 2027: requiere vigencias futuras",IF(AND(Y409="Sí",OR(Z409="",Z409="No aplica")),"Indique el estado de la solicitud de vigencias futuras",IF(IF(AND(S409="Mínima cuantía",ISNUMBER(P_TOPE_MINIMA)),W409&gt;P_TOPE_MINIMA,FALSE()),"El valor supera el tope de mínima cuantía 2027",IF(IF(AND(S409="Selección abreviada de menor cuantía",ISNUMBER(P_TOPE_MENOR)),W409&gt;P_TOPE_MENOR,FALSE()),"El valor supera el tope de menor cuantía 2027",IF(OR(ISERROR(SEARCH("@itc.edu.co",AE409)),SUMPRODUCT(--ISNUMBER(SEARCH({"á","é","í","ó","ú","ñ"," "},AE409)))&gt;0),"El correo del responsable no es institucional válido",IF(AND(AF409="Sí",AG409=""),"Indique el N.° de registro 2026 que continúa","OK")))))))))))))))))</f>
        <v/>
      </c>
      <c r="AK409" s="15" t="str">
        <f>IF(AJ409="OK",COUNTIF($AJ$7:AJ409,"OK"),"")</f>
        <v/>
      </c>
    </row>
    <row r="410" spans="1:37" x14ac:dyDescent="0.3">
      <c r="A410" s="13" t="str">
        <f t="shared" si="6"/>
        <v>PN27-404</v>
      </c>
      <c r="B410" s="26"/>
      <c r="C410" s="13" t="str">
        <f>IF(B410="","",IFERROR(INDEX(Catalogos!$R$5:$R$51,MATCH(B410,L_AREAS,0)),""))</f>
        <v/>
      </c>
      <c r="D410" s="13" t="str">
        <f>IF(B410="","",IFERROR(INDEX(Catalogos!$O$5:$O$51,MATCH(B410,L_AREAS,0)),""))</f>
        <v/>
      </c>
      <c r="E410" s="26"/>
      <c r="F410" s="13" t="str">
        <f>IF(E410="","",IFERROR(INDEX(Catalogos!$C$5:$C$49,MATCH(E410,L_METAS,0)),""))</f>
        <v/>
      </c>
      <c r="G410" s="13" t="str">
        <f>IF(E410="","",IFERROR(INDEX(Catalogos!$E$5:$E$49,MATCH(E410,L_METAS,0)),""))</f>
        <v/>
      </c>
      <c r="H410" s="26"/>
      <c r="I410" s="26"/>
      <c r="J410" s="26"/>
      <c r="K410" s="26"/>
      <c r="L410" s="26"/>
      <c r="M410" s="27"/>
      <c r="N410" s="26"/>
      <c r="O410" s="26"/>
      <c r="P410" s="26"/>
      <c r="Q410" s="26"/>
      <c r="R410" s="26"/>
      <c r="S410" s="26"/>
      <c r="T410" s="26"/>
      <c r="U410" s="26"/>
      <c r="V410" s="26"/>
      <c r="W410" s="28"/>
      <c r="X410" s="28"/>
      <c r="Y410" s="26"/>
      <c r="Z410" s="26"/>
      <c r="AA410" s="26"/>
      <c r="AB410" s="26"/>
      <c r="AC410" s="26"/>
      <c r="AD410" s="26"/>
      <c r="AE410" s="26"/>
      <c r="AF410" s="26"/>
      <c r="AG410" s="26"/>
      <c r="AH410" s="26"/>
      <c r="AI410" s="26"/>
      <c r="AJ410" s="15" t="str">
        <f>IF(COUNTA(B410,E410,H410,I410,J410,K410,L410,M410,N410,O410,P410,Q410,R410,S410,T410,U410,V410,W410,X410,Y410,Z410,AA410,AB410,AC410,AD410,AE410,AF410,AG410,AH410,AI410)=0,"",IF(OR(B410="",E410="",H410="",J410="",K410="",L410="",M410="",O410="",P410="",Q410="",R410="",S410="",T410="",U410="",W410="",X410="",Y410="",AB410="",AC410="",AE410="",AF410=""),"Incompleta: faltan campos obligatorios",IF(AND(LEFT(H410,6)="PROPIA",I410=""),"Falta el nombre de la acción propia del área",IF(AND(LEFT(H410,3)="A27",IFERROR(INDEX(Catalogos!$T$5:$T$207,MATCH(H410,Catalogos!$U$5:$U$207,0)),"x")&lt;&gt;LEFT(E410,7)),"La acción no corresponde a la meta seleccionada",IF(OR(NOT(ISNUMBER(M410)),M410&lt;10000000,M410&gt;99999999),"Código UNSPSC inválido: registre 8 dígitos",IF(MOD(M410,10000)=0,"UNSPSC a nivel de segmento o familia: use clase o producto",IF(IFERROR(MATCH(P410,L_MESES,0)&lt;MATCH(O410,L_MESES,0),TRUE()),"El mes de ofertas es anterior al de inicio del proceso",IF(OR(NOT(ISNUMBER(Q410)),Q410&lt;=0),"Duración inválida",IF(OR(NOT(ISNUMBER(W410)),NOT(ISNUMBER(X410))),"Valor inválido: registre solo números",IF(OR(W410&lt;=0,X410&lt;=0),"Valor inválido: debe ser mayor que cero",IF(X410&gt;W410,"El valor de la vigencia 2027 supera el valor total",IF(AND(X410&lt;W410,Y410="No"),"El valor total supera el de 2027: requiere vigencias futuras",IF(AND(Y410="Sí",OR(Z410="",Z410="No aplica")),"Indique el estado de la solicitud de vigencias futuras",IF(IF(AND(S410="Mínima cuantía",ISNUMBER(P_TOPE_MINIMA)),W410&gt;P_TOPE_MINIMA,FALSE()),"El valor supera el tope de mínima cuantía 2027",IF(IF(AND(S410="Selección abreviada de menor cuantía",ISNUMBER(P_TOPE_MENOR)),W410&gt;P_TOPE_MENOR,FALSE()),"El valor supera el tope de menor cuantía 2027",IF(OR(ISERROR(SEARCH("@itc.edu.co",AE410)),SUMPRODUCT(--ISNUMBER(SEARCH({"á","é","í","ó","ú","ñ"," "},AE410)))&gt;0),"El correo del responsable no es institucional válido",IF(AND(AF410="Sí",AG410=""),"Indique el N.° de registro 2026 que continúa","OK")))))))))))))))))</f>
        <v/>
      </c>
      <c r="AK410" s="15" t="str">
        <f>IF(AJ410="OK",COUNTIF($AJ$7:AJ410,"OK"),"")</f>
        <v/>
      </c>
    </row>
    <row r="411" spans="1:37" x14ac:dyDescent="0.3">
      <c r="A411" s="13" t="str">
        <f t="shared" si="6"/>
        <v>PN27-405</v>
      </c>
      <c r="B411" s="26"/>
      <c r="C411" s="13" t="str">
        <f>IF(B411="","",IFERROR(INDEX(Catalogos!$R$5:$R$51,MATCH(B411,L_AREAS,0)),""))</f>
        <v/>
      </c>
      <c r="D411" s="13" t="str">
        <f>IF(B411="","",IFERROR(INDEX(Catalogos!$O$5:$O$51,MATCH(B411,L_AREAS,0)),""))</f>
        <v/>
      </c>
      <c r="E411" s="26"/>
      <c r="F411" s="13" t="str">
        <f>IF(E411="","",IFERROR(INDEX(Catalogos!$C$5:$C$49,MATCH(E411,L_METAS,0)),""))</f>
        <v/>
      </c>
      <c r="G411" s="13" t="str">
        <f>IF(E411="","",IFERROR(INDEX(Catalogos!$E$5:$E$49,MATCH(E411,L_METAS,0)),""))</f>
        <v/>
      </c>
      <c r="H411" s="26"/>
      <c r="I411" s="26"/>
      <c r="J411" s="26"/>
      <c r="K411" s="26"/>
      <c r="L411" s="26"/>
      <c r="M411" s="27"/>
      <c r="N411" s="26"/>
      <c r="O411" s="26"/>
      <c r="P411" s="26"/>
      <c r="Q411" s="26"/>
      <c r="R411" s="26"/>
      <c r="S411" s="26"/>
      <c r="T411" s="26"/>
      <c r="U411" s="26"/>
      <c r="V411" s="26"/>
      <c r="W411" s="28"/>
      <c r="X411" s="28"/>
      <c r="Y411" s="26"/>
      <c r="Z411" s="26"/>
      <c r="AA411" s="26"/>
      <c r="AB411" s="26"/>
      <c r="AC411" s="26"/>
      <c r="AD411" s="26"/>
      <c r="AE411" s="26"/>
      <c r="AF411" s="26"/>
      <c r="AG411" s="26"/>
      <c r="AH411" s="26"/>
      <c r="AI411" s="26"/>
      <c r="AJ411" s="15" t="str">
        <f>IF(COUNTA(B411,E411,H411,I411,J411,K411,L411,M411,N411,O411,P411,Q411,R411,S411,T411,U411,V411,W411,X411,Y411,Z411,AA411,AB411,AC411,AD411,AE411,AF411,AG411,AH411,AI411)=0,"",IF(OR(B411="",E411="",H411="",J411="",K411="",L411="",M411="",O411="",P411="",Q411="",R411="",S411="",T411="",U411="",W411="",X411="",Y411="",AB411="",AC411="",AE411="",AF411=""),"Incompleta: faltan campos obligatorios",IF(AND(LEFT(H411,6)="PROPIA",I411=""),"Falta el nombre de la acción propia del área",IF(AND(LEFT(H411,3)="A27",IFERROR(INDEX(Catalogos!$T$5:$T$207,MATCH(H411,Catalogos!$U$5:$U$207,0)),"x")&lt;&gt;LEFT(E411,7)),"La acción no corresponde a la meta seleccionada",IF(OR(NOT(ISNUMBER(M411)),M411&lt;10000000,M411&gt;99999999),"Código UNSPSC inválido: registre 8 dígitos",IF(MOD(M411,10000)=0,"UNSPSC a nivel de segmento o familia: use clase o producto",IF(IFERROR(MATCH(P411,L_MESES,0)&lt;MATCH(O411,L_MESES,0),TRUE()),"El mes de ofertas es anterior al de inicio del proceso",IF(OR(NOT(ISNUMBER(Q411)),Q411&lt;=0),"Duración inválida",IF(OR(NOT(ISNUMBER(W411)),NOT(ISNUMBER(X411))),"Valor inválido: registre solo números",IF(OR(W411&lt;=0,X411&lt;=0),"Valor inválido: debe ser mayor que cero",IF(X411&gt;W411,"El valor de la vigencia 2027 supera el valor total",IF(AND(X411&lt;W411,Y411="No"),"El valor total supera el de 2027: requiere vigencias futuras",IF(AND(Y411="Sí",OR(Z411="",Z411="No aplica")),"Indique el estado de la solicitud de vigencias futuras",IF(IF(AND(S411="Mínima cuantía",ISNUMBER(P_TOPE_MINIMA)),W411&gt;P_TOPE_MINIMA,FALSE()),"El valor supera el tope de mínima cuantía 2027",IF(IF(AND(S411="Selección abreviada de menor cuantía",ISNUMBER(P_TOPE_MENOR)),W411&gt;P_TOPE_MENOR,FALSE()),"El valor supera el tope de menor cuantía 2027",IF(OR(ISERROR(SEARCH("@itc.edu.co",AE411)),SUMPRODUCT(--ISNUMBER(SEARCH({"á","é","í","ó","ú","ñ"," "},AE411)))&gt;0),"El correo del responsable no es institucional válido",IF(AND(AF411="Sí",AG411=""),"Indique el N.° de registro 2026 que continúa","OK")))))))))))))))))</f>
        <v/>
      </c>
      <c r="AK411" s="15" t="str">
        <f>IF(AJ411="OK",COUNTIF($AJ$7:AJ411,"OK"),"")</f>
        <v/>
      </c>
    </row>
    <row r="412" spans="1:37" x14ac:dyDescent="0.3">
      <c r="A412" s="13" t="str">
        <f t="shared" si="6"/>
        <v>PN27-406</v>
      </c>
      <c r="B412" s="26"/>
      <c r="C412" s="13" t="str">
        <f>IF(B412="","",IFERROR(INDEX(Catalogos!$R$5:$R$51,MATCH(B412,L_AREAS,0)),""))</f>
        <v/>
      </c>
      <c r="D412" s="13" t="str">
        <f>IF(B412="","",IFERROR(INDEX(Catalogos!$O$5:$O$51,MATCH(B412,L_AREAS,0)),""))</f>
        <v/>
      </c>
      <c r="E412" s="26"/>
      <c r="F412" s="13" t="str">
        <f>IF(E412="","",IFERROR(INDEX(Catalogos!$C$5:$C$49,MATCH(E412,L_METAS,0)),""))</f>
        <v/>
      </c>
      <c r="G412" s="13" t="str">
        <f>IF(E412="","",IFERROR(INDEX(Catalogos!$E$5:$E$49,MATCH(E412,L_METAS,0)),""))</f>
        <v/>
      </c>
      <c r="H412" s="26"/>
      <c r="I412" s="26"/>
      <c r="J412" s="26"/>
      <c r="K412" s="26"/>
      <c r="L412" s="26"/>
      <c r="M412" s="27"/>
      <c r="N412" s="26"/>
      <c r="O412" s="26"/>
      <c r="P412" s="26"/>
      <c r="Q412" s="26"/>
      <c r="R412" s="26"/>
      <c r="S412" s="26"/>
      <c r="T412" s="26"/>
      <c r="U412" s="26"/>
      <c r="V412" s="26"/>
      <c r="W412" s="28"/>
      <c r="X412" s="28"/>
      <c r="Y412" s="26"/>
      <c r="Z412" s="26"/>
      <c r="AA412" s="26"/>
      <c r="AB412" s="26"/>
      <c r="AC412" s="26"/>
      <c r="AD412" s="26"/>
      <c r="AE412" s="26"/>
      <c r="AF412" s="26"/>
      <c r="AG412" s="26"/>
      <c r="AH412" s="26"/>
      <c r="AI412" s="26"/>
      <c r="AJ412" s="15" t="str">
        <f>IF(COUNTA(B412,E412,H412,I412,J412,K412,L412,M412,N412,O412,P412,Q412,R412,S412,T412,U412,V412,W412,X412,Y412,Z412,AA412,AB412,AC412,AD412,AE412,AF412,AG412,AH412,AI412)=0,"",IF(OR(B412="",E412="",H412="",J412="",K412="",L412="",M412="",O412="",P412="",Q412="",R412="",S412="",T412="",U412="",W412="",X412="",Y412="",AB412="",AC412="",AE412="",AF412=""),"Incompleta: faltan campos obligatorios",IF(AND(LEFT(H412,6)="PROPIA",I412=""),"Falta el nombre de la acción propia del área",IF(AND(LEFT(H412,3)="A27",IFERROR(INDEX(Catalogos!$T$5:$T$207,MATCH(H412,Catalogos!$U$5:$U$207,0)),"x")&lt;&gt;LEFT(E412,7)),"La acción no corresponde a la meta seleccionada",IF(OR(NOT(ISNUMBER(M412)),M412&lt;10000000,M412&gt;99999999),"Código UNSPSC inválido: registre 8 dígitos",IF(MOD(M412,10000)=0,"UNSPSC a nivel de segmento o familia: use clase o producto",IF(IFERROR(MATCH(P412,L_MESES,0)&lt;MATCH(O412,L_MESES,0),TRUE()),"El mes de ofertas es anterior al de inicio del proceso",IF(OR(NOT(ISNUMBER(Q412)),Q412&lt;=0),"Duración inválida",IF(OR(NOT(ISNUMBER(W412)),NOT(ISNUMBER(X412))),"Valor inválido: registre solo números",IF(OR(W412&lt;=0,X412&lt;=0),"Valor inválido: debe ser mayor que cero",IF(X412&gt;W412,"El valor de la vigencia 2027 supera el valor total",IF(AND(X412&lt;W412,Y412="No"),"El valor total supera el de 2027: requiere vigencias futuras",IF(AND(Y412="Sí",OR(Z412="",Z412="No aplica")),"Indique el estado de la solicitud de vigencias futuras",IF(IF(AND(S412="Mínima cuantía",ISNUMBER(P_TOPE_MINIMA)),W412&gt;P_TOPE_MINIMA,FALSE()),"El valor supera el tope de mínima cuantía 2027",IF(IF(AND(S412="Selección abreviada de menor cuantía",ISNUMBER(P_TOPE_MENOR)),W412&gt;P_TOPE_MENOR,FALSE()),"El valor supera el tope de menor cuantía 2027",IF(OR(ISERROR(SEARCH("@itc.edu.co",AE412)),SUMPRODUCT(--ISNUMBER(SEARCH({"á","é","í","ó","ú","ñ"," "},AE412)))&gt;0),"El correo del responsable no es institucional válido",IF(AND(AF412="Sí",AG412=""),"Indique el N.° de registro 2026 que continúa","OK")))))))))))))))))</f>
        <v/>
      </c>
      <c r="AK412" s="15" t="str">
        <f>IF(AJ412="OK",COUNTIF($AJ$7:AJ412,"OK"),"")</f>
        <v/>
      </c>
    </row>
    <row r="413" spans="1:37" x14ac:dyDescent="0.3">
      <c r="A413" s="13" t="str">
        <f t="shared" si="6"/>
        <v>PN27-407</v>
      </c>
      <c r="B413" s="26"/>
      <c r="C413" s="13" t="str">
        <f>IF(B413="","",IFERROR(INDEX(Catalogos!$R$5:$R$51,MATCH(B413,L_AREAS,0)),""))</f>
        <v/>
      </c>
      <c r="D413" s="13" t="str">
        <f>IF(B413="","",IFERROR(INDEX(Catalogos!$O$5:$O$51,MATCH(B413,L_AREAS,0)),""))</f>
        <v/>
      </c>
      <c r="E413" s="26"/>
      <c r="F413" s="13" t="str">
        <f>IF(E413="","",IFERROR(INDEX(Catalogos!$C$5:$C$49,MATCH(E413,L_METAS,0)),""))</f>
        <v/>
      </c>
      <c r="G413" s="13" t="str">
        <f>IF(E413="","",IFERROR(INDEX(Catalogos!$E$5:$E$49,MATCH(E413,L_METAS,0)),""))</f>
        <v/>
      </c>
      <c r="H413" s="26"/>
      <c r="I413" s="26"/>
      <c r="J413" s="26"/>
      <c r="K413" s="26"/>
      <c r="L413" s="26"/>
      <c r="M413" s="27"/>
      <c r="N413" s="26"/>
      <c r="O413" s="26"/>
      <c r="P413" s="26"/>
      <c r="Q413" s="26"/>
      <c r="R413" s="26"/>
      <c r="S413" s="26"/>
      <c r="T413" s="26"/>
      <c r="U413" s="26"/>
      <c r="V413" s="26"/>
      <c r="W413" s="28"/>
      <c r="X413" s="28"/>
      <c r="Y413" s="26"/>
      <c r="Z413" s="26"/>
      <c r="AA413" s="26"/>
      <c r="AB413" s="26"/>
      <c r="AC413" s="26"/>
      <c r="AD413" s="26"/>
      <c r="AE413" s="26"/>
      <c r="AF413" s="26"/>
      <c r="AG413" s="26"/>
      <c r="AH413" s="26"/>
      <c r="AI413" s="26"/>
      <c r="AJ413" s="15" t="str">
        <f>IF(COUNTA(B413,E413,H413,I413,J413,K413,L413,M413,N413,O413,P413,Q413,R413,S413,T413,U413,V413,W413,X413,Y413,Z413,AA413,AB413,AC413,AD413,AE413,AF413,AG413,AH413,AI413)=0,"",IF(OR(B413="",E413="",H413="",J413="",K413="",L413="",M413="",O413="",P413="",Q413="",R413="",S413="",T413="",U413="",W413="",X413="",Y413="",AB413="",AC413="",AE413="",AF413=""),"Incompleta: faltan campos obligatorios",IF(AND(LEFT(H413,6)="PROPIA",I413=""),"Falta el nombre de la acción propia del área",IF(AND(LEFT(H413,3)="A27",IFERROR(INDEX(Catalogos!$T$5:$T$207,MATCH(H413,Catalogos!$U$5:$U$207,0)),"x")&lt;&gt;LEFT(E413,7)),"La acción no corresponde a la meta seleccionada",IF(OR(NOT(ISNUMBER(M413)),M413&lt;10000000,M413&gt;99999999),"Código UNSPSC inválido: registre 8 dígitos",IF(MOD(M413,10000)=0,"UNSPSC a nivel de segmento o familia: use clase o producto",IF(IFERROR(MATCH(P413,L_MESES,0)&lt;MATCH(O413,L_MESES,0),TRUE()),"El mes de ofertas es anterior al de inicio del proceso",IF(OR(NOT(ISNUMBER(Q413)),Q413&lt;=0),"Duración inválida",IF(OR(NOT(ISNUMBER(W413)),NOT(ISNUMBER(X413))),"Valor inválido: registre solo números",IF(OR(W413&lt;=0,X413&lt;=0),"Valor inválido: debe ser mayor que cero",IF(X413&gt;W413,"El valor de la vigencia 2027 supera el valor total",IF(AND(X413&lt;W413,Y413="No"),"El valor total supera el de 2027: requiere vigencias futuras",IF(AND(Y413="Sí",OR(Z413="",Z413="No aplica")),"Indique el estado de la solicitud de vigencias futuras",IF(IF(AND(S413="Mínima cuantía",ISNUMBER(P_TOPE_MINIMA)),W413&gt;P_TOPE_MINIMA,FALSE()),"El valor supera el tope de mínima cuantía 2027",IF(IF(AND(S413="Selección abreviada de menor cuantía",ISNUMBER(P_TOPE_MENOR)),W413&gt;P_TOPE_MENOR,FALSE()),"El valor supera el tope de menor cuantía 2027",IF(OR(ISERROR(SEARCH("@itc.edu.co",AE413)),SUMPRODUCT(--ISNUMBER(SEARCH({"á","é","í","ó","ú","ñ"," "},AE413)))&gt;0),"El correo del responsable no es institucional válido",IF(AND(AF413="Sí",AG413=""),"Indique el N.° de registro 2026 que continúa","OK")))))))))))))))))</f>
        <v/>
      </c>
      <c r="AK413" s="15" t="str">
        <f>IF(AJ413="OK",COUNTIF($AJ$7:AJ413,"OK"),"")</f>
        <v/>
      </c>
    </row>
    <row r="414" spans="1:37" x14ac:dyDescent="0.3">
      <c r="A414" s="13" t="str">
        <f t="shared" si="6"/>
        <v>PN27-408</v>
      </c>
      <c r="B414" s="26"/>
      <c r="C414" s="13" t="str">
        <f>IF(B414="","",IFERROR(INDEX(Catalogos!$R$5:$R$51,MATCH(B414,L_AREAS,0)),""))</f>
        <v/>
      </c>
      <c r="D414" s="13" t="str">
        <f>IF(B414="","",IFERROR(INDEX(Catalogos!$O$5:$O$51,MATCH(B414,L_AREAS,0)),""))</f>
        <v/>
      </c>
      <c r="E414" s="26"/>
      <c r="F414" s="13" t="str">
        <f>IF(E414="","",IFERROR(INDEX(Catalogos!$C$5:$C$49,MATCH(E414,L_METAS,0)),""))</f>
        <v/>
      </c>
      <c r="G414" s="13" t="str">
        <f>IF(E414="","",IFERROR(INDEX(Catalogos!$E$5:$E$49,MATCH(E414,L_METAS,0)),""))</f>
        <v/>
      </c>
      <c r="H414" s="26"/>
      <c r="I414" s="26"/>
      <c r="J414" s="26"/>
      <c r="K414" s="26"/>
      <c r="L414" s="26"/>
      <c r="M414" s="27"/>
      <c r="N414" s="26"/>
      <c r="O414" s="26"/>
      <c r="P414" s="26"/>
      <c r="Q414" s="26"/>
      <c r="R414" s="26"/>
      <c r="S414" s="26"/>
      <c r="T414" s="26"/>
      <c r="U414" s="26"/>
      <c r="V414" s="26"/>
      <c r="W414" s="28"/>
      <c r="X414" s="28"/>
      <c r="Y414" s="26"/>
      <c r="Z414" s="26"/>
      <c r="AA414" s="26"/>
      <c r="AB414" s="26"/>
      <c r="AC414" s="26"/>
      <c r="AD414" s="26"/>
      <c r="AE414" s="26"/>
      <c r="AF414" s="26"/>
      <c r="AG414" s="26"/>
      <c r="AH414" s="26"/>
      <c r="AI414" s="26"/>
      <c r="AJ414" s="15" t="str">
        <f>IF(COUNTA(B414,E414,H414,I414,J414,K414,L414,M414,N414,O414,P414,Q414,R414,S414,T414,U414,V414,W414,X414,Y414,Z414,AA414,AB414,AC414,AD414,AE414,AF414,AG414,AH414,AI414)=0,"",IF(OR(B414="",E414="",H414="",J414="",K414="",L414="",M414="",O414="",P414="",Q414="",R414="",S414="",T414="",U414="",W414="",X414="",Y414="",AB414="",AC414="",AE414="",AF414=""),"Incompleta: faltan campos obligatorios",IF(AND(LEFT(H414,6)="PROPIA",I414=""),"Falta el nombre de la acción propia del área",IF(AND(LEFT(H414,3)="A27",IFERROR(INDEX(Catalogos!$T$5:$T$207,MATCH(H414,Catalogos!$U$5:$U$207,0)),"x")&lt;&gt;LEFT(E414,7)),"La acción no corresponde a la meta seleccionada",IF(OR(NOT(ISNUMBER(M414)),M414&lt;10000000,M414&gt;99999999),"Código UNSPSC inválido: registre 8 dígitos",IF(MOD(M414,10000)=0,"UNSPSC a nivel de segmento o familia: use clase o producto",IF(IFERROR(MATCH(P414,L_MESES,0)&lt;MATCH(O414,L_MESES,0),TRUE()),"El mes de ofertas es anterior al de inicio del proceso",IF(OR(NOT(ISNUMBER(Q414)),Q414&lt;=0),"Duración inválida",IF(OR(NOT(ISNUMBER(W414)),NOT(ISNUMBER(X414))),"Valor inválido: registre solo números",IF(OR(W414&lt;=0,X414&lt;=0),"Valor inválido: debe ser mayor que cero",IF(X414&gt;W414,"El valor de la vigencia 2027 supera el valor total",IF(AND(X414&lt;W414,Y414="No"),"El valor total supera el de 2027: requiere vigencias futuras",IF(AND(Y414="Sí",OR(Z414="",Z414="No aplica")),"Indique el estado de la solicitud de vigencias futuras",IF(IF(AND(S414="Mínima cuantía",ISNUMBER(P_TOPE_MINIMA)),W414&gt;P_TOPE_MINIMA,FALSE()),"El valor supera el tope de mínima cuantía 2027",IF(IF(AND(S414="Selección abreviada de menor cuantía",ISNUMBER(P_TOPE_MENOR)),W414&gt;P_TOPE_MENOR,FALSE()),"El valor supera el tope de menor cuantía 2027",IF(OR(ISERROR(SEARCH("@itc.edu.co",AE414)),SUMPRODUCT(--ISNUMBER(SEARCH({"á","é","í","ó","ú","ñ"," "},AE414)))&gt;0),"El correo del responsable no es institucional válido",IF(AND(AF414="Sí",AG414=""),"Indique el N.° de registro 2026 que continúa","OK")))))))))))))))))</f>
        <v/>
      </c>
      <c r="AK414" s="15" t="str">
        <f>IF(AJ414="OK",COUNTIF($AJ$7:AJ414,"OK"),"")</f>
        <v/>
      </c>
    </row>
    <row r="415" spans="1:37" x14ac:dyDescent="0.3">
      <c r="A415" s="13" t="str">
        <f t="shared" si="6"/>
        <v>PN27-409</v>
      </c>
      <c r="B415" s="26"/>
      <c r="C415" s="13" t="str">
        <f>IF(B415="","",IFERROR(INDEX(Catalogos!$R$5:$R$51,MATCH(B415,L_AREAS,0)),""))</f>
        <v/>
      </c>
      <c r="D415" s="13" t="str">
        <f>IF(B415="","",IFERROR(INDEX(Catalogos!$O$5:$O$51,MATCH(B415,L_AREAS,0)),""))</f>
        <v/>
      </c>
      <c r="E415" s="26"/>
      <c r="F415" s="13" t="str">
        <f>IF(E415="","",IFERROR(INDEX(Catalogos!$C$5:$C$49,MATCH(E415,L_METAS,0)),""))</f>
        <v/>
      </c>
      <c r="G415" s="13" t="str">
        <f>IF(E415="","",IFERROR(INDEX(Catalogos!$E$5:$E$49,MATCH(E415,L_METAS,0)),""))</f>
        <v/>
      </c>
      <c r="H415" s="26"/>
      <c r="I415" s="26"/>
      <c r="J415" s="26"/>
      <c r="K415" s="26"/>
      <c r="L415" s="26"/>
      <c r="M415" s="27"/>
      <c r="N415" s="26"/>
      <c r="O415" s="26"/>
      <c r="P415" s="26"/>
      <c r="Q415" s="26"/>
      <c r="R415" s="26"/>
      <c r="S415" s="26"/>
      <c r="T415" s="26"/>
      <c r="U415" s="26"/>
      <c r="V415" s="26"/>
      <c r="W415" s="28"/>
      <c r="X415" s="28"/>
      <c r="Y415" s="26"/>
      <c r="Z415" s="26"/>
      <c r="AA415" s="26"/>
      <c r="AB415" s="26"/>
      <c r="AC415" s="26"/>
      <c r="AD415" s="26"/>
      <c r="AE415" s="26"/>
      <c r="AF415" s="26"/>
      <c r="AG415" s="26"/>
      <c r="AH415" s="26"/>
      <c r="AI415" s="26"/>
      <c r="AJ415" s="15" t="str">
        <f>IF(COUNTA(B415,E415,H415,I415,J415,K415,L415,M415,N415,O415,P415,Q415,R415,S415,T415,U415,V415,W415,X415,Y415,Z415,AA415,AB415,AC415,AD415,AE415,AF415,AG415,AH415,AI415)=0,"",IF(OR(B415="",E415="",H415="",J415="",K415="",L415="",M415="",O415="",P415="",Q415="",R415="",S415="",T415="",U415="",W415="",X415="",Y415="",AB415="",AC415="",AE415="",AF415=""),"Incompleta: faltan campos obligatorios",IF(AND(LEFT(H415,6)="PROPIA",I415=""),"Falta el nombre de la acción propia del área",IF(AND(LEFT(H415,3)="A27",IFERROR(INDEX(Catalogos!$T$5:$T$207,MATCH(H415,Catalogos!$U$5:$U$207,0)),"x")&lt;&gt;LEFT(E415,7)),"La acción no corresponde a la meta seleccionada",IF(OR(NOT(ISNUMBER(M415)),M415&lt;10000000,M415&gt;99999999),"Código UNSPSC inválido: registre 8 dígitos",IF(MOD(M415,10000)=0,"UNSPSC a nivel de segmento o familia: use clase o producto",IF(IFERROR(MATCH(P415,L_MESES,0)&lt;MATCH(O415,L_MESES,0),TRUE()),"El mes de ofertas es anterior al de inicio del proceso",IF(OR(NOT(ISNUMBER(Q415)),Q415&lt;=0),"Duración inválida",IF(OR(NOT(ISNUMBER(W415)),NOT(ISNUMBER(X415))),"Valor inválido: registre solo números",IF(OR(W415&lt;=0,X415&lt;=0),"Valor inválido: debe ser mayor que cero",IF(X415&gt;W415,"El valor de la vigencia 2027 supera el valor total",IF(AND(X415&lt;W415,Y415="No"),"El valor total supera el de 2027: requiere vigencias futuras",IF(AND(Y415="Sí",OR(Z415="",Z415="No aplica")),"Indique el estado de la solicitud de vigencias futuras",IF(IF(AND(S415="Mínima cuantía",ISNUMBER(P_TOPE_MINIMA)),W415&gt;P_TOPE_MINIMA,FALSE()),"El valor supera el tope de mínima cuantía 2027",IF(IF(AND(S415="Selección abreviada de menor cuantía",ISNUMBER(P_TOPE_MENOR)),W415&gt;P_TOPE_MENOR,FALSE()),"El valor supera el tope de menor cuantía 2027",IF(OR(ISERROR(SEARCH("@itc.edu.co",AE415)),SUMPRODUCT(--ISNUMBER(SEARCH({"á","é","í","ó","ú","ñ"," "},AE415)))&gt;0),"El correo del responsable no es institucional válido",IF(AND(AF415="Sí",AG415=""),"Indique el N.° de registro 2026 que continúa","OK")))))))))))))))))</f>
        <v/>
      </c>
      <c r="AK415" s="15" t="str">
        <f>IF(AJ415="OK",COUNTIF($AJ$7:AJ415,"OK"),"")</f>
        <v/>
      </c>
    </row>
    <row r="416" spans="1:37" x14ac:dyDescent="0.3">
      <c r="A416" s="13" t="str">
        <f t="shared" si="6"/>
        <v>PN27-410</v>
      </c>
      <c r="B416" s="26"/>
      <c r="C416" s="13" t="str">
        <f>IF(B416="","",IFERROR(INDEX(Catalogos!$R$5:$R$51,MATCH(B416,L_AREAS,0)),""))</f>
        <v/>
      </c>
      <c r="D416" s="13" t="str">
        <f>IF(B416="","",IFERROR(INDEX(Catalogos!$O$5:$O$51,MATCH(B416,L_AREAS,0)),""))</f>
        <v/>
      </c>
      <c r="E416" s="26"/>
      <c r="F416" s="13" t="str">
        <f>IF(E416="","",IFERROR(INDEX(Catalogos!$C$5:$C$49,MATCH(E416,L_METAS,0)),""))</f>
        <v/>
      </c>
      <c r="G416" s="13" t="str">
        <f>IF(E416="","",IFERROR(INDEX(Catalogos!$E$5:$E$49,MATCH(E416,L_METAS,0)),""))</f>
        <v/>
      </c>
      <c r="H416" s="26"/>
      <c r="I416" s="26"/>
      <c r="J416" s="26"/>
      <c r="K416" s="26"/>
      <c r="L416" s="26"/>
      <c r="M416" s="27"/>
      <c r="N416" s="26"/>
      <c r="O416" s="26"/>
      <c r="P416" s="26"/>
      <c r="Q416" s="26"/>
      <c r="R416" s="26"/>
      <c r="S416" s="26"/>
      <c r="T416" s="26"/>
      <c r="U416" s="26"/>
      <c r="V416" s="26"/>
      <c r="W416" s="28"/>
      <c r="X416" s="28"/>
      <c r="Y416" s="26"/>
      <c r="Z416" s="26"/>
      <c r="AA416" s="26"/>
      <c r="AB416" s="26"/>
      <c r="AC416" s="26"/>
      <c r="AD416" s="26"/>
      <c r="AE416" s="26"/>
      <c r="AF416" s="26"/>
      <c r="AG416" s="26"/>
      <c r="AH416" s="26"/>
      <c r="AI416" s="26"/>
      <c r="AJ416" s="15" t="str">
        <f>IF(COUNTA(B416,E416,H416,I416,J416,K416,L416,M416,N416,O416,P416,Q416,R416,S416,T416,U416,V416,W416,X416,Y416,Z416,AA416,AB416,AC416,AD416,AE416,AF416,AG416,AH416,AI416)=0,"",IF(OR(B416="",E416="",H416="",J416="",K416="",L416="",M416="",O416="",P416="",Q416="",R416="",S416="",T416="",U416="",W416="",X416="",Y416="",AB416="",AC416="",AE416="",AF416=""),"Incompleta: faltan campos obligatorios",IF(AND(LEFT(H416,6)="PROPIA",I416=""),"Falta el nombre de la acción propia del área",IF(AND(LEFT(H416,3)="A27",IFERROR(INDEX(Catalogos!$T$5:$T$207,MATCH(H416,Catalogos!$U$5:$U$207,0)),"x")&lt;&gt;LEFT(E416,7)),"La acción no corresponde a la meta seleccionada",IF(OR(NOT(ISNUMBER(M416)),M416&lt;10000000,M416&gt;99999999),"Código UNSPSC inválido: registre 8 dígitos",IF(MOD(M416,10000)=0,"UNSPSC a nivel de segmento o familia: use clase o producto",IF(IFERROR(MATCH(P416,L_MESES,0)&lt;MATCH(O416,L_MESES,0),TRUE()),"El mes de ofertas es anterior al de inicio del proceso",IF(OR(NOT(ISNUMBER(Q416)),Q416&lt;=0),"Duración inválida",IF(OR(NOT(ISNUMBER(W416)),NOT(ISNUMBER(X416))),"Valor inválido: registre solo números",IF(OR(W416&lt;=0,X416&lt;=0),"Valor inválido: debe ser mayor que cero",IF(X416&gt;W416,"El valor de la vigencia 2027 supera el valor total",IF(AND(X416&lt;W416,Y416="No"),"El valor total supera el de 2027: requiere vigencias futuras",IF(AND(Y416="Sí",OR(Z416="",Z416="No aplica")),"Indique el estado de la solicitud de vigencias futuras",IF(IF(AND(S416="Mínima cuantía",ISNUMBER(P_TOPE_MINIMA)),W416&gt;P_TOPE_MINIMA,FALSE()),"El valor supera el tope de mínima cuantía 2027",IF(IF(AND(S416="Selección abreviada de menor cuantía",ISNUMBER(P_TOPE_MENOR)),W416&gt;P_TOPE_MENOR,FALSE()),"El valor supera el tope de menor cuantía 2027",IF(OR(ISERROR(SEARCH("@itc.edu.co",AE416)),SUMPRODUCT(--ISNUMBER(SEARCH({"á","é","í","ó","ú","ñ"," "},AE416)))&gt;0),"El correo del responsable no es institucional válido",IF(AND(AF416="Sí",AG416=""),"Indique el N.° de registro 2026 que continúa","OK")))))))))))))))))</f>
        <v/>
      </c>
      <c r="AK416" s="15" t="str">
        <f>IF(AJ416="OK",COUNTIF($AJ$7:AJ416,"OK"),"")</f>
        <v/>
      </c>
    </row>
    <row r="417" spans="1:37" x14ac:dyDescent="0.3">
      <c r="A417" s="13" t="str">
        <f t="shared" si="6"/>
        <v>PN27-411</v>
      </c>
      <c r="B417" s="26"/>
      <c r="C417" s="13" t="str">
        <f>IF(B417="","",IFERROR(INDEX(Catalogos!$R$5:$R$51,MATCH(B417,L_AREAS,0)),""))</f>
        <v/>
      </c>
      <c r="D417" s="13" t="str">
        <f>IF(B417="","",IFERROR(INDEX(Catalogos!$O$5:$O$51,MATCH(B417,L_AREAS,0)),""))</f>
        <v/>
      </c>
      <c r="E417" s="26"/>
      <c r="F417" s="13" t="str">
        <f>IF(E417="","",IFERROR(INDEX(Catalogos!$C$5:$C$49,MATCH(E417,L_METAS,0)),""))</f>
        <v/>
      </c>
      <c r="G417" s="13" t="str">
        <f>IF(E417="","",IFERROR(INDEX(Catalogos!$E$5:$E$49,MATCH(E417,L_METAS,0)),""))</f>
        <v/>
      </c>
      <c r="H417" s="26"/>
      <c r="I417" s="26"/>
      <c r="J417" s="26"/>
      <c r="K417" s="26"/>
      <c r="L417" s="26"/>
      <c r="M417" s="27"/>
      <c r="N417" s="26"/>
      <c r="O417" s="26"/>
      <c r="P417" s="26"/>
      <c r="Q417" s="26"/>
      <c r="R417" s="26"/>
      <c r="S417" s="26"/>
      <c r="T417" s="26"/>
      <c r="U417" s="26"/>
      <c r="V417" s="26"/>
      <c r="W417" s="28"/>
      <c r="X417" s="28"/>
      <c r="Y417" s="26"/>
      <c r="Z417" s="26"/>
      <c r="AA417" s="26"/>
      <c r="AB417" s="26"/>
      <c r="AC417" s="26"/>
      <c r="AD417" s="26"/>
      <c r="AE417" s="26"/>
      <c r="AF417" s="26"/>
      <c r="AG417" s="26"/>
      <c r="AH417" s="26"/>
      <c r="AI417" s="26"/>
      <c r="AJ417" s="15" t="str">
        <f>IF(COUNTA(B417,E417,H417,I417,J417,K417,L417,M417,N417,O417,P417,Q417,R417,S417,T417,U417,V417,W417,X417,Y417,Z417,AA417,AB417,AC417,AD417,AE417,AF417,AG417,AH417,AI417)=0,"",IF(OR(B417="",E417="",H417="",J417="",K417="",L417="",M417="",O417="",P417="",Q417="",R417="",S417="",T417="",U417="",W417="",X417="",Y417="",AB417="",AC417="",AE417="",AF417=""),"Incompleta: faltan campos obligatorios",IF(AND(LEFT(H417,6)="PROPIA",I417=""),"Falta el nombre de la acción propia del área",IF(AND(LEFT(H417,3)="A27",IFERROR(INDEX(Catalogos!$T$5:$T$207,MATCH(H417,Catalogos!$U$5:$U$207,0)),"x")&lt;&gt;LEFT(E417,7)),"La acción no corresponde a la meta seleccionada",IF(OR(NOT(ISNUMBER(M417)),M417&lt;10000000,M417&gt;99999999),"Código UNSPSC inválido: registre 8 dígitos",IF(MOD(M417,10000)=0,"UNSPSC a nivel de segmento o familia: use clase o producto",IF(IFERROR(MATCH(P417,L_MESES,0)&lt;MATCH(O417,L_MESES,0),TRUE()),"El mes de ofertas es anterior al de inicio del proceso",IF(OR(NOT(ISNUMBER(Q417)),Q417&lt;=0),"Duración inválida",IF(OR(NOT(ISNUMBER(W417)),NOT(ISNUMBER(X417))),"Valor inválido: registre solo números",IF(OR(W417&lt;=0,X417&lt;=0),"Valor inválido: debe ser mayor que cero",IF(X417&gt;W417,"El valor de la vigencia 2027 supera el valor total",IF(AND(X417&lt;W417,Y417="No"),"El valor total supera el de 2027: requiere vigencias futuras",IF(AND(Y417="Sí",OR(Z417="",Z417="No aplica")),"Indique el estado de la solicitud de vigencias futuras",IF(IF(AND(S417="Mínima cuantía",ISNUMBER(P_TOPE_MINIMA)),W417&gt;P_TOPE_MINIMA,FALSE()),"El valor supera el tope de mínima cuantía 2027",IF(IF(AND(S417="Selección abreviada de menor cuantía",ISNUMBER(P_TOPE_MENOR)),W417&gt;P_TOPE_MENOR,FALSE()),"El valor supera el tope de menor cuantía 2027",IF(OR(ISERROR(SEARCH("@itc.edu.co",AE417)),SUMPRODUCT(--ISNUMBER(SEARCH({"á","é","í","ó","ú","ñ"," "},AE417)))&gt;0),"El correo del responsable no es institucional válido",IF(AND(AF417="Sí",AG417=""),"Indique el N.° de registro 2026 que continúa","OK")))))))))))))))))</f>
        <v/>
      </c>
      <c r="AK417" s="15" t="str">
        <f>IF(AJ417="OK",COUNTIF($AJ$7:AJ417,"OK"),"")</f>
        <v/>
      </c>
    </row>
    <row r="418" spans="1:37" x14ac:dyDescent="0.3">
      <c r="A418" s="13" t="str">
        <f t="shared" si="6"/>
        <v>PN27-412</v>
      </c>
      <c r="B418" s="26"/>
      <c r="C418" s="13" t="str">
        <f>IF(B418="","",IFERROR(INDEX(Catalogos!$R$5:$R$51,MATCH(B418,L_AREAS,0)),""))</f>
        <v/>
      </c>
      <c r="D418" s="13" t="str">
        <f>IF(B418="","",IFERROR(INDEX(Catalogos!$O$5:$O$51,MATCH(B418,L_AREAS,0)),""))</f>
        <v/>
      </c>
      <c r="E418" s="26"/>
      <c r="F418" s="13" t="str">
        <f>IF(E418="","",IFERROR(INDEX(Catalogos!$C$5:$C$49,MATCH(E418,L_METAS,0)),""))</f>
        <v/>
      </c>
      <c r="G418" s="13" t="str">
        <f>IF(E418="","",IFERROR(INDEX(Catalogos!$E$5:$E$49,MATCH(E418,L_METAS,0)),""))</f>
        <v/>
      </c>
      <c r="H418" s="26"/>
      <c r="I418" s="26"/>
      <c r="J418" s="26"/>
      <c r="K418" s="26"/>
      <c r="L418" s="26"/>
      <c r="M418" s="27"/>
      <c r="N418" s="26"/>
      <c r="O418" s="26"/>
      <c r="P418" s="26"/>
      <c r="Q418" s="26"/>
      <c r="R418" s="26"/>
      <c r="S418" s="26"/>
      <c r="T418" s="26"/>
      <c r="U418" s="26"/>
      <c r="V418" s="26"/>
      <c r="W418" s="28"/>
      <c r="X418" s="28"/>
      <c r="Y418" s="26"/>
      <c r="Z418" s="26"/>
      <c r="AA418" s="26"/>
      <c r="AB418" s="26"/>
      <c r="AC418" s="26"/>
      <c r="AD418" s="26"/>
      <c r="AE418" s="26"/>
      <c r="AF418" s="26"/>
      <c r="AG418" s="26"/>
      <c r="AH418" s="26"/>
      <c r="AI418" s="26"/>
      <c r="AJ418" s="15" t="str">
        <f>IF(COUNTA(B418,E418,H418,I418,J418,K418,L418,M418,N418,O418,P418,Q418,R418,S418,T418,U418,V418,W418,X418,Y418,Z418,AA418,AB418,AC418,AD418,AE418,AF418,AG418,AH418,AI418)=0,"",IF(OR(B418="",E418="",H418="",J418="",K418="",L418="",M418="",O418="",P418="",Q418="",R418="",S418="",T418="",U418="",W418="",X418="",Y418="",AB418="",AC418="",AE418="",AF418=""),"Incompleta: faltan campos obligatorios",IF(AND(LEFT(H418,6)="PROPIA",I418=""),"Falta el nombre de la acción propia del área",IF(AND(LEFT(H418,3)="A27",IFERROR(INDEX(Catalogos!$T$5:$T$207,MATCH(H418,Catalogos!$U$5:$U$207,0)),"x")&lt;&gt;LEFT(E418,7)),"La acción no corresponde a la meta seleccionada",IF(OR(NOT(ISNUMBER(M418)),M418&lt;10000000,M418&gt;99999999),"Código UNSPSC inválido: registre 8 dígitos",IF(MOD(M418,10000)=0,"UNSPSC a nivel de segmento o familia: use clase o producto",IF(IFERROR(MATCH(P418,L_MESES,0)&lt;MATCH(O418,L_MESES,0),TRUE()),"El mes de ofertas es anterior al de inicio del proceso",IF(OR(NOT(ISNUMBER(Q418)),Q418&lt;=0),"Duración inválida",IF(OR(NOT(ISNUMBER(W418)),NOT(ISNUMBER(X418))),"Valor inválido: registre solo números",IF(OR(W418&lt;=0,X418&lt;=0),"Valor inválido: debe ser mayor que cero",IF(X418&gt;W418,"El valor de la vigencia 2027 supera el valor total",IF(AND(X418&lt;W418,Y418="No"),"El valor total supera el de 2027: requiere vigencias futuras",IF(AND(Y418="Sí",OR(Z418="",Z418="No aplica")),"Indique el estado de la solicitud de vigencias futuras",IF(IF(AND(S418="Mínima cuantía",ISNUMBER(P_TOPE_MINIMA)),W418&gt;P_TOPE_MINIMA,FALSE()),"El valor supera el tope de mínima cuantía 2027",IF(IF(AND(S418="Selección abreviada de menor cuantía",ISNUMBER(P_TOPE_MENOR)),W418&gt;P_TOPE_MENOR,FALSE()),"El valor supera el tope de menor cuantía 2027",IF(OR(ISERROR(SEARCH("@itc.edu.co",AE418)),SUMPRODUCT(--ISNUMBER(SEARCH({"á","é","í","ó","ú","ñ"," "},AE418)))&gt;0),"El correo del responsable no es institucional válido",IF(AND(AF418="Sí",AG418=""),"Indique el N.° de registro 2026 que continúa","OK")))))))))))))))))</f>
        <v/>
      </c>
      <c r="AK418" s="15" t="str">
        <f>IF(AJ418="OK",COUNTIF($AJ$7:AJ418,"OK"),"")</f>
        <v/>
      </c>
    </row>
    <row r="419" spans="1:37" x14ac:dyDescent="0.3">
      <c r="A419" s="13" t="str">
        <f t="shared" si="6"/>
        <v>PN27-413</v>
      </c>
      <c r="B419" s="26"/>
      <c r="C419" s="13" t="str">
        <f>IF(B419="","",IFERROR(INDEX(Catalogos!$R$5:$R$51,MATCH(B419,L_AREAS,0)),""))</f>
        <v/>
      </c>
      <c r="D419" s="13" t="str">
        <f>IF(B419="","",IFERROR(INDEX(Catalogos!$O$5:$O$51,MATCH(B419,L_AREAS,0)),""))</f>
        <v/>
      </c>
      <c r="E419" s="26"/>
      <c r="F419" s="13" t="str">
        <f>IF(E419="","",IFERROR(INDEX(Catalogos!$C$5:$C$49,MATCH(E419,L_METAS,0)),""))</f>
        <v/>
      </c>
      <c r="G419" s="13" t="str">
        <f>IF(E419="","",IFERROR(INDEX(Catalogos!$E$5:$E$49,MATCH(E419,L_METAS,0)),""))</f>
        <v/>
      </c>
      <c r="H419" s="26"/>
      <c r="I419" s="26"/>
      <c r="J419" s="26"/>
      <c r="K419" s="26"/>
      <c r="L419" s="26"/>
      <c r="M419" s="27"/>
      <c r="N419" s="26"/>
      <c r="O419" s="26"/>
      <c r="P419" s="26"/>
      <c r="Q419" s="26"/>
      <c r="R419" s="26"/>
      <c r="S419" s="26"/>
      <c r="T419" s="26"/>
      <c r="U419" s="26"/>
      <c r="V419" s="26"/>
      <c r="W419" s="28"/>
      <c r="X419" s="28"/>
      <c r="Y419" s="26"/>
      <c r="Z419" s="26"/>
      <c r="AA419" s="26"/>
      <c r="AB419" s="26"/>
      <c r="AC419" s="26"/>
      <c r="AD419" s="26"/>
      <c r="AE419" s="26"/>
      <c r="AF419" s="26"/>
      <c r="AG419" s="26"/>
      <c r="AH419" s="26"/>
      <c r="AI419" s="26"/>
      <c r="AJ419" s="15" t="str">
        <f>IF(COUNTA(B419,E419,H419,I419,J419,K419,L419,M419,N419,O419,P419,Q419,R419,S419,T419,U419,V419,W419,X419,Y419,Z419,AA419,AB419,AC419,AD419,AE419,AF419,AG419,AH419,AI419)=0,"",IF(OR(B419="",E419="",H419="",J419="",K419="",L419="",M419="",O419="",P419="",Q419="",R419="",S419="",T419="",U419="",W419="",X419="",Y419="",AB419="",AC419="",AE419="",AF419=""),"Incompleta: faltan campos obligatorios",IF(AND(LEFT(H419,6)="PROPIA",I419=""),"Falta el nombre de la acción propia del área",IF(AND(LEFT(H419,3)="A27",IFERROR(INDEX(Catalogos!$T$5:$T$207,MATCH(H419,Catalogos!$U$5:$U$207,0)),"x")&lt;&gt;LEFT(E419,7)),"La acción no corresponde a la meta seleccionada",IF(OR(NOT(ISNUMBER(M419)),M419&lt;10000000,M419&gt;99999999),"Código UNSPSC inválido: registre 8 dígitos",IF(MOD(M419,10000)=0,"UNSPSC a nivel de segmento o familia: use clase o producto",IF(IFERROR(MATCH(P419,L_MESES,0)&lt;MATCH(O419,L_MESES,0),TRUE()),"El mes de ofertas es anterior al de inicio del proceso",IF(OR(NOT(ISNUMBER(Q419)),Q419&lt;=0),"Duración inválida",IF(OR(NOT(ISNUMBER(W419)),NOT(ISNUMBER(X419))),"Valor inválido: registre solo números",IF(OR(W419&lt;=0,X419&lt;=0),"Valor inválido: debe ser mayor que cero",IF(X419&gt;W419,"El valor de la vigencia 2027 supera el valor total",IF(AND(X419&lt;W419,Y419="No"),"El valor total supera el de 2027: requiere vigencias futuras",IF(AND(Y419="Sí",OR(Z419="",Z419="No aplica")),"Indique el estado de la solicitud de vigencias futuras",IF(IF(AND(S419="Mínima cuantía",ISNUMBER(P_TOPE_MINIMA)),W419&gt;P_TOPE_MINIMA,FALSE()),"El valor supera el tope de mínima cuantía 2027",IF(IF(AND(S419="Selección abreviada de menor cuantía",ISNUMBER(P_TOPE_MENOR)),W419&gt;P_TOPE_MENOR,FALSE()),"El valor supera el tope de menor cuantía 2027",IF(OR(ISERROR(SEARCH("@itc.edu.co",AE419)),SUMPRODUCT(--ISNUMBER(SEARCH({"á","é","í","ó","ú","ñ"," "},AE419)))&gt;0),"El correo del responsable no es institucional válido",IF(AND(AF419="Sí",AG419=""),"Indique el N.° de registro 2026 que continúa","OK")))))))))))))))))</f>
        <v/>
      </c>
      <c r="AK419" s="15" t="str">
        <f>IF(AJ419="OK",COUNTIF($AJ$7:AJ419,"OK"),"")</f>
        <v/>
      </c>
    </row>
    <row r="420" spans="1:37" x14ac:dyDescent="0.3">
      <c r="A420" s="13" t="str">
        <f t="shared" si="6"/>
        <v>PN27-414</v>
      </c>
      <c r="B420" s="26"/>
      <c r="C420" s="13" t="str">
        <f>IF(B420="","",IFERROR(INDEX(Catalogos!$R$5:$R$51,MATCH(B420,L_AREAS,0)),""))</f>
        <v/>
      </c>
      <c r="D420" s="13" t="str">
        <f>IF(B420="","",IFERROR(INDEX(Catalogos!$O$5:$O$51,MATCH(B420,L_AREAS,0)),""))</f>
        <v/>
      </c>
      <c r="E420" s="26"/>
      <c r="F420" s="13" t="str">
        <f>IF(E420="","",IFERROR(INDEX(Catalogos!$C$5:$C$49,MATCH(E420,L_METAS,0)),""))</f>
        <v/>
      </c>
      <c r="G420" s="13" t="str">
        <f>IF(E420="","",IFERROR(INDEX(Catalogos!$E$5:$E$49,MATCH(E420,L_METAS,0)),""))</f>
        <v/>
      </c>
      <c r="H420" s="26"/>
      <c r="I420" s="26"/>
      <c r="J420" s="26"/>
      <c r="K420" s="26"/>
      <c r="L420" s="26"/>
      <c r="M420" s="27"/>
      <c r="N420" s="26"/>
      <c r="O420" s="26"/>
      <c r="P420" s="26"/>
      <c r="Q420" s="26"/>
      <c r="R420" s="26"/>
      <c r="S420" s="26"/>
      <c r="T420" s="26"/>
      <c r="U420" s="26"/>
      <c r="V420" s="26"/>
      <c r="W420" s="28"/>
      <c r="X420" s="28"/>
      <c r="Y420" s="26"/>
      <c r="Z420" s="26"/>
      <c r="AA420" s="26"/>
      <c r="AB420" s="26"/>
      <c r="AC420" s="26"/>
      <c r="AD420" s="26"/>
      <c r="AE420" s="26"/>
      <c r="AF420" s="26"/>
      <c r="AG420" s="26"/>
      <c r="AH420" s="26"/>
      <c r="AI420" s="26"/>
      <c r="AJ420" s="15" t="str">
        <f>IF(COUNTA(B420,E420,H420,I420,J420,K420,L420,M420,N420,O420,P420,Q420,R420,S420,T420,U420,V420,W420,X420,Y420,Z420,AA420,AB420,AC420,AD420,AE420,AF420,AG420,AH420,AI420)=0,"",IF(OR(B420="",E420="",H420="",J420="",K420="",L420="",M420="",O420="",P420="",Q420="",R420="",S420="",T420="",U420="",W420="",X420="",Y420="",AB420="",AC420="",AE420="",AF420=""),"Incompleta: faltan campos obligatorios",IF(AND(LEFT(H420,6)="PROPIA",I420=""),"Falta el nombre de la acción propia del área",IF(AND(LEFT(H420,3)="A27",IFERROR(INDEX(Catalogos!$T$5:$T$207,MATCH(H420,Catalogos!$U$5:$U$207,0)),"x")&lt;&gt;LEFT(E420,7)),"La acción no corresponde a la meta seleccionada",IF(OR(NOT(ISNUMBER(M420)),M420&lt;10000000,M420&gt;99999999),"Código UNSPSC inválido: registre 8 dígitos",IF(MOD(M420,10000)=0,"UNSPSC a nivel de segmento o familia: use clase o producto",IF(IFERROR(MATCH(P420,L_MESES,0)&lt;MATCH(O420,L_MESES,0),TRUE()),"El mes de ofertas es anterior al de inicio del proceso",IF(OR(NOT(ISNUMBER(Q420)),Q420&lt;=0),"Duración inválida",IF(OR(NOT(ISNUMBER(W420)),NOT(ISNUMBER(X420))),"Valor inválido: registre solo números",IF(OR(W420&lt;=0,X420&lt;=0),"Valor inválido: debe ser mayor que cero",IF(X420&gt;W420,"El valor de la vigencia 2027 supera el valor total",IF(AND(X420&lt;W420,Y420="No"),"El valor total supera el de 2027: requiere vigencias futuras",IF(AND(Y420="Sí",OR(Z420="",Z420="No aplica")),"Indique el estado de la solicitud de vigencias futuras",IF(IF(AND(S420="Mínima cuantía",ISNUMBER(P_TOPE_MINIMA)),W420&gt;P_TOPE_MINIMA,FALSE()),"El valor supera el tope de mínima cuantía 2027",IF(IF(AND(S420="Selección abreviada de menor cuantía",ISNUMBER(P_TOPE_MENOR)),W420&gt;P_TOPE_MENOR,FALSE()),"El valor supera el tope de menor cuantía 2027",IF(OR(ISERROR(SEARCH("@itc.edu.co",AE420)),SUMPRODUCT(--ISNUMBER(SEARCH({"á","é","í","ó","ú","ñ"," "},AE420)))&gt;0),"El correo del responsable no es institucional válido",IF(AND(AF420="Sí",AG420=""),"Indique el N.° de registro 2026 que continúa","OK")))))))))))))))))</f>
        <v/>
      </c>
      <c r="AK420" s="15" t="str">
        <f>IF(AJ420="OK",COUNTIF($AJ$7:AJ420,"OK"),"")</f>
        <v/>
      </c>
    </row>
    <row r="421" spans="1:37" x14ac:dyDescent="0.3">
      <c r="A421" s="13" t="str">
        <f t="shared" si="6"/>
        <v>PN27-415</v>
      </c>
      <c r="B421" s="26"/>
      <c r="C421" s="13" t="str">
        <f>IF(B421="","",IFERROR(INDEX(Catalogos!$R$5:$R$51,MATCH(B421,L_AREAS,0)),""))</f>
        <v/>
      </c>
      <c r="D421" s="13" t="str">
        <f>IF(B421="","",IFERROR(INDEX(Catalogos!$O$5:$O$51,MATCH(B421,L_AREAS,0)),""))</f>
        <v/>
      </c>
      <c r="E421" s="26"/>
      <c r="F421" s="13" t="str">
        <f>IF(E421="","",IFERROR(INDEX(Catalogos!$C$5:$C$49,MATCH(E421,L_METAS,0)),""))</f>
        <v/>
      </c>
      <c r="G421" s="13" t="str">
        <f>IF(E421="","",IFERROR(INDEX(Catalogos!$E$5:$E$49,MATCH(E421,L_METAS,0)),""))</f>
        <v/>
      </c>
      <c r="H421" s="26"/>
      <c r="I421" s="26"/>
      <c r="J421" s="26"/>
      <c r="K421" s="26"/>
      <c r="L421" s="26"/>
      <c r="M421" s="27"/>
      <c r="N421" s="26"/>
      <c r="O421" s="26"/>
      <c r="P421" s="26"/>
      <c r="Q421" s="26"/>
      <c r="R421" s="26"/>
      <c r="S421" s="26"/>
      <c r="T421" s="26"/>
      <c r="U421" s="26"/>
      <c r="V421" s="26"/>
      <c r="W421" s="28"/>
      <c r="X421" s="28"/>
      <c r="Y421" s="26"/>
      <c r="Z421" s="26"/>
      <c r="AA421" s="26"/>
      <c r="AB421" s="26"/>
      <c r="AC421" s="26"/>
      <c r="AD421" s="26"/>
      <c r="AE421" s="26"/>
      <c r="AF421" s="26"/>
      <c r="AG421" s="26"/>
      <c r="AH421" s="26"/>
      <c r="AI421" s="26"/>
      <c r="AJ421" s="15" t="str">
        <f>IF(COUNTA(B421,E421,H421,I421,J421,K421,L421,M421,N421,O421,P421,Q421,R421,S421,T421,U421,V421,W421,X421,Y421,Z421,AA421,AB421,AC421,AD421,AE421,AF421,AG421,AH421,AI421)=0,"",IF(OR(B421="",E421="",H421="",J421="",K421="",L421="",M421="",O421="",P421="",Q421="",R421="",S421="",T421="",U421="",W421="",X421="",Y421="",AB421="",AC421="",AE421="",AF421=""),"Incompleta: faltan campos obligatorios",IF(AND(LEFT(H421,6)="PROPIA",I421=""),"Falta el nombre de la acción propia del área",IF(AND(LEFT(H421,3)="A27",IFERROR(INDEX(Catalogos!$T$5:$T$207,MATCH(H421,Catalogos!$U$5:$U$207,0)),"x")&lt;&gt;LEFT(E421,7)),"La acción no corresponde a la meta seleccionada",IF(OR(NOT(ISNUMBER(M421)),M421&lt;10000000,M421&gt;99999999),"Código UNSPSC inválido: registre 8 dígitos",IF(MOD(M421,10000)=0,"UNSPSC a nivel de segmento o familia: use clase o producto",IF(IFERROR(MATCH(P421,L_MESES,0)&lt;MATCH(O421,L_MESES,0),TRUE()),"El mes de ofertas es anterior al de inicio del proceso",IF(OR(NOT(ISNUMBER(Q421)),Q421&lt;=0),"Duración inválida",IF(OR(NOT(ISNUMBER(W421)),NOT(ISNUMBER(X421))),"Valor inválido: registre solo números",IF(OR(W421&lt;=0,X421&lt;=0),"Valor inválido: debe ser mayor que cero",IF(X421&gt;W421,"El valor de la vigencia 2027 supera el valor total",IF(AND(X421&lt;W421,Y421="No"),"El valor total supera el de 2027: requiere vigencias futuras",IF(AND(Y421="Sí",OR(Z421="",Z421="No aplica")),"Indique el estado de la solicitud de vigencias futuras",IF(IF(AND(S421="Mínima cuantía",ISNUMBER(P_TOPE_MINIMA)),W421&gt;P_TOPE_MINIMA,FALSE()),"El valor supera el tope de mínima cuantía 2027",IF(IF(AND(S421="Selección abreviada de menor cuantía",ISNUMBER(P_TOPE_MENOR)),W421&gt;P_TOPE_MENOR,FALSE()),"El valor supera el tope de menor cuantía 2027",IF(OR(ISERROR(SEARCH("@itc.edu.co",AE421)),SUMPRODUCT(--ISNUMBER(SEARCH({"á","é","í","ó","ú","ñ"," "},AE421)))&gt;0),"El correo del responsable no es institucional válido",IF(AND(AF421="Sí",AG421=""),"Indique el N.° de registro 2026 que continúa","OK")))))))))))))))))</f>
        <v/>
      </c>
      <c r="AK421" s="15" t="str">
        <f>IF(AJ421="OK",COUNTIF($AJ$7:AJ421,"OK"),"")</f>
        <v/>
      </c>
    </row>
    <row r="422" spans="1:37" x14ac:dyDescent="0.3">
      <c r="A422" s="13" t="str">
        <f t="shared" si="6"/>
        <v>PN27-416</v>
      </c>
      <c r="B422" s="26"/>
      <c r="C422" s="13" t="str">
        <f>IF(B422="","",IFERROR(INDEX(Catalogos!$R$5:$R$51,MATCH(B422,L_AREAS,0)),""))</f>
        <v/>
      </c>
      <c r="D422" s="13" t="str">
        <f>IF(B422="","",IFERROR(INDEX(Catalogos!$O$5:$O$51,MATCH(B422,L_AREAS,0)),""))</f>
        <v/>
      </c>
      <c r="E422" s="26"/>
      <c r="F422" s="13" t="str">
        <f>IF(E422="","",IFERROR(INDEX(Catalogos!$C$5:$C$49,MATCH(E422,L_METAS,0)),""))</f>
        <v/>
      </c>
      <c r="G422" s="13" t="str">
        <f>IF(E422="","",IFERROR(INDEX(Catalogos!$E$5:$E$49,MATCH(E422,L_METAS,0)),""))</f>
        <v/>
      </c>
      <c r="H422" s="26"/>
      <c r="I422" s="26"/>
      <c r="J422" s="26"/>
      <c r="K422" s="26"/>
      <c r="L422" s="26"/>
      <c r="M422" s="27"/>
      <c r="N422" s="26"/>
      <c r="O422" s="26"/>
      <c r="P422" s="26"/>
      <c r="Q422" s="26"/>
      <c r="R422" s="26"/>
      <c r="S422" s="26"/>
      <c r="T422" s="26"/>
      <c r="U422" s="26"/>
      <c r="V422" s="26"/>
      <c r="W422" s="28"/>
      <c r="X422" s="28"/>
      <c r="Y422" s="26"/>
      <c r="Z422" s="26"/>
      <c r="AA422" s="26"/>
      <c r="AB422" s="26"/>
      <c r="AC422" s="26"/>
      <c r="AD422" s="26"/>
      <c r="AE422" s="26"/>
      <c r="AF422" s="26"/>
      <c r="AG422" s="26"/>
      <c r="AH422" s="26"/>
      <c r="AI422" s="26"/>
      <c r="AJ422" s="15" t="str">
        <f>IF(COUNTA(B422,E422,H422,I422,J422,K422,L422,M422,N422,O422,P422,Q422,R422,S422,T422,U422,V422,W422,X422,Y422,Z422,AA422,AB422,AC422,AD422,AE422,AF422,AG422,AH422,AI422)=0,"",IF(OR(B422="",E422="",H422="",J422="",K422="",L422="",M422="",O422="",P422="",Q422="",R422="",S422="",T422="",U422="",W422="",X422="",Y422="",AB422="",AC422="",AE422="",AF422=""),"Incompleta: faltan campos obligatorios",IF(AND(LEFT(H422,6)="PROPIA",I422=""),"Falta el nombre de la acción propia del área",IF(AND(LEFT(H422,3)="A27",IFERROR(INDEX(Catalogos!$T$5:$T$207,MATCH(H422,Catalogos!$U$5:$U$207,0)),"x")&lt;&gt;LEFT(E422,7)),"La acción no corresponde a la meta seleccionada",IF(OR(NOT(ISNUMBER(M422)),M422&lt;10000000,M422&gt;99999999),"Código UNSPSC inválido: registre 8 dígitos",IF(MOD(M422,10000)=0,"UNSPSC a nivel de segmento o familia: use clase o producto",IF(IFERROR(MATCH(P422,L_MESES,0)&lt;MATCH(O422,L_MESES,0),TRUE()),"El mes de ofertas es anterior al de inicio del proceso",IF(OR(NOT(ISNUMBER(Q422)),Q422&lt;=0),"Duración inválida",IF(OR(NOT(ISNUMBER(W422)),NOT(ISNUMBER(X422))),"Valor inválido: registre solo números",IF(OR(W422&lt;=0,X422&lt;=0),"Valor inválido: debe ser mayor que cero",IF(X422&gt;W422,"El valor de la vigencia 2027 supera el valor total",IF(AND(X422&lt;W422,Y422="No"),"El valor total supera el de 2027: requiere vigencias futuras",IF(AND(Y422="Sí",OR(Z422="",Z422="No aplica")),"Indique el estado de la solicitud de vigencias futuras",IF(IF(AND(S422="Mínima cuantía",ISNUMBER(P_TOPE_MINIMA)),W422&gt;P_TOPE_MINIMA,FALSE()),"El valor supera el tope de mínima cuantía 2027",IF(IF(AND(S422="Selección abreviada de menor cuantía",ISNUMBER(P_TOPE_MENOR)),W422&gt;P_TOPE_MENOR,FALSE()),"El valor supera el tope de menor cuantía 2027",IF(OR(ISERROR(SEARCH("@itc.edu.co",AE422)),SUMPRODUCT(--ISNUMBER(SEARCH({"á","é","í","ó","ú","ñ"," "},AE422)))&gt;0),"El correo del responsable no es institucional válido",IF(AND(AF422="Sí",AG422=""),"Indique el N.° de registro 2026 que continúa","OK")))))))))))))))))</f>
        <v/>
      </c>
      <c r="AK422" s="15" t="str">
        <f>IF(AJ422="OK",COUNTIF($AJ$7:AJ422,"OK"),"")</f>
        <v/>
      </c>
    </row>
    <row r="423" spans="1:37" x14ac:dyDescent="0.3">
      <c r="A423" s="13" t="str">
        <f t="shared" si="6"/>
        <v>PN27-417</v>
      </c>
      <c r="B423" s="26"/>
      <c r="C423" s="13" t="str">
        <f>IF(B423="","",IFERROR(INDEX(Catalogos!$R$5:$R$51,MATCH(B423,L_AREAS,0)),""))</f>
        <v/>
      </c>
      <c r="D423" s="13" t="str">
        <f>IF(B423="","",IFERROR(INDEX(Catalogos!$O$5:$O$51,MATCH(B423,L_AREAS,0)),""))</f>
        <v/>
      </c>
      <c r="E423" s="26"/>
      <c r="F423" s="13" t="str">
        <f>IF(E423="","",IFERROR(INDEX(Catalogos!$C$5:$C$49,MATCH(E423,L_METAS,0)),""))</f>
        <v/>
      </c>
      <c r="G423" s="13" t="str">
        <f>IF(E423="","",IFERROR(INDEX(Catalogos!$E$5:$E$49,MATCH(E423,L_METAS,0)),""))</f>
        <v/>
      </c>
      <c r="H423" s="26"/>
      <c r="I423" s="26"/>
      <c r="J423" s="26"/>
      <c r="K423" s="26"/>
      <c r="L423" s="26"/>
      <c r="M423" s="27"/>
      <c r="N423" s="26"/>
      <c r="O423" s="26"/>
      <c r="P423" s="26"/>
      <c r="Q423" s="26"/>
      <c r="R423" s="26"/>
      <c r="S423" s="26"/>
      <c r="T423" s="26"/>
      <c r="U423" s="26"/>
      <c r="V423" s="26"/>
      <c r="W423" s="28"/>
      <c r="X423" s="28"/>
      <c r="Y423" s="26"/>
      <c r="Z423" s="26"/>
      <c r="AA423" s="26"/>
      <c r="AB423" s="26"/>
      <c r="AC423" s="26"/>
      <c r="AD423" s="26"/>
      <c r="AE423" s="26"/>
      <c r="AF423" s="26"/>
      <c r="AG423" s="26"/>
      <c r="AH423" s="26"/>
      <c r="AI423" s="26"/>
      <c r="AJ423" s="15" t="str">
        <f>IF(COUNTA(B423,E423,H423,I423,J423,K423,L423,M423,N423,O423,P423,Q423,R423,S423,T423,U423,V423,W423,X423,Y423,Z423,AA423,AB423,AC423,AD423,AE423,AF423,AG423,AH423,AI423)=0,"",IF(OR(B423="",E423="",H423="",J423="",K423="",L423="",M423="",O423="",P423="",Q423="",R423="",S423="",T423="",U423="",W423="",X423="",Y423="",AB423="",AC423="",AE423="",AF423=""),"Incompleta: faltan campos obligatorios",IF(AND(LEFT(H423,6)="PROPIA",I423=""),"Falta el nombre de la acción propia del área",IF(AND(LEFT(H423,3)="A27",IFERROR(INDEX(Catalogos!$T$5:$T$207,MATCH(H423,Catalogos!$U$5:$U$207,0)),"x")&lt;&gt;LEFT(E423,7)),"La acción no corresponde a la meta seleccionada",IF(OR(NOT(ISNUMBER(M423)),M423&lt;10000000,M423&gt;99999999),"Código UNSPSC inválido: registre 8 dígitos",IF(MOD(M423,10000)=0,"UNSPSC a nivel de segmento o familia: use clase o producto",IF(IFERROR(MATCH(P423,L_MESES,0)&lt;MATCH(O423,L_MESES,0),TRUE()),"El mes de ofertas es anterior al de inicio del proceso",IF(OR(NOT(ISNUMBER(Q423)),Q423&lt;=0),"Duración inválida",IF(OR(NOT(ISNUMBER(W423)),NOT(ISNUMBER(X423))),"Valor inválido: registre solo números",IF(OR(W423&lt;=0,X423&lt;=0),"Valor inválido: debe ser mayor que cero",IF(X423&gt;W423,"El valor de la vigencia 2027 supera el valor total",IF(AND(X423&lt;W423,Y423="No"),"El valor total supera el de 2027: requiere vigencias futuras",IF(AND(Y423="Sí",OR(Z423="",Z423="No aplica")),"Indique el estado de la solicitud de vigencias futuras",IF(IF(AND(S423="Mínima cuantía",ISNUMBER(P_TOPE_MINIMA)),W423&gt;P_TOPE_MINIMA,FALSE()),"El valor supera el tope de mínima cuantía 2027",IF(IF(AND(S423="Selección abreviada de menor cuantía",ISNUMBER(P_TOPE_MENOR)),W423&gt;P_TOPE_MENOR,FALSE()),"El valor supera el tope de menor cuantía 2027",IF(OR(ISERROR(SEARCH("@itc.edu.co",AE423)),SUMPRODUCT(--ISNUMBER(SEARCH({"á","é","í","ó","ú","ñ"," "},AE423)))&gt;0),"El correo del responsable no es institucional válido",IF(AND(AF423="Sí",AG423=""),"Indique el N.° de registro 2026 que continúa","OK")))))))))))))))))</f>
        <v/>
      </c>
      <c r="AK423" s="15" t="str">
        <f>IF(AJ423="OK",COUNTIF($AJ$7:AJ423,"OK"),"")</f>
        <v/>
      </c>
    </row>
    <row r="424" spans="1:37" x14ac:dyDescent="0.3">
      <c r="A424" s="13" t="str">
        <f t="shared" si="6"/>
        <v>PN27-418</v>
      </c>
      <c r="B424" s="26"/>
      <c r="C424" s="13" t="str">
        <f>IF(B424="","",IFERROR(INDEX(Catalogos!$R$5:$R$51,MATCH(B424,L_AREAS,0)),""))</f>
        <v/>
      </c>
      <c r="D424" s="13" t="str">
        <f>IF(B424="","",IFERROR(INDEX(Catalogos!$O$5:$O$51,MATCH(B424,L_AREAS,0)),""))</f>
        <v/>
      </c>
      <c r="E424" s="26"/>
      <c r="F424" s="13" t="str">
        <f>IF(E424="","",IFERROR(INDEX(Catalogos!$C$5:$C$49,MATCH(E424,L_METAS,0)),""))</f>
        <v/>
      </c>
      <c r="G424" s="13" t="str">
        <f>IF(E424="","",IFERROR(INDEX(Catalogos!$E$5:$E$49,MATCH(E424,L_METAS,0)),""))</f>
        <v/>
      </c>
      <c r="H424" s="26"/>
      <c r="I424" s="26"/>
      <c r="J424" s="26"/>
      <c r="K424" s="26"/>
      <c r="L424" s="26"/>
      <c r="M424" s="27"/>
      <c r="N424" s="26"/>
      <c r="O424" s="26"/>
      <c r="P424" s="26"/>
      <c r="Q424" s="26"/>
      <c r="R424" s="26"/>
      <c r="S424" s="26"/>
      <c r="T424" s="26"/>
      <c r="U424" s="26"/>
      <c r="V424" s="26"/>
      <c r="W424" s="28"/>
      <c r="X424" s="28"/>
      <c r="Y424" s="26"/>
      <c r="Z424" s="26"/>
      <c r="AA424" s="26"/>
      <c r="AB424" s="26"/>
      <c r="AC424" s="26"/>
      <c r="AD424" s="26"/>
      <c r="AE424" s="26"/>
      <c r="AF424" s="26"/>
      <c r="AG424" s="26"/>
      <c r="AH424" s="26"/>
      <c r="AI424" s="26"/>
      <c r="AJ424" s="15" t="str">
        <f>IF(COUNTA(B424,E424,H424,I424,J424,K424,L424,M424,N424,O424,P424,Q424,R424,S424,T424,U424,V424,W424,X424,Y424,Z424,AA424,AB424,AC424,AD424,AE424,AF424,AG424,AH424,AI424)=0,"",IF(OR(B424="",E424="",H424="",J424="",K424="",L424="",M424="",O424="",P424="",Q424="",R424="",S424="",T424="",U424="",W424="",X424="",Y424="",AB424="",AC424="",AE424="",AF424=""),"Incompleta: faltan campos obligatorios",IF(AND(LEFT(H424,6)="PROPIA",I424=""),"Falta el nombre de la acción propia del área",IF(AND(LEFT(H424,3)="A27",IFERROR(INDEX(Catalogos!$T$5:$T$207,MATCH(H424,Catalogos!$U$5:$U$207,0)),"x")&lt;&gt;LEFT(E424,7)),"La acción no corresponde a la meta seleccionada",IF(OR(NOT(ISNUMBER(M424)),M424&lt;10000000,M424&gt;99999999),"Código UNSPSC inválido: registre 8 dígitos",IF(MOD(M424,10000)=0,"UNSPSC a nivel de segmento o familia: use clase o producto",IF(IFERROR(MATCH(P424,L_MESES,0)&lt;MATCH(O424,L_MESES,0),TRUE()),"El mes de ofertas es anterior al de inicio del proceso",IF(OR(NOT(ISNUMBER(Q424)),Q424&lt;=0),"Duración inválida",IF(OR(NOT(ISNUMBER(W424)),NOT(ISNUMBER(X424))),"Valor inválido: registre solo números",IF(OR(W424&lt;=0,X424&lt;=0),"Valor inválido: debe ser mayor que cero",IF(X424&gt;W424,"El valor de la vigencia 2027 supera el valor total",IF(AND(X424&lt;W424,Y424="No"),"El valor total supera el de 2027: requiere vigencias futuras",IF(AND(Y424="Sí",OR(Z424="",Z424="No aplica")),"Indique el estado de la solicitud de vigencias futuras",IF(IF(AND(S424="Mínima cuantía",ISNUMBER(P_TOPE_MINIMA)),W424&gt;P_TOPE_MINIMA,FALSE()),"El valor supera el tope de mínima cuantía 2027",IF(IF(AND(S424="Selección abreviada de menor cuantía",ISNUMBER(P_TOPE_MENOR)),W424&gt;P_TOPE_MENOR,FALSE()),"El valor supera el tope de menor cuantía 2027",IF(OR(ISERROR(SEARCH("@itc.edu.co",AE424)),SUMPRODUCT(--ISNUMBER(SEARCH({"á","é","í","ó","ú","ñ"," "},AE424)))&gt;0),"El correo del responsable no es institucional válido",IF(AND(AF424="Sí",AG424=""),"Indique el N.° de registro 2026 que continúa","OK")))))))))))))))))</f>
        <v/>
      </c>
      <c r="AK424" s="15" t="str">
        <f>IF(AJ424="OK",COUNTIF($AJ$7:AJ424,"OK"),"")</f>
        <v/>
      </c>
    </row>
    <row r="425" spans="1:37" x14ac:dyDescent="0.3">
      <c r="A425" s="13" t="str">
        <f t="shared" si="6"/>
        <v>PN27-419</v>
      </c>
      <c r="B425" s="26"/>
      <c r="C425" s="13" t="str">
        <f>IF(B425="","",IFERROR(INDEX(Catalogos!$R$5:$R$51,MATCH(B425,L_AREAS,0)),""))</f>
        <v/>
      </c>
      <c r="D425" s="13" t="str">
        <f>IF(B425="","",IFERROR(INDEX(Catalogos!$O$5:$O$51,MATCH(B425,L_AREAS,0)),""))</f>
        <v/>
      </c>
      <c r="E425" s="26"/>
      <c r="F425" s="13" t="str">
        <f>IF(E425="","",IFERROR(INDEX(Catalogos!$C$5:$C$49,MATCH(E425,L_METAS,0)),""))</f>
        <v/>
      </c>
      <c r="G425" s="13" t="str">
        <f>IF(E425="","",IFERROR(INDEX(Catalogos!$E$5:$E$49,MATCH(E425,L_METAS,0)),""))</f>
        <v/>
      </c>
      <c r="H425" s="26"/>
      <c r="I425" s="26"/>
      <c r="J425" s="26"/>
      <c r="K425" s="26"/>
      <c r="L425" s="26"/>
      <c r="M425" s="27"/>
      <c r="N425" s="26"/>
      <c r="O425" s="26"/>
      <c r="P425" s="26"/>
      <c r="Q425" s="26"/>
      <c r="R425" s="26"/>
      <c r="S425" s="26"/>
      <c r="T425" s="26"/>
      <c r="U425" s="26"/>
      <c r="V425" s="26"/>
      <c r="W425" s="28"/>
      <c r="X425" s="28"/>
      <c r="Y425" s="26"/>
      <c r="Z425" s="26"/>
      <c r="AA425" s="26"/>
      <c r="AB425" s="26"/>
      <c r="AC425" s="26"/>
      <c r="AD425" s="26"/>
      <c r="AE425" s="26"/>
      <c r="AF425" s="26"/>
      <c r="AG425" s="26"/>
      <c r="AH425" s="26"/>
      <c r="AI425" s="26"/>
      <c r="AJ425" s="15" t="str">
        <f>IF(COUNTA(B425,E425,H425,I425,J425,K425,L425,M425,N425,O425,P425,Q425,R425,S425,T425,U425,V425,W425,X425,Y425,Z425,AA425,AB425,AC425,AD425,AE425,AF425,AG425,AH425,AI425)=0,"",IF(OR(B425="",E425="",H425="",J425="",K425="",L425="",M425="",O425="",P425="",Q425="",R425="",S425="",T425="",U425="",W425="",X425="",Y425="",AB425="",AC425="",AE425="",AF425=""),"Incompleta: faltan campos obligatorios",IF(AND(LEFT(H425,6)="PROPIA",I425=""),"Falta el nombre de la acción propia del área",IF(AND(LEFT(H425,3)="A27",IFERROR(INDEX(Catalogos!$T$5:$T$207,MATCH(H425,Catalogos!$U$5:$U$207,0)),"x")&lt;&gt;LEFT(E425,7)),"La acción no corresponde a la meta seleccionada",IF(OR(NOT(ISNUMBER(M425)),M425&lt;10000000,M425&gt;99999999),"Código UNSPSC inválido: registre 8 dígitos",IF(MOD(M425,10000)=0,"UNSPSC a nivel de segmento o familia: use clase o producto",IF(IFERROR(MATCH(P425,L_MESES,0)&lt;MATCH(O425,L_MESES,0),TRUE()),"El mes de ofertas es anterior al de inicio del proceso",IF(OR(NOT(ISNUMBER(Q425)),Q425&lt;=0),"Duración inválida",IF(OR(NOT(ISNUMBER(W425)),NOT(ISNUMBER(X425))),"Valor inválido: registre solo números",IF(OR(W425&lt;=0,X425&lt;=0),"Valor inválido: debe ser mayor que cero",IF(X425&gt;W425,"El valor de la vigencia 2027 supera el valor total",IF(AND(X425&lt;W425,Y425="No"),"El valor total supera el de 2027: requiere vigencias futuras",IF(AND(Y425="Sí",OR(Z425="",Z425="No aplica")),"Indique el estado de la solicitud de vigencias futuras",IF(IF(AND(S425="Mínima cuantía",ISNUMBER(P_TOPE_MINIMA)),W425&gt;P_TOPE_MINIMA,FALSE()),"El valor supera el tope de mínima cuantía 2027",IF(IF(AND(S425="Selección abreviada de menor cuantía",ISNUMBER(P_TOPE_MENOR)),W425&gt;P_TOPE_MENOR,FALSE()),"El valor supera el tope de menor cuantía 2027",IF(OR(ISERROR(SEARCH("@itc.edu.co",AE425)),SUMPRODUCT(--ISNUMBER(SEARCH({"á","é","í","ó","ú","ñ"," "},AE425)))&gt;0),"El correo del responsable no es institucional válido",IF(AND(AF425="Sí",AG425=""),"Indique el N.° de registro 2026 que continúa","OK")))))))))))))))))</f>
        <v/>
      </c>
      <c r="AK425" s="15" t="str">
        <f>IF(AJ425="OK",COUNTIF($AJ$7:AJ425,"OK"),"")</f>
        <v/>
      </c>
    </row>
    <row r="426" spans="1:37" x14ac:dyDescent="0.3">
      <c r="A426" s="13" t="str">
        <f t="shared" si="6"/>
        <v>PN27-420</v>
      </c>
      <c r="B426" s="26"/>
      <c r="C426" s="13" t="str">
        <f>IF(B426="","",IFERROR(INDEX(Catalogos!$R$5:$R$51,MATCH(B426,L_AREAS,0)),""))</f>
        <v/>
      </c>
      <c r="D426" s="13" t="str">
        <f>IF(B426="","",IFERROR(INDEX(Catalogos!$O$5:$O$51,MATCH(B426,L_AREAS,0)),""))</f>
        <v/>
      </c>
      <c r="E426" s="26"/>
      <c r="F426" s="13" t="str">
        <f>IF(E426="","",IFERROR(INDEX(Catalogos!$C$5:$C$49,MATCH(E426,L_METAS,0)),""))</f>
        <v/>
      </c>
      <c r="G426" s="13" t="str">
        <f>IF(E426="","",IFERROR(INDEX(Catalogos!$E$5:$E$49,MATCH(E426,L_METAS,0)),""))</f>
        <v/>
      </c>
      <c r="H426" s="26"/>
      <c r="I426" s="26"/>
      <c r="J426" s="26"/>
      <c r="K426" s="26"/>
      <c r="L426" s="26"/>
      <c r="M426" s="27"/>
      <c r="N426" s="26"/>
      <c r="O426" s="26"/>
      <c r="P426" s="26"/>
      <c r="Q426" s="26"/>
      <c r="R426" s="26"/>
      <c r="S426" s="26"/>
      <c r="T426" s="26"/>
      <c r="U426" s="26"/>
      <c r="V426" s="26"/>
      <c r="W426" s="28"/>
      <c r="X426" s="28"/>
      <c r="Y426" s="26"/>
      <c r="Z426" s="26"/>
      <c r="AA426" s="26"/>
      <c r="AB426" s="26"/>
      <c r="AC426" s="26"/>
      <c r="AD426" s="26"/>
      <c r="AE426" s="26"/>
      <c r="AF426" s="26"/>
      <c r="AG426" s="26"/>
      <c r="AH426" s="26"/>
      <c r="AI426" s="26"/>
      <c r="AJ426" s="15" t="str">
        <f>IF(COUNTA(B426,E426,H426,I426,J426,K426,L426,M426,N426,O426,P426,Q426,R426,S426,T426,U426,V426,W426,X426,Y426,Z426,AA426,AB426,AC426,AD426,AE426,AF426,AG426,AH426,AI426)=0,"",IF(OR(B426="",E426="",H426="",J426="",K426="",L426="",M426="",O426="",P426="",Q426="",R426="",S426="",T426="",U426="",W426="",X426="",Y426="",AB426="",AC426="",AE426="",AF426=""),"Incompleta: faltan campos obligatorios",IF(AND(LEFT(H426,6)="PROPIA",I426=""),"Falta el nombre de la acción propia del área",IF(AND(LEFT(H426,3)="A27",IFERROR(INDEX(Catalogos!$T$5:$T$207,MATCH(H426,Catalogos!$U$5:$U$207,0)),"x")&lt;&gt;LEFT(E426,7)),"La acción no corresponde a la meta seleccionada",IF(OR(NOT(ISNUMBER(M426)),M426&lt;10000000,M426&gt;99999999),"Código UNSPSC inválido: registre 8 dígitos",IF(MOD(M426,10000)=0,"UNSPSC a nivel de segmento o familia: use clase o producto",IF(IFERROR(MATCH(P426,L_MESES,0)&lt;MATCH(O426,L_MESES,0),TRUE()),"El mes de ofertas es anterior al de inicio del proceso",IF(OR(NOT(ISNUMBER(Q426)),Q426&lt;=0),"Duración inválida",IF(OR(NOT(ISNUMBER(W426)),NOT(ISNUMBER(X426))),"Valor inválido: registre solo números",IF(OR(W426&lt;=0,X426&lt;=0),"Valor inválido: debe ser mayor que cero",IF(X426&gt;W426,"El valor de la vigencia 2027 supera el valor total",IF(AND(X426&lt;W426,Y426="No"),"El valor total supera el de 2027: requiere vigencias futuras",IF(AND(Y426="Sí",OR(Z426="",Z426="No aplica")),"Indique el estado de la solicitud de vigencias futuras",IF(IF(AND(S426="Mínima cuantía",ISNUMBER(P_TOPE_MINIMA)),W426&gt;P_TOPE_MINIMA,FALSE()),"El valor supera el tope de mínima cuantía 2027",IF(IF(AND(S426="Selección abreviada de menor cuantía",ISNUMBER(P_TOPE_MENOR)),W426&gt;P_TOPE_MENOR,FALSE()),"El valor supera el tope de menor cuantía 2027",IF(OR(ISERROR(SEARCH("@itc.edu.co",AE426)),SUMPRODUCT(--ISNUMBER(SEARCH({"á","é","í","ó","ú","ñ"," "},AE426)))&gt;0),"El correo del responsable no es institucional válido",IF(AND(AF426="Sí",AG426=""),"Indique el N.° de registro 2026 que continúa","OK")))))))))))))))))</f>
        <v/>
      </c>
      <c r="AK426" s="15" t="str">
        <f>IF(AJ426="OK",COUNTIF($AJ$7:AJ426,"OK"),"")</f>
        <v/>
      </c>
    </row>
    <row r="427" spans="1:37" x14ac:dyDescent="0.3">
      <c r="A427" s="13" t="str">
        <f t="shared" si="6"/>
        <v>PN27-421</v>
      </c>
      <c r="B427" s="26"/>
      <c r="C427" s="13" t="str">
        <f>IF(B427="","",IFERROR(INDEX(Catalogos!$R$5:$R$51,MATCH(B427,L_AREAS,0)),""))</f>
        <v/>
      </c>
      <c r="D427" s="13" t="str">
        <f>IF(B427="","",IFERROR(INDEX(Catalogos!$O$5:$O$51,MATCH(B427,L_AREAS,0)),""))</f>
        <v/>
      </c>
      <c r="E427" s="26"/>
      <c r="F427" s="13" t="str">
        <f>IF(E427="","",IFERROR(INDEX(Catalogos!$C$5:$C$49,MATCH(E427,L_METAS,0)),""))</f>
        <v/>
      </c>
      <c r="G427" s="13" t="str">
        <f>IF(E427="","",IFERROR(INDEX(Catalogos!$E$5:$E$49,MATCH(E427,L_METAS,0)),""))</f>
        <v/>
      </c>
      <c r="H427" s="26"/>
      <c r="I427" s="26"/>
      <c r="J427" s="26"/>
      <c r="K427" s="26"/>
      <c r="L427" s="26"/>
      <c r="M427" s="27"/>
      <c r="N427" s="26"/>
      <c r="O427" s="26"/>
      <c r="P427" s="26"/>
      <c r="Q427" s="26"/>
      <c r="R427" s="26"/>
      <c r="S427" s="26"/>
      <c r="T427" s="26"/>
      <c r="U427" s="26"/>
      <c r="V427" s="26"/>
      <c r="W427" s="28"/>
      <c r="X427" s="28"/>
      <c r="Y427" s="26"/>
      <c r="Z427" s="26"/>
      <c r="AA427" s="26"/>
      <c r="AB427" s="26"/>
      <c r="AC427" s="26"/>
      <c r="AD427" s="26"/>
      <c r="AE427" s="26"/>
      <c r="AF427" s="26"/>
      <c r="AG427" s="26"/>
      <c r="AH427" s="26"/>
      <c r="AI427" s="26"/>
      <c r="AJ427" s="15" t="str">
        <f>IF(COUNTA(B427,E427,H427,I427,J427,K427,L427,M427,N427,O427,P427,Q427,R427,S427,T427,U427,V427,W427,X427,Y427,Z427,AA427,AB427,AC427,AD427,AE427,AF427,AG427,AH427,AI427)=0,"",IF(OR(B427="",E427="",H427="",J427="",K427="",L427="",M427="",O427="",P427="",Q427="",R427="",S427="",T427="",U427="",W427="",X427="",Y427="",AB427="",AC427="",AE427="",AF427=""),"Incompleta: faltan campos obligatorios",IF(AND(LEFT(H427,6)="PROPIA",I427=""),"Falta el nombre de la acción propia del área",IF(AND(LEFT(H427,3)="A27",IFERROR(INDEX(Catalogos!$T$5:$T$207,MATCH(H427,Catalogos!$U$5:$U$207,0)),"x")&lt;&gt;LEFT(E427,7)),"La acción no corresponde a la meta seleccionada",IF(OR(NOT(ISNUMBER(M427)),M427&lt;10000000,M427&gt;99999999),"Código UNSPSC inválido: registre 8 dígitos",IF(MOD(M427,10000)=0,"UNSPSC a nivel de segmento o familia: use clase o producto",IF(IFERROR(MATCH(P427,L_MESES,0)&lt;MATCH(O427,L_MESES,0),TRUE()),"El mes de ofertas es anterior al de inicio del proceso",IF(OR(NOT(ISNUMBER(Q427)),Q427&lt;=0),"Duración inválida",IF(OR(NOT(ISNUMBER(W427)),NOT(ISNUMBER(X427))),"Valor inválido: registre solo números",IF(OR(W427&lt;=0,X427&lt;=0),"Valor inválido: debe ser mayor que cero",IF(X427&gt;W427,"El valor de la vigencia 2027 supera el valor total",IF(AND(X427&lt;W427,Y427="No"),"El valor total supera el de 2027: requiere vigencias futuras",IF(AND(Y427="Sí",OR(Z427="",Z427="No aplica")),"Indique el estado de la solicitud de vigencias futuras",IF(IF(AND(S427="Mínima cuantía",ISNUMBER(P_TOPE_MINIMA)),W427&gt;P_TOPE_MINIMA,FALSE()),"El valor supera el tope de mínima cuantía 2027",IF(IF(AND(S427="Selección abreviada de menor cuantía",ISNUMBER(P_TOPE_MENOR)),W427&gt;P_TOPE_MENOR,FALSE()),"El valor supera el tope de menor cuantía 2027",IF(OR(ISERROR(SEARCH("@itc.edu.co",AE427)),SUMPRODUCT(--ISNUMBER(SEARCH({"á","é","í","ó","ú","ñ"," "},AE427)))&gt;0),"El correo del responsable no es institucional válido",IF(AND(AF427="Sí",AG427=""),"Indique el N.° de registro 2026 que continúa","OK")))))))))))))))))</f>
        <v/>
      </c>
      <c r="AK427" s="15" t="str">
        <f>IF(AJ427="OK",COUNTIF($AJ$7:AJ427,"OK"),"")</f>
        <v/>
      </c>
    </row>
    <row r="428" spans="1:37" x14ac:dyDescent="0.3">
      <c r="A428" s="13" t="str">
        <f t="shared" si="6"/>
        <v>PN27-422</v>
      </c>
      <c r="B428" s="26"/>
      <c r="C428" s="13" t="str">
        <f>IF(B428="","",IFERROR(INDEX(Catalogos!$R$5:$R$51,MATCH(B428,L_AREAS,0)),""))</f>
        <v/>
      </c>
      <c r="D428" s="13" t="str">
        <f>IF(B428="","",IFERROR(INDEX(Catalogos!$O$5:$O$51,MATCH(B428,L_AREAS,0)),""))</f>
        <v/>
      </c>
      <c r="E428" s="26"/>
      <c r="F428" s="13" t="str">
        <f>IF(E428="","",IFERROR(INDEX(Catalogos!$C$5:$C$49,MATCH(E428,L_METAS,0)),""))</f>
        <v/>
      </c>
      <c r="G428" s="13" t="str">
        <f>IF(E428="","",IFERROR(INDEX(Catalogos!$E$5:$E$49,MATCH(E428,L_METAS,0)),""))</f>
        <v/>
      </c>
      <c r="H428" s="26"/>
      <c r="I428" s="26"/>
      <c r="J428" s="26"/>
      <c r="K428" s="26"/>
      <c r="L428" s="26"/>
      <c r="M428" s="27"/>
      <c r="N428" s="26"/>
      <c r="O428" s="26"/>
      <c r="P428" s="26"/>
      <c r="Q428" s="26"/>
      <c r="R428" s="26"/>
      <c r="S428" s="26"/>
      <c r="T428" s="26"/>
      <c r="U428" s="26"/>
      <c r="V428" s="26"/>
      <c r="W428" s="28"/>
      <c r="X428" s="28"/>
      <c r="Y428" s="26"/>
      <c r="Z428" s="26"/>
      <c r="AA428" s="26"/>
      <c r="AB428" s="26"/>
      <c r="AC428" s="26"/>
      <c r="AD428" s="26"/>
      <c r="AE428" s="26"/>
      <c r="AF428" s="26"/>
      <c r="AG428" s="26"/>
      <c r="AH428" s="26"/>
      <c r="AI428" s="26"/>
      <c r="AJ428" s="15" t="str">
        <f>IF(COUNTA(B428,E428,H428,I428,J428,K428,L428,M428,N428,O428,P428,Q428,R428,S428,T428,U428,V428,W428,X428,Y428,Z428,AA428,AB428,AC428,AD428,AE428,AF428,AG428,AH428,AI428)=0,"",IF(OR(B428="",E428="",H428="",J428="",K428="",L428="",M428="",O428="",P428="",Q428="",R428="",S428="",T428="",U428="",W428="",X428="",Y428="",AB428="",AC428="",AE428="",AF428=""),"Incompleta: faltan campos obligatorios",IF(AND(LEFT(H428,6)="PROPIA",I428=""),"Falta el nombre de la acción propia del área",IF(AND(LEFT(H428,3)="A27",IFERROR(INDEX(Catalogos!$T$5:$T$207,MATCH(H428,Catalogos!$U$5:$U$207,0)),"x")&lt;&gt;LEFT(E428,7)),"La acción no corresponde a la meta seleccionada",IF(OR(NOT(ISNUMBER(M428)),M428&lt;10000000,M428&gt;99999999),"Código UNSPSC inválido: registre 8 dígitos",IF(MOD(M428,10000)=0,"UNSPSC a nivel de segmento o familia: use clase o producto",IF(IFERROR(MATCH(P428,L_MESES,0)&lt;MATCH(O428,L_MESES,0),TRUE()),"El mes de ofertas es anterior al de inicio del proceso",IF(OR(NOT(ISNUMBER(Q428)),Q428&lt;=0),"Duración inválida",IF(OR(NOT(ISNUMBER(W428)),NOT(ISNUMBER(X428))),"Valor inválido: registre solo números",IF(OR(W428&lt;=0,X428&lt;=0),"Valor inválido: debe ser mayor que cero",IF(X428&gt;W428,"El valor de la vigencia 2027 supera el valor total",IF(AND(X428&lt;W428,Y428="No"),"El valor total supera el de 2027: requiere vigencias futuras",IF(AND(Y428="Sí",OR(Z428="",Z428="No aplica")),"Indique el estado de la solicitud de vigencias futuras",IF(IF(AND(S428="Mínima cuantía",ISNUMBER(P_TOPE_MINIMA)),W428&gt;P_TOPE_MINIMA,FALSE()),"El valor supera el tope de mínima cuantía 2027",IF(IF(AND(S428="Selección abreviada de menor cuantía",ISNUMBER(P_TOPE_MENOR)),W428&gt;P_TOPE_MENOR,FALSE()),"El valor supera el tope de menor cuantía 2027",IF(OR(ISERROR(SEARCH("@itc.edu.co",AE428)),SUMPRODUCT(--ISNUMBER(SEARCH({"á","é","í","ó","ú","ñ"," "},AE428)))&gt;0),"El correo del responsable no es institucional válido",IF(AND(AF428="Sí",AG428=""),"Indique el N.° de registro 2026 que continúa","OK")))))))))))))))))</f>
        <v/>
      </c>
      <c r="AK428" s="15" t="str">
        <f>IF(AJ428="OK",COUNTIF($AJ$7:AJ428,"OK"),"")</f>
        <v/>
      </c>
    </row>
    <row r="429" spans="1:37" x14ac:dyDescent="0.3">
      <c r="A429" s="13" t="str">
        <f t="shared" si="6"/>
        <v>PN27-423</v>
      </c>
      <c r="B429" s="26"/>
      <c r="C429" s="13" t="str">
        <f>IF(B429="","",IFERROR(INDEX(Catalogos!$R$5:$R$51,MATCH(B429,L_AREAS,0)),""))</f>
        <v/>
      </c>
      <c r="D429" s="13" t="str">
        <f>IF(B429="","",IFERROR(INDEX(Catalogos!$O$5:$O$51,MATCH(B429,L_AREAS,0)),""))</f>
        <v/>
      </c>
      <c r="E429" s="26"/>
      <c r="F429" s="13" t="str">
        <f>IF(E429="","",IFERROR(INDEX(Catalogos!$C$5:$C$49,MATCH(E429,L_METAS,0)),""))</f>
        <v/>
      </c>
      <c r="G429" s="13" t="str">
        <f>IF(E429="","",IFERROR(INDEX(Catalogos!$E$5:$E$49,MATCH(E429,L_METAS,0)),""))</f>
        <v/>
      </c>
      <c r="H429" s="26"/>
      <c r="I429" s="26"/>
      <c r="J429" s="26"/>
      <c r="K429" s="26"/>
      <c r="L429" s="26"/>
      <c r="M429" s="27"/>
      <c r="N429" s="26"/>
      <c r="O429" s="26"/>
      <c r="P429" s="26"/>
      <c r="Q429" s="26"/>
      <c r="R429" s="26"/>
      <c r="S429" s="26"/>
      <c r="T429" s="26"/>
      <c r="U429" s="26"/>
      <c r="V429" s="26"/>
      <c r="W429" s="28"/>
      <c r="X429" s="28"/>
      <c r="Y429" s="26"/>
      <c r="Z429" s="26"/>
      <c r="AA429" s="26"/>
      <c r="AB429" s="26"/>
      <c r="AC429" s="26"/>
      <c r="AD429" s="26"/>
      <c r="AE429" s="26"/>
      <c r="AF429" s="26"/>
      <c r="AG429" s="26"/>
      <c r="AH429" s="26"/>
      <c r="AI429" s="26"/>
      <c r="AJ429" s="15" t="str">
        <f>IF(COUNTA(B429,E429,H429,I429,J429,K429,L429,M429,N429,O429,P429,Q429,R429,S429,T429,U429,V429,W429,X429,Y429,Z429,AA429,AB429,AC429,AD429,AE429,AF429,AG429,AH429,AI429)=0,"",IF(OR(B429="",E429="",H429="",J429="",K429="",L429="",M429="",O429="",P429="",Q429="",R429="",S429="",T429="",U429="",W429="",X429="",Y429="",AB429="",AC429="",AE429="",AF429=""),"Incompleta: faltan campos obligatorios",IF(AND(LEFT(H429,6)="PROPIA",I429=""),"Falta el nombre de la acción propia del área",IF(AND(LEFT(H429,3)="A27",IFERROR(INDEX(Catalogos!$T$5:$T$207,MATCH(H429,Catalogos!$U$5:$U$207,0)),"x")&lt;&gt;LEFT(E429,7)),"La acción no corresponde a la meta seleccionada",IF(OR(NOT(ISNUMBER(M429)),M429&lt;10000000,M429&gt;99999999),"Código UNSPSC inválido: registre 8 dígitos",IF(MOD(M429,10000)=0,"UNSPSC a nivel de segmento o familia: use clase o producto",IF(IFERROR(MATCH(P429,L_MESES,0)&lt;MATCH(O429,L_MESES,0),TRUE()),"El mes de ofertas es anterior al de inicio del proceso",IF(OR(NOT(ISNUMBER(Q429)),Q429&lt;=0),"Duración inválida",IF(OR(NOT(ISNUMBER(W429)),NOT(ISNUMBER(X429))),"Valor inválido: registre solo números",IF(OR(W429&lt;=0,X429&lt;=0),"Valor inválido: debe ser mayor que cero",IF(X429&gt;W429,"El valor de la vigencia 2027 supera el valor total",IF(AND(X429&lt;W429,Y429="No"),"El valor total supera el de 2027: requiere vigencias futuras",IF(AND(Y429="Sí",OR(Z429="",Z429="No aplica")),"Indique el estado de la solicitud de vigencias futuras",IF(IF(AND(S429="Mínima cuantía",ISNUMBER(P_TOPE_MINIMA)),W429&gt;P_TOPE_MINIMA,FALSE()),"El valor supera el tope de mínima cuantía 2027",IF(IF(AND(S429="Selección abreviada de menor cuantía",ISNUMBER(P_TOPE_MENOR)),W429&gt;P_TOPE_MENOR,FALSE()),"El valor supera el tope de menor cuantía 2027",IF(OR(ISERROR(SEARCH("@itc.edu.co",AE429)),SUMPRODUCT(--ISNUMBER(SEARCH({"á","é","í","ó","ú","ñ"," "},AE429)))&gt;0),"El correo del responsable no es institucional válido",IF(AND(AF429="Sí",AG429=""),"Indique el N.° de registro 2026 que continúa","OK")))))))))))))))))</f>
        <v/>
      </c>
      <c r="AK429" s="15" t="str">
        <f>IF(AJ429="OK",COUNTIF($AJ$7:AJ429,"OK"),"")</f>
        <v/>
      </c>
    </row>
    <row r="430" spans="1:37" x14ac:dyDescent="0.3">
      <c r="A430" s="13" t="str">
        <f t="shared" si="6"/>
        <v>PN27-424</v>
      </c>
      <c r="B430" s="26"/>
      <c r="C430" s="13" t="str">
        <f>IF(B430="","",IFERROR(INDEX(Catalogos!$R$5:$R$51,MATCH(B430,L_AREAS,0)),""))</f>
        <v/>
      </c>
      <c r="D430" s="13" t="str">
        <f>IF(B430="","",IFERROR(INDEX(Catalogos!$O$5:$O$51,MATCH(B430,L_AREAS,0)),""))</f>
        <v/>
      </c>
      <c r="E430" s="26"/>
      <c r="F430" s="13" t="str">
        <f>IF(E430="","",IFERROR(INDEX(Catalogos!$C$5:$C$49,MATCH(E430,L_METAS,0)),""))</f>
        <v/>
      </c>
      <c r="G430" s="13" t="str">
        <f>IF(E430="","",IFERROR(INDEX(Catalogos!$E$5:$E$49,MATCH(E430,L_METAS,0)),""))</f>
        <v/>
      </c>
      <c r="H430" s="26"/>
      <c r="I430" s="26"/>
      <c r="J430" s="26"/>
      <c r="K430" s="26"/>
      <c r="L430" s="26"/>
      <c r="M430" s="27"/>
      <c r="N430" s="26"/>
      <c r="O430" s="26"/>
      <c r="P430" s="26"/>
      <c r="Q430" s="26"/>
      <c r="R430" s="26"/>
      <c r="S430" s="26"/>
      <c r="T430" s="26"/>
      <c r="U430" s="26"/>
      <c r="V430" s="26"/>
      <c r="W430" s="28"/>
      <c r="X430" s="28"/>
      <c r="Y430" s="26"/>
      <c r="Z430" s="26"/>
      <c r="AA430" s="26"/>
      <c r="AB430" s="26"/>
      <c r="AC430" s="26"/>
      <c r="AD430" s="26"/>
      <c r="AE430" s="26"/>
      <c r="AF430" s="26"/>
      <c r="AG430" s="26"/>
      <c r="AH430" s="26"/>
      <c r="AI430" s="26"/>
      <c r="AJ430" s="15" t="str">
        <f>IF(COUNTA(B430,E430,H430,I430,J430,K430,L430,M430,N430,O430,P430,Q430,R430,S430,T430,U430,V430,W430,X430,Y430,Z430,AA430,AB430,AC430,AD430,AE430,AF430,AG430,AH430,AI430)=0,"",IF(OR(B430="",E430="",H430="",J430="",K430="",L430="",M430="",O430="",P430="",Q430="",R430="",S430="",T430="",U430="",W430="",X430="",Y430="",AB430="",AC430="",AE430="",AF430=""),"Incompleta: faltan campos obligatorios",IF(AND(LEFT(H430,6)="PROPIA",I430=""),"Falta el nombre de la acción propia del área",IF(AND(LEFT(H430,3)="A27",IFERROR(INDEX(Catalogos!$T$5:$T$207,MATCH(H430,Catalogos!$U$5:$U$207,0)),"x")&lt;&gt;LEFT(E430,7)),"La acción no corresponde a la meta seleccionada",IF(OR(NOT(ISNUMBER(M430)),M430&lt;10000000,M430&gt;99999999),"Código UNSPSC inválido: registre 8 dígitos",IF(MOD(M430,10000)=0,"UNSPSC a nivel de segmento o familia: use clase o producto",IF(IFERROR(MATCH(P430,L_MESES,0)&lt;MATCH(O430,L_MESES,0),TRUE()),"El mes de ofertas es anterior al de inicio del proceso",IF(OR(NOT(ISNUMBER(Q430)),Q430&lt;=0),"Duración inválida",IF(OR(NOT(ISNUMBER(W430)),NOT(ISNUMBER(X430))),"Valor inválido: registre solo números",IF(OR(W430&lt;=0,X430&lt;=0),"Valor inválido: debe ser mayor que cero",IF(X430&gt;W430,"El valor de la vigencia 2027 supera el valor total",IF(AND(X430&lt;W430,Y430="No"),"El valor total supera el de 2027: requiere vigencias futuras",IF(AND(Y430="Sí",OR(Z430="",Z430="No aplica")),"Indique el estado de la solicitud de vigencias futuras",IF(IF(AND(S430="Mínima cuantía",ISNUMBER(P_TOPE_MINIMA)),W430&gt;P_TOPE_MINIMA,FALSE()),"El valor supera el tope de mínima cuantía 2027",IF(IF(AND(S430="Selección abreviada de menor cuantía",ISNUMBER(P_TOPE_MENOR)),W430&gt;P_TOPE_MENOR,FALSE()),"El valor supera el tope de menor cuantía 2027",IF(OR(ISERROR(SEARCH("@itc.edu.co",AE430)),SUMPRODUCT(--ISNUMBER(SEARCH({"á","é","í","ó","ú","ñ"," "},AE430)))&gt;0),"El correo del responsable no es institucional válido",IF(AND(AF430="Sí",AG430=""),"Indique el N.° de registro 2026 que continúa","OK")))))))))))))))))</f>
        <v/>
      </c>
      <c r="AK430" s="15" t="str">
        <f>IF(AJ430="OK",COUNTIF($AJ$7:AJ430,"OK"),"")</f>
        <v/>
      </c>
    </row>
    <row r="431" spans="1:37" x14ac:dyDescent="0.3">
      <c r="A431" s="13" t="str">
        <f t="shared" si="6"/>
        <v>PN27-425</v>
      </c>
      <c r="B431" s="26"/>
      <c r="C431" s="13" t="str">
        <f>IF(B431="","",IFERROR(INDEX(Catalogos!$R$5:$R$51,MATCH(B431,L_AREAS,0)),""))</f>
        <v/>
      </c>
      <c r="D431" s="13" t="str">
        <f>IF(B431="","",IFERROR(INDEX(Catalogos!$O$5:$O$51,MATCH(B431,L_AREAS,0)),""))</f>
        <v/>
      </c>
      <c r="E431" s="26"/>
      <c r="F431" s="13" t="str">
        <f>IF(E431="","",IFERROR(INDEX(Catalogos!$C$5:$C$49,MATCH(E431,L_METAS,0)),""))</f>
        <v/>
      </c>
      <c r="G431" s="13" t="str">
        <f>IF(E431="","",IFERROR(INDEX(Catalogos!$E$5:$E$49,MATCH(E431,L_METAS,0)),""))</f>
        <v/>
      </c>
      <c r="H431" s="26"/>
      <c r="I431" s="26"/>
      <c r="J431" s="26"/>
      <c r="K431" s="26"/>
      <c r="L431" s="26"/>
      <c r="M431" s="27"/>
      <c r="N431" s="26"/>
      <c r="O431" s="26"/>
      <c r="P431" s="26"/>
      <c r="Q431" s="26"/>
      <c r="R431" s="26"/>
      <c r="S431" s="26"/>
      <c r="T431" s="26"/>
      <c r="U431" s="26"/>
      <c r="V431" s="26"/>
      <c r="W431" s="28"/>
      <c r="X431" s="28"/>
      <c r="Y431" s="26"/>
      <c r="Z431" s="26"/>
      <c r="AA431" s="26"/>
      <c r="AB431" s="26"/>
      <c r="AC431" s="26"/>
      <c r="AD431" s="26"/>
      <c r="AE431" s="26"/>
      <c r="AF431" s="26"/>
      <c r="AG431" s="26"/>
      <c r="AH431" s="26"/>
      <c r="AI431" s="26"/>
      <c r="AJ431" s="15" t="str">
        <f>IF(COUNTA(B431,E431,H431,I431,J431,K431,L431,M431,N431,O431,P431,Q431,R431,S431,T431,U431,V431,W431,X431,Y431,Z431,AA431,AB431,AC431,AD431,AE431,AF431,AG431,AH431,AI431)=0,"",IF(OR(B431="",E431="",H431="",J431="",K431="",L431="",M431="",O431="",P431="",Q431="",R431="",S431="",T431="",U431="",W431="",X431="",Y431="",AB431="",AC431="",AE431="",AF431=""),"Incompleta: faltan campos obligatorios",IF(AND(LEFT(H431,6)="PROPIA",I431=""),"Falta el nombre de la acción propia del área",IF(AND(LEFT(H431,3)="A27",IFERROR(INDEX(Catalogos!$T$5:$T$207,MATCH(H431,Catalogos!$U$5:$U$207,0)),"x")&lt;&gt;LEFT(E431,7)),"La acción no corresponde a la meta seleccionada",IF(OR(NOT(ISNUMBER(M431)),M431&lt;10000000,M431&gt;99999999),"Código UNSPSC inválido: registre 8 dígitos",IF(MOD(M431,10000)=0,"UNSPSC a nivel de segmento o familia: use clase o producto",IF(IFERROR(MATCH(P431,L_MESES,0)&lt;MATCH(O431,L_MESES,0),TRUE()),"El mes de ofertas es anterior al de inicio del proceso",IF(OR(NOT(ISNUMBER(Q431)),Q431&lt;=0),"Duración inválida",IF(OR(NOT(ISNUMBER(W431)),NOT(ISNUMBER(X431))),"Valor inválido: registre solo números",IF(OR(W431&lt;=0,X431&lt;=0),"Valor inválido: debe ser mayor que cero",IF(X431&gt;W431,"El valor de la vigencia 2027 supera el valor total",IF(AND(X431&lt;W431,Y431="No"),"El valor total supera el de 2027: requiere vigencias futuras",IF(AND(Y431="Sí",OR(Z431="",Z431="No aplica")),"Indique el estado de la solicitud de vigencias futuras",IF(IF(AND(S431="Mínima cuantía",ISNUMBER(P_TOPE_MINIMA)),W431&gt;P_TOPE_MINIMA,FALSE()),"El valor supera el tope de mínima cuantía 2027",IF(IF(AND(S431="Selección abreviada de menor cuantía",ISNUMBER(P_TOPE_MENOR)),W431&gt;P_TOPE_MENOR,FALSE()),"El valor supera el tope de menor cuantía 2027",IF(OR(ISERROR(SEARCH("@itc.edu.co",AE431)),SUMPRODUCT(--ISNUMBER(SEARCH({"á","é","í","ó","ú","ñ"," "},AE431)))&gt;0),"El correo del responsable no es institucional válido",IF(AND(AF431="Sí",AG431=""),"Indique el N.° de registro 2026 que continúa","OK")))))))))))))))))</f>
        <v/>
      </c>
      <c r="AK431" s="15" t="str">
        <f>IF(AJ431="OK",COUNTIF($AJ$7:AJ431,"OK"),"")</f>
        <v/>
      </c>
    </row>
    <row r="432" spans="1:37" x14ac:dyDescent="0.3">
      <c r="A432" s="13" t="str">
        <f t="shared" si="6"/>
        <v>PN27-426</v>
      </c>
      <c r="B432" s="26"/>
      <c r="C432" s="13" t="str">
        <f>IF(B432="","",IFERROR(INDEX(Catalogos!$R$5:$R$51,MATCH(B432,L_AREAS,0)),""))</f>
        <v/>
      </c>
      <c r="D432" s="13" t="str">
        <f>IF(B432="","",IFERROR(INDEX(Catalogos!$O$5:$O$51,MATCH(B432,L_AREAS,0)),""))</f>
        <v/>
      </c>
      <c r="E432" s="26"/>
      <c r="F432" s="13" t="str">
        <f>IF(E432="","",IFERROR(INDEX(Catalogos!$C$5:$C$49,MATCH(E432,L_METAS,0)),""))</f>
        <v/>
      </c>
      <c r="G432" s="13" t="str">
        <f>IF(E432="","",IFERROR(INDEX(Catalogos!$E$5:$E$49,MATCH(E432,L_METAS,0)),""))</f>
        <v/>
      </c>
      <c r="H432" s="26"/>
      <c r="I432" s="26"/>
      <c r="J432" s="26"/>
      <c r="K432" s="26"/>
      <c r="L432" s="26"/>
      <c r="M432" s="27"/>
      <c r="N432" s="26"/>
      <c r="O432" s="26"/>
      <c r="P432" s="26"/>
      <c r="Q432" s="26"/>
      <c r="R432" s="26"/>
      <c r="S432" s="26"/>
      <c r="T432" s="26"/>
      <c r="U432" s="26"/>
      <c r="V432" s="26"/>
      <c r="W432" s="28"/>
      <c r="X432" s="28"/>
      <c r="Y432" s="26"/>
      <c r="Z432" s="26"/>
      <c r="AA432" s="26"/>
      <c r="AB432" s="26"/>
      <c r="AC432" s="26"/>
      <c r="AD432" s="26"/>
      <c r="AE432" s="26"/>
      <c r="AF432" s="26"/>
      <c r="AG432" s="26"/>
      <c r="AH432" s="26"/>
      <c r="AI432" s="26"/>
      <c r="AJ432" s="15" t="str">
        <f>IF(COUNTA(B432,E432,H432,I432,J432,K432,L432,M432,N432,O432,P432,Q432,R432,S432,T432,U432,V432,W432,X432,Y432,Z432,AA432,AB432,AC432,AD432,AE432,AF432,AG432,AH432,AI432)=0,"",IF(OR(B432="",E432="",H432="",J432="",K432="",L432="",M432="",O432="",P432="",Q432="",R432="",S432="",T432="",U432="",W432="",X432="",Y432="",AB432="",AC432="",AE432="",AF432=""),"Incompleta: faltan campos obligatorios",IF(AND(LEFT(H432,6)="PROPIA",I432=""),"Falta el nombre de la acción propia del área",IF(AND(LEFT(H432,3)="A27",IFERROR(INDEX(Catalogos!$T$5:$T$207,MATCH(H432,Catalogos!$U$5:$U$207,0)),"x")&lt;&gt;LEFT(E432,7)),"La acción no corresponde a la meta seleccionada",IF(OR(NOT(ISNUMBER(M432)),M432&lt;10000000,M432&gt;99999999),"Código UNSPSC inválido: registre 8 dígitos",IF(MOD(M432,10000)=0,"UNSPSC a nivel de segmento o familia: use clase o producto",IF(IFERROR(MATCH(P432,L_MESES,0)&lt;MATCH(O432,L_MESES,0),TRUE()),"El mes de ofertas es anterior al de inicio del proceso",IF(OR(NOT(ISNUMBER(Q432)),Q432&lt;=0),"Duración inválida",IF(OR(NOT(ISNUMBER(W432)),NOT(ISNUMBER(X432))),"Valor inválido: registre solo números",IF(OR(W432&lt;=0,X432&lt;=0),"Valor inválido: debe ser mayor que cero",IF(X432&gt;W432,"El valor de la vigencia 2027 supera el valor total",IF(AND(X432&lt;W432,Y432="No"),"El valor total supera el de 2027: requiere vigencias futuras",IF(AND(Y432="Sí",OR(Z432="",Z432="No aplica")),"Indique el estado de la solicitud de vigencias futuras",IF(IF(AND(S432="Mínima cuantía",ISNUMBER(P_TOPE_MINIMA)),W432&gt;P_TOPE_MINIMA,FALSE()),"El valor supera el tope de mínima cuantía 2027",IF(IF(AND(S432="Selección abreviada de menor cuantía",ISNUMBER(P_TOPE_MENOR)),W432&gt;P_TOPE_MENOR,FALSE()),"El valor supera el tope de menor cuantía 2027",IF(OR(ISERROR(SEARCH("@itc.edu.co",AE432)),SUMPRODUCT(--ISNUMBER(SEARCH({"á","é","í","ó","ú","ñ"," "},AE432)))&gt;0),"El correo del responsable no es institucional válido",IF(AND(AF432="Sí",AG432=""),"Indique el N.° de registro 2026 que continúa","OK")))))))))))))))))</f>
        <v/>
      </c>
      <c r="AK432" s="15" t="str">
        <f>IF(AJ432="OK",COUNTIF($AJ$7:AJ432,"OK"),"")</f>
        <v/>
      </c>
    </row>
    <row r="433" spans="1:37" x14ac:dyDescent="0.3">
      <c r="A433" s="13" t="str">
        <f t="shared" si="6"/>
        <v>PN27-427</v>
      </c>
      <c r="B433" s="26"/>
      <c r="C433" s="13" t="str">
        <f>IF(B433="","",IFERROR(INDEX(Catalogos!$R$5:$R$51,MATCH(B433,L_AREAS,0)),""))</f>
        <v/>
      </c>
      <c r="D433" s="13" t="str">
        <f>IF(B433="","",IFERROR(INDEX(Catalogos!$O$5:$O$51,MATCH(B433,L_AREAS,0)),""))</f>
        <v/>
      </c>
      <c r="E433" s="26"/>
      <c r="F433" s="13" t="str">
        <f>IF(E433="","",IFERROR(INDEX(Catalogos!$C$5:$C$49,MATCH(E433,L_METAS,0)),""))</f>
        <v/>
      </c>
      <c r="G433" s="13" t="str">
        <f>IF(E433="","",IFERROR(INDEX(Catalogos!$E$5:$E$49,MATCH(E433,L_METAS,0)),""))</f>
        <v/>
      </c>
      <c r="H433" s="26"/>
      <c r="I433" s="26"/>
      <c r="J433" s="26"/>
      <c r="K433" s="26"/>
      <c r="L433" s="26"/>
      <c r="M433" s="27"/>
      <c r="N433" s="26"/>
      <c r="O433" s="26"/>
      <c r="P433" s="26"/>
      <c r="Q433" s="26"/>
      <c r="R433" s="26"/>
      <c r="S433" s="26"/>
      <c r="T433" s="26"/>
      <c r="U433" s="26"/>
      <c r="V433" s="26"/>
      <c r="W433" s="28"/>
      <c r="X433" s="28"/>
      <c r="Y433" s="26"/>
      <c r="Z433" s="26"/>
      <c r="AA433" s="26"/>
      <c r="AB433" s="26"/>
      <c r="AC433" s="26"/>
      <c r="AD433" s="26"/>
      <c r="AE433" s="26"/>
      <c r="AF433" s="26"/>
      <c r="AG433" s="26"/>
      <c r="AH433" s="26"/>
      <c r="AI433" s="26"/>
      <c r="AJ433" s="15" t="str">
        <f>IF(COUNTA(B433,E433,H433,I433,J433,K433,L433,M433,N433,O433,P433,Q433,R433,S433,T433,U433,V433,W433,X433,Y433,Z433,AA433,AB433,AC433,AD433,AE433,AF433,AG433,AH433,AI433)=0,"",IF(OR(B433="",E433="",H433="",J433="",K433="",L433="",M433="",O433="",P433="",Q433="",R433="",S433="",T433="",U433="",W433="",X433="",Y433="",AB433="",AC433="",AE433="",AF433=""),"Incompleta: faltan campos obligatorios",IF(AND(LEFT(H433,6)="PROPIA",I433=""),"Falta el nombre de la acción propia del área",IF(AND(LEFT(H433,3)="A27",IFERROR(INDEX(Catalogos!$T$5:$T$207,MATCH(H433,Catalogos!$U$5:$U$207,0)),"x")&lt;&gt;LEFT(E433,7)),"La acción no corresponde a la meta seleccionada",IF(OR(NOT(ISNUMBER(M433)),M433&lt;10000000,M433&gt;99999999),"Código UNSPSC inválido: registre 8 dígitos",IF(MOD(M433,10000)=0,"UNSPSC a nivel de segmento o familia: use clase o producto",IF(IFERROR(MATCH(P433,L_MESES,0)&lt;MATCH(O433,L_MESES,0),TRUE()),"El mes de ofertas es anterior al de inicio del proceso",IF(OR(NOT(ISNUMBER(Q433)),Q433&lt;=0),"Duración inválida",IF(OR(NOT(ISNUMBER(W433)),NOT(ISNUMBER(X433))),"Valor inválido: registre solo números",IF(OR(W433&lt;=0,X433&lt;=0),"Valor inválido: debe ser mayor que cero",IF(X433&gt;W433,"El valor de la vigencia 2027 supera el valor total",IF(AND(X433&lt;W433,Y433="No"),"El valor total supera el de 2027: requiere vigencias futuras",IF(AND(Y433="Sí",OR(Z433="",Z433="No aplica")),"Indique el estado de la solicitud de vigencias futuras",IF(IF(AND(S433="Mínima cuantía",ISNUMBER(P_TOPE_MINIMA)),W433&gt;P_TOPE_MINIMA,FALSE()),"El valor supera el tope de mínima cuantía 2027",IF(IF(AND(S433="Selección abreviada de menor cuantía",ISNUMBER(P_TOPE_MENOR)),W433&gt;P_TOPE_MENOR,FALSE()),"El valor supera el tope de menor cuantía 2027",IF(OR(ISERROR(SEARCH("@itc.edu.co",AE433)),SUMPRODUCT(--ISNUMBER(SEARCH({"á","é","í","ó","ú","ñ"," "},AE433)))&gt;0),"El correo del responsable no es institucional válido",IF(AND(AF433="Sí",AG433=""),"Indique el N.° de registro 2026 que continúa","OK")))))))))))))))))</f>
        <v/>
      </c>
      <c r="AK433" s="15" t="str">
        <f>IF(AJ433="OK",COUNTIF($AJ$7:AJ433,"OK"),"")</f>
        <v/>
      </c>
    </row>
    <row r="434" spans="1:37" x14ac:dyDescent="0.3">
      <c r="A434" s="13" t="str">
        <f t="shared" si="6"/>
        <v>PN27-428</v>
      </c>
      <c r="B434" s="26"/>
      <c r="C434" s="13" t="str">
        <f>IF(B434="","",IFERROR(INDEX(Catalogos!$R$5:$R$51,MATCH(B434,L_AREAS,0)),""))</f>
        <v/>
      </c>
      <c r="D434" s="13" t="str">
        <f>IF(B434="","",IFERROR(INDEX(Catalogos!$O$5:$O$51,MATCH(B434,L_AREAS,0)),""))</f>
        <v/>
      </c>
      <c r="E434" s="26"/>
      <c r="F434" s="13" t="str">
        <f>IF(E434="","",IFERROR(INDEX(Catalogos!$C$5:$C$49,MATCH(E434,L_METAS,0)),""))</f>
        <v/>
      </c>
      <c r="G434" s="13" t="str">
        <f>IF(E434="","",IFERROR(INDEX(Catalogos!$E$5:$E$49,MATCH(E434,L_METAS,0)),""))</f>
        <v/>
      </c>
      <c r="H434" s="26"/>
      <c r="I434" s="26"/>
      <c r="J434" s="26"/>
      <c r="K434" s="26"/>
      <c r="L434" s="26"/>
      <c r="M434" s="27"/>
      <c r="N434" s="26"/>
      <c r="O434" s="26"/>
      <c r="P434" s="26"/>
      <c r="Q434" s="26"/>
      <c r="R434" s="26"/>
      <c r="S434" s="26"/>
      <c r="T434" s="26"/>
      <c r="U434" s="26"/>
      <c r="V434" s="26"/>
      <c r="W434" s="28"/>
      <c r="X434" s="28"/>
      <c r="Y434" s="26"/>
      <c r="Z434" s="26"/>
      <c r="AA434" s="26"/>
      <c r="AB434" s="26"/>
      <c r="AC434" s="26"/>
      <c r="AD434" s="26"/>
      <c r="AE434" s="26"/>
      <c r="AF434" s="26"/>
      <c r="AG434" s="26"/>
      <c r="AH434" s="26"/>
      <c r="AI434" s="26"/>
      <c r="AJ434" s="15" t="str">
        <f>IF(COUNTA(B434,E434,H434,I434,J434,K434,L434,M434,N434,O434,P434,Q434,R434,S434,T434,U434,V434,W434,X434,Y434,Z434,AA434,AB434,AC434,AD434,AE434,AF434,AG434,AH434,AI434)=0,"",IF(OR(B434="",E434="",H434="",J434="",K434="",L434="",M434="",O434="",P434="",Q434="",R434="",S434="",T434="",U434="",W434="",X434="",Y434="",AB434="",AC434="",AE434="",AF434=""),"Incompleta: faltan campos obligatorios",IF(AND(LEFT(H434,6)="PROPIA",I434=""),"Falta el nombre de la acción propia del área",IF(AND(LEFT(H434,3)="A27",IFERROR(INDEX(Catalogos!$T$5:$T$207,MATCH(H434,Catalogos!$U$5:$U$207,0)),"x")&lt;&gt;LEFT(E434,7)),"La acción no corresponde a la meta seleccionada",IF(OR(NOT(ISNUMBER(M434)),M434&lt;10000000,M434&gt;99999999),"Código UNSPSC inválido: registre 8 dígitos",IF(MOD(M434,10000)=0,"UNSPSC a nivel de segmento o familia: use clase o producto",IF(IFERROR(MATCH(P434,L_MESES,0)&lt;MATCH(O434,L_MESES,0),TRUE()),"El mes de ofertas es anterior al de inicio del proceso",IF(OR(NOT(ISNUMBER(Q434)),Q434&lt;=0),"Duración inválida",IF(OR(NOT(ISNUMBER(W434)),NOT(ISNUMBER(X434))),"Valor inválido: registre solo números",IF(OR(W434&lt;=0,X434&lt;=0),"Valor inválido: debe ser mayor que cero",IF(X434&gt;W434,"El valor de la vigencia 2027 supera el valor total",IF(AND(X434&lt;W434,Y434="No"),"El valor total supera el de 2027: requiere vigencias futuras",IF(AND(Y434="Sí",OR(Z434="",Z434="No aplica")),"Indique el estado de la solicitud de vigencias futuras",IF(IF(AND(S434="Mínima cuantía",ISNUMBER(P_TOPE_MINIMA)),W434&gt;P_TOPE_MINIMA,FALSE()),"El valor supera el tope de mínima cuantía 2027",IF(IF(AND(S434="Selección abreviada de menor cuantía",ISNUMBER(P_TOPE_MENOR)),W434&gt;P_TOPE_MENOR,FALSE()),"El valor supera el tope de menor cuantía 2027",IF(OR(ISERROR(SEARCH("@itc.edu.co",AE434)),SUMPRODUCT(--ISNUMBER(SEARCH({"á","é","í","ó","ú","ñ"," "},AE434)))&gt;0),"El correo del responsable no es institucional válido",IF(AND(AF434="Sí",AG434=""),"Indique el N.° de registro 2026 que continúa","OK")))))))))))))))))</f>
        <v/>
      </c>
      <c r="AK434" s="15" t="str">
        <f>IF(AJ434="OK",COUNTIF($AJ$7:AJ434,"OK"),"")</f>
        <v/>
      </c>
    </row>
    <row r="435" spans="1:37" x14ac:dyDescent="0.3">
      <c r="A435" s="13" t="str">
        <f t="shared" si="6"/>
        <v>PN27-429</v>
      </c>
      <c r="B435" s="26"/>
      <c r="C435" s="13" t="str">
        <f>IF(B435="","",IFERROR(INDEX(Catalogos!$R$5:$R$51,MATCH(B435,L_AREAS,0)),""))</f>
        <v/>
      </c>
      <c r="D435" s="13" t="str">
        <f>IF(B435="","",IFERROR(INDEX(Catalogos!$O$5:$O$51,MATCH(B435,L_AREAS,0)),""))</f>
        <v/>
      </c>
      <c r="E435" s="26"/>
      <c r="F435" s="13" t="str">
        <f>IF(E435="","",IFERROR(INDEX(Catalogos!$C$5:$C$49,MATCH(E435,L_METAS,0)),""))</f>
        <v/>
      </c>
      <c r="G435" s="13" t="str">
        <f>IF(E435="","",IFERROR(INDEX(Catalogos!$E$5:$E$49,MATCH(E435,L_METAS,0)),""))</f>
        <v/>
      </c>
      <c r="H435" s="26"/>
      <c r="I435" s="26"/>
      <c r="J435" s="26"/>
      <c r="K435" s="26"/>
      <c r="L435" s="26"/>
      <c r="M435" s="27"/>
      <c r="N435" s="26"/>
      <c r="O435" s="26"/>
      <c r="P435" s="26"/>
      <c r="Q435" s="26"/>
      <c r="R435" s="26"/>
      <c r="S435" s="26"/>
      <c r="T435" s="26"/>
      <c r="U435" s="26"/>
      <c r="V435" s="26"/>
      <c r="W435" s="28"/>
      <c r="X435" s="28"/>
      <c r="Y435" s="26"/>
      <c r="Z435" s="26"/>
      <c r="AA435" s="26"/>
      <c r="AB435" s="26"/>
      <c r="AC435" s="26"/>
      <c r="AD435" s="26"/>
      <c r="AE435" s="26"/>
      <c r="AF435" s="26"/>
      <c r="AG435" s="26"/>
      <c r="AH435" s="26"/>
      <c r="AI435" s="26"/>
      <c r="AJ435" s="15" t="str">
        <f>IF(COUNTA(B435,E435,H435,I435,J435,K435,L435,M435,N435,O435,P435,Q435,R435,S435,T435,U435,V435,W435,X435,Y435,Z435,AA435,AB435,AC435,AD435,AE435,AF435,AG435,AH435,AI435)=0,"",IF(OR(B435="",E435="",H435="",J435="",K435="",L435="",M435="",O435="",P435="",Q435="",R435="",S435="",T435="",U435="",W435="",X435="",Y435="",AB435="",AC435="",AE435="",AF435=""),"Incompleta: faltan campos obligatorios",IF(AND(LEFT(H435,6)="PROPIA",I435=""),"Falta el nombre de la acción propia del área",IF(AND(LEFT(H435,3)="A27",IFERROR(INDEX(Catalogos!$T$5:$T$207,MATCH(H435,Catalogos!$U$5:$U$207,0)),"x")&lt;&gt;LEFT(E435,7)),"La acción no corresponde a la meta seleccionada",IF(OR(NOT(ISNUMBER(M435)),M435&lt;10000000,M435&gt;99999999),"Código UNSPSC inválido: registre 8 dígitos",IF(MOD(M435,10000)=0,"UNSPSC a nivel de segmento o familia: use clase o producto",IF(IFERROR(MATCH(P435,L_MESES,0)&lt;MATCH(O435,L_MESES,0),TRUE()),"El mes de ofertas es anterior al de inicio del proceso",IF(OR(NOT(ISNUMBER(Q435)),Q435&lt;=0),"Duración inválida",IF(OR(NOT(ISNUMBER(W435)),NOT(ISNUMBER(X435))),"Valor inválido: registre solo números",IF(OR(W435&lt;=0,X435&lt;=0),"Valor inválido: debe ser mayor que cero",IF(X435&gt;W435,"El valor de la vigencia 2027 supera el valor total",IF(AND(X435&lt;W435,Y435="No"),"El valor total supera el de 2027: requiere vigencias futuras",IF(AND(Y435="Sí",OR(Z435="",Z435="No aplica")),"Indique el estado de la solicitud de vigencias futuras",IF(IF(AND(S435="Mínima cuantía",ISNUMBER(P_TOPE_MINIMA)),W435&gt;P_TOPE_MINIMA,FALSE()),"El valor supera el tope de mínima cuantía 2027",IF(IF(AND(S435="Selección abreviada de menor cuantía",ISNUMBER(P_TOPE_MENOR)),W435&gt;P_TOPE_MENOR,FALSE()),"El valor supera el tope de menor cuantía 2027",IF(OR(ISERROR(SEARCH("@itc.edu.co",AE435)),SUMPRODUCT(--ISNUMBER(SEARCH({"á","é","í","ó","ú","ñ"," "},AE435)))&gt;0),"El correo del responsable no es institucional válido",IF(AND(AF435="Sí",AG435=""),"Indique el N.° de registro 2026 que continúa","OK")))))))))))))))))</f>
        <v/>
      </c>
      <c r="AK435" s="15" t="str">
        <f>IF(AJ435="OK",COUNTIF($AJ$7:AJ435,"OK"),"")</f>
        <v/>
      </c>
    </row>
    <row r="436" spans="1:37" x14ac:dyDescent="0.3">
      <c r="A436" s="13" t="str">
        <f t="shared" si="6"/>
        <v>PN27-430</v>
      </c>
      <c r="B436" s="26"/>
      <c r="C436" s="13" t="str">
        <f>IF(B436="","",IFERROR(INDEX(Catalogos!$R$5:$R$51,MATCH(B436,L_AREAS,0)),""))</f>
        <v/>
      </c>
      <c r="D436" s="13" t="str">
        <f>IF(B436="","",IFERROR(INDEX(Catalogos!$O$5:$O$51,MATCH(B436,L_AREAS,0)),""))</f>
        <v/>
      </c>
      <c r="E436" s="26"/>
      <c r="F436" s="13" t="str">
        <f>IF(E436="","",IFERROR(INDEX(Catalogos!$C$5:$C$49,MATCH(E436,L_METAS,0)),""))</f>
        <v/>
      </c>
      <c r="G436" s="13" t="str">
        <f>IF(E436="","",IFERROR(INDEX(Catalogos!$E$5:$E$49,MATCH(E436,L_METAS,0)),""))</f>
        <v/>
      </c>
      <c r="H436" s="26"/>
      <c r="I436" s="26"/>
      <c r="J436" s="26"/>
      <c r="K436" s="26"/>
      <c r="L436" s="26"/>
      <c r="M436" s="27"/>
      <c r="N436" s="26"/>
      <c r="O436" s="26"/>
      <c r="P436" s="26"/>
      <c r="Q436" s="26"/>
      <c r="R436" s="26"/>
      <c r="S436" s="26"/>
      <c r="T436" s="26"/>
      <c r="U436" s="26"/>
      <c r="V436" s="26"/>
      <c r="W436" s="28"/>
      <c r="X436" s="28"/>
      <c r="Y436" s="26"/>
      <c r="Z436" s="26"/>
      <c r="AA436" s="26"/>
      <c r="AB436" s="26"/>
      <c r="AC436" s="26"/>
      <c r="AD436" s="26"/>
      <c r="AE436" s="26"/>
      <c r="AF436" s="26"/>
      <c r="AG436" s="26"/>
      <c r="AH436" s="26"/>
      <c r="AI436" s="26"/>
      <c r="AJ436" s="15" t="str">
        <f>IF(COUNTA(B436,E436,H436,I436,J436,K436,L436,M436,N436,O436,P436,Q436,R436,S436,T436,U436,V436,W436,X436,Y436,Z436,AA436,AB436,AC436,AD436,AE436,AF436,AG436,AH436,AI436)=0,"",IF(OR(B436="",E436="",H436="",J436="",K436="",L436="",M436="",O436="",P436="",Q436="",R436="",S436="",T436="",U436="",W436="",X436="",Y436="",AB436="",AC436="",AE436="",AF436=""),"Incompleta: faltan campos obligatorios",IF(AND(LEFT(H436,6)="PROPIA",I436=""),"Falta el nombre de la acción propia del área",IF(AND(LEFT(H436,3)="A27",IFERROR(INDEX(Catalogos!$T$5:$T$207,MATCH(H436,Catalogos!$U$5:$U$207,0)),"x")&lt;&gt;LEFT(E436,7)),"La acción no corresponde a la meta seleccionada",IF(OR(NOT(ISNUMBER(M436)),M436&lt;10000000,M436&gt;99999999),"Código UNSPSC inválido: registre 8 dígitos",IF(MOD(M436,10000)=0,"UNSPSC a nivel de segmento o familia: use clase o producto",IF(IFERROR(MATCH(P436,L_MESES,0)&lt;MATCH(O436,L_MESES,0),TRUE()),"El mes de ofertas es anterior al de inicio del proceso",IF(OR(NOT(ISNUMBER(Q436)),Q436&lt;=0),"Duración inválida",IF(OR(NOT(ISNUMBER(W436)),NOT(ISNUMBER(X436))),"Valor inválido: registre solo números",IF(OR(W436&lt;=0,X436&lt;=0),"Valor inválido: debe ser mayor que cero",IF(X436&gt;W436,"El valor de la vigencia 2027 supera el valor total",IF(AND(X436&lt;W436,Y436="No"),"El valor total supera el de 2027: requiere vigencias futuras",IF(AND(Y436="Sí",OR(Z436="",Z436="No aplica")),"Indique el estado de la solicitud de vigencias futuras",IF(IF(AND(S436="Mínima cuantía",ISNUMBER(P_TOPE_MINIMA)),W436&gt;P_TOPE_MINIMA,FALSE()),"El valor supera el tope de mínima cuantía 2027",IF(IF(AND(S436="Selección abreviada de menor cuantía",ISNUMBER(P_TOPE_MENOR)),W436&gt;P_TOPE_MENOR,FALSE()),"El valor supera el tope de menor cuantía 2027",IF(OR(ISERROR(SEARCH("@itc.edu.co",AE436)),SUMPRODUCT(--ISNUMBER(SEARCH({"á","é","í","ó","ú","ñ"," "},AE436)))&gt;0),"El correo del responsable no es institucional válido",IF(AND(AF436="Sí",AG436=""),"Indique el N.° de registro 2026 que continúa","OK")))))))))))))))))</f>
        <v/>
      </c>
      <c r="AK436" s="15" t="str">
        <f>IF(AJ436="OK",COUNTIF($AJ$7:AJ436,"OK"),"")</f>
        <v/>
      </c>
    </row>
    <row r="437" spans="1:37" x14ac:dyDescent="0.3">
      <c r="A437" s="13" t="str">
        <f t="shared" si="6"/>
        <v>PN27-431</v>
      </c>
      <c r="B437" s="26"/>
      <c r="C437" s="13" t="str">
        <f>IF(B437="","",IFERROR(INDEX(Catalogos!$R$5:$R$51,MATCH(B437,L_AREAS,0)),""))</f>
        <v/>
      </c>
      <c r="D437" s="13" t="str">
        <f>IF(B437="","",IFERROR(INDEX(Catalogos!$O$5:$O$51,MATCH(B437,L_AREAS,0)),""))</f>
        <v/>
      </c>
      <c r="E437" s="26"/>
      <c r="F437" s="13" t="str">
        <f>IF(E437="","",IFERROR(INDEX(Catalogos!$C$5:$C$49,MATCH(E437,L_METAS,0)),""))</f>
        <v/>
      </c>
      <c r="G437" s="13" t="str">
        <f>IF(E437="","",IFERROR(INDEX(Catalogos!$E$5:$E$49,MATCH(E437,L_METAS,0)),""))</f>
        <v/>
      </c>
      <c r="H437" s="26"/>
      <c r="I437" s="26"/>
      <c r="J437" s="26"/>
      <c r="K437" s="26"/>
      <c r="L437" s="26"/>
      <c r="M437" s="27"/>
      <c r="N437" s="26"/>
      <c r="O437" s="26"/>
      <c r="P437" s="26"/>
      <c r="Q437" s="26"/>
      <c r="R437" s="26"/>
      <c r="S437" s="26"/>
      <c r="T437" s="26"/>
      <c r="U437" s="26"/>
      <c r="V437" s="26"/>
      <c r="W437" s="28"/>
      <c r="X437" s="28"/>
      <c r="Y437" s="26"/>
      <c r="Z437" s="26"/>
      <c r="AA437" s="26"/>
      <c r="AB437" s="26"/>
      <c r="AC437" s="26"/>
      <c r="AD437" s="26"/>
      <c r="AE437" s="26"/>
      <c r="AF437" s="26"/>
      <c r="AG437" s="26"/>
      <c r="AH437" s="26"/>
      <c r="AI437" s="26"/>
      <c r="AJ437" s="15" t="str">
        <f>IF(COUNTA(B437,E437,H437,I437,J437,K437,L437,M437,N437,O437,P437,Q437,R437,S437,T437,U437,V437,W437,X437,Y437,Z437,AA437,AB437,AC437,AD437,AE437,AF437,AG437,AH437,AI437)=0,"",IF(OR(B437="",E437="",H437="",J437="",K437="",L437="",M437="",O437="",P437="",Q437="",R437="",S437="",T437="",U437="",W437="",X437="",Y437="",AB437="",AC437="",AE437="",AF437=""),"Incompleta: faltan campos obligatorios",IF(AND(LEFT(H437,6)="PROPIA",I437=""),"Falta el nombre de la acción propia del área",IF(AND(LEFT(H437,3)="A27",IFERROR(INDEX(Catalogos!$T$5:$T$207,MATCH(H437,Catalogos!$U$5:$U$207,0)),"x")&lt;&gt;LEFT(E437,7)),"La acción no corresponde a la meta seleccionada",IF(OR(NOT(ISNUMBER(M437)),M437&lt;10000000,M437&gt;99999999),"Código UNSPSC inválido: registre 8 dígitos",IF(MOD(M437,10000)=0,"UNSPSC a nivel de segmento o familia: use clase o producto",IF(IFERROR(MATCH(P437,L_MESES,0)&lt;MATCH(O437,L_MESES,0),TRUE()),"El mes de ofertas es anterior al de inicio del proceso",IF(OR(NOT(ISNUMBER(Q437)),Q437&lt;=0),"Duración inválida",IF(OR(NOT(ISNUMBER(W437)),NOT(ISNUMBER(X437))),"Valor inválido: registre solo números",IF(OR(W437&lt;=0,X437&lt;=0),"Valor inválido: debe ser mayor que cero",IF(X437&gt;W437,"El valor de la vigencia 2027 supera el valor total",IF(AND(X437&lt;W437,Y437="No"),"El valor total supera el de 2027: requiere vigencias futuras",IF(AND(Y437="Sí",OR(Z437="",Z437="No aplica")),"Indique el estado de la solicitud de vigencias futuras",IF(IF(AND(S437="Mínima cuantía",ISNUMBER(P_TOPE_MINIMA)),W437&gt;P_TOPE_MINIMA,FALSE()),"El valor supera el tope de mínima cuantía 2027",IF(IF(AND(S437="Selección abreviada de menor cuantía",ISNUMBER(P_TOPE_MENOR)),W437&gt;P_TOPE_MENOR,FALSE()),"El valor supera el tope de menor cuantía 2027",IF(OR(ISERROR(SEARCH("@itc.edu.co",AE437)),SUMPRODUCT(--ISNUMBER(SEARCH({"á","é","í","ó","ú","ñ"," "},AE437)))&gt;0),"El correo del responsable no es institucional válido",IF(AND(AF437="Sí",AG437=""),"Indique el N.° de registro 2026 que continúa","OK")))))))))))))))))</f>
        <v/>
      </c>
      <c r="AK437" s="15" t="str">
        <f>IF(AJ437="OK",COUNTIF($AJ$7:AJ437,"OK"),"")</f>
        <v/>
      </c>
    </row>
    <row r="438" spans="1:37" x14ac:dyDescent="0.3">
      <c r="A438" s="13" t="str">
        <f t="shared" si="6"/>
        <v>PN27-432</v>
      </c>
      <c r="B438" s="26"/>
      <c r="C438" s="13" t="str">
        <f>IF(B438="","",IFERROR(INDEX(Catalogos!$R$5:$R$51,MATCH(B438,L_AREAS,0)),""))</f>
        <v/>
      </c>
      <c r="D438" s="13" t="str">
        <f>IF(B438="","",IFERROR(INDEX(Catalogos!$O$5:$O$51,MATCH(B438,L_AREAS,0)),""))</f>
        <v/>
      </c>
      <c r="E438" s="26"/>
      <c r="F438" s="13" t="str">
        <f>IF(E438="","",IFERROR(INDEX(Catalogos!$C$5:$C$49,MATCH(E438,L_METAS,0)),""))</f>
        <v/>
      </c>
      <c r="G438" s="13" t="str">
        <f>IF(E438="","",IFERROR(INDEX(Catalogos!$E$5:$E$49,MATCH(E438,L_METAS,0)),""))</f>
        <v/>
      </c>
      <c r="H438" s="26"/>
      <c r="I438" s="26"/>
      <c r="J438" s="26"/>
      <c r="K438" s="26"/>
      <c r="L438" s="26"/>
      <c r="M438" s="27"/>
      <c r="N438" s="26"/>
      <c r="O438" s="26"/>
      <c r="P438" s="26"/>
      <c r="Q438" s="26"/>
      <c r="R438" s="26"/>
      <c r="S438" s="26"/>
      <c r="T438" s="26"/>
      <c r="U438" s="26"/>
      <c r="V438" s="26"/>
      <c r="W438" s="28"/>
      <c r="X438" s="28"/>
      <c r="Y438" s="26"/>
      <c r="Z438" s="26"/>
      <c r="AA438" s="26"/>
      <c r="AB438" s="26"/>
      <c r="AC438" s="26"/>
      <c r="AD438" s="26"/>
      <c r="AE438" s="26"/>
      <c r="AF438" s="26"/>
      <c r="AG438" s="26"/>
      <c r="AH438" s="26"/>
      <c r="AI438" s="26"/>
      <c r="AJ438" s="15" t="str">
        <f>IF(COUNTA(B438,E438,H438,I438,J438,K438,L438,M438,N438,O438,P438,Q438,R438,S438,T438,U438,V438,W438,X438,Y438,Z438,AA438,AB438,AC438,AD438,AE438,AF438,AG438,AH438,AI438)=0,"",IF(OR(B438="",E438="",H438="",J438="",K438="",L438="",M438="",O438="",P438="",Q438="",R438="",S438="",T438="",U438="",W438="",X438="",Y438="",AB438="",AC438="",AE438="",AF438=""),"Incompleta: faltan campos obligatorios",IF(AND(LEFT(H438,6)="PROPIA",I438=""),"Falta el nombre de la acción propia del área",IF(AND(LEFT(H438,3)="A27",IFERROR(INDEX(Catalogos!$T$5:$T$207,MATCH(H438,Catalogos!$U$5:$U$207,0)),"x")&lt;&gt;LEFT(E438,7)),"La acción no corresponde a la meta seleccionada",IF(OR(NOT(ISNUMBER(M438)),M438&lt;10000000,M438&gt;99999999),"Código UNSPSC inválido: registre 8 dígitos",IF(MOD(M438,10000)=0,"UNSPSC a nivel de segmento o familia: use clase o producto",IF(IFERROR(MATCH(P438,L_MESES,0)&lt;MATCH(O438,L_MESES,0),TRUE()),"El mes de ofertas es anterior al de inicio del proceso",IF(OR(NOT(ISNUMBER(Q438)),Q438&lt;=0),"Duración inválida",IF(OR(NOT(ISNUMBER(W438)),NOT(ISNUMBER(X438))),"Valor inválido: registre solo números",IF(OR(W438&lt;=0,X438&lt;=0),"Valor inválido: debe ser mayor que cero",IF(X438&gt;W438,"El valor de la vigencia 2027 supera el valor total",IF(AND(X438&lt;W438,Y438="No"),"El valor total supera el de 2027: requiere vigencias futuras",IF(AND(Y438="Sí",OR(Z438="",Z438="No aplica")),"Indique el estado de la solicitud de vigencias futuras",IF(IF(AND(S438="Mínima cuantía",ISNUMBER(P_TOPE_MINIMA)),W438&gt;P_TOPE_MINIMA,FALSE()),"El valor supera el tope de mínima cuantía 2027",IF(IF(AND(S438="Selección abreviada de menor cuantía",ISNUMBER(P_TOPE_MENOR)),W438&gt;P_TOPE_MENOR,FALSE()),"El valor supera el tope de menor cuantía 2027",IF(OR(ISERROR(SEARCH("@itc.edu.co",AE438)),SUMPRODUCT(--ISNUMBER(SEARCH({"á","é","í","ó","ú","ñ"," "},AE438)))&gt;0),"El correo del responsable no es institucional válido",IF(AND(AF438="Sí",AG438=""),"Indique el N.° de registro 2026 que continúa","OK")))))))))))))))))</f>
        <v/>
      </c>
      <c r="AK438" s="15" t="str">
        <f>IF(AJ438="OK",COUNTIF($AJ$7:AJ438,"OK"),"")</f>
        <v/>
      </c>
    </row>
    <row r="439" spans="1:37" x14ac:dyDescent="0.3">
      <c r="A439" s="13" t="str">
        <f t="shared" si="6"/>
        <v>PN27-433</v>
      </c>
      <c r="B439" s="26"/>
      <c r="C439" s="13" t="str">
        <f>IF(B439="","",IFERROR(INDEX(Catalogos!$R$5:$R$51,MATCH(B439,L_AREAS,0)),""))</f>
        <v/>
      </c>
      <c r="D439" s="13" t="str">
        <f>IF(B439="","",IFERROR(INDEX(Catalogos!$O$5:$O$51,MATCH(B439,L_AREAS,0)),""))</f>
        <v/>
      </c>
      <c r="E439" s="26"/>
      <c r="F439" s="13" t="str">
        <f>IF(E439="","",IFERROR(INDEX(Catalogos!$C$5:$C$49,MATCH(E439,L_METAS,0)),""))</f>
        <v/>
      </c>
      <c r="G439" s="13" t="str">
        <f>IF(E439="","",IFERROR(INDEX(Catalogos!$E$5:$E$49,MATCH(E439,L_METAS,0)),""))</f>
        <v/>
      </c>
      <c r="H439" s="26"/>
      <c r="I439" s="26"/>
      <c r="J439" s="26"/>
      <c r="K439" s="26"/>
      <c r="L439" s="26"/>
      <c r="M439" s="27"/>
      <c r="N439" s="26"/>
      <c r="O439" s="26"/>
      <c r="P439" s="26"/>
      <c r="Q439" s="26"/>
      <c r="R439" s="26"/>
      <c r="S439" s="26"/>
      <c r="T439" s="26"/>
      <c r="U439" s="26"/>
      <c r="V439" s="26"/>
      <c r="W439" s="28"/>
      <c r="X439" s="28"/>
      <c r="Y439" s="26"/>
      <c r="Z439" s="26"/>
      <c r="AA439" s="26"/>
      <c r="AB439" s="26"/>
      <c r="AC439" s="26"/>
      <c r="AD439" s="26"/>
      <c r="AE439" s="26"/>
      <c r="AF439" s="26"/>
      <c r="AG439" s="26"/>
      <c r="AH439" s="26"/>
      <c r="AI439" s="26"/>
      <c r="AJ439" s="15" t="str">
        <f>IF(COUNTA(B439,E439,H439,I439,J439,K439,L439,M439,N439,O439,P439,Q439,R439,S439,T439,U439,V439,W439,X439,Y439,Z439,AA439,AB439,AC439,AD439,AE439,AF439,AG439,AH439,AI439)=0,"",IF(OR(B439="",E439="",H439="",J439="",K439="",L439="",M439="",O439="",P439="",Q439="",R439="",S439="",T439="",U439="",W439="",X439="",Y439="",AB439="",AC439="",AE439="",AF439=""),"Incompleta: faltan campos obligatorios",IF(AND(LEFT(H439,6)="PROPIA",I439=""),"Falta el nombre de la acción propia del área",IF(AND(LEFT(H439,3)="A27",IFERROR(INDEX(Catalogos!$T$5:$T$207,MATCH(H439,Catalogos!$U$5:$U$207,0)),"x")&lt;&gt;LEFT(E439,7)),"La acción no corresponde a la meta seleccionada",IF(OR(NOT(ISNUMBER(M439)),M439&lt;10000000,M439&gt;99999999),"Código UNSPSC inválido: registre 8 dígitos",IF(MOD(M439,10000)=0,"UNSPSC a nivel de segmento o familia: use clase o producto",IF(IFERROR(MATCH(P439,L_MESES,0)&lt;MATCH(O439,L_MESES,0),TRUE()),"El mes de ofertas es anterior al de inicio del proceso",IF(OR(NOT(ISNUMBER(Q439)),Q439&lt;=0),"Duración inválida",IF(OR(NOT(ISNUMBER(W439)),NOT(ISNUMBER(X439))),"Valor inválido: registre solo números",IF(OR(W439&lt;=0,X439&lt;=0),"Valor inválido: debe ser mayor que cero",IF(X439&gt;W439,"El valor de la vigencia 2027 supera el valor total",IF(AND(X439&lt;W439,Y439="No"),"El valor total supera el de 2027: requiere vigencias futuras",IF(AND(Y439="Sí",OR(Z439="",Z439="No aplica")),"Indique el estado de la solicitud de vigencias futuras",IF(IF(AND(S439="Mínima cuantía",ISNUMBER(P_TOPE_MINIMA)),W439&gt;P_TOPE_MINIMA,FALSE()),"El valor supera el tope de mínima cuantía 2027",IF(IF(AND(S439="Selección abreviada de menor cuantía",ISNUMBER(P_TOPE_MENOR)),W439&gt;P_TOPE_MENOR,FALSE()),"El valor supera el tope de menor cuantía 2027",IF(OR(ISERROR(SEARCH("@itc.edu.co",AE439)),SUMPRODUCT(--ISNUMBER(SEARCH({"á","é","í","ó","ú","ñ"," "},AE439)))&gt;0),"El correo del responsable no es institucional válido",IF(AND(AF439="Sí",AG439=""),"Indique el N.° de registro 2026 que continúa","OK")))))))))))))))))</f>
        <v/>
      </c>
      <c r="AK439" s="15" t="str">
        <f>IF(AJ439="OK",COUNTIF($AJ$7:AJ439,"OK"),"")</f>
        <v/>
      </c>
    </row>
    <row r="440" spans="1:37" x14ac:dyDescent="0.3">
      <c r="A440" s="13" t="str">
        <f t="shared" si="6"/>
        <v>PN27-434</v>
      </c>
      <c r="B440" s="26"/>
      <c r="C440" s="13" t="str">
        <f>IF(B440="","",IFERROR(INDEX(Catalogos!$R$5:$R$51,MATCH(B440,L_AREAS,0)),""))</f>
        <v/>
      </c>
      <c r="D440" s="13" t="str">
        <f>IF(B440="","",IFERROR(INDEX(Catalogos!$O$5:$O$51,MATCH(B440,L_AREAS,0)),""))</f>
        <v/>
      </c>
      <c r="E440" s="26"/>
      <c r="F440" s="13" t="str">
        <f>IF(E440="","",IFERROR(INDEX(Catalogos!$C$5:$C$49,MATCH(E440,L_METAS,0)),""))</f>
        <v/>
      </c>
      <c r="G440" s="13" t="str">
        <f>IF(E440="","",IFERROR(INDEX(Catalogos!$E$5:$E$49,MATCH(E440,L_METAS,0)),""))</f>
        <v/>
      </c>
      <c r="H440" s="26"/>
      <c r="I440" s="26"/>
      <c r="J440" s="26"/>
      <c r="K440" s="26"/>
      <c r="L440" s="26"/>
      <c r="M440" s="27"/>
      <c r="N440" s="26"/>
      <c r="O440" s="26"/>
      <c r="P440" s="26"/>
      <c r="Q440" s="26"/>
      <c r="R440" s="26"/>
      <c r="S440" s="26"/>
      <c r="T440" s="26"/>
      <c r="U440" s="26"/>
      <c r="V440" s="26"/>
      <c r="W440" s="28"/>
      <c r="X440" s="28"/>
      <c r="Y440" s="26"/>
      <c r="Z440" s="26"/>
      <c r="AA440" s="26"/>
      <c r="AB440" s="26"/>
      <c r="AC440" s="26"/>
      <c r="AD440" s="26"/>
      <c r="AE440" s="26"/>
      <c r="AF440" s="26"/>
      <c r="AG440" s="26"/>
      <c r="AH440" s="26"/>
      <c r="AI440" s="26"/>
      <c r="AJ440" s="15" t="str">
        <f>IF(COUNTA(B440,E440,H440,I440,J440,K440,L440,M440,N440,O440,P440,Q440,R440,S440,T440,U440,V440,W440,X440,Y440,Z440,AA440,AB440,AC440,AD440,AE440,AF440,AG440,AH440,AI440)=0,"",IF(OR(B440="",E440="",H440="",J440="",K440="",L440="",M440="",O440="",P440="",Q440="",R440="",S440="",T440="",U440="",W440="",X440="",Y440="",AB440="",AC440="",AE440="",AF440=""),"Incompleta: faltan campos obligatorios",IF(AND(LEFT(H440,6)="PROPIA",I440=""),"Falta el nombre de la acción propia del área",IF(AND(LEFT(H440,3)="A27",IFERROR(INDEX(Catalogos!$T$5:$T$207,MATCH(H440,Catalogos!$U$5:$U$207,0)),"x")&lt;&gt;LEFT(E440,7)),"La acción no corresponde a la meta seleccionada",IF(OR(NOT(ISNUMBER(M440)),M440&lt;10000000,M440&gt;99999999),"Código UNSPSC inválido: registre 8 dígitos",IF(MOD(M440,10000)=0,"UNSPSC a nivel de segmento o familia: use clase o producto",IF(IFERROR(MATCH(P440,L_MESES,0)&lt;MATCH(O440,L_MESES,0),TRUE()),"El mes de ofertas es anterior al de inicio del proceso",IF(OR(NOT(ISNUMBER(Q440)),Q440&lt;=0),"Duración inválida",IF(OR(NOT(ISNUMBER(W440)),NOT(ISNUMBER(X440))),"Valor inválido: registre solo números",IF(OR(W440&lt;=0,X440&lt;=0),"Valor inválido: debe ser mayor que cero",IF(X440&gt;W440,"El valor de la vigencia 2027 supera el valor total",IF(AND(X440&lt;W440,Y440="No"),"El valor total supera el de 2027: requiere vigencias futuras",IF(AND(Y440="Sí",OR(Z440="",Z440="No aplica")),"Indique el estado de la solicitud de vigencias futuras",IF(IF(AND(S440="Mínima cuantía",ISNUMBER(P_TOPE_MINIMA)),W440&gt;P_TOPE_MINIMA,FALSE()),"El valor supera el tope de mínima cuantía 2027",IF(IF(AND(S440="Selección abreviada de menor cuantía",ISNUMBER(P_TOPE_MENOR)),W440&gt;P_TOPE_MENOR,FALSE()),"El valor supera el tope de menor cuantía 2027",IF(OR(ISERROR(SEARCH("@itc.edu.co",AE440)),SUMPRODUCT(--ISNUMBER(SEARCH({"á","é","í","ó","ú","ñ"," "},AE440)))&gt;0),"El correo del responsable no es institucional válido",IF(AND(AF440="Sí",AG440=""),"Indique el N.° de registro 2026 que continúa","OK")))))))))))))))))</f>
        <v/>
      </c>
      <c r="AK440" s="15" t="str">
        <f>IF(AJ440="OK",COUNTIF($AJ$7:AJ440,"OK"),"")</f>
        <v/>
      </c>
    </row>
    <row r="441" spans="1:37" x14ac:dyDescent="0.3">
      <c r="A441" s="13" t="str">
        <f t="shared" si="6"/>
        <v>PN27-435</v>
      </c>
      <c r="B441" s="26"/>
      <c r="C441" s="13" t="str">
        <f>IF(B441="","",IFERROR(INDEX(Catalogos!$R$5:$R$51,MATCH(B441,L_AREAS,0)),""))</f>
        <v/>
      </c>
      <c r="D441" s="13" t="str">
        <f>IF(B441="","",IFERROR(INDEX(Catalogos!$O$5:$O$51,MATCH(B441,L_AREAS,0)),""))</f>
        <v/>
      </c>
      <c r="E441" s="26"/>
      <c r="F441" s="13" t="str">
        <f>IF(E441="","",IFERROR(INDEX(Catalogos!$C$5:$C$49,MATCH(E441,L_METAS,0)),""))</f>
        <v/>
      </c>
      <c r="G441" s="13" t="str">
        <f>IF(E441="","",IFERROR(INDEX(Catalogos!$E$5:$E$49,MATCH(E441,L_METAS,0)),""))</f>
        <v/>
      </c>
      <c r="H441" s="26"/>
      <c r="I441" s="26"/>
      <c r="J441" s="26"/>
      <c r="K441" s="26"/>
      <c r="L441" s="26"/>
      <c r="M441" s="27"/>
      <c r="N441" s="26"/>
      <c r="O441" s="26"/>
      <c r="P441" s="26"/>
      <c r="Q441" s="26"/>
      <c r="R441" s="26"/>
      <c r="S441" s="26"/>
      <c r="T441" s="26"/>
      <c r="U441" s="26"/>
      <c r="V441" s="26"/>
      <c r="W441" s="28"/>
      <c r="X441" s="28"/>
      <c r="Y441" s="26"/>
      <c r="Z441" s="26"/>
      <c r="AA441" s="26"/>
      <c r="AB441" s="26"/>
      <c r="AC441" s="26"/>
      <c r="AD441" s="26"/>
      <c r="AE441" s="26"/>
      <c r="AF441" s="26"/>
      <c r="AG441" s="26"/>
      <c r="AH441" s="26"/>
      <c r="AI441" s="26"/>
      <c r="AJ441" s="15" t="str">
        <f>IF(COUNTA(B441,E441,H441,I441,J441,K441,L441,M441,N441,O441,P441,Q441,R441,S441,T441,U441,V441,W441,X441,Y441,Z441,AA441,AB441,AC441,AD441,AE441,AF441,AG441,AH441,AI441)=0,"",IF(OR(B441="",E441="",H441="",J441="",K441="",L441="",M441="",O441="",P441="",Q441="",R441="",S441="",T441="",U441="",W441="",X441="",Y441="",AB441="",AC441="",AE441="",AF441=""),"Incompleta: faltan campos obligatorios",IF(AND(LEFT(H441,6)="PROPIA",I441=""),"Falta el nombre de la acción propia del área",IF(AND(LEFT(H441,3)="A27",IFERROR(INDEX(Catalogos!$T$5:$T$207,MATCH(H441,Catalogos!$U$5:$U$207,0)),"x")&lt;&gt;LEFT(E441,7)),"La acción no corresponde a la meta seleccionada",IF(OR(NOT(ISNUMBER(M441)),M441&lt;10000000,M441&gt;99999999),"Código UNSPSC inválido: registre 8 dígitos",IF(MOD(M441,10000)=0,"UNSPSC a nivel de segmento o familia: use clase o producto",IF(IFERROR(MATCH(P441,L_MESES,0)&lt;MATCH(O441,L_MESES,0),TRUE()),"El mes de ofertas es anterior al de inicio del proceso",IF(OR(NOT(ISNUMBER(Q441)),Q441&lt;=0),"Duración inválida",IF(OR(NOT(ISNUMBER(W441)),NOT(ISNUMBER(X441))),"Valor inválido: registre solo números",IF(OR(W441&lt;=0,X441&lt;=0),"Valor inválido: debe ser mayor que cero",IF(X441&gt;W441,"El valor de la vigencia 2027 supera el valor total",IF(AND(X441&lt;W441,Y441="No"),"El valor total supera el de 2027: requiere vigencias futuras",IF(AND(Y441="Sí",OR(Z441="",Z441="No aplica")),"Indique el estado de la solicitud de vigencias futuras",IF(IF(AND(S441="Mínima cuantía",ISNUMBER(P_TOPE_MINIMA)),W441&gt;P_TOPE_MINIMA,FALSE()),"El valor supera el tope de mínima cuantía 2027",IF(IF(AND(S441="Selección abreviada de menor cuantía",ISNUMBER(P_TOPE_MENOR)),W441&gt;P_TOPE_MENOR,FALSE()),"El valor supera el tope de menor cuantía 2027",IF(OR(ISERROR(SEARCH("@itc.edu.co",AE441)),SUMPRODUCT(--ISNUMBER(SEARCH({"á","é","í","ó","ú","ñ"," "},AE441)))&gt;0),"El correo del responsable no es institucional válido",IF(AND(AF441="Sí",AG441=""),"Indique el N.° de registro 2026 que continúa","OK")))))))))))))))))</f>
        <v/>
      </c>
      <c r="AK441" s="15" t="str">
        <f>IF(AJ441="OK",COUNTIF($AJ$7:AJ441,"OK"),"")</f>
        <v/>
      </c>
    </row>
    <row r="442" spans="1:37" x14ac:dyDescent="0.3">
      <c r="A442" s="13" t="str">
        <f t="shared" si="6"/>
        <v>PN27-436</v>
      </c>
      <c r="B442" s="26"/>
      <c r="C442" s="13" t="str">
        <f>IF(B442="","",IFERROR(INDEX(Catalogos!$R$5:$R$51,MATCH(B442,L_AREAS,0)),""))</f>
        <v/>
      </c>
      <c r="D442" s="13" t="str">
        <f>IF(B442="","",IFERROR(INDEX(Catalogos!$O$5:$O$51,MATCH(B442,L_AREAS,0)),""))</f>
        <v/>
      </c>
      <c r="E442" s="26"/>
      <c r="F442" s="13" t="str">
        <f>IF(E442="","",IFERROR(INDEX(Catalogos!$C$5:$C$49,MATCH(E442,L_METAS,0)),""))</f>
        <v/>
      </c>
      <c r="G442" s="13" t="str">
        <f>IF(E442="","",IFERROR(INDEX(Catalogos!$E$5:$E$49,MATCH(E442,L_METAS,0)),""))</f>
        <v/>
      </c>
      <c r="H442" s="26"/>
      <c r="I442" s="26"/>
      <c r="J442" s="26"/>
      <c r="K442" s="26"/>
      <c r="L442" s="26"/>
      <c r="M442" s="27"/>
      <c r="N442" s="26"/>
      <c r="O442" s="26"/>
      <c r="P442" s="26"/>
      <c r="Q442" s="26"/>
      <c r="R442" s="26"/>
      <c r="S442" s="26"/>
      <c r="T442" s="26"/>
      <c r="U442" s="26"/>
      <c r="V442" s="26"/>
      <c r="W442" s="28"/>
      <c r="X442" s="28"/>
      <c r="Y442" s="26"/>
      <c r="Z442" s="26"/>
      <c r="AA442" s="26"/>
      <c r="AB442" s="26"/>
      <c r="AC442" s="26"/>
      <c r="AD442" s="26"/>
      <c r="AE442" s="26"/>
      <c r="AF442" s="26"/>
      <c r="AG442" s="26"/>
      <c r="AH442" s="26"/>
      <c r="AI442" s="26"/>
      <c r="AJ442" s="15" t="str">
        <f>IF(COUNTA(B442,E442,H442,I442,J442,K442,L442,M442,N442,O442,P442,Q442,R442,S442,T442,U442,V442,W442,X442,Y442,Z442,AA442,AB442,AC442,AD442,AE442,AF442,AG442,AH442,AI442)=0,"",IF(OR(B442="",E442="",H442="",J442="",K442="",L442="",M442="",O442="",P442="",Q442="",R442="",S442="",T442="",U442="",W442="",X442="",Y442="",AB442="",AC442="",AE442="",AF442=""),"Incompleta: faltan campos obligatorios",IF(AND(LEFT(H442,6)="PROPIA",I442=""),"Falta el nombre de la acción propia del área",IF(AND(LEFT(H442,3)="A27",IFERROR(INDEX(Catalogos!$T$5:$T$207,MATCH(H442,Catalogos!$U$5:$U$207,0)),"x")&lt;&gt;LEFT(E442,7)),"La acción no corresponde a la meta seleccionada",IF(OR(NOT(ISNUMBER(M442)),M442&lt;10000000,M442&gt;99999999),"Código UNSPSC inválido: registre 8 dígitos",IF(MOD(M442,10000)=0,"UNSPSC a nivel de segmento o familia: use clase o producto",IF(IFERROR(MATCH(P442,L_MESES,0)&lt;MATCH(O442,L_MESES,0),TRUE()),"El mes de ofertas es anterior al de inicio del proceso",IF(OR(NOT(ISNUMBER(Q442)),Q442&lt;=0),"Duración inválida",IF(OR(NOT(ISNUMBER(W442)),NOT(ISNUMBER(X442))),"Valor inválido: registre solo números",IF(OR(W442&lt;=0,X442&lt;=0),"Valor inválido: debe ser mayor que cero",IF(X442&gt;W442,"El valor de la vigencia 2027 supera el valor total",IF(AND(X442&lt;W442,Y442="No"),"El valor total supera el de 2027: requiere vigencias futuras",IF(AND(Y442="Sí",OR(Z442="",Z442="No aplica")),"Indique el estado de la solicitud de vigencias futuras",IF(IF(AND(S442="Mínima cuantía",ISNUMBER(P_TOPE_MINIMA)),W442&gt;P_TOPE_MINIMA,FALSE()),"El valor supera el tope de mínima cuantía 2027",IF(IF(AND(S442="Selección abreviada de menor cuantía",ISNUMBER(P_TOPE_MENOR)),W442&gt;P_TOPE_MENOR,FALSE()),"El valor supera el tope de menor cuantía 2027",IF(OR(ISERROR(SEARCH("@itc.edu.co",AE442)),SUMPRODUCT(--ISNUMBER(SEARCH({"á","é","í","ó","ú","ñ"," "},AE442)))&gt;0),"El correo del responsable no es institucional válido",IF(AND(AF442="Sí",AG442=""),"Indique el N.° de registro 2026 que continúa","OK")))))))))))))))))</f>
        <v/>
      </c>
      <c r="AK442" s="15" t="str">
        <f>IF(AJ442="OK",COUNTIF($AJ$7:AJ442,"OK"),"")</f>
        <v/>
      </c>
    </row>
    <row r="443" spans="1:37" x14ac:dyDescent="0.3">
      <c r="A443" s="13" t="str">
        <f t="shared" si="6"/>
        <v>PN27-437</v>
      </c>
      <c r="B443" s="26"/>
      <c r="C443" s="13" t="str">
        <f>IF(B443="","",IFERROR(INDEX(Catalogos!$R$5:$R$51,MATCH(B443,L_AREAS,0)),""))</f>
        <v/>
      </c>
      <c r="D443" s="13" t="str">
        <f>IF(B443="","",IFERROR(INDEX(Catalogos!$O$5:$O$51,MATCH(B443,L_AREAS,0)),""))</f>
        <v/>
      </c>
      <c r="E443" s="26"/>
      <c r="F443" s="13" t="str">
        <f>IF(E443="","",IFERROR(INDEX(Catalogos!$C$5:$C$49,MATCH(E443,L_METAS,0)),""))</f>
        <v/>
      </c>
      <c r="G443" s="13" t="str">
        <f>IF(E443="","",IFERROR(INDEX(Catalogos!$E$5:$E$49,MATCH(E443,L_METAS,0)),""))</f>
        <v/>
      </c>
      <c r="H443" s="26"/>
      <c r="I443" s="26"/>
      <c r="J443" s="26"/>
      <c r="K443" s="26"/>
      <c r="L443" s="26"/>
      <c r="M443" s="27"/>
      <c r="N443" s="26"/>
      <c r="O443" s="26"/>
      <c r="P443" s="26"/>
      <c r="Q443" s="26"/>
      <c r="R443" s="26"/>
      <c r="S443" s="26"/>
      <c r="T443" s="26"/>
      <c r="U443" s="26"/>
      <c r="V443" s="26"/>
      <c r="W443" s="28"/>
      <c r="X443" s="28"/>
      <c r="Y443" s="26"/>
      <c r="Z443" s="26"/>
      <c r="AA443" s="26"/>
      <c r="AB443" s="26"/>
      <c r="AC443" s="26"/>
      <c r="AD443" s="26"/>
      <c r="AE443" s="26"/>
      <c r="AF443" s="26"/>
      <c r="AG443" s="26"/>
      <c r="AH443" s="26"/>
      <c r="AI443" s="26"/>
      <c r="AJ443" s="15" t="str">
        <f>IF(COUNTA(B443,E443,H443,I443,J443,K443,L443,M443,N443,O443,P443,Q443,R443,S443,T443,U443,V443,W443,X443,Y443,Z443,AA443,AB443,AC443,AD443,AE443,AF443,AG443,AH443,AI443)=0,"",IF(OR(B443="",E443="",H443="",J443="",K443="",L443="",M443="",O443="",P443="",Q443="",R443="",S443="",T443="",U443="",W443="",X443="",Y443="",AB443="",AC443="",AE443="",AF443=""),"Incompleta: faltan campos obligatorios",IF(AND(LEFT(H443,6)="PROPIA",I443=""),"Falta el nombre de la acción propia del área",IF(AND(LEFT(H443,3)="A27",IFERROR(INDEX(Catalogos!$T$5:$T$207,MATCH(H443,Catalogos!$U$5:$U$207,0)),"x")&lt;&gt;LEFT(E443,7)),"La acción no corresponde a la meta seleccionada",IF(OR(NOT(ISNUMBER(M443)),M443&lt;10000000,M443&gt;99999999),"Código UNSPSC inválido: registre 8 dígitos",IF(MOD(M443,10000)=0,"UNSPSC a nivel de segmento o familia: use clase o producto",IF(IFERROR(MATCH(P443,L_MESES,0)&lt;MATCH(O443,L_MESES,0),TRUE()),"El mes de ofertas es anterior al de inicio del proceso",IF(OR(NOT(ISNUMBER(Q443)),Q443&lt;=0),"Duración inválida",IF(OR(NOT(ISNUMBER(W443)),NOT(ISNUMBER(X443))),"Valor inválido: registre solo números",IF(OR(W443&lt;=0,X443&lt;=0),"Valor inválido: debe ser mayor que cero",IF(X443&gt;W443,"El valor de la vigencia 2027 supera el valor total",IF(AND(X443&lt;W443,Y443="No"),"El valor total supera el de 2027: requiere vigencias futuras",IF(AND(Y443="Sí",OR(Z443="",Z443="No aplica")),"Indique el estado de la solicitud de vigencias futuras",IF(IF(AND(S443="Mínima cuantía",ISNUMBER(P_TOPE_MINIMA)),W443&gt;P_TOPE_MINIMA,FALSE()),"El valor supera el tope de mínima cuantía 2027",IF(IF(AND(S443="Selección abreviada de menor cuantía",ISNUMBER(P_TOPE_MENOR)),W443&gt;P_TOPE_MENOR,FALSE()),"El valor supera el tope de menor cuantía 2027",IF(OR(ISERROR(SEARCH("@itc.edu.co",AE443)),SUMPRODUCT(--ISNUMBER(SEARCH({"á","é","í","ó","ú","ñ"," "},AE443)))&gt;0),"El correo del responsable no es institucional válido",IF(AND(AF443="Sí",AG443=""),"Indique el N.° de registro 2026 que continúa","OK")))))))))))))))))</f>
        <v/>
      </c>
      <c r="AK443" s="15" t="str">
        <f>IF(AJ443="OK",COUNTIF($AJ$7:AJ443,"OK"),"")</f>
        <v/>
      </c>
    </row>
    <row r="444" spans="1:37" x14ac:dyDescent="0.3">
      <c r="A444" s="13" t="str">
        <f t="shared" si="6"/>
        <v>PN27-438</v>
      </c>
      <c r="B444" s="26"/>
      <c r="C444" s="13" t="str">
        <f>IF(B444="","",IFERROR(INDEX(Catalogos!$R$5:$R$51,MATCH(B444,L_AREAS,0)),""))</f>
        <v/>
      </c>
      <c r="D444" s="13" t="str">
        <f>IF(B444="","",IFERROR(INDEX(Catalogos!$O$5:$O$51,MATCH(B444,L_AREAS,0)),""))</f>
        <v/>
      </c>
      <c r="E444" s="26"/>
      <c r="F444" s="13" t="str">
        <f>IF(E444="","",IFERROR(INDEX(Catalogos!$C$5:$C$49,MATCH(E444,L_METAS,0)),""))</f>
        <v/>
      </c>
      <c r="G444" s="13" t="str">
        <f>IF(E444="","",IFERROR(INDEX(Catalogos!$E$5:$E$49,MATCH(E444,L_METAS,0)),""))</f>
        <v/>
      </c>
      <c r="H444" s="26"/>
      <c r="I444" s="26"/>
      <c r="J444" s="26"/>
      <c r="K444" s="26"/>
      <c r="L444" s="26"/>
      <c r="M444" s="27"/>
      <c r="N444" s="26"/>
      <c r="O444" s="26"/>
      <c r="P444" s="26"/>
      <c r="Q444" s="26"/>
      <c r="R444" s="26"/>
      <c r="S444" s="26"/>
      <c r="T444" s="26"/>
      <c r="U444" s="26"/>
      <c r="V444" s="26"/>
      <c r="W444" s="28"/>
      <c r="X444" s="28"/>
      <c r="Y444" s="26"/>
      <c r="Z444" s="26"/>
      <c r="AA444" s="26"/>
      <c r="AB444" s="26"/>
      <c r="AC444" s="26"/>
      <c r="AD444" s="26"/>
      <c r="AE444" s="26"/>
      <c r="AF444" s="26"/>
      <c r="AG444" s="26"/>
      <c r="AH444" s="26"/>
      <c r="AI444" s="26"/>
      <c r="AJ444" s="15" t="str">
        <f>IF(COUNTA(B444,E444,H444,I444,J444,K444,L444,M444,N444,O444,P444,Q444,R444,S444,T444,U444,V444,W444,X444,Y444,Z444,AA444,AB444,AC444,AD444,AE444,AF444,AG444,AH444,AI444)=0,"",IF(OR(B444="",E444="",H444="",J444="",K444="",L444="",M444="",O444="",P444="",Q444="",R444="",S444="",T444="",U444="",W444="",X444="",Y444="",AB444="",AC444="",AE444="",AF444=""),"Incompleta: faltan campos obligatorios",IF(AND(LEFT(H444,6)="PROPIA",I444=""),"Falta el nombre de la acción propia del área",IF(AND(LEFT(H444,3)="A27",IFERROR(INDEX(Catalogos!$T$5:$T$207,MATCH(H444,Catalogos!$U$5:$U$207,0)),"x")&lt;&gt;LEFT(E444,7)),"La acción no corresponde a la meta seleccionada",IF(OR(NOT(ISNUMBER(M444)),M444&lt;10000000,M444&gt;99999999),"Código UNSPSC inválido: registre 8 dígitos",IF(MOD(M444,10000)=0,"UNSPSC a nivel de segmento o familia: use clase o producto",IF(IFERROR(MATCH(P444,L_MESES,0)&lt;MATCH(O444,L_MESES,0),TRUE()),"El mes de ofertas es anterior al de inicio del proceso",IF(OR(NOT(ISNUMBER(Q444)),Q444&lt;=0),"Duración inválida",IF(OR(NOT(ISNUMBER(W444)),NOT(ISNUMBER(X444))),"Valor inválido: registre solo números",IF(OR(W444&lt;=0,X444&lt;=0),"Valor inválido: debe ser mayor que cero",IF(X444&gt;W444,"El valor de la vigencia 2027 supera el valor total",IF(AND(X444&lt;W444,Y444="No"),"El valor total supera el de 2027: requiere vigencias futuras",IF(AND(Y444="Sí",OR(Z444="",Z444="No aplica")),"Indique el estado de la solicitud de vigencias futuras",IF(IF(AND(S444="Mínima cuantía",ISNUMBER(P_TOPE_MINIMA)),W444&gt;P_TOPE_MINIMA,FALSE()),"El valor supera el tope de mínima cuantía 2027",IF(IF(AND(S444="Selección abreviada de menor cuantía",ISNUMBER(P_TOPE_MENOR)),W444&gt;P_TOPE_MENOR,FALSE()),"El valor supera el tope de menor cuantía 2027",IF(OR(ISERROR(SEARCH("@itc.edu.co",AE444)),SUMPRODUCT(--ISNUMBER(SEARCH({"á","é","í","ó","ú","ñ"," "},AE444)))&gt;0),"El correo del responsable no es institucional válido",IF(AND(AF444="Sí",AG444=""),"Indique el N.° de registro 2026 que continúa","OK")))))))))))))))))</f>
        <v/>
      </c>
      <c r="AK444" s="15" t="str">
        <f>IF(AJ444="OK",COUNTIF($AJ$7:AJ444,"OK"),"")</f>
        <v/>
      </c>
    </row>
    <row r="445" spans="1:37" x14ac:dyDescent="0.3">
      <c r="A445" s="13" t="str">
        <f t="shared" si="6"/>
        <v>PN27-439</v>
      </c>
      <c r="B445" s="26"/>
      <c r="C445" s="13" t="str">
        <f>IF(B445="","",IFERROR(INDEX(Catalogos!$R$5:$R$51,MATCH(B445,L_AREAS,0)),""))</f>
        <v/>
      </c>
      <c r="D445" s="13" t="str">
        <f>IF(B445="","",IFERROR(INDEX(Catalogos!$O$5:$O$51,MATCH(B445,L_AREAS,0)),""))</f>
        <v/>
      </c>
      <c r="E445" s="26"/>
      <c r="F445" s="13" t="str">
        <f>IF(E445="","",IFERROR(INDEX(Catalogos!$C$5:$C$49,MATCH(E445,L_METAS,0)),""))</f>
        <v/>
      </c>
      <c r="G445" s="13" t="str">
        <f>IF(E445="","",IFERROR(INDEX(Catalogos!$E$5:$E$49,MATCH(E445,L_METAS,0)),""))</f>
        <v/>
      </c>
      <c r="H445" s="26"/>
      <c r="I445" s="26"/>
      <c r="J445" s="26"/>
      <c r="K445" s="26"/>
      <c r="L445" s="26"/>
      <c r="M445" s="27"/>
      <c r="N445" s="26"/>
      <c r="O445" s="26"/>
      <c r="P445" s="26"/>
      <c r="Q445" s="26"/>
      <c r="R445" s="26"/>
      <c r="S445" s="26"/>
      <c r="T445" s="26"/>
      <c r="U445" s="26"/>
      <c r="V445" s="26"/>
      <c r="W445" s="28"/>
      <c r="X445" s="28"/>
      <c r="Y445" s="26"/>
      <c r="Z445" s="26"/>
      <c r="AA445" s="26"/>
      <c r="AB445" s="26"/>
      <c r="AC445" s="26"/>
      <c r="AD445" s="26"/>
      <c r="AE445" s="26"/>
      <c r="AF445" s="26"/>
      <c r="AG445" s="26"/>
      <c r="AH445" s="26"/>
      <c r="AI445" s="26"/>
      <c r="AJ445" s="15" t="str">
        <f>IF(COUNTA(B445,E445,H445,I445,J445,K445,L445,M445,N445,O445,P445,Q445,R445,S445,T445,U445,V445,W445,X445,Y445,Z445,AA445,AB445,AC445,AD445,AE445,AF445,AG445,AH445,AI445)=0,"",IF(OR(B445="",E445="",H445="",J445="",K445="",L445="",M445="",O445="",P445="",Q445="",R445="",S445="",T445="",U445="",W445="",X445="",Y445="",AB445="",AC445="",AE445="",AF445=""),"Incompleta: faltan campos obligatorios",IF(AND(LEFT(H445,6)="PROPIA",I445=""),"Falta el nombre de la acción propia del área",IF(AND(LEFT(H445,3)="A27",IFERROR(INDEX(Catalogos!$T$5:$T$207,MATCH(H445,Catalogos!$U$5:$U$207,0)),"x")&lt;&gt;LEFT(E445,7)),"La acción no corresponde a la meta seleccionada",IF(OR(NOT(ISNUMBER(M445)),M445&lt;10000000,M445&gt;99999999),"Código UNSPSC inválido: registre 8 dígitos",IF(MOD(M445,10000)=0,"UNSPSC a nivel de segmento o familia: use clase o producto",IF(IFERROR(MATCH(P445,L_MESES,0)&lt;MATCH(O445,L_MESES,0),TRUE()),"El mes de ofertas es anterior al de inicio del proceso",IF(OR(NOT(ISNUMBER(Q445)),Q445&lt;=0),"Duración inválida",IF(OR(NOT(ISNUMBER(W445)),NOT(ISNUMBER(X445))),"Valor inválido: registre solo números",IF(OR(W445&lt;=0,X445&lt;=0),"Valor inválido: debe ser mayor que cero",IF(X445&gt;W445,"El valor de la vigencia 2027 supera el valor total",IF(AND(X445&lt;W445,Y445="No"),"El valor total supera el de 2027: requiere vigencias futuras",IF(AND(Y445="Sí",OR(Z445="",Z445="No aplica")),"Indique el estado de la solicitud de vigencias futuras",IF(IF(AND(S445="Mínima cuantía",ISNUMBER(P_TOPE_MINIMA)),W445&gt;P_TOPE_MINIMA,FALSE()),"El valor supera el tope de mínima cuantía 2027",IF(IF(AND(S445="Selección abreviada de menor cuantía",ISNUMBER(P_TOPE_MENOR)),W445&gt;P_TOPE_MENOR,FALSE()),"El valor supera el tope de menor cuantía 2027",IF(OR(ISERROR(SEARCH("@itc.edu.co",AE445)),SUMPRODUCT(--ISNUMBER(SEARCH({"á","é","í","ó","ú","ñ"," "},AE445)))&gt;0),"El correo del responsable no es institucional válido",IF(AND(AF445="Sí",AG445=""),"Indique el N.° de registro 2026 que continúa","OK")))))))))))))))))</f>
        <v/>
      </c>
      <c r="AK445" s="15" t="str">
        <f>IF(AJ445="OK",COUNTIF($AJ$7:AJ445,"OK"),"")</f>
        <v/>
      </c>
    </row>
    <row r="446" spans="1:37" x14ac:dyDescent="0.3">
      <c r="A446" s="13" t="str">
        <f t="shared" si="6"/>
        <v>PN27-440</v>
      </c>
      <c r="B446" s="26"/>
      <c r="C446" s="13" t="str">
        <f>IF(B446="","",IFERROR(INDEX(Catalogos!$R$5:$R$51,MATCH(B446,L_AREAS,0)),""))</f>
        <v/>
      </c>
      <c r="D446" s="13" t="str">
        <f>IF(B446="","",IFERROR(INDEX(Catalogos!$O$5:$O$51,MATCH(B446,L_AREAS,0)),""))</f>
        <v/>
      </c>
      <c r="E446" s="26"/>
      <c r="F446" s="13" t="str">
        <f>IF(E446="","",IFERROR(INDEX(Catalogos!$C$5:$C$49,MATCH(E446,L_METAS,0)),""))</f>
        <v/>
      </c>
      <c r="G446" s="13" t="str">
        <f>IF(E446="","",IFERROR(INDEX(Catalogos!$E$5:$E$49,MATCH(E446,L_METAS,0)),""))</f>
        <v/>
      </c>
      <c r="H446" s="26"/>
      <c r="I446" s="26"/>
      <c r="J446" s="26"/>
      <c r="K446" s="26"/>
      <c r="L446" s="26"/>
      <c r="M446" s="27"/>
      <c r="N446" s="26"/>
      <c r="O446" s="26"/>
      <c r="P446" s="26"/>
      <c r="Q446" s="26"/>
      <c r="R446" s="26"/>
      <c r="S446" s="26"/>
      <c r="T446" s="26"/>
      <c r="U446" s="26"/>
      <c r="V446" s="26"/>
      <c r="W446" s="28"/>
      <c r="X446" s="28"/>
      <c r="Y446" s="26"/>
      <c r="Z446" s="26"/>
      <c r="AA446" s="26"/>
      <c r="AB446" s="26"/>
      <c r="AC446" s="26"/>
      <c r="AD446" s="26"/>
      <c r="AE446" s="26"/>
      <c r="AF446" s="26"/>
      <c r="AG446" s="26"/>
      <c r="AH446" s="26"/>
      <c r="AI446" s="26"/>
      <c r="AJ446" s="15" t="str">
        <f>IF(COUNTA(B446,E446,H446,I446,J446,K446,L446,M446,N446,O446,P446,Q446,R446,S446,T446,U446,V446,W446,X446,Y446,Z446,AA446,AB446,AC446,AD446,AE446,AF446,AG446,AH446,AI446)=0,"",IF(OR(B446="",E446="",H446="",J446="",K446="",L446="",M446="",O446="",P446="",Q446="",R446="",S446="",T446="",U446="",W446="",X446="",Y446="",AB446="",AC446="",AE446="",AF446=""),"Incompleta: faltan campos obligatorios",IF(AND(LEFT(H446,6)="PROPIA",I446=""),"Falta el nombre de la acción propia del área",IF(AND(LEFT(H446,3)="A27",IFERROR(INDEX(Catalogos!$T$5:$T$207,MATCH(H446,Catalogos!$U$5:$U$207,0)),"x")&lt;&gt;LEFT(E446,7)),"La acción no corresponde a la meta seleccionada",IF(OR(NOT(ISNUMBER(M446)),M446&lt;10000000,M446&gt;99999999),"Código UNSPSC inválido: registre 8 dígitos",IF(MOD(M446,10000)=0,"UNSPSC a nivel de segmento o familia: use clase o producto",IF(IFERROR(MATCH(P446,L_MESES,0)&lt;MATCH(O446,L_MESES,0),TRUE()),"El mes de ofertas es anterior al de inicio del proceso",IF(OR(NOT(ISNUMBER(Q446)),Q446&lt;=0),"Duración inválida",IF(OR(NOT(ISNUMBER(W446)),NOT(ISNUMBER(X446))),"Valor inválido: registre solo números",IF(OR(W446&lt;=0,X446&lt;=0),"Valor inválido: debe ser mayor que cero",IF(X446&gt;W446,"El valor de la vigencia 2027 supera el valor total",IF(AND(X446&lt;W446,Y446="No"),"El valor total supera el de 2027: requiere vigencias futuras",IF(AND(Y446="Sí",OR(Z446="",Z446="No aplica")),"Indique el estado de la solicitud de vigencias futuras",IF(IF(AND(S446="Mínima cuantía",ISNUMBER(P_TOPE_MINIMA)),W446&gt;P_TOPE_MINIMA,FALSE()),"El valor supera el tope de mínima cuantía 2027",IF(IF(AND(S446="Selección abreviada de menor cuantía",ISNUMBER(P_TOPE_MENOR)),W446&gt;P_TOPE_MENOR,FALSE()),"El valor supera el tope de menor cuantía 2027",IF(OR(ISERROR(SEARCH("@itc.edu.co",AE446)),SUMPRODUCT(--ISNUMBER(SEARCH({"á","é","í","ó","ú","ñ"," "},AE446)))&gt;0),"El correo del responsable no es institucional válido",IF(AND(AF446="Sí",AG446=""),"Indique el N.° de registro 2026 que continúa","OK")))))))))))))))))</f>
        <v/>
      </c>
      <c r="AK446" s="15" t="str">
        <f>IF(AJ446="OK",COUNTIF($AJ$7:AJ446,"OK"),"")</f>
        <v/>
      </c>
    </row>
    <row r="447" spans="1:37" x14ac:dyDescent="0.3">
      <c r="A447" s="13" t="str">
        <f t="shared" si="6"/>
        <v>PN27-441</v>
      </c>
      <c r="B447" s="26"/>
      <c r="C447" s="13" t="str">
        <f>IF(B447="","",IFERROR(INDEX(Catalogos!$R$5:$R$51,MATCH(B447,L_AREAS,0)),""))</f>
        <v/>
      </c>
      <c r="D447" s="13" t="str">
        <f>IF(B447="","",IFERROR(INDEX(Catalogos!$O$5:$O$51,MATCH(B447,L_AREAS,0)),""))</f>
        <v/>
      </c>
      <c r="E447" s="26"/>
      <c r="F447" s="13" t="str">
        <f>IF(E447="","",IFERROR(INDEX(Catalogos!$C$5:$C$49,MATCH(E447,L_METAS,0)),""))</f>
        <v/>
      </c>
      <c r="G447" s="13" t="str">
        <f>IF(E447="","",IFERROR(INDEX(Catalogos!$E$5:$E$49,MATCH(E447,L_METAS,0)),""))</f>
        <v/>
      </c>
      <c r="H447" s="26"/>
      <c r="I447" s="26"/>
      <c r="J447" s="26"/>
      <c r="K447" s="26"/>
      <c r="L447" s="26"/>
      <c r="M447" s="27"/>
      <c r="N447" s="26"/>
      <c r="O447" s="26"/>
      <c r="P447" s="26"/>
      <c r="Q447" s="26"/>
      <c r="R447" s="26"/>
      <c r="S447" s="26"/>
      <c r="T447" s="26"/>
      <c r="U447" s="26"/>
      <c r="V447" s="26"/>
      <c r="W447" s="28"/>
      <c r="X447" s="28"/>
      <c r="Y447" s="26"/>
      <c r="Z447" s="26"/>
      <c r="AA447" s="26"/>
      <c r="AB447" s="26"/>
      <c r="AC447" s="26"/>
      <c r="AD447" s="26"/>
      <c r="AE447" s="26"/>
      <c r="AF447" s="26"/>
      <c r="AG447" s="26"/>
      <c r="AH447" s="26"/>
      <c r="AI447" s="26"/>
      <c r="AJ447" s="15" t="str">
        <f>IF(COUNTA(B447,E447,H447,I447,J447,K447,L447,M447,N447,O447,P447,Q447,R447,S447,T447,U447,V447,W447,X447,Y447,Z447,AA447,AB447,AC447,AD447,AE447,AF447,AG447,AH447,AI447)=0,"",IF(OR(B447="",E447="",H447="",J447="",K447="",L447="",M447="",O447="",P447="",Q447="",R447="",S447="",T447="",U447="",W447="",X447="",Y447="",AB447="",AC447="",AE447="",AF447=""),"Incompleta: faltan campos obligatorios",IF(AND(LEFT(H447,6)="PROPIA",I447=""),"Falta el nombre de la acción propia del área",IF(AND(LEFT(H447,3)="A27",IFERROR(INDEX(Catalogos!$T$5:$T$207,MATCH(H447,Catalogos!$U$5:$U$207,0)),"x")&lt;&gt;LEFT(E447,7)),"La acción no corresponde a la meta seleccionada",IF(OR(NOT(ISNUMBER(M447)),M447&lt;10000000,M447&gt;99999999),"Código UNSPSC inválido: registre 8 dígitos",IF(MOD(M447,10000)=0,"UNSPSC a nivel de segmento o familia: use clase o producto",IF(IFERROR(MATCH(P447,L_MESES,0)&lt;MATCH(O447,L_MESES,0),TRUE()),"El mes de ofertas es anterior al de inicio del proceso",IF(OR(NOT(ISNUMBER(Q447)),Q447&lt;=0),"Duración inválida",IF(OR(NOT(ISNUMBER(W447)),NOT(ISNUMBER(X447))),"Valor inválido: registre solo números",IF(OR(W447&lt;=0,X447&lt;=0),"Valor inválido: debe ser mayor que cero",IF(X447&gt;W447,"El valor de la vigencia 2027 supera el valor total",IF(AND(X447&lt;W447,Y447="No"),"El valor total supera el de 2027: requiere vigencias futuras",IF(AND(Y447="Sí",OR(Z447="",Z447="No aplica")),"Indique el estado de la solicitud de vigencias futuras",IF(IF(AND(S447="Mínima cuantía",ISNUMBER(P_TOPE_MINIMA)),W447&gt;P_TOPE_MINIMA,FALSE()),"El valor supera el tope de mínima cuantía 2027",IF(IF(AND(S447="Selección abreviada de menor cuantía",ISNUMBER(P_TOPE_MENOR)),W447&gt;P_TOPE_MENOR,FALSE()),"El valor supera el tope de menor cuantía 2027",IF(OR(ISERROR(SEARCH("@itc.edu.co",AE447)),SUMPRODUCT(--ISNUMBER(SEARCH({"á","é","í","ó","ú","ñ"," "},AE447)))&gt;0),"El correo del responsable no es institucional válido",IF(AND(AF447="Sí",AG447=""),"Indique el N.° de registro 2026 que continúa","OK")))))))))))))))))</f>
        <v/>
      </c>
      <c r="AK447" s="15" t="str">
        <f>IF(AJ447="OK",COUNTIF($AJ$7:AJ447,"OK"),"")</f>
        <v/>
      </c>
    </row>
    <row r="448" spans="1:37" x14ac:dyDescent="0.3">
      <c r="A448" s="13" t="str">
        <f t="shared" si="6"/>
        <v>PN27-442</v>
      </c>
      <c r="B448" s="26"/>
      <c r="C448" s="13" t="str">
        <f>IF(B448="","",IFERROR(INDEX(Catalogos!$R$5:$R$51,MATCH(B448,L_AREAS,0)),""))</f>
        <v/>
      </c>
      <c r="D448" s="13" t="str">
        <f>IF(B448="","",IFERROR(INDEX(Catalogos!$O$5:$O$51,MATCH(B448,L_AREAS,0)),""))</f>
        <v/>
      </c>
      <c r="E448" s="26"/>
      <c r="F448" s="13" t="str">
        <f>IF(E448="","",IFERROR(INDEX(Catalogos!$C$5:$C$49,MATCH(E448,L_METAS,0)),""))</f>
        <v/>
      </c>
      <c r="G448" s="13" t="str">
        <f>IF(E448="","",IFERROR(INDEX(Catalogos!$E$5:$E$49,MATCH(E448,L_METAS,0)),""))</f>
        <v/>
      </c>
      <c r="H448" s="26"/>
      <c r="I448" s="26"/>
      <c r="J448" s="26"/>
      <c r="K448" s="26"/>
      <c r="L448" s="26"/>
      <c r="M448" s="27"/>
      <c r="N448" s="26"/>
      <c r="O448" s="26"/>
      <c r="P448" s="26"/>
      <c r="Q448" s="26"/>
      <c r="R448" s="26"/>
      <c r="S448" s="26"/>
      <c r="T448" s="26"/>
      <c r="U448" s="26"/>
      <c r="V448" s="26"/>
      <c r="W448" s="28"/>
      <c r="X448" s="28"/>
      <c r="Y448" s="26"/>
      <c r="Z448" s="26"/>
      <c r="AA448" s="26"/>
      <c r="AB448" s="26"/>
      <c r="AC448" s="26"/>
      <c r="AD448" s="26"/>
      <c r="AE448" s="26"/>
      <c r="AF448" s="26"/>
      <c r="AG448" s="26"/>
      <c r="AH448" s="26"/>
      <c r="AI448" s="26"/>
      <c r="AJ448" s="15" t="str">
        <f>IF(COUNTA(B448,E448,H448,I448,J448,K448,L448,M448,N448,O448,P448,Q448,R448,S448,T448,U448,V448,W448,X448,Y448,Z448,AA448,AB448,AC448,AD448,AE448,AF448,AG448,AH448,AI448)=0,"",IF(OR(B448="",E448="",H448="",J448="",K448="",L448="",M448="",O448="",P448="",Q448="",R448="",S448="",T448="",U448="",W448="",X448="",Y448="",AB448="",AC448="",AE448="",AF448=""),"Incompleta: faltan campos obligatorios",IF(AND(LEFT(H448,6)="PROPIA",I448=""),"Falta el nombre de la acción propia del área",IF(AND(LEFT(H448,3)="A27",IFERROR(INDEX(Catalogos!$T$5:$T$207,MATCH(H448,Catalogos!$U$5:$U$207,0)),"x")&lt;&gt;LEFT(E448,7)),"La acción no corresponde a la meta seleccionada",IF(OR(NOT(ISNUMBER(M448)),M448&lt;10000000,M448&gt;99999999),"Código UNSPSC inválido: registre 8 dígitos",IF(MOD(M448,10000)=0,"UNSPSC a nivel de segmento o familia: use clase o producto",IF(IFERROR(MATCH(P448,L_MESES,0)&lt;MATCH(O448,L_MESES,0),TRUE()),"El mes de ofertas es anterior al de inicio del proceso",IF(OR(NOT(ISNUMBER(Q448)),Q448&lt;=0),"Duración inválida",IF(OR(NOT(ISNUMBER(W448)),NOT(ISNUMBER(X448))),"Valor inválido: registre solo números",IF(OR(W448&lt;=0,X448&lt;=0),"Valor inválido: debe ser mayor que cero",IF(X448&gt;W448,"El valor de la vigencia 2027 supera el valor total",IF(AND(X448&lt;W448,Y448="No"),"El valor total supera el de 2027: requiere vigencias futuras",IF(AND(Y448="Sí",OR(Z448="",Z448="No aplica")),"Indique el estado de la solicitud de vigencias futuras",IF(IF(AND(S448="Mínima cuantía",ISNUMBER(P_TOPE_MINIMA)),W448&gt;P_TOPE_MINIMA,FALSE()),"El valor supera el tope de mínima cuantía 2027",IF(IF(AND(S448="Selección abreviada de menor cuantía",ISNUMBER(P_TOPE_MENOR)),W448&gt;P_TOPE_MENOR,FALSE()),"El valor supera el tope de menor cuantía 2027",IF(OR(ISERROR(SEARCH("@itc.edu.co",AE448)),SUMPRODUCT(--ISNUMBER(SEARCH({"á","é","í","ó","ú","ñ"," "},AE448)))&gt;0),"El correo del responsable no es institucional válido",IF(AND(AF448="Sí",AG448=""),"Indique el N.° de registro 2026 que continúa","OK")))))))))))))))))</f>
        <v/>
      </c>
      <c r="AK448" s="15" t="str">
        <f>IF(AJ448="OK",COUNTIF($AJ$7:AJ448,"OK"),"")</f>
        <v/>
      </c>
    </row>
    <row r="449" spans="1:37" x14ac:dyDescent="0.3">
      <c r="A449" s="13" t="str">
        <f t="shared" si="6"/>
        <v>PN27-443</v>
      </c>
      <c r="B449" s="26"/>
      <c r="C449" s="13" t="str">
        <f>IF(B449="","",IFERROR(INDEX(Catalogos!$R$5:$R$51,MATCH(B449,L_AREAS,0)),""))</f>
        <v/>
      </c>
      <c r="D449" s="13" t="str">
        <f>IF(B449="","",IFERROR(INDEX(Catalogos!$O$5:$O$51,MATCH(B449,L_AREAS,0)),""))</f>
        <v/>
      </c>
      <c r="E449" s="26"/>
      <c r="F449" s="13" t="str">
        <f>IF(E449="","",IFERROR(INDEX(Catalogos!$C$5:$C$49,MATCH(E449,L_METAS,0)),""))</f>
        <v/>
      </c>
      <c r="G449" s="13" t="str">
        <f>IF(E449="","",IFERROR(INDEX(Catalogos!$E$5:$E$49,MATCH(E449,L_METAS,0)),""))</f>
        <v/>
      </c>
      <c r="H449" s="26"/>
      <c r="I449" s="26"/>
      <c r="J449" s="26"/>
      <c r="K449" s="26"/>
      <c r="L449" s="26"/>
      <c r="M449" s="27"/>
      <c r="N449" s="26"/>
      <c r="O449" s="26"/>
      <c r="P449" s="26"/>
      <c r="Q449" s="26"/>
      <c r="R449" s="26"/>
      <c r="S449" s="26"/>
      <c r="T449" s="26"/>
      <c r="U449" s="26"/>
      <c r="V449" s="26"/>
      <c r="W449" s="28"/>
      <c r="X449" s="28"/>
      <c r="Y449" s="26"/>
      <c r="Z449" s="26"/>
      <c r="AA449" s="26"/>
      <c r="AB449" s="26"/>
      <c r="AC449" s="26"/>
      <c r="AD449" s="26"/>
      <c r="AE449" s="26"/>
      <c r="AF449" s="26"/>
      <c r="AG449" s="26"/>
      <c r="AH449" s="26"/>
      <c r="AI449" s="26"/>
      <c r="AJ449" s="15" t="str">
        <f>IF(COUNTA(B449,E449,H449,I449,J449,K449,L449,M449,N449,O449,P449,Q449,R449,S449,T449,U449,V449,W449,X449,Y449,Z449,AA449,AB449,AC449,AD449,AE449,AF449,AG449,AH449,AI449)=0,"",IF(OR(B449="",E449="",H449="",J449="",K449="",L449="",M449="",O449="",P449="",Q449="",R449="",S449="",T449="",U449="",W449="",X449="",Y449="",AB449="",AC449="",AE449="",AF449=""),"Incompleta: faltan campos obligatorios",IF(AND(LEFT(H449,6)="PROPIA",I449=""),"Falta el nombre de la acción propia del área",IF(AND(LEFT(H449,3)="A27",IFERROR(INDEX(Catalogos!$T$5:$T$207,MATCH(H449,Catalogos!$U$5:$U$207,0)),"x")&lt;&gt;LEFT(E449,7)),"La acción no corresponde a la meta seleccionada",IF(OR(NOT(ISNUMBER(M449)),M449&lt;10000000,M449&gt;99999999),"Código UNSPSC inválido: registre 8 dígitos",IF(MOD(M449,10000)=0,"UNSPSC a nivel de segmento o familia: use clase o producto",IF(IFERROR(MATCH(P449,L_MESES,0)&lt;MATCH(O449,L_MESES,0),TRUE()),"El mes de ofertas es anterior al de inicio del proceso",IF(OR(NOT(ISNUMBER(Q449)),Q449&lt;=0),"Duración inválida",IF(OR(NOT(ISNUMBER(W449)),NOT(ISNUMBER(X449))),"Valor inválido: registre solo números",IF(OR(W449&lt;=0,X449&lt;=0),"Valor inválido: debe ser mayor que cero",IF(X449&gt;W449,"El valor de la vigencia 2027 supera el valor total",IF(AND(X449&lt;W449,Y449="No"),"El valor total supera el de 2027: requiere vigencias futuras",IF(AND(Y449="Sí",OR(Z449="",Z449="No aplica")),"Indique el estado de la solicitud de vigencias futuras",IF(IF(AND(S449="Mínima cuantía",ISNUMBER(P_TOPE_MINIMA)),W449&gt;P_TOPE_MINIMA,FALSE()),"El valor supera el tope de mínima cuantía 2027",IF(IF(AND(S449="Selección abreviada de menor cuantía",ISNUMBER(P_TOPE_MENOR)),W449&gt;P_TOPE_MENOR,FALSE()),"El valor supera el tope de menor cuantía 2027",IF(OR(ISERROR(SEARCH("@itc.edu.co",AE449)),SUMPRODUCT(--ISNUMBER(SEARCH({"á","é","í","ó","ú","ñ"," "},AE449)))&gt;0),"El correo del responsable no es institucional válido",IF(AND(AF449="Sí",AG449=""),"Indique el N.° de registro 2026 que continúa","OK")))))))))))))))))</f>
        <v/>
      </c>
      <c r="AK449" s="15" t="str">
        <f>IF(AJ449="OK",COUNTIF($AJ$7:AJ449,"OK"),"")</f>
        <v/>
      </c>
    </row>
    <row r="450" spans="1:37" x14ac:dyDescent="0.3">
      <c r="A450" s="13" t="str">
        <f t="shared" si="6"/>
        <v>PN27-444</v>
      </c>
      <c r="B450" s="26"/>
      <c r="C450" s="13" t="str">
        <f>IF(B450="","",IFERROR(INDEX(Catalogos!$R$5:$R$51,MATCH(B450,L_AREAS,0)),""))</f>
        <v/>
      </c>
      <c r="D450" s="13" t="str">
        <f>IF(B450="","",IFERROR(INDEX(Catalogos!$O$5:$O$51,MATCH(B450,L_AREAS,0)),""))</f>
        <v/>
      </c>
      <c r="E450" s="26"/>
      <c r="F450" s="13" t="str">
        <f>IF(E450="","",IFERROR(INDEX(Catalogos!$C$5:$C$49,MATCH(E450,L_METAS,0)),""))</f>
        <v/>
      </c>
      <c r="G450" s="13" t="str">
        <f>IF(E450="","",IFERROR(INDEX(Catalogos!$E$5:$E$49,MATCH(E450,L_METAS,0)),""))</f>
        <v/>
      </c>
      <c r="H450" s="26"/>
      <c r="I450" s="26"/>
      <c r="J450" s="26"/>
      <c r="K450" s="26"/>
      <c r="L450" s="26"/>
      <c r="M450" s="27"/>
      <c r="N450" s="26"/>
      <c r="O450" s="26"/>
      <c r="P450" s="26"/>
      <c r="Q450" s="26"/>
      <c r="R450" s="26"/>
      <c r="S450" s="26"/>
      <c r="T450" s="26"/>
      <c r="U450" s="26"/>
      <c r="V450" s="26"/>
      <c r="W450" s="28"/>
      <c r="X450" s="28"/>
      <c r="Y450" s="26"/>
      <c r="Z450" s="26"/>
      <c r="AA450" s="26"/>
      <c r="AB450" s="26"/>
      <c r="AC450" s="26"/>
      <c r="AD450" s="26"/>
      <c r="AE450" s="26"/>
      <c r="AF450" s="26"/>
      <c r="AG450" s="26"/>
      <c r="AH450" s="26"/>
      <c r="AI450" s="26"/>
      <c r="AJ450" s="15" t="str">
        <f>IF(COUNTA(B450,E450,H450,I450,J450,K450,L450,M450,N450,O450,P450,Q450,R450,S450,T450,U450,V450,W450,X450,Y450,Z450,AA450,AB450,AC450,AD450,AE450,AF450,AG450,AH450,AI450)=0,"",IF(OR(B450="",E450="",H450="",J450="",K450="",L450="",M450="",O450="",P450="",Q450="",R450="",S450="",T450="",U450="",W450="",X450="",Y450="",AB450="",AC450="",AE450="",AF450=""),"Incompleta: faltan campos obligatorios",IF(AND(LEFT(H450,6)="PROPIA",I450=""),"Falta el nombre de la acción propia del área",IF(AND(LEFT(H450,3)="A27",IFERROR(INDEX(Catalogos!$T$5:$T$207,MATCH(H450,Catalogos!$U$5:$U$207,0)),"x")&lt;&gt;LEFT(E450,7)),"La acción no corresponde a la meta seleccionada",IF(OR(NOT(ISNUMBER(M450)),M450&lt;10000000,M450&gt;99999999),"Código UNSPSC inválido: registre 8 dígitos",IF(MOD(M450,10000)=0,"UNSPSC a nivel de segmento o familia: use clase o producto",IF(IFERROR(MATCH(P450,L_MESES,0)&lt;MATCH(O450,L_MESES,0),TRUE()),"El mes de ofertas es anterior al de inicio del proceso",IF(OR(NOT(ISNUMBER(Q450)),Q450&lt;=0),"Duración inválida",IF(OR(NOT(ISNUMBER(W450)),NOT(ISNUMBER(X450))),"Valor inválido: registre solo números",IF(OR(W450&lt;=0,X450&lt;=0),"Valor inválido: debe ser mayor que cero",IF(X450&gt;W450,"El valor de la vigencia 2027 supera el valor total",IF(AND(X450&lt;W450,Y450="No"),"El valor total supera el de 2027: requiere vigencias futuras",IF(AND(Y450="Sí",OR(Z450="",Z450="No aplica")),"Indique el estado de la solicitud de vigencias futuras",IF(IF(AND(S450="Mínima cuantía",ISNUMBER(P_TOPE_MINIMA)),W450&gt;P_TOPE_MINIMA,FALSE()),"El valor supera el tope de mínima cuantía 2027",IF(IF(AND(S450="Selección abreviada de menor cuantía",ISNUMBER(P_TOPE_MENOR)),W450&gt;P_TOPE_MENOR,FALSE()),"El valor supera el tope de menor cuantía 2027",IF(OR(ISERROR(SEARCH("@itc.edu.co",AE450)),SUMPRODUCT(--ISNUMBER(SEARCH({"á","é","í","ó","ú","ñ"," "},AE450)))&gt;0),"El correo del responsable no es institucional válido",IF(AND(AF450="Sí",AG450=""),"Indique el N.° de registro 2026 que continúa","OK")))))))))))))))))</f>
        <v/>
      </c>
      <c r="AK450" s="15" t="str">
        <f>IF(AJ450="OK",COUNTIF($AJ$7:AJ450,"OK"),"")</f>
        <v/>
      </c>
    </row>
    <row r="451" spans="1:37" x14ac:dyDescent="0.3">
      <c r="A451" s="13" t="str">
        <f t="shared" si="6"/>
        <v>PN27-445</v>
      </c>
      <c r="B451" s="26"/>
      <c r="C451" s="13" t="str">
        <f>IF(B451="","",IFERROR(INDEX(Catalogos!$R$5:$R$51,MATCH(B451,L_AREAS,0)),""))</f>
        <v/>
      </c>
      <c r="D451" s="13" t="str">
        <f>IF(B451="","",IFERROR(INDEX(Catalogos!$O$5:$O$51,MATCH(B451,L_AREAS,0)),""))</f>
        <v/>
      </c>
      <c r="E451" s="26"/>
      <c r="F451" s="13" t="str">
        <f>IF(E451="","",IFERROR(INDEX(Catalogos!$C$5:$C$49,MATCH(E451,L_METAS,0)),""))</f>
        <v/>
      </c>
      <c r="G451" s="13" t="str">
        <f>IF(E451="","",IFERROR(INDEX(Catalogos!$E$5:$E$49,MATCH(E451,L_METAS,0)),""))</f>
        <v/>
      </c>
      <c r="H451" s="26"/>
      <c r="I451" s="26"/>
      <c r="J451" s="26"/>
      <c r="K451" s="26"/>
      <c r="L451" s="26"/>
      <c r="M451" s="27"/>
      <c r="N451" s="26"/>
      <c r="O451" s="26"/>
      <c r="P451" s="26"/>
      <c r="Q451" s="26"/>
      <c r="R451" s="26"/>
      <c r="S451" s="26"/>
      <c r="T451" s="26"/>
      <c r="U451" s="26"/>
      <c r="V451" s="26"/>
      <c r="W451" s="28"/>
      <c r="X451" s="28"/>
      <c r="Y451" s="26"/>
      <c r="Z451" s="26"/>
      <c r="AA451" s="26"/>
      <c r="AB451" s="26"/>
      <c r="AC451" s="26"/>
      <c r="AD451" s="26"/>
      <c r="AE451" s="26"/>
      <c r="AF451" s="26"/>
      <c r="AG451" s="26"/>
      <c r="AH451" s="26"/>
      <c r="AI451" s="26"/>
      <c r="AJ451" s="15" t="str">
        <f>IF(COUNTA(B451,E451,H451,I451,J451,K451,L451,M451,N451,O451,P451,Q451,R451,S451,T451,U451,V451,W451,X451,Y451,Z451,AA451,AB451,AC451,AD451,AE451,AF451,AG451,AH451,AI451)=0,"",IF(OR(B451="",E451="",H451="",J451="",K451="",L451="",M451="",O451="",P451="",Q451="",R451="",S451="",T451="",U451="",W451="",X451="",Y451="",AB451="",AC451="",AE451="",AF451=""),"Incompleta: faltan campos obligatorios",IF(AND(LEFT(H451,6)="PROPIA",I451=""),"Falta el nombre de la acción propia del área",IF(AND(LEFT(H451,3)="A27",IFERROR(INDEX(Catalogos!$T$5:$T$207,MATCH(H451,Catalogos!$U$5:$U$207,0)),"x")&lt;&gt;LEFT(E451,7)),"La acción no corresponde a la meta seleccionada",IF(OR(NOT(ISNUMBER(M451)),M451&lt;10000000,M451&gt;99999999),"Código UNSPSC inválido: registre 8 dígitos",IF(MOD(M451,10000)=0,"UNSPSC a nivel de segmento o familia: use clase o producto",IF(IFERROR(MATCH(P451,L_MESES,0)&lt;MATCH(O451,L_MESES,0),TRUE()),"El mes de ofertas es anterior al de inicio del proceso",IF(OR(NOT(ISNUMBER(Q451)),Q451&lt;=0),"Duración inválida",IF(OR(NOT(ISNUMBER(W451)),NOT(ISNUMBER(X451))),"Valor inválido: registre solo números",IF(OR(W451&lt;=0,X451&lt;=0),"Valor inválido: debe ser mayor que cero",IF(X451&gt;W451,"El valor de la vigencia 2027 supera el valor total",IF(AND(X451&lt;W451,Y451="No"),"El valor total supera el de 2027: requiere vigencias futuras",IF(AND(Y451="Sí",OR(Z451="",Z451="No aplica")),"Indique el estado de la solicitud de vigencias futuras",IF(IF(AND(S451="Mínima cuantía",ISNUMBER(P_TOPE_MINIMA)),W451&gt;P_TOPE_MINIMA,FALSE()),"El valor supera el tope de mínima cuantía 2027",IF(IF(AND(S451="Selección abreviada de menor cuantía",ISNUMBER(P_TOPE_MENOR)),W451&gt;P_TOPE_MENOR,FALSE()),"El valor supera el tope de menor cuantía 2027",IF(OR(ISERROR(SEARCH("@itc.edu.co",AE451)),SUMPRODUCT(--ISNUMBER(SEARCH({"á","é","í","ó","ú","ñ"," "},AE451)))&gt;0),"El correo del responsable no es institucional válido",IF(AND(AF451="Sí",AG451=""),"Indique el N.° de registro 2026 que continúa","OK")))))))))))))))))</f>
        <v/>
      </c>
      <c r="AK451" s="15" t="str">
        <f>IF(AJ451="OK",COUNTIF($AJ$7:AJ451,"OK"),"")</f>
        <v/>
      </c>
    </row>
    <row r="452" spans="1:37" x14ac:dyDescent="0.3">
      <c r="A452" s="13" t="str">
        <f t="shared" si="6"/>
        <v>PN27-446</v>
      </c>
      <c r="B452" s="26"/>
      <c r="C452" s="13" t="str">
        <f>IF(B452="","",IFERROR(INDEX(Catalogos!$R$5:$R$51,MATCH(B452,L_AREAS,0)),""))</f>
        <v/>
      </c>
      <c r="D452" s="13" t="str">
        <f>IF(B452="","",IFERROR(INDEX(Catalogos!$O$5:$O$51,MATCH(B452,L_AREAS,0)),""))</f>
        <v/>
      </c>
      <c r="E452" s="26"/>
      <c r="F452" s="13" t="str">
        <f>IF(E452="","",IFERROR(INDEX(Catalogos!$C$5:$C$49,MATCH(E452,L_METAS,0)),""))</f>
        <v/>
      </c>
      <c r="G452" s="13" t="str">
        <f>IF(E452="","",IFERROR(INDEX(Catalogos!$E$5:$E$49,MATCH(E452,L_METAS,0)),""))</f>
        <v/>
      </c>
      <c r="H452" s="26"/>
      <c r="I452" s="26"/>
      <c r="J452" s="26"/>
      <c r="K452" s="26"/>
      <c r="L452" s="26"/>
      <c r="M452" s="27"/>
      <c r="N452" s="26"/>
      <c r="O452" s="26"/>
      <c r="P452" s="26"/>
      <c r="Q452" s="26"/>
      <c r="R452" s="26"/>
      <c r="S452" s="26"/>
      <c r="T452" s="26"/>
      <c r="U452" s="26"/>
      <c r="V452" s="26"/>
      <c r="W452" s="28"/>
      <c r="X452" s="28"/>
      <c r="Y452" s="26"/>
      <c r="Z452" s="26"/>
      <c r="AA452" s="26"/>
      <c r="AB452" s="26"/>
      <c r="AC452" s="26"/>
      <c r="AD452" s="26"/>
      <c r="AE452" s="26"/>
      <c r="AF452" s="26"/>
      <c r="AG452" s="26"/>
      <c r="AH452" s="26"/>
      <c r="AI452" s="26"/>
      <c r="AJ452" s="15" t="str">
        <f>IF(COUNTA(B452,E452,H452,I452,J452,K452,L452,M452,N452,O452,P452,Q452,R452,S452,T452,U452,V452,W452,X452,Y452,Z452,AA452,AB452,AC452,AD452,AE452,AF452,AG452,AH452,AI452)=0,"",IF(OR(B452="",E452="",H452="",J452="",K452="",L452="",M452="",O452="",P452="",Q452="",R452="",S452="",T452="",U452="",W452="",X452="",Y452="",AB452="",AC452="",AE452="",AF452=""),"Incompleta: faltan campos obligatorios",IF(AND(LEFT(H452,6)="PROPIA",I452=""),"Falta el nombre de la acción propia del área",IF(AND(LEFT(H452,3)="A27",IFERROR(INDEX(Catalogos!$T$5:$T$207,MATCH(H452,Catalogos!$U$5:$U$207,0)),"x")&lt;&gt;LEFT(E452,7)),"La acción no corresponde a la meta seleccionada",IF(OR(NOT(ISNUMBER(M452)),M452&lt;10000000,M452&gt;99999999),"Código UNSPSC inválido: registre 8 dígitos",IF(MOD(M452,10000)=0,"UNSPSC a nivel de segmento o familia: use clase o producto",IF(IFERROR(MATCH(P452,L_MESES,0)&lt;MATCH(O452,L_MESES,0),TRUE()),"El mes de ofertas es anterior al de inicio del proceso",IF(OR(NOT(ISNUMBER(Q452)),Q452&lt;=0),"Duración inválida",IF(OR(NOT(ISNUMBER(W452)),NOT(ISNUMBER(X452))),"Valor inválido: registre solo números",IF(OR(W452&lt;=0,X452&lt;=0),"Valor inválido: debe ser mayor que cero",IF(X452&gt;W452,"El valor de la vigencia 2027 supera el valor total",IF(AND(X452&lt;W452,Y452="No"),"El valor total supera el de 2027: requiere vigencias futuras",IF(AND(Y452="Sí",OR(Z452="",Z452="No aplica")),"Indique el estado de la solicitud de vigencias futuras",IF(IF(AND(S452="Mínima cuantía",ISNUMBER(P_TOPE_MINIMA)),W452&gt;P_TOPE_MINIMA,FALSE()),"El valor supera el tope de mínima cuantía 2027",IF(IF(AND(S452="Selección abreviada de menor cuantía",ISNUMBER(P_TOPE_MENOR)),W452&gt;P_TOPE_MENOR,FALSE()),"El valor supera el tope de menor cuantía 2027",IF(OR(ISERROR(SEARCH("@itc.edu.co",AE452)),SUMPRODUCT(--ISNUMBER(SEARCH({"á","é","í","ó","ú","ñ"," "},AE452)))&gt;0),"El correo del responsable no es institucional válido",IF(AND(AF452="Sí",AG452=""),"Indique el N.° de registro 2026 que continúa","OK")))))))))))))))))</f>
        <v/>
      </c>
      <c r="AK452" s="15" t="str">
        <f>IF(AJ452="OK",COUNTIF($AJ$7:AJ452,"OK"),"")</f>
        <v/>
      </c>
    </row>
    <row r="453" spans="1:37" x14ac:dyDescent="0.3">
      <c r="A453" s="13" t="str">
        <f t="shared" si="6"/>
        <v>PN27-447</v>
      </c>
      <c r="B453" s="26"/>
      <c r="C453" s="13" t="str">
        <f>IF(B453="","",IFERROR(INDEX(Catalogos!$R$5:$R$51,MATCH(B453,L_AREAS,0)),""))</f>
        <v/>
      </c>
      <c r="D453" s="13" t="str">
        <f>IF(B453="","",IFERROR(INDEX(Catalogos!$O$5:$O$51,MATCH(B453,L_AREAS,0)),""))</f>
        <v/>
      </c>
      <c r="E453" s="26"/>
      <c r="F453" s="13" t="str">
        <f>IF(E453="","",IFERROR(INDEX(Catalogos!$C$5:$C$49,MATCH(E453,L_METAS,0)),""))</f>
        <v/>
      </c>
      <c r="G453" s="13" t="str">
        <f>IF(E453="","",IFERROR(INDEX(Catalogos!$E$5:$E$49,MATCH(E453,L_METAS,0)),""))</f>
        <v/>
      </c>
      <c r="H453" s="26"/>
      <c r="I453" s="26"/>
      <c r="J453" s="26"/>
      <c r="K453" s="26"/>
      <c r="L453" s="26"/>
      <c r="M453" s="27"/>
      <c r="N453" s="26"/>
      <c r="O453" s="26"/>
      <c r="P453" s="26"/>
      <c r="Q453" s="26"/>
      <c r="R453" s="26"/>
      <c r="S453" s="26"/>
      <c r="T453" s="26"/>
      <c r="U453" s="26"/>
      <c r="V453" s="26"/>
      <c r="W453" s="28"/>
      <c r="X453" s="28"/>
      <c r="Y453" s="26"/>
      <c r="Z453" s="26"/>
      <c r="AA453" s="26"/>
      <c r="AB453" s="26"/>
      <c r="AC453" s="26"/>
      <c r="AD453" s="26"/>
      <c r="AE453" s="26"/>
      <c r="AF453" s="26"/>
      <c r="AG453" s="26"/>
      <c r="AH453" s="26"/>
      <c r="AI453" s="26"/>
      <c r="AJ453" s="15" t="str">
        <f>IF(COUNTA(B453,E453,H453,I453,J453,K453,L453,M453,N453,O453,P453,Q453,R453,S453,T453,U453,V453,W453,X453,Y453,Z453,AA453,AB453,AC453,AD453,AE453,AF453,AG453,AH453,AI453)=0,"",IF(OR(B453="",E453="",H453="",J453="",K453="",L453="",M453="",O453="",P453="",Q453="",R453="",S453="",T453="",U453="",W453="",X453="",Y453="",AB453="",AC453="",AE453="",AF453=""),"Incompleta: faltan campos obligatorios",IF(AND(LEFT(H453,6)="PROPIA",I453=""),"Falta el nombre de la acción propia del área",IF(AND(LEFT(H453,3)="A27",IFERROR(INDEX(Catalogos!$T$5:$T$207,MATCH(H453,Catalogos!$U$5:$U$207,0)),"x")&lt;&gt;LEFT(E453,7)),"La acción no corresponde a la meta seleccionada",IF(OR(NOT(ISNUMBER(M453)),M453&lt;10000000,M453&gt;99999999),"Código UNSPSC inválido: registre 8 dígitos",IF(MOD(M453,10000)=0,"UNSPSC a nivel de segmento o familia: use clase o producto",IF(IFERROR(MATCH(P453,L_MESES,0)&lt;MATCH(O453,L_MESES,0),TRUE()),"El mes de ofertas es anterior al de inicio del proceso",IF(OR(NOT(ISNUMBER(Q453)),Q453&lt;=0),"Duración inválida",IF(OR(NOT(ISNUMBER(W453)),NOT(ISNUMBER(X453))),"Valor inválido: registre solo números",IF(OR(W453&lt;=0,X453&lt;=0),"Valor inválido: debe ser mayor que cero",IF(X453&gt;W453,"El valor de la vigencia 2027 supera el valor total",IF(AND(X453&lt;W453,Y453="No"),"El valor total supera el de 2027: requiere vigencias futuras",IF(AND(Y453="Sí",OR(Z453="",Z453="No aplica")),"Indique el estado de la solicitud de vigencias futuras",IF(IF(AND(S453="Mínima cuantía",ISNUMBER(P_TOPE_MINIMA)),W453&gt;P_TOPE_MINIMA,FALSE()),"El valor supera el tope de mínima cuantía 2027",IF(IF(AND(S453="Selección abreviada de menor cuantía",ISNUMBER(P_TOPE_MENOR)),W453&gt;P_TOPE_MENOR,FALSE()),"El valor supera el tope de menor cuantía 2027",IF(OR(ISERROR(SEARCH("@itc.edu.co",AE453)),SUMPRODUCT(--ISNUMBER(SEARCH({"á","é","í","ó","ú","ñ"," "},AE453)))&gt;0),"El correo del responsable no es institucional válido",IF(AND(AF453="Sí",AG453=""),"Indique el N.° de registro 2026 que continúa","OK")))))))))))))))))</f>
        <v/>
      </c>
      <c r="AK453" s="15" t="str">
        <f>IF(AJ453="OK",COUNTIF($AJ$7:AJ453,"OK"),"")</f>
        <v/>
      </c>
    </row>
    <row r="454" spans="1:37" x14ac:dyDescent="0.3">
      <c r="A454" s="13" t="str">
        <f t="shared" si="6"/>
        <v>PN27-448</v>
      </c>
      <c r="B454" s="26"/>
      <c r="C454" s="13" t="str">
        <f>IF(B454="","",IFERROR(INDEX(Catalogos!$R$5:$R$51,MATCH(B454,L_AREAS,0)),""))</f>
        <v/>
      </c>
      <c r="D454" s="13" t="str">
        <f>IF(B454="","",IFERROR(INDEX(Catalogos!$O$5:$O$51,MATCH(B454,L_AREAS,0)),""))</f>
        <v/>
      </c>
      <c r="E454" s="26"/>
      <c r="F454" s="13" t="str">
        <f>IF(E454="","",IFERROR(INDEX(Catalogos!$C$5:$C$49,MATCH(E454,L_METAS,0)),""))</f>
        <v/>
      </c>
      <c r="G454" s="13" t="str">
        <f>IF(E454="","",IFERROR(INDEX(Catalogos!$E$5:$E$49,MATCH(E454,L_METAS,0)),""))</f>
        <v/>
      </c>
      <c r="H454" s="26"/>
      <c r="I454" s="26"/>
      <c r="J454" s="26"/>
      <c r="K454" s="26"/>
      <c r="L454" s="26"/>
      <c r="M454" s="27"/>
      <c r="N454" s="26"/>
      <c r="O454" s="26"/>
      <c r="P454" s="26"/>
      <c r="Q454" s="26"/>
      <c r="R454" s="26"/>
      <c r="S454" s="26"/>
      <c r="T454" s="26"/>
      <c r="U454" s="26"/>
      <c r="V454" s="26"/>
      <c r="W454" s="28"/>
      <c r="X454" s="28"/>
      <c r="Y454" s="26"/>
      <c r="Z454" s="26"/>
      <c r="AA454" s="26"/>
      <c r="AB454" s="26"/>
      <c r="AC454" s="26"/>
      <c r="AD454" s="26"/>
      <c r="AE454" s="26"/>
      <c r="AF454" s="26"/>
      <c r="AG454" s="26"/>
      <c r="AH454" s="26"/>
      <c r="AI454" s="26"/>
      <c r="AJ454" s="15" t="str">
        <f>IF(COUNTA(B454,E454,H454,I454,J454,K454,L454,M454,N454,O454,P454,Q454,R454,S454,T454,U454,V454,W454,X454,Y454,Z454,AA454,AB454,AC454,AD454,AE454,AF454,AG454,AH454,AI454)=0,"",IF(OR(B454="",E454="",H454="",J454="",K454="",L454="",M454="",O454="",P454="",Q454="",R454="",S454="",T454="",U454="",W454="",X454="",Y454="",AB454="",AC454="",AE454="",AF454=""),"Incompleta: faltan campos obligatorios",IF(AND(LEFT(H454,6)="PROPIA",I454=""),"Falta el nombre de la acción propia del área",IF(AND(LEFT(H454,3)="A27",IFERROR(INDEX(Catalogos!$T$5:$T$207,MATCH(H454,Catalogos!$U$5:$U$207,0)),"x")&lt;&gt;LEFT(E454,7)),"La acción no corresponde a la meta seleccionada",IF(OR(NOT(ISNUMBER(M454)),M454&lt;10000000,M454&gt;99999999),"Código UNSPSC inválido: registre 8 dígitos",IF(MOD(M454,10000)=0,"UNSPSC a nivel de segmento o familia: use clase o producto",IF(IFERROR(MATCH(P454,L_MESES,0)&lt;MATCH(O454,L_MESES,0),TRUE()),"El mes de ofertas es anterior al de inicio del proceso",IF(OR(NOT(ISNUMBER(Q454)),Q454&lt;=0),"Duración inválida",IF(OR(NOT(ISNUMBER(W454)),NOT(ISNUMBER(X454))),"Valor inválido: registre solo números",IF(OR(W454&lt;=0,X454&lt;=0),"Valor inválido: debe ser mayor que cero",IF(X454&gt;W454,"El valor de la vigencia 2027 supera el valor total",IF(AND(X454&lt;W454,Y454="No"),"El valor total supera el de 2027: requiere vigencias futuras",IF(AND(Y454="Sí",OR(Z454="",Z454="No aplica")),"Indique el estado de la solicitud de vigencias futuras",IF(IF(AND(S454="Mínima cuantía",ISNUMBER(P_TOPE_MINIMA)),W454&gt;P_TOPE_MINIMA,FALSE()),"El valor supera el tope de mínima cuantía 2027",IF(IF(AND(S454="Selección abreviada de menor cuantía",ISNUMBER(P_TOPE_MENOR)),W454&gt;P_TOPE_MENOR,FALSE()),"El valor supera el tope de menor cuantía 2027",IF(OR(ISERROR(SEARCH("@itc.edu.co",AE454)),SUMPRODUCT(--ISNUMBER(SEARCH({"á","é","í","ó","ú","ñ"," "},AE454)))&gt;0),"El correo del responsable no es institucional válido",IF(AND(AF454="Sí",AG454=""),"Indique el N.° de registro 2026 que continúa","OK")))))))))))))))))</f>
        <v/>
      </c>
      <c r="AK454" s="15" t="str">
        <f>IF(AJ454="OK",COUNTIF($AJ$7:AJ454,"OK"),"")</f>
        <v/>
      </c>
    </row>
    <row r="455" spans="1:37" x14ac:dyDescent="0.3">
      <c r="A455" s="13" t="str">
        <f t="shared" ref="A455:A506" si="7">"PN27-"&amp;TEXT(ROW()-6,"000")</f>
        <v>PN27-449</v>
      </c>
      <c r="B455" s="26"/>
      <c r="C455" s="13" t="str">
        <f>IF(B455="","",IFERROR(INDEX(Catalogos!$R$5:$R$51,MATCH(B455,L_AREAS,0)),""))</f>
        <v/>
      </c>
      <c r="D455" s="13" t="str">
        <f>IF(B455="","",IFERROR(INDEX(Catalogos!$O$5:$O$51,MATCH(B455,L_AREAS,0)),""))</f>
        <v/>
      </c>
      <c r="E455" s="26"/>
      <c r="F455" s="13" t="str">
        <f>IF(E455="","",IFERROR(INDEX(Catalogos!$C$5:$C$49,MATCH(E455,L_METAS,0)),""))</f>
        <v/>
      </c>
      <c r="G455" s="13" t="str">
        <f>IF(E455="","",IFERROR(INDEX(Catalogos!$E$5:$E$49,MATCH(E455,L_METAS,0)),""))</f>
        <v/>
      </c>
      <c r="H455" s="26"/>
      <c r="I455" s="26"/>
      <c r="J455" s="26"/>
      <c r="K455" s="26"/>
      <c r="L455" s="26"/>
      <c r="M455" s="27"/>
      <c r="N455" s="26"/>
      <c r="O455" s="26"/>
      <c r="P455" s="26"/>
      <c r="Q455" s="26"/>
      <c r="R455" s="26"/>
      <c r="S455" s="26"/>
      <c r="T455" s="26"/>
      <c r="U455" s="26"/>
      <c r="V455" s="26"/>
      <c r="W455" s="28"/>
      <c r="X455" s="28"/>
      <c r="Y455" s="26"/>
      <c r="Z455" s="26"/>
      <c r="AA455" s="26"/>
      <c r="AB455" s="26"/>
      <c r="AC455" s="26"/>
      <c r="AD455" s="26"/>
      <c r="AE455" s="26"/>
      <c r="AF455" s="26"/>
      <c r="AG455" s="26"/>
      <c r="AH455" s="26"/>
      <c r="AI455" s="26"/>
      <c r="AJ455" s="15" t="str">
        <f>IF(COUNTA(B455,E455,H455,I455,J455,K455,L455,M455,N455,O455,P455,Q455,R455,S455,T455,U455,V455,W455,X455,Y455,Z455,AA455,AB455,AC455,AD455,AE455,AF455,AG455,AH455,AI455)=0,"",IF(OR(B455="",E455="",H455="",J455="",K455="",L455="",M455="",O455="",P455="",Q455="",R455="",S455="",T455="",U455="",W455="",X455="",Y455="",AB455="",AC455="",AE455="",AF455=""),"Incompleta: faltan campos obligatorios",IF(AND(LEFT(H455,6)="PROPIA",I455=""),"Falta el nombre de la acción propia del área",IF(AND(LEFT(H455,3)="A27",IFERROR(INDEX(Catalogos!$T$5:$T$207,MATCH(H455,Catalogos!$U$5:$U$207,0)),"x")&lt;&gt;LEFT(E455,7)),"La acción no corresponde a la meta seleccionada",IF(OR(NOT(ISNUMBER(M455)),M455&lt;10000000,M455&gt;99999999),"Código UNSPSC inválido: registre 8 dígitos",IF(MOD(M455,10000)=0,"UNSPSC a nivel de segmento o familia: use clase o producto",IF(IFERROR(MATCH(P455,L_MESES,0)&lt;MATCH(O455,L_MESES,0),TRUE()),"El mes de ofertas es anterior al de inicio del proceso",IF(OR(NOT(ISNUMBER(Q455)),Q455&lt;=0),"Duración inválida",IF(OR(NOT(ISNUMBER(W455)),NOT(ISNUMBER(X455))),"Valor inválido: registre solo números",IF(OR(W455&lt;=0,X455&lt;=0),"Valor inválido: debe ser mayor que cero",IF(X455&gt;W455,"El valor de la vigencia 2027 supera el valor total",IF(AND(X455&lt;W455,Y455="No"),"El valor total supera el de 2027: requiere vigencias futuras",IF(AND(Y455="Sí",OR(Z455="",Z455="No aplica")),"Indique el estado de la solicitud de vigencias futuras",IF(IF(AND(S455="Mínima cuantía",ISNUMBER(P_TOPE_MINIMA)),W455&gt;P_TOPE_MINIMA,FALSE()),"El valor supera el tope de mínima cuantía 2027",IF(IF(AND(S455="Selección abreviada de menor cuantía",ISNUMBER(P_TOPE_MENOR)),W455&gt;P_TOPE_MENOR,FALSE()),"El valor supera el tope de menor cuantía 2027",IF(OR(ISERROR(SEARCH("@itc.edu.co",AE455)),SUMPRODUCT(--ISNUMBER(SEARCH({"á","é","í","ó","ú","ñ"," "},AE455)))&gt;0),"El correo del responsable no es institucional válido",IF(AND(AF455="Sí",AG455=""),"Indique el N.° de registro 2026 que continúa","OK")))))))))))))))))</f>
        <v/>
      </c>
      <c r="AK455" s="15" t="str">
        <f>IF(AJ455="OK",COUNTIF($AJ$7:AJ455,"OK"),"")</f>
        <v/>
      </c>
    </row>
    <row r="456" spans="1:37" x14ac:dyDescent="0.3">
      <c r="A456" s="13" t="str">
        <f t="shared" si="7"/>
        <v>PN27-450</v>
      </c>
      <c r="B456" s="26"/>
      <c r="C456" s="13" t="str">
        <f>IF(B456="","",IFERROR(INDEX(Catalogos!$R$5:$R$51,MATCH(B456,L_AREAS,0)),""))</f>
        <v/>
      </c>
      <c r="D456" s="13" t="str">
        <f>IF(B456="","",IFERROR(INDEX(Catalogos!$O$5:$O$51,MATCH(B456,L_AREAS,0)),""))</f>
        <v/>
      </c>
      <c r="E456" s="26"/>
      <c r="F456" s="13" t="str">
        <f>IF(E456="","",IFERROR(INDEX(Catalogos!$C$5:$C$49,MATCH(E456,L_METAS,0)),""))</f>
        <v/>
      </c>
      <c r="G456" s="13" t="str">
        <f>IF(E456="","",IFERROR(INDEX(Catalogos!$E$5:$E$49,MATCH(E456,L_METAS,0)),""))</f>
        <v/>
      </c>
      <c r="H456" s="26"/>
      <c r="I456" s="26"/>
      <c r="J456" s="26"/>
      <c r="K456" s="26"/>
      <c r="L456" s="26"/>
      <c r="M456" s="27"/>
      <c r="N456" s="26"/>
      <c r="O456" s="26"/>
      <c r="P456" s="26"/>
      <c r="Q456" s="26"/>
      <c r="R456" s="26"/>
      <c r="S456" s="26"/>
      <c r="T456" s="26"/>
      <c r="U456" s="26"/>
      <c r="V456" s="26"/>
      <c r="W456" s="28"/>
      <c r="X456" s="28"/>
      <c r="Y456" s="26"/>
      <c r="Z456" s="26"/>
      <c r="AA456" s="26"/>
      <c r="AB456" s="26"/>
      <c r="AC456" s="26"/>
      <c r="AD456" s="26"/>
      <c r="AE456" s="26"/>
      <c r="AF456" s="26"/>
      <c r="AG456" s="26"/>
      <c r="AH456" s="26"/>
      <c r="AI456" s="26"/>
      <c r="AJ456" s="15" t="str">
        <f>IF(COUNTA(B456,E456,H456,I456,J456,K456,L456,M456,N456,O456,P456,Q456,R456,S456,T456,U456,V456,W456,X456,Y456,Z456,AA456,AB456,AC456,AD456,AE456,AF456,AG456,AH456,AI456)=0,"",IF(OR(B456="",E456="",H456="",J456="",K456="",L456="",M456="",O456="",P456="",Q456="",R456="",S456="",T456="",U456="",W456="",X456="",Y456="",AB456="",AC456="",AE456="",AF456=""),"Incompleta: faltan campos obligatorios",IF(AND(LEFT(H456,6)="PROPIA",I456=""),"Falta el nombre de la acción propia del área",IF(AND(LEFT(H456,3)="A27",IFERROR(INDEX(Catalogos!$T$5:$T$207,MATCH(H456,Catalogos!$U$5:$U$207,0)),"x")&lt;&gt;LEFT(E456,7)),"La acción no corresponde a la meta seleccionada",IF(OR(NOT(ISNUMBER(M456)),M456&lt;10000000,M456&gt;99999999),"Código UNSPSC inválido: registre 8 dígitos",IF(MOD(M456,10000)=0,"UNSPSC a nivel de segmento o familia: use clase o producto",IF(IFERROR(MATCH(P456,L_MESES,0)&lt;MATCH(O456,L_MESES,0),TRUE()),"El mes de ofertas es anterior al de inicio del proceso",IF(OR(NOT(ISNUMBER(Q456)),Q456&lt;=0),"Duración inválida",IF(OR(NOT(ISNUMBER(W456)),NOT(ISNUMBER(X456))),"Valor inválido: registre solo números",IF(OR(W456&lt;=0,X456&lt;=0),"Valor inválido: debe ser mayor que cero",IF(X456&gt;W456,"El valor de la vigencia 2027 supera el valor total",IF(AND(X456&lt;W456,Y456="No"),"El valor total supera el de 2027: requiere vigencias futuras",IF(AND(Y456="Sí",OR(Z456="",Z456="No aplica")),"Indique el estado de la solicitud de vigencias futuras",IF(IF(AND(S456="Mínima cuantía",ISNUMBER(P_TOPE_MINIMA)),W456&gt;P_TOPE_MINIMA,FALSE()),"El valor supera el tope de mínima cuantía 2027",IF(IF(AND(S456="Selección abreviada de menor cuantía",ISNUMBER(P_TOPE_MENOR)),W456&gt;P_TOPE_MENOR,FALSE()),"El valor supera el tope de menor cuantía 2027",IF(OR(ISERROR(SEARCH("@itc.edu.co",AE456)),SUMPRODUCT(--ISNUMBER(SEARCH({"á","é","í","ó","ú","ñ"," "},AE456)))&gt;0),"El correo del responsable no es institucional válido",IF(AND(AF456="Sí",AG456=""),"Indique el N.° de registro 2026 que continúa","OK")))))))))))))))))</f>
        <v/>
      </c>
      <c r="AK456" s="15" t="str">
        <f>IF(AJ456="OK",COUNTIF($AJ$7:AJ456,"OK"),"")</f>
        <v/>
      </c>
    </row>
    <row r="457" spans="1:37" x14ac:dyDescent="0.3">
      <c r="A457" s="13" t="str">
        <f t="shared" si="7"/>
        <v>PN27-451</v>
      </c>
      <c r="B457" s="26"/>
      <c r="C457" s="13" t="str">
        <f>IF(B457="","",IFERROR(INDEX(Catalogos!$R$5:$R$51,MATCH(B457,L_AREAS,0)),""))</f>
        <v/>
      </c>
      <c r="D457" s="13" t="str">
        <f>IF(B457="","",IFERROR(INDEX(Catalogos!$O$5:$O$51,MATCH(B457,L_AREAS,0)),""))</f>
        <v/>
      </c>
      <c r="E457" s="26"/>
      <c r="F457" s="13" t="str">
        <f>IF(E457="","",IFERROR(INDEX(Catalogos!$C$5:$C$49,MATCH(E457,L_METAS,0)),""))</f>
        <v/>
      </c>
      <c r="G457" s="13" t="str">
        <f>IF(E457="","",IFERROR(INDEX(Catalogos!$E$5:$E$49,MATCH(E457,L_METAS,0)),""))</f>
        <v/>
      </c>
      <c r="H457" s="26"/>
      <c r="I457" s="26"/>
      <c r="J457" s="26"/>
      <c r="K457" s="26"/>
      <c r="L457" s="26"/>
      <c r="M457" s="27"/>
      <c r="N457" s="26"/>
      <c r="O457" s="26"/>
      <c r="P457" s="26"/>
      <c r="Q457" s="26"/>
      <c r="R457" s="26"/>
      <c r="S457" s="26"/>
      <c r="T457" s="26"/>
      <c r="U457" s="26"/>
      <c r="V457" s="26"/>
      <c r="W457" s="28"/>
      <c r="X457" s="28"/>
      <c r="Y457" s="26"/>
      <c r="Z457" s="26"/>
      <c r="AA457" s="26"/>
      <c r="AB457" s="26"/>
      <c r="AC457" s="26"/>
      <c r="AD457" s="26"/>
      <c r="AE457" s="26"/>
      <c r="AF457" s="26"/>
      <c r="AG457" s="26"/>
      <c r="AH457" s="26"/>
      <c r="AI457" s="26"/>
      <c r="AJ457" s="15" t="str">
        <f>IF(COUNTA(B457,E457,H457,I457,J457,K457,L457,M457,N457,O457,P457,Q457,R457,S457,T457,U457,V457,W457,X457,Y457,Z457,AA457,AB457,AC457,AD457,AE457,AF457,AG457,AH457,AI457)=0,"",IF(OR(B457="",E457="",H457="",J457="",K457="",L457="",M457="",O457="",P457="",Q457="",R457="",S457="",T457="",U457="",W457="",X457="",Y457="",AB457="",AC457="",AE457="",AF457=""),"Incompleta: faltan campos obligatorios",IF(AND(LEFT(H457,6)="PROPIA",I457=""),"Falta el nombre de la acción propia del área",IF(AND(LEFT(H457,3)="A27",IFERROR(INDEX(Catalogos!$T$5:$T$207,MATCH(H457,Catalogos!$U$5:$U$207,0)),"x")&lt;&gt;LEFT(E457,7)),"La acción no corresponde a la meta seleccionada",IF(OR(NOT(ISNUMBER(M457)),M457&lt;10000000,M457&gt;99999999),"Código UNSPSC inválido: registre 8 dígitos",IF(MOD(M457,10000)=0,"UNSPSC a nivel de segmento o familia: use clase o producto",IF(IFERROR(MATCH(P457,L_MESES,0)&lt;MATCH(O457,L_MESES,0),TRUE()),"El mes de ofertas es anterior al de inicio del proceso",IF(OR(NOT(ISNUMBER(Q457)),Q457&lt;=0),"Duración inválida",IF(OR(NOT(ISNUMBER(W457)),NOT(ISNUMBER(X457))),"Valor inválido: registre solo números",IF(OR(W457&lt;=0,X457&lt;=0),"Valor inválido: debe ser mayor que cero",IF(X457&gt;W457,"El valor de la vigencia 2027 supera el valor total",IF(AND(X457&lt;W457,Y457="No"),"El valor total supera el de 2027: requiere vigencias futuras",IF(AND(Y457="Sí",OR(Z457="",Z457="No aplica")),"Indique el estado de la solicitud de vigencias futuras",IF(IF(AND(S457="Mínima cuantía",ISNUMBER(P_TOPE_MINIMA)),W457&gt;P_TOPE_MINIMA,FALSE()),"El valor supera el tope de mínima cuantía 2027",IF(IF(AND(S457="Selección abreviada de menor cuantía",ISNUMBER(P_TOPE_MENOR)),W457&gt;P_TOPE_MENOR,FALSE()),"El valor supera el tope de menor cuantía 2027",IF(OR(ISERROR(SEARCH("@itc.edu.co",AE457)),SUMPRODUCT(--ISNUMBER(SEARCH({"á","é","í","ó","ú","ñ"," "},AE457)))&gt;0),"El correo del responsable no es institucional válido",IF(AND(AF457="Sí",AG457=""),"Indique el N.° de registro 2026 que continúa","OK")))))))))))))))))</f>
        <v/>
      </c>
      <c r="AK457" s="15" t="str">
        <f>IF(AJ457="OK",COUNTIF($AJ$7:AJ457,"OK"),"")</f>
        <v/>
      </c>
    </row>
    <row r="458" spans="1:37" x14ac:dyDescent="0.3">
      <c r="A458" s="13" t="str">
        <f t="shared" si="7"/>
        <v>PN27-452</v>
      </c>
      <c r="B458" s="26"/>
      <c r="C458" s="13" t="str">
        <f>IF(B458="","",IFERROR(INDEX(Catalogos!$R$5:$R$51,MATCH(B458,L_AREAS,0)),""))</f>
        <v/>
      </c>
      <c r="D458" s="13" t="str">
        <f>IF(B458="","",IFERROR(INDEX(Catalogos!$O$5:$O$51,MATCH(B458,L_AREAS,0)),""))</f>
        <v/>
      </c>
      <c r="E458" s="26"/>
      <c r="F458" s="13" t="str">
        <f>IF(E458="","",IFERROR(INDEX(Catalogos!$C$5:$C$49,MATCH(E458,L_METAS,0)),""))</f>
        <v/>
      </c>
      <c r="G458" s="13" t="str">
        <f>IF(E458="","",IFERROR(INDEX(Catalogos!$E$5:$E$49,MATCH(E458,L_METAS,0)),""))</f>
        <v/>
      </c>
      <c r="H458" s="26"/>
      <c r="I458" s="26"/>
      <c r="J458" s="26"/>
      <c r="K458" s="26"/>
      <c r="L458" s="26"/>
      <c r="M458" s="27"/>
      <c r="N458" s="26"/>
      <c r="O458" s="26"/>
      <c r="P458" s="26"/>
      <c r="Q458" s="26"/>
      <c r="R458" s="26"/>
      <c r="S458" s="26"/>
      <c r="T458" s="26"/>
      <c r="U458" s="26"/>
      <c r="V458" s="26"/>
      <c r="W458" s="28"/>
      <c r="X458" s="28"/>
      <c r="Y458" s="26"/>
      <c r="Z458" s="26"/>
      <c r="AA458" s="26"/>
      <c r="AB458" s="26"/>
      <c r="AC458" s="26"/>
      <c r="AD458" s="26"/>
      <c r="AE458" s="26"/>
      <c r="AF458" s="26"/>
      <c r="AG458" s="26"/>
      <c r="AH458" s="26"/>
      <c r="AI458" s="26"/>
      <c r="AJ458" s="15" t="str">
        <f>IF(COUNTA(B458,E458,H458,I458,J458,K458,L458,M458,N458,O458,P458,Q458,R458,S458,T458,U458,V458,W458,X458,Y458,Z458,AA458,AB458,AC458,AD458,AE458,AF458,AG458,AH458,AI458)=0,"",IF(OR(B458="",E458="",H458="",J458="",K458="",L458="",M458="",O458="",P458="",Q458="",R458="",S458="",T458="",U458="",W458="",X458="",Y458="",AB458="",AC458="",AE458="",AF458=""),"Incompleta: faltan campos obligatorios",IF(AND(LEFT(H458,6)="PROPIA",I458=""),"Falta el nombre de la acción propia del área",IF(AND(LEFT(H458,3)="A27",IFERROR(INDEX(Catalogos!$T$5:$T$207,MATCH(H458,Catalogos!$U$5:$U$207,0)),"x")&lt;&gt;LEFT(E458,7)),"La acción no corresponde a la meta seleccionada",IF(OR(NOT(ISNUMBER(M458)),M458&lt;10000000,M458&gt;99999999),"Código UNSPSC inválido: registre 8 dígitos",IF(MOD(M458,10000)=0,"UNSPSC a nivel de segmento o familia: use clase o producto",IF(IFERROR(MATCH(P458,L_MESES,0)&lt;MATCH(O458,L_MESES,0),TRUE()),"El mes de ofertas es anterior al de inicio del proceso",IF(OR(NOT(ISNUMBER(Q458)),Q458&lt;=0),"Duración inválida",IF(OR(NOT(ISNUMBER(W458)),NOT(ISNUMBER(X458))),"Valor inválido: registre solo números",IF(OR(W458&lt;=0,X458&lt;=0),"Valor inválido: debe ser mayor que cero",IF(X458&gt;W458,"El valor de la vigencia 2027 supera el valor total",IF(AND(X458&lt;W458,Y458="No"),"El valor total supera el de 2027: requiere vigencias futuras",IF(AND(Y458="Sí",OR(Z458="",Z458="No aplica")),"Indique el estado de la solicitud de vigencias futuras",IF(IF(AND(S458="Mínima cuantía",ISNUMBER(P_TOPE_MINIMA)),W458&gt;P_TOPE_MINIMA,FALSE()),"El valor supera el tope de mínima cuantía 2027",IF(IF(AND(S458="Selección abreviada de menor cuantía",ISNUMBER(P_TOPE_MENOR)),W458&gt;P_TOPE_MENOR,FALSE()),"El valor supera el tope de menor cuantía 2027",IF(OR(ISERROR(SEARCH("@itc.edu.co",AE458)),SUMPRODUCT(--ISNUMBER(SEARCH({"á","é","í","ó","ú","ñ"," "},AE458)))&gt;0),"El correo del responsable no es institucional válido",IF(AND(AF458="Sí",AG458=""),"Indique el N.° de registro 2026 que continúa","OK")))))))))))))))))</f>
        <v/>
      </c>
      <c r="AK458" s="15" t="str">
        <f>IF(AJ458="OK",COUNTIF($AJ$7:AJ458,"OK"),"")</f>
        <v/>
      </c>
    </row>
    <row r="459" spans="1:37" x14ac:dyDescent="0.3">
      <c r="A459" s="13" t="str">
        <f t="shared" si="7"/>
        <v>PN27-453</v>
      </c>
      <c r="B459" s="26"/>
      <c r="C459" s="13" t="str">
        <f>IF(B459="","",IFERROR(INDEX(Catalogos!$R$5:$R$51,MATCH(B459,L_AREAS,0)),""))</f>
        <v/>
      </c>
      <c r="D459" s="13" t="str">
        <f>IF(B459="","",IFERROR(INDEX(Catalogos!$O$5:$O$51,MATCH(B459,L_AREAS,0)),""))</f>
        <v/>
      </c>
      <c r="E459" s="26"/>
      <c r="F459" s="13" t="str">
        <f>IF(E459="","",IFERROR(INDEX(Catalogos!$C$5:$C$49,MATCH(E459,L_METAS,0)),""))</f>
        <v/>
      </c>
      <c r="G459" s="13" t="str">
        <f>IF(E459="","",IFERROR(INDEX(Catalogos!$E$5:$E$49,MATCH(E459,L_METAS,0)),""))</f>
        <v/>
      </c>
      <c r="H459" s="26"/>
      <c r="I459" s="26"/>
      <c r="J459" s="26"/>
      <c r="K459" s="26"/>
      <c r="L459" s="26"/>
      <c r="M459" s="27"/>
      <c r="N459" s="26"/>
      <c r="O459" s="26"/>
      <c r="P459" s="26"/>
      <c r="Q459" s="26"/>
      <c r="R459" s="26"/>
      <c r="S459" s="26"/>
      <c r="T459" s="26"/>
      <c r="U459" s="26"/>
      <c r="V459" s="26"/>
      <c r="W459" s="28"/>
      <c r="X459" s="28"/>
      <c r="Y459" s="26"/>
      <c r="Z459" s="26"/>
      <c r="AA459" s="26"/>
      <c r="AB459" s="26"/>
      <c r="AC459" s="26"/>
      <c r="AD459" s="26"/>
      <c r="AE459" s="26"/>
      <c r="AF459" s="26"/>
      <c r="AG459" s="26"/>
      <c r="AH459" s="26"/>
      <c r="AI459" s="26"/>
      <c r="AJ459" s="15" t="str">
        <f>IF(COUNTA(B459,E459,H459,I459,J459,K459,L459,M459,N459,O459,P459,Q459,R459,S459,T459,U459,V459,W459,X459,Y459,Z459,AA459,AB459,AC459,AD459,AE459,AF459,AG459,AH459,AI459)=0,"",IF(OR(B459="",E459="",H459="",J459="",K459="",L459="",M459="",O459="",P459="",Q459="",R459="",S459="",T459="",U459="",W459="",X459="",Y459="",AB459="",AC459="",AE459="",AF459=""),"Incompleta: faltan campos obligatorios",IF(AND(LEFT(H459,6)="PROPIA",I459=""),"Falta el nombre de la acción propia del área",IF(AND(LEFT(H459,3)="A27",IFERROR(INDEX(Catalogos!$T$5:$T$207,MATCH(H459,Catalogos!$U$5:$U$207,0)),"x")&lt;&gt;LEFT(E459,7)),"La acción no corresponde a la meta seleccionada",IF(OR(NOT(ISNUMBER(M459)),M459&lt;10000000,M459&gt;99999999),"Código UNSPSC inválido: registre 8 dígitos",IF(MOD(M459,10000)=0,"UNSPSC a nivel de segmento o familia: use clase o producto",IF(IFERROR(MATCH(P459,L_MESES,0)&lt;MATCH(O459,L_MESES,0),TRUE()),"El mes de ofertas es anterior al de inicio del proceso",IF(OR(NOT(ISNUMBER(Q459)),Q459&lt;=0),"Duración inválida",IF(OR(NOT(ISNUMBER(W459)),NOT(ISNUMBER(X459))),"Valor inválido: registre solo números",IF(OR(W459&lt;=0,X459&lt;=0),"Valor inválido: debe ser mayor que cero",IF(X459&gt;W459,"El valor de la vigencia 2027 supera el valor total",IF(AND(X459&lt;W459,Y459="No"),"El valor total supera el de 2027: requiere vigencias futuras",IF(AND(Y459="Sí",OR(Z459="",Z459="No aplica")),"Indique el estado de la solicitud de vigencias futuras",IF(IF(AND(S459="Mínima cuantía",ISNUMBER(P_TOPE_MINIMA)),W459&gt;P_TOPE_MINIMA,FALSE()),"El valor supera el tope de mínima cuantía 2027",IF(IF(AND(S459="Selección abreviada de menor cuantía",ISNUMBER(P_TOPE_MENOR)),W459&gt;P_TOPE_MENOR,FALSE()),"El valor supera el tope de menor cuantía 2027",IF(OR(ISERROR(SEARCH("@itc.edu.co",AE459)),SUMPRODUCT(--ISNUMBER(SEARCH({"á","é","í","ó","ú","ñ"," "},AE459)))&gt;0),"El correo del responsable no es institucional válido",IF(AND(AF459="Sí",AG459=""),"Indique el N.° de registro 2026 que continúa","OK")))))))))))))))))</f>
        <v/>
      </c>
      <c r="AK459" s="15" t="str">
        <f>IF(AJ459="OK",COUNTIF($AJ$7:AJ459,"OK"),"")</f>
        <v/>
      </c>
    </row>
    <row r="460" spans="1:37" x14ac:dyDescent="0.3">
      <c r="A460" s="13" t="str">
        <f t="shared" si="7"/>
        <v>PN27-454</v>
      </c>
      <c r="B460" s="26"/>
      <c r="C460" s="13" t="str">
        <f>IF(B460="","",IFERROR(INDEX(Catalogos!$R$5:$R$51,MATCH(B460,L_AREAS,0)),""))</f>
        <v/>
      </c>
      <c r="D460" s="13" t="str">
        <f>IF(B460="","",IFERROR(INDEX(Catalogos!$O$5:$O$51,MATCH(B460,L_AREAS,0)),""))</f>
        <v/>
      </c>
      <c r="E460" s="26"/>
      <c r="F460" s="13" t="str">
        <f>IF(E460="","",IFERROR(INDEX(Catalogos!$C$5:$C$49,MATCH(E460,L_METAS,0)),""))</f>
        <v/>
      </c>
      <c r="G460" s="13" t="str">
        <f>IF(E460="","",IFERROR(INDEX(Catalogos!$E$5:$E$49,MATCH(E460,L_METAS,0)),""))</f>
        <v/>
      </c>
      <c r="H460" s="26"/>
      <c r="I460" s="26"/>
      <c r="J460" s="26"/>
      <c r="K460" s="26"/>
      <c r="L460" s="26"/>
      <c r="M460" s="27"/>
      <c r="N460" s="26"/>
      <c r="O460" s="26"/>
      <c r="P460" s="26"/>
      <c r="Q460" s="26"/>
      <c r="R460" s="26"/>
      <c r="S460" s="26"/>
      <c r="T460" s="26"/>
      <c r="U460" s="26"/>
      <c r="V460" s="26"/>
      <c r="W460" s="28"/>
      <c r="X460" s="28"/>
      <c r="Y460" s="26"/>
      <c r="Z460" s="26"/>
      <c r="AA460" s="26"/>
      <c r="AB460" s="26"/>
      <c r="AC460" s="26"/>
      <c r="AD460" s="26"/>
      <c r="AE460" s="26"/>
      <c r="AF460" s="26"/>
      <c r="AG460" s="26"/>
      <c r="AH460" s="26"/>
      <c r="AI460" s="26"/>
      <c r="AJ460" s="15" t="str">
        <f>IF(COUNTA(B460,E460,H460,I460,J460,K460,L460,M460,N460,O460,P460,Q460,R460,S460,T460,U460,V460,W460,X460,Y460,Z460,AA460,AB460,AC460,AD460,AE460,AF460,AG460,AH460,AI460)=0,"",IF(OR(B460="",E460="",H460="",J460="",K460="",L460="",M460="",O460="",P460="",Q460="",R460="",S460="",T460="",U460="",W460="",X460="",Y460="",AB460="",AC460="",AE460="",AF460=""),"Incompleta: faltan campos obligatorios",IF(AND(LEFT(H460,6)="PROPIA",I460=""),"Falta el nombre de la acción propia del área",IF(AND(LEFT(H460,3)="A27",IFERROR(INDEX(Catalogos!$T$5:$T$207,MATCH(H460,Catalogos!$U$5:$U$207,0)),"x")&lt;&gt;LEFT(E460,7)),"La acción no corresponde a la meta seleccionada",IF(OR(NOT(ISNUMBER(M460)),M460&lt;10000000,M460&gt;99999999),"Código UNSPSC inválido: registre 8 dígitos",IF(MOD(M460,10000)=0,"UNSPSC a nivel de segmento o familia: use clase o producto",IF(IFERROR(MATCH(P460,L_MESES,0)&lt;MATCH(O460,L_MESES,0),TRUE()),"El mes de ofertas es anterior al de inicio del proceso",IF(OR(NOT(ISNUMBER(Q460)),Q460&lt;=0),"Duración inválida",IF(OR(NOT(ISNUMBER(W460)),NOT(ISNUMBER(X460))),"Valor inválido: registre solo números",IF(OR(W460&lt;=0,X460&lt;=0),"Valor inválido: debe ser mayor que cero",IF(X460&gt;W460,"El valor de la vigencia 2027 supera el valor total",IF(AND(X460&lt;W460,Y460="No"),"El valor total supera el de 2027: requiere vigencias futuras",IF(AND(Y460="Sí",OR(Z460="",Z460="No aplica")),"Indique el estado de la solicitud de vigencias futuras",IF(IF(AND(S460="Mínima cuantía",ISNUMBER(P_TOPE_MINIMA)),W460&gt;P_TOPE_MINIMA,FALSE()),"El valor supera el tope de mínima cuantía 2027",IF(IF(AND(S460="Selección abreviada de menor cuantía",ISNUMBER(P_TOPE_MENOR)),W460&gt;P_TOPE_MENOR,FALSE()),"El valor supera el tope de menor cuantía 2027",IF(OR(ISERROR(SEARCH("@itc.edu.co",AE460)),SUMPRODUCT(--ISNUMBER(SEARCH({"á","é","í","ó","ú","ñ"," "},AE460)))&gt;0),"El correo del responsable no es institucional válido",IF(AND(AF460="Sí",AG460=""),"Indique el N.° de registro 2026 que continúa","OK")))))))))))))))))</f>
        <v/>
      </c>
      <c r="AK460" s="15" t="str">
        <f>IF(AJ460="OK",COUNTIF($AJ$7:AJ460,"OK"),"")</f>
        <v/>
      </c>
    </row>
    <row r="461" spans="1:37" x14ac:dyDescent="0.3">
      <c r="A461" s="13" t="str">
        <f t="shared" si="7"/>
        <v>PN27-455</v>
      </c>
      <c r="B461" s="26"/>
      <c r="C461" s="13" t="str">
        <f>IF(B461="","",IFERROR(INDEX(Catalogos!$R$5:$R$51,MATCH(B461,L_AREAS,0)),""))</f>
        <v/>
      </c>
      <c r="D461" s="13" t="str">
        <f>IF(B461="","",IFERROR(INDEX(Catalogos!$O$5:$O$51,MATCH(B461,L_AREAS,0)),""))</f>
        <v/>
      </c>
      <c r="E461" s="26"/>
      <c r="F461" s="13" t="str">
        <f>IF(E461="","",IFERROR(INDEX(Catalogos!$C$5:$C$49,MATCH(E461,L_METAS,0)),""))</f>
        <v/>
      </c>
      <c r="G461" s="13" t="str">
        <f>IF(E461="","",IFERROR(INDEX(Catalogos!$E$5:$E$49,MATCH(E461,L_METAS,0)),""))</f>
        <v/>
      </c>
      <c r="H461" s="26"/>
      <c r="I461" s="26"/>
      <c r="J461" s="26"/>
      <c r="K461" s="26"/>
      <c r="L461" s="26"/>
      <c r="M461" s="27"/>
      <c r="N461" s="26"/>
      <c r="O461" s="26"/>
      <c r="P461" s="26"/>
      <c r="Q461" s="26"/>
      <c r="R461" s="26"/>
      <c r="S461" s="26"/>
      <c r="T461" s="26"/>
      <c r="U461" s="26"/>
      <c r="V461" s="26"/>
      <c r="W461" s="28"/>
      <c r="X461" s="28"/>
      <c r="Y461" s="26"/>
      <c r="Z461" s="26"/>
      <c r="AA461" s="26"/>
      <c r="AB461" s="26"/>
      <c r="AC461" s="26"/>
      <c r="AD461" s="26"/>
      <c r="AE461" s="26"/>
      <c r="AF461" s="26"/>
      <c r="AG461" s="26"/>
      <c r="AH461" s="26"/>
      <c r="AI461" s="26"/>
      <c r="AJ461" s="15" t="str">
        <f>IF(COUNTA(B461,E461,H461,I461,J461,K461,L461,M461,N461,O461,P461,Q461,R461,S461,T461,U461,V461,W461,X461,Y461,Z461,AA461,AB461,AC461,AD461,AE461,AF461,AG461,AH461,AI461)=0,"",IF(OR(B461="",E461="",H461="",J461="",K461="",L461="",M461="",O461="",P461="",Q461="",R461="",S461="",T461="",U461="",W461="",X461="",Y461="",AB461="",AC461="",AE461="",AF461=""),"Incompleta: faltan campos obligatorios",IF(AND(LEFT(H461,6)="PROPIA",I461=""),"Falta el nombre de la acción propia del área",IF(AND(LEFT(H461,3)="A27",IFERROR(INDEX(Catalogos!$T$5:$T$207,MATCH(H461,Catalogos!$U$5:$U$207,0)),"x")&lt;&gt;LEFT(E461,7)),"La acción no corresponde a la meta seleccionada",IF(OR(NOT(ISNUMBER(M461)),M461&lt;10000000,M461&gt;99999999),"Código UNSPSC inválido: registre 8 dígitos",IF(MOD(M461,10000)=0,"UNSPSC a nivel de segmento o familia: use clase o producto",IF(IFERROR(MATCH(P461,L_MESES,0)&lt;MATCH(O461,L_MESES,0),TRUE()),"El mes de ofertas es anterior al de inicio del proceso",IF(OR(NOT(ISNUMBER(Q461)),Q461&lt;=0),"Duración inválida",IF(OR(NOT(ISNUMBER(W461)),NOT(ISNUMBER(X461))),"Valor inválido: registre solo números",IF(OR(W461&lt;=0,X461&lt;=0),"Valor inválido: debe ser mayor que cero",IF(X461&gt;W461,"El valor de la vigencia 2027 supera el valor total",IF(AND(X461&lt;W461,Y461="No"),"El valor total supera el de 2027: requiere vigencias futuras",IF(AND(Y461="Sí",OR(Z461="",Z461="No aplica")),"Indique el estado de la solicitud de vigencias futuras",IF(IF(AND(S461="Mínima cuantía",ISNUMBER(P_TOPE_MINIMA)),W461&gt;P_TOPE_MINIMA,FALSE()),"El valor supera el tope de mínima cuantía 2027",IF(IF(AND(S461="Selección abreviada de menor cuantía",ISNUMBER(P_TOPE_MENOR)),W461&gt;P_TOPE_MENOR,FALSE()),"El valor supera el tope de menor cuantía 2027",IF(OR(ISERROR(SEARCH("@itc.edu.co",AE461)),SUMPRODUCT(--ISNUMBER(SEARCH({"á","é","í","ó","ú","ñ"," "},AE461)))&gt;0),"El correo del responsable no es institucional válido",IF(AND(AF461="Sí",AG461=""),"Indique el N.° de registro 2026 que continúa","OK")))))))))))))))))</f>
        <v/>
      </c>
      <c r="AK461" s="15" t="str">
        <f>IF(AJ461="OK",COUNTIF($AJ$7:AJ461,"OK"),"")</f>
        <v/>
      </c>
    </row>
    <row r="462" spans="1:37" x14ac:dyDescent="0.3">
      <c r="A462" s="13" t="str">
        <f t="shared" si="7"/>
        <v>PN27-456</v>
      </c>
      <c r="B462" s="26"/>
      <c r="C462" s="13" t="str">
        <f>IF(B462="","",IFERROR(INDEX(Catalogos!$R$5:$R$51,MATCH(B462,L_AREAS,0)),""))</f>
        <v/>
      </c>
      <c r="D462" s="13" t="str">
        <f>IF(B462="","",IFERROR(INDEX(Catalogos!$O$5:$O$51,MATCH(B462,L_AREAS,0)),""))</f>
        <v/>
      </c>
      <c r="E462" s="26"/>
      <c r="F462" s="13" t="str">
        <f>IF(E462="","",IFERROR(INDEX(Catalogos!$C$5:$C$49,MATCH(E462,L_METAS,0)),""))</f>
        <v/>
      </c>
      <c r="G462" s="13" t="str">
        <f>IF(E462="","",IFERROR(INDEX(Catalogos!$E$5:$E$49,MATCH(E462,L_METAS,0)),""))</f>
        <v/>
      </c>
      <c r="H462" s="26"/>
      <c r="I462" s="26"/>
      <c r="J462" s="26"/>
      <c r="K462" s="26"/>
      <c r="L462" s="26"/>
      <c r="M462" s="27"/>
      <c r="N462" s="26"/>
      <c r="O462" s="26"/>
      <c r="P462" s="26"/>
      <c r="Q462" s="26"/>
      <c r="R462" s="26"/>
      <c r="S462" s="26"/>
      <c r="T462" s="26"/>
      <c r="U462" s="26"/>
      <c r="V462" s="26"/>
      <c r="W462" s="28"/>
      <c r="X462" s="28"/>
      <c r="Y462" s="26"/>
      <c r="Z462" s="26"/>
      <c r="AA462" s="26"/>
      <c r="AB462" s="26"/>
      <c r="AC462" s="26"/>
      <c r="AD462" s="26"/>
      <c r="AE462" s="26"/>
      <c r="AF462" s="26"/>
      <c r="AG462" s="26"/>
      <c r="AH462" s="26"/>
      <c r="AI462" s="26"/>
      <c r="AJ462" s="15" t="str">
        <f>IF(COUNTA(B462,E462,H462,I462,J462,K462,L462,M462,N462,O462,P462,Q462,R462,S462,T462,U462,V462,W462,X462,Y462,Z462,AA462,AB462,AC462,AD462,AE462,AF462,AG462,AH462,AI462)=0,"",IF(OR(B462="",E462="",H462="",J462="",K462="",L462="",M462="",O462="",P462="",Q462="",R462="",S462="",T462="",U462="",W462="",X462="",Y462="",AB462="",AC462="",AE462="",AF462=""),"Incompleta: faltan campos obligatorios",IF(AND(LEFT(H462,6)="PROPIA",I462=""),"Falta el nombre de la acción propia del área",IF(AND(LEFT(H462,3)="A27",IFERROR(INDEX(Catalogos!$T$5:$T$207,MATCH(H462,Catalogos!$U$5:$U$207,0)),"x")&lt;&gt;LEFT(E462,7)),"La acción no corresponde a la meta seleccionada",IF(OR(NOT(ISNUMBER(M462)),M462&lt;10000000,M462&gt;99999999),"Código UNSPSC inválido: registre 8 dígitos",IF(MOD(M462,10000)=0,"UNSPSC a nivel de segmento o familia: use clase o producto",IF(IFERROR(MATCH(P462,L_MESES,0)&lt;MATCH(O462,L_MESES,0),TRUE()),"El mes de ofertas es anterior al de inicio del proceso",IF(OR(NOT(ISNUMBER(Q462)),Q462&lt;=0),"Duración inválida",IF(OR(NOT(ISNUMBER(W462)),NOT(ISNUMBER(X462))),"Valor inválido: registre solo números",IF(OR(W462&lt;=0,X462&lt;=0),"Valor inválido: debe ser mayor que cero",IF(X462&gt;W462,"El valor de la vigencia 2027 supera el valor total",IF(AND(X462&lt;W462,Y462="No"),"El valor total supera el de 2027: requiere vigencias futuras",IF(AND(Y462="Sí",OR(Z462="",Z462="No aplica")),"Indique el estado de la solicitud de vigencias futuras",IF(IF(AND(S462="Mínima cuantía",ISNUMBER(P_TOPE_MINIMA)),W462&gt;P_TOPE_MINIMA,FALSE()),"El valor supera el tope de mínima cuantía 2027",IF(IF(AND(S462="Selección abreviada de menor cuantía",ISNUMBER(P_TOPE_MENOR)),W462&gt;P_TOPE_MENOR,FALSE()),"El valor supera el tope de menor cuantía 2027",IF(OR(ISERROR(SEARCH("@itc.edu.co",AE462)),SUMPRODUCT(--ISNUMBER(SEARCH({"á","é","í","ó","ú","ñ"," "},AE462)))&gt;0),"El correo del responsable no es institucional válido",IF(AND(AF462="Sí",AG462=""),"Indique el N.° de registro 2026 que continúa","OK")))))))))))))))))</f>
        <v/>
      </c>
      <c r="AK462" s="15" t="str">
        <f>IF(AJ462="OK",COUNTIF($AJ$7:AJ462,"OK"),"")</f>
        <v/>
      </c>
    </row>
    <row r="463" spans="1:37" x14ac:dyDescent="0.3">
      <c r="A463" s="13" t="str">
        <f t="shared" si="7"/>
        <v>PN27-457</v>
      </c>
      <c r="B463" s="26"/>
      <c r="C463" s="13" t="str">
        <f>IF(B463="","",IFERROR(INDEX(Catalogos!$R$5:$R$51,MATCH(B463,L_AREAS,0)),""))</f>
        <v/>
      </c>
      <c r="D463" s="13" t="str">
        <f>IF(B463="","",IFERROR(INDEX(Catalogos!$O$5:$O$51,MATCH(B463,L_AREAS,0)),""))</f>
        <v/>
      </c>
      <c r="E463" s="26"/>
      <c r="F463" s="13" t="str">
        <f>IF(E463="","",IFERROR(INDEX(Catalogos!$C$5:$C$49,MATCH(E463,L_METAS,0)),""))</f>
        <v/>
      </c>
      <c r="G463" s="13" t="str">
        <f>IF(E463="","",IFERROR(INDEX(Catalogos!$E$5:$E$49,MATCH(E463,L_METAS,0)),""))</f>
        <v/>
      </c>
      <c r="H463" s="26"/>
      <c r="I463" s="26"/>
      <c r="J463" s="26"/>
      <c r="K463" s="26"/>
      <c r="L463" s="26"/>
      <c r="M463" s="27"/>
      <c r="N463" s="26"/>
      <c r="O463" s="26"/>
      <c r="P463" s="26"/>
      <c r="Q463" s="26"/>
      <c r="R463" s="26"/>
      <c r="S463" s="26"/>
      <c r="T463" s="26"/>
      <c r="U463" s="26"/>
      <c r="V463" s="26"/>
      <c r="W463" s="28"/>
      <c r="X463" s="28"/>
      <c r="Y463" s="26"/>
      <c r="Z463" s="26"/>
      <c r="AA463" s="26"/>
      <c r="AB463" s="26"/>
      <c r="AC463" s="26"/>
      <c r="AD463" s="26"/>
      <c r="AE463" s="26"/>
      <c r="AF463" s="26"/>
      <c r="AG463" s="26"/>
      <c r="AH463" s="26"/>
      <c r="AI463" s="26"/>
      <c r="AJ463" s="15" t="str">
        <f>IF(COUNTA(B463,E463,H463,I463,J463,K463,L463,M463,N463,O463,P463,Q463,R463,S463,T463,U463,V463,W463,X463,Y463,Z463,AA463,AB463,AC463,AD463,AE463,AF463,AG463,AH463,AI463)=0,"",IF(OR(B463="",E463="",H463="",J463="",K463="",L463="",M463="",O463="",P463="",Q463="",R463="",S463="",T463="",U463="",W463="",X463="",Y463="",AB463="",AC463="",AE463="",AF463=""),"Incompleta: faltan campos obligatorios",IF(AND(LEFT(H463,6)="PROPIA",I463=""),"Falta el nombre de la acción propia del área",IF(AND(LEFT(H463,3)="A27",IFERROR(INDEX(Catalogos!$T$5:$T$207,MATCH(H463,Catalogos!$U$5:$U$207,0)),"x")&lt;&gt;LEFT(E463,7)),"La acción no corresponde a la meta seleccionada",IF(OR(NOT(ISNUMBER(M463)),M463&lt;10000000,M463&gt;99999999),"Código UNSPSC inválido: registre 8 dígitos",IF(MOD(M463,10000)=0,"UNSPSC a nivel de segmento o familia: use clase o producto",IF(IFERROR(MATCH(P463,L_MESES,0)&lt;MATCH(O463,L_MESES,0),TRUE()),"El mes de ofertas es anterior al de inicio del proceso",IF(OR(NOT(ISNUMBER(Q463)),Q463&lt;=0),"Duración inválida",IF(OR(NOT(ISNUMBER(W463)),NOT(ISNUMBER(X463))),"Valor inválido: registre solo números",IF(OR(W463&lt;=0,X463&lt;=0),"Valor inválido: debe ser mayor que cero",IF(X463&gt;W463,"El valor de la vigencia 2027 supera el valor total",IF(AND(X463&lt;W463,Y463="No"),"El valor total supera el de 2027: requiere vigencias futuras",IF(AND(Y463="Sí",OR(Z463="",Z463="No aplica")),"Indique el estado de la solicitud de vigencias futuras",IF(IF(AND(S463="Mínima cuantía",ISNUMBER(P_TOPE_MINIMA)),W463&gt;P_TOPE_MINIMA,FALSE()),"El valor supera el tope de mínima cuantía 2027",IF(IF(AND(S463="Selección abreviada de menor cuantía",ISNUMBER(P_TOPE_MENOR)),W463&gt;P_TOPE_MENOR,FALSE()),"El valor supera el tope de menor cuantía 2027",IF(OR(ISERROR(SEARCH("@itc.edu.co",AE463)),SUMPRODUCT(--ISNUMBER(SEARCH({"á","é","í","ó","ú","ñ"," "},AE463)))&gt;0),"El correo del responsable no es institucional válido",IF(AND(AF463="Sí",AG463=""),"Indique el N.° de registro 2026 que continúa","OK")))))))))))))))))</f>
        <v/>
      </c>
      <c r="AK463" s="15" t="str">
        <f>IF(AJ463="OK",COUNTIF($AJ$7:AJ463,"OK"),"")</f>
        <v/>
      </c>
    </row>
    <row r="464" spans="1:37" x14ac:dyDescent="0.3">
      <c r="A464" s="13" t="str">
        <f t="shared" si="7"/>
        <v>PN27-458</v>
      </c>
      <c r="B464" s="26"/>
      <c r="C464" s="13" t="str">
        <f>IF(B464="","",IFERROR(INDEX(Catalogos!$R$5:$R$51,MATCH(B464,L_AREAS,0)),""))</f>
        <v/>
      </c>
      <c r="D464" s="13" t="str">
        <f>IF(B464="","",IFERROR(INDEX(Catalogos!$O$5:$O$51,MATCH(B464,L_AREAS,0)),""))</f>
        <v/>
      </c>
      <c r="E464" s="26"/>
      <c r="F464" s="13" t="str">
        <f>IF(E464="","",IFERROR(INDEX(Catalogos!$C$5:$C$49,MATCH(E464,L_METAS,0)),""))</f>
        <v/>
      </c>
      <c r="G464" s="13" t="str">
        <f>IF(E464="","",IFERROR(INDEX(Catalogos!$E$5:$E$49,MATCH(E464,L_METAS,0)),""))</f>
        <v/>
      </c>
      <c r="H464" s="26"/>
      <c r="I464" s="26"/>
      <c r="J464" s="26"/>
      <c r="K464" s="26"/>
      <c r="L464" s="26"/>
      <c r="M464" s="27"/>
      <c r="N464" s="26"/>
      <c r="O464" s="26"/>
      <c r="P464" s="26"/>
      <c r="Q464" s="26"/>
      <c r="R464" s="26"/>
      <c r="S464" s="26"/>
      <c r="T464" s="26"/>
      <c r="U464" s="26"/>
      <c r="V464" s="26"/>
      <c r="W464" s="28"/>
      <c r="X464" s="28"/>
      <c r="Y464" s="26"/>
      <c r="Z464" s="26"/>
      <c r="AA464" s="26"/>
      <c r="AB464" s="26"/>
      <c r="AC464" s="26"/>
      <c r="AD464" s="26"/>
      <c r="AE464" s="26"/>
      <c r="AF464" s="26"/>
      <c r="AG464" s="26"/>
      <c r="AH464" s="26"/>
      <c r="AI464" s="26"/>
      <c r="AJ464" s="15" t="str">
        <f>IF(COUNTA(B464,E464,H464,I464,J464,K464,L464,M464,N464,O464,P464,Q464,R464,S464,T464,U464,V464,W464,X464,Y464,Z464,AA464,AB464,AC464,AD464,AE464,AF464,AG464,AH464,AI464)=0,"",IF(OR(B464="",E464="",H464="",J464="",K464="",L464="",M464="",O464="",P464="",Q464="",R464="",S464="",T464="",U464="",W464="",X464="",Y464="",AB464="",AC464="",AE464="",AF464=""),"Incompleta: faltan campos obligatorios",IF(AND(LEFT(H464,6)="PROPIA",I464=""),"Falta el nombre de la acción propia del área",IF(AND(LEFT(H464,3)="A27",IFERROR(INDEX(Catalogos!$T$5:$T$207,MATCH(H464,Catalogos!$U$5:$U$207,0)),"x")&lt;&gt;LEFT(E464,7)),"La acción no corresponde a la meta seleccionada",IF(OR(NOT(ISNUMBER(M464)),M464&lt;10000000,M464&gt;99999999),"Código UNSPSC inválido: registre 8 dígitos",IF(MOD(M464,10000)=0,"UNSPSC a nivel de segmento o familia: use clase o producto",IF(IFERROR(MATCH(P464,L_MESES,0)&lt;MATCH(O464,L_MESES,0),TRUE()),"El mes de ofertas es anterior al de inicio del proceso",IF(OR(NOT(ISNUMBER(Q464)),Q464&lt;=0),"Duración inválida",IF(OR(NOT(ISNUMBER(W464)),NOT(ISNUMBER(X464))),"Valor inválido: registre solo números",IF(OR(W464&lt;=0,X464&lt;=0),"Valor inválido: debe ser mayor que cero",IF(X464&gt;W464,"El valor de la vigencia 2027 supera el valor total",IF(AND(X464&lt;W464,Y464="No"),"El valor total supera el de 2027: requiere vigencias futuras",IF(AND(Y464="Sí",OR(Z464="",Z464="No aplica")),"Indique el estado de la solicitud de vigencias futuras",IF(IF(AND(S464="Mínima cuantía",ISNUMBER(P_TOPE_MINIMA)),W464&gt;P_TOPE_MINIMA,FALSE()),"El valor supera el tope de mínima cuantía 2027",IF(IF(AND(S464="Selección abreviada de menor cuantía",ISNUMBER(P_TOPE_MENOR)),W464&gt;P_TOPE_MENOR,FALSE()),"El valor supera el tope de menor cuantía 2027",IF(OR(ISERROR(SEARCH("@itc.edu.co",AE464)),SUMPRODUCT(--ISNUMBER(SEARCH({"á","é","í","ó","ú","ñ"," "},AE464)))&gt;0),"El correo del responsable no es institucional válido",IF(AND(AF464="Sí",AG464=""),"Indique el N.° de registro 2026 que continúa","OK")))))))))))))))))</f>
        <v/>
      </c>
      <c r="AK464" s="15" t="str">
        <f>IF(AJ464="OK",COUNTIF($AJ$7:AJ464,"OK"),"")</f>
        <v/>
      </c>
    </row>
    <row r="465" spans="1:37" x14ac:dyDescent="0.3">
      <c r="A465" s="13" t="str">
        <f t="shared" si="7"/>
        <v>PN27-459</v>
      </c>
      <c r="B465" s="26"/>
      <c r="C465" s="13" t="str">
        <f>IF(B465="","",IFERROR(INDEX(Catalogos!$R$5:$R$51,MATCH(B465,L_AREAS,0)),""))</f>
        <v/>
      </c>
      <c r="D465" s="13" t="str">
        <f>IF(B465="","",IFERROR(INDEX(Catalogos!$O$5:$O$51,MATCH(B465,L_AREAS,0)),""))</f>
        <v/>
      </c>
      <c r="E465" s="26"/>
      <c r="F465" s="13" t="str">
        <f>IF(E465="","",IFERROR(INDEX(Catalogos!$C$5:$C$49,MATCH(E465,L_METAS,0)),""))</f>
        <v/>
      </c>
      <c r="G465" s="13" t="str">
        <f>IF(E465="","",IFERROR(INDEX(Catalogos!$E$5:$E$49,MATCH(E465,L_METAS,0)),""))</f>
        <v/>
      </c>
      <c r="H465" s="26"/>
      <c r="I465" s="26"/>
      <c r="J465" s="26"/>
      <c r="K465" s="26"/>
      <c r="L465" s="26"/>
      <c r="M465" s="27"/>
      <c r="N465" s="26"/>
      <c r="O465" s="26"/>
      <c r="P465" s="26"/>
      <c r="Q465" s="26"/>
      <c r="R465" s="26"/>
      <c r="S465" s="26"/>
      <c r="T465" s="26"/>
      <c r="U465" s="26"/>
      <c r="V465" s="26"/>
      <c r="W465" s="28"/>
      <c r="X465" s="28"/>
      <c r="Y465" s="26"/>
      <c r="Z465" s="26"/>
      <c r="AA465" s="26"/>
      <c r="AB465" s="26"/>
      <c r="AC465" s="26"/>
      <c r="AD465" s="26"/>
      <c r="AE465" s="26"/>
      <c r="AF465" s="26"/>
      <c r="AG465" s="26"/>
      <c r="AH465" s="26"/>
      <c r="AI465" s="26"/>
      <c r="AJ465" s="15" t="str">
        <f>IF(COUNTA(B465,E465,H465,I465,J465,K465,L465,M465,N465,O465,P465,Q465,R465,S465,T465,U465,V465,W465,X465,Y465,Z465,AA465,AB465,AC465,AD465,AE465,AF465,AG465,AH465,AI465)=0,"",IF(OR(B465="",E465="",H465="",J465="",K465="",L465="",M465="",O465="",P465="",Q465="",R465="",S465="",T465="",U465="",W465="",X465="",Y465="",AB465="",AC465="",AE465="",AF465=""),"Incompleta: faltan campos obligatorios",IF(AND(LEFT(H465,6)="PROPIA",I465=""),"Falta el nombre de la acción propia del área",IF(AND(LEFT(H465,3)="A27",IFERROR(INDEX(Catalogos!$T$5:$T$207,MATCH(H465,Catalogos!$U$5:$U$207,0)),"x")&lt;&gt;LEFT(E465,7)),"La acción no corresponde a la meta seleccionada",IF(OR(NOT(ISNUMBER(M465)),M465&lt;10000000,M465&gt;99999999),"Código UNSPSC inválido: registre 8 dígitos",IF(MOD(M465,10000)=0,"UNSPSC a nivel de segmento o familia: use clase o producto",IF(IFERROR(MATCH(P465,L_MESES,0)&lt;MATCH(O465,L_MESES,0),TRUE()),"El mes de ofertas es anterior al de inicio del proceso",IF(OR(NOT(ISNUMBER(Q465)),Q465&lt;=0),"Duración inválida",IF(OR(NOT(ISNUMBER(W465)),NOT(ISNUMBER(X465))),"Valor inválido: registre solo números",IF(OR(W465&lt;=0,X465&lt;=0),"Valor inválido: debe ser mayor que cero",IF(X465&gt;W465,"El valor de la vigencia 2027 supera el valor total",IF(AND(X465&lt;W465,Y465="No"),"El valor total supera el de 2027: requiere vigencias futuras",IF(AND(Y465="Sí",OR(Z465="",Z465="No aplica")),"Indique el estado de la solicitud de vigencias futuras",IF(IF(AND(S465="Mínima cuantía",ISNUMBER(P_TOPE_MINIMA)),W465&gt;P_TOPE_MINIMA,FALSE()),"El valor supera el tope de mínima cuantía 2027",IF(IF(AND(S465="Selección abreviada de menor cuantía",ISNUMBER(P_TOPE_MENOR)),W465&gt;P_TOPE_MENOR,FALSE()),"El valor supera el tope de menor cuantía 2027",IF(OR(ISERROR(SEARCH("@itc.edu.co",AE465)),SUMPRODUCT(--ISNUMBER(SEARCH({"á","é","í","ó","ú","ñ"," "},AE465)))&gt;0),"El correo del responsable no es institucional válido",IF(AND(AF465="Sí",AG465=""),"Indique el N.° de registro 2026 que continúa","OK")))))))))))))))))</f>
        <v/>
      </c>
      <c r="AK465" s="15" t="str">
        <f>IF(AJ465="OK",COUNTIF($AJ$7:AJ465,"OK"),"")</f>
        <v/>
      </c>
    </row>
    <row r="466" spans="1:37" x14ac:dyDescent="0.3">
      <c r="A466" s="13" t="str">
        <f t="shared" si="7"/>
        <v>PN27-460</v>
      </c>
      <c r="B466" s="26"/>
      <c r="C466" s="13" t="str">
        <f>IF(B466="","",IFERROR(INDEX(Catalogos!$R$5:$R$51,MATCH(B466,L_AREAS,0)),""))</f>
        <v/>
      </c>
      <c r="D466" s="13" t="str">
        <f>IF(B466="","",IFERROR(INDEX(Catalogos!$O$5:$O$51,MATCH(B466,L_AREAS,0)),""))</f>
        <v/>
      </c>
      <c r="E466" s="26"/>
      <c r="F466" s="13" t="str">
        <f>IF(E466="","",IFERROR(INDEX(Catalogos!$C$5:$C$49,MATCH(E466,L_METAS,0)),""))</f>
        <v/>
      </c>
      <c r="G466" s="13" t="str">
        <f>IF(E466="","",IFERROR(INDEX(Catalogos!$E$5:$E$49,MATCH(E466,L_METAS,0)),""))</f>
        <v/>
      </c>
      <c r="H466" s="26"/>
      <c r="I466" s="26"/>
      <c r="J466" s="26"/>
      <c r="K466" s="26"/>
      <c r="L466" s="26"/>
      <c r="M466" s="27"/>
      <c r="N466" s="26"/>
      <c r="O466" s="26"/>
      <c r="P466" s="26"/>
      <c r="Q466" s="26"/>
      <c r="R466" s="26"/>
      <c r="S466" s="26"/>
      <c r="T466" s="26"/>
      <c r="U466" s="26"/>
      <c r="V466" s="26"/>
      <c r="W466" s="28"/>
      <c r="X466" s="28"/>
      <c r="Y466" s="26"/>
      <c r="Z466" s="26"/>
      <c r="AA466" s="26"/>
      <c r="AB466" s="26"/>
      <c r="AC466" s="26"/>
      <c r="AD466" s="26"/>
      <c r="AE466" s="26"/>
      <c r="AF466" s="26"/>
      <c r="AG466" s="26"/>
      <c r="AH466" s="26"/>
      <c r="AI466" s="26"/>
      <c r="AJ466" s="15" t="str">
        <f>IF(COUNTA(B466,E466,H466,I466,J466,K466,L466,M466,N466,O466,P466,Q466,R466,S466,T466,U466,V466,W466,X466,Y466,Z466,AA466,AB466,AC466,AD466,AE466,AF466,AG466,AH466,AI466)=0,"",IF(OR(B466="",E466="",H466="",J466="",K466="",L466="",M466="",O466="",P466="",Q466="",R466="",S466="",T466="",U466="",W466="",X466="",Y466="",AB466="",AC466="",AE466="",AF466=""),"Incompleta: faltan campos obligatorios",IF(AND(LEFT(H466,6)="PROPIA",I466=""),"Falta el nombre de la acción propia del área",IF(AND(LEFT(H466,3)="A27",IFERROR(INDEX(Catalogos!$T$5:$T$207,MATCH(H466,Catalogos!$U$5:$U$207,0)),"x")&lt;&gt;LEFT(E466,7)),"La acción no corresponde a la meta seleccionada",IF(OR(NOT(ISNUMBER(M466)),M466&lt;10000000,M466&gt;99999999),"Código UNSPSC inválido: registre 8 dígitos",IF(MOD(M466,10000)=0,"UNSPSC a nivel de segmento o familia: use clase o producto",IF(IFERROR(MATCH(P466,L_MESES,0)&lt;MATCH(O466,L_MESES,0),TRUE()),"El mes de ofertas es anterior al de inicio del proceso",IF(OR(NOT(ISNUMBER(Q466)),Q466&lt;=0),"Duración inválida",IF(OR(NOT(ISNUMBER(W466)),NOT(ISNUMBER(X466))),"Valor inválido: registre solo números",IF(OR(W466&lt;=0,X466&lt;=0),"Valor inválido: debe ser mayor que cero",IF(X466&gt;W466,"El valor de la vigencia 2027 supera el valor total",IF(AND(X466&lt;W466,Y466="No"),"El valor total supera el de 2027: requiere vigencias futuras",IF(AND(Y466="Sí",OR(Z466="",Z466="No aplica")),"Indique el estado de la solicitud de vigencias futuras",IF(IF(AND(S466="Mínima cuantía",ISNUMBER(P_TOPE_MINIMA)),W466&gt;P_TOPE_MINIMA,FALSE()),"El valor supera el tope de mínima cuantía 2027",IF(IF(AND(S466="Selección abreviada de menor cuantía",ISNUMBER(P_TOPE_MENOR)),W466&gt;P_TOPE_MENOR,FALSE()),"El valor supera el tope de menor cuantía 2027",IF(OR(ISERROR(SEARCH("@itc.edu.co",AE466)),SUMPRODUCT(--ISNUMBER(SEARCH({"á","é","í","ó","ú","ñ"," "},AE466)))&gt;0),"El correo del responsable no es institucional válido",IF(AND(AF466="Sí",AG466=""),"Indique el N.° de registro 2026 que continúa","OK")))))))))))))))))</f>
        <v/>
      </c>
      <c r="AK466" s="15" t="str">
        <f>IF(AJ466="OK",COUNTIF($AJ$7:AJ466,"OK"),"")</f>
        <v/>
      </c>
    </row>
    <row r="467" spans="1:37" x14ac:dyDescent="0.3">
      <c r="A467" s="13" t="str">
        <f t="shared" si="7"/>
        <v>PN27-461</v>
      </c>
      <c r="B467" s="26"/>
      <c r="C467" s="13" t="str">
        <f>IF(B467="","",IFERROR(INDEX(Catalogos!$R$5:$R$51,MATCH(B467,L_AREAS,0)),""))</f>
        <v/>
      </c>
      <c r="D467" s="13" t="str">
        <f>IF(B467="","",IFERROR(INDEX(Catalogos!$O$5:$O$51,MATCH(B467,L_AREAS,0)),""))</f>
        <v/>
      </c>
      <c r="E467" s="26"/>
      <c r="F467" s="13" t="str">
        <f>IF(E467="","",IFERROR(INDEX(Catalogos!$C$5:$C$49,MATCH(E467,L_METAS,0)),""))</f>
        <v/>
      </c>
      <c r="G467" s="13" t="str">
        <f>IF(E467="","",IFERROR(INDEX(Catalogos!$E$5:$E$49,MATCH(E467,L_METAS,0)),""))</f>
        <v/>
      </c>
      <c r="H467" s="26"/>
      <c r="I467" s="26"/>
      <c r="J467" s="26"/>
      <c r="K467" s="26"/>
      <c r="L467" s="26"/>
      <c r="M467" s="27"/>
      <c r="N467" s="26"/>
      <c r="O467" s="26"/>
      <c r="P467" s="26"/>
      <c r="Q467" s="26"/>
      <c r="R467" s="26"/>
      <c r="S467" s="26"/>
      <c r="T467" s="26"/>
      <c r="U467" s="26"/>
      <c r="V467" s="26"/>
      <c r="W467" s="28"/>
      <c r="X467" s="28"/>
      <c r="Y467" s="26"/>
      <c r="Z467" s="26"/>
      <c r="AA467" s="26"/>
      <c r="AB467" s="26"/>
      <c r="AC467" s="26"/>
      <c r="AD467" s="26"/>
      <c r="AE467" s="26"/>
      <c r="AF467" s="26"/>
      <c r="AG467" s="26"/>
      <c r="AH467" s="26"/>
      <c r="AI467" s="26"/>
      <c r="AJ467" s="15" t="str">
        <f>IF(COUNTA(B467,E467,H467,I467,J467,K467,L467,M467,N467,O467,P467,Q467,R467,S467,T467,U467,V467,W467,X467,Y467,Z467,AA467,AB467,AC467,AD467,AE467,AF467,AG467,AH467,AI467)=0,"",IF(OR(B467="",E467="",H467="",J467="",K467="",L467="",M467="",O467="",P467="",Q467="",R467="",S467="",T467="",U467="",W467="",X467="",Y467="",AB467="",AC467="",AE467="",AF467=""),"Incompleta: faltan campos obligatorios",IF(AND(LEFT(H467,6)="PROPIA",I467=""),"Falta el nombre de la acción propia del área",IF(AND(LEFT(H467,3)="A27",IFERROR(INDEX(Catalogos!$T$5:$T$207,MATCH(H467,Catalogos!$U$5:$U$207,0)),"x")&lt;&gt;LEFT(E467,7)),"La acción no corresponde a la meta seleccionada",IF(OR(NOT(ISNUMBER(M467)),M467&lt;10000000,M467&gt;99999999),"Código UNSPSC inválido: registre 8 dígitos",IF(MOD(M467,10000)=0,"UNSPSC a nivel de segmento o familia: use clase o producto",IF(IFERROR(MATCH(P467,L_MESES,0)&lt;MATCH(O467,L_MESES,0),TRUE()),"El mes de ofertas es anterior al de inicio del proceso",IF(OR(NOT(ISNUMBER(Q467)),Q467&lt;=0),"Duración inválida",IF(OR(NOT(ISNUMBER(W467)),NOT(ISNUMBER(X467))),"Valor inválido: registre solo números",IF(OR(W467&lt;=0,X467&lt;=0),"Valor inválido: debe ser mayor que cero",IF(X467&gt;W467,"El valor de la vigencia 2027 supera el valor total",IF(AND(X467&lt;W467,Y467="No"),"El valor total supera el de 2027: requiere vigencias futuras",IF(AND(Y467="Sí",OR(Z467="",Z467="No aplica")),"Indique el estado de la solicitud de vigencias futuras",IF(IF(AND(S467="Mínima cuantía",ISNUMBER(P_TOPE_MINIMA)),W467&gt;P_TOPE_MINIMA,FALSE()),"El valor supera el tope de mínima cuantía 2027",IF(IF(AND(S467="Selección abreviada de menor cuantía",ISNUMBER(P_TOPE_MENOR)),W467&gt;P_TOPE_MENOR,FALSE()),"El valor supera el tope de menor cuantía 2027",IF(OR(ISERROR(SEARCH("@itc.edu.co",AE467)),SUMPRODUCT(--ISNUMBER(SEARCH({"á","é","í","ó","ú","ñ"," "},AE467)))&gt;0),"El correo del responsable no es institucional válido",IF(AND(AF467="Sí",AG467=""),"Indique el N.° de registro 2026 que continúa","OK")))))))))))))))))</f>
        <v/>
      </c>
      <c r="AK467" s="15" t="str">
        <f>IF(AJ467="OK",COUNTIF($AJ$7:AJ467,"OK"),"")</f>
        <v/>
      </c>
    </row>
    <row r="468" spans="1:37" x14ac:dyDescent="0.3">
      <c r="A468" s="13" t="str">
        <f t="shared" si="7"/>
        <v>PN27-462</v>
      </c>
      <c r="B468" s="26"/>
      <c r="C468" s="13" t="str">
        <f>IF(B468="","",IFERROR(INDEX(Catalogos!$R$5:$R$51,MATCH(B468,L_AREAS,0)),""))</f>
        <v/>
      </c>
      <c r="D468" s="13" t="str">
        <f>IF(B468="","",IFERROR(INDEX(Catalogos!$O$5:$O$51,MATCH(B468,L_AREAS,0)),""))</f>
        <v/>
      </c>
      <c r="E468" s="26"/>
      <c r="F468" s="13" t="str">
        <f>IF(E468="","",IFERROR(INDEX(Catalogos!$C$5:$C$49,MATCH(E468,L_METAS,0)),""))</f>
        <v/>
      </c>
      <c r="G468" s="13" t="str">
        <f>IF(E468="","",IFERROR(INDEX(Catalogos!$E$5:$E$49,MATCH(E468,L_METAS,0)),""))</f>
        <v/>
      </c>
      <c r="H468" s="26"/>
      <c r="I468" s="26"/>
      <c r="J468" s="26"/>
      <c r="K468" s="26"/>
      <c r="L468" s="26"/>
      <c r="M468" s="27"/>
      <c r="N468" s="26"/>
      <c r="O468" s="26"/>
      <c r="P468" s="26"/>
      <c r="Q468" s="26"/>
      <c r="R468" s="26"/>
      <c r="S468" s="26"/>
      <c r="T468" s="26"/>
      <c r="U468" s="26"/>
      <c r="V468" s="26"/>
      <c r="W468" s="28"/>
      <c r="X468" s="28"/>
      <c r="Y468" s="26"/>
      <c r="Z468" s="26"/>
      <c r="AA468" s="26"/>
      <c r="AB468" s="26"/>
      <c r="AC468" s="26"/>
      <c r="AD468" s="26"/>
      <c r="AE468" s="26"/>
      <c r="AF468" s="26"/>
      <c r="AG468" s="26"/>
      <c r="AH468" s="26"/>
      <c r="AI468" s="26"/>
      <c r="AJ468" s="15" t="str">
        <f>IF(COUNTA(B468,E468,H468,I468,J468,K468,L468,M468,N468,O468,P468,Q468,R468,S468,T468,U468,V468,W468,X468,Y468,Z468,AA468,AB468,AC468,AD468,AE468,AF468,AG468,AH468,AI468)=0,"",IF(OR(B468="",E468="",H468="",J468="",K468="",L468="",M468="",O468="",P468="",Q468="",R468="",S468="",T468="",U468="",W468="",X468="",Y468="",AB468="",AC468="",AE468="",AF468=""),"Incompleta: faltan campos obligatorios",IF(AND(LEFT(H468,6)="PROPIA",I468=""),"Falta el nombre de la acción propia del área",IF(AND(LEFT(H468,3)="A27",IFERROR(INDEX(Catalogos!$T$5:$T$207,MATCH(H468,Catalogos!$U$5:$U$207,0)),"x")&lt;&gt;LEFT(E468,7)),"La acción no corresponde a la meta seleccionada",IF(OR(NOT(ISNUMBER(M468)),M468&lt;10000000,M468&gt;99999999),"Código UNSPSC inválido: registre 8 dígitos",IF(MOD(M468,10000)=0,"UNSPSC a nivel de segmento o familia: use clase o producto",IF(IFERROR(MATCH(P468,L_MESES,0)&lt;MATCH(O468,L_MESES,0),TRUE()),"El mes de ofertas es anterior al de inicio del proceso",IF(OR(NOT(ISNUMBER(Q468)),Q468&lt;=0),"Duración inválida",IF(OR(NOT(ISNUMBER(W468)),NOT(ISNUMBER(X468))),"Valor inválido: registre solo números",IF(OR(W468&lt;=0,X468&lt;=0),"Valor inválido: debe ser mayor que cero",IF(X468&gt;W468,"El valor de la vigencia 2027 supera el valor total",IF(AND(X468&lt;W468,Y468="No"),"El valor total supera el de 2027: requiere vigencias futuras",IF(AND(Y468="Sí",OR(Z468="",Z468="No aplica")),"Indique el estado de la solicitud de vigencias futuras",IF(IF(AND(S468="Mínima cuantía",ISNUMBER(P_TOPE_MINIMA)),W468&gt;P_TOPE_MINIMA,FALSE()),"El valor supera el tope de mínima cuantía 2027",IF(IF(AND(S468="Selección abreviada de menor cuantía",ISNUMBER(P_TOPE_MENOR)),W468&gt;P_TOPE_MENOR,FALSE()),"El valor supera el tope de menor cuantía 2027",IF(OR(ISERROR(SEARCH("@itc.edu.co",AE468)),SUMPRODUCT(--ISNUMBER(SEARCH({"á","é","í","ó","ú","ñ"," "},AE468)))&gt;0),"El correo del responsable no es institucional válido",IF(AND(AF468="Sí",AG468=""),"Indique el N.° de registro 2026 que continúa","OK")))))))))))))))))</f>
        <v/>
      </c>
      <c r="AK468" s="15" t="str">
        <f>IF(AJ468="OK",COUNTIF($AJ$7:AJ468,"OK"),"")</f>
        <v/>
      </c>
    </row>
    <row r="469" spans="1:37" x14ac:dyDescent="0.3">
      <c r="A469" s="13" t="str">
        <f t="shared" si="7"/>
        <v>PN27-463</v>
      </c>
      <c r="B469" s="26"/>
      <c r="C469" s="13" t="str">
        <f>IF(B469="","",IFERROR(INDEX(Catalogos!$R$5:$R$51,MATCH(B469,L_AREAS,0)),""))</f>
        <v/>
      </c>
      <c r="D469" s="13" t="str">
        <f>IF(B469="","",IFERROR(INDEX(Catalogos!$O$5:$O$51,MATCH(B469,L_AREAS,0)),""))</f>
        <v/>
      </c>
      <c r="E469" s="26"/>
      <c r="F469" s="13" t="str">
        <f>IF(E469="","",IFERROR(INDEX(Catalogos!$C$5:$C$49,MATCH(E469,L_METAS,0)),""))</f>
        <v/>
      </c>
      <c r="G469" s="13" t="str">
        <f>IF(E469="","",IFERROR(INDEX(Catalogos!$E$5:$E$49,MATCH(E469,L_METAS,0)),""))</f>
        <v/>
      </c>
      <c r="H469" s="26"/>
      <c r="I469" s="26"/>
      <c r="J469" s="26"/>
      <c r="K469" s="26"/>
      <c r="L469" s="26"/>
      <c r="M469" s="27"/>
      <c r="N469" s="26"/>
      <c r="O469" s="26"/>
      <c r="P469" s="26"/>
      <c r="Q469" s="26"/>
      <c r="R469" s="26"/>
      <c r="S469" s="26"/>
      <c r="T469" s="26"/>
      <c r="U469" s="26"/>
      <c r="V469" s="26"/>
      <c r="W469" s="28"/>
      <c r="X469" s="28"/>
      <c r="Y469" s="26"/>
      <c r="Z469" s="26"/>
      <c r="AA469" s="26"/>
      <c r="AB469" s="26"/>
      <c r="AC469" s="26"/>
      <c r="AD469" s="26"/>
      <c r="AE469" s="26"/>
      <c r="AF469" s="26"/>
      <c r="AG469" s="26"/>
      <c r="AH469" s="26"/>
      <c r="AI469" s="26"/>
      <c r="AJ469" s="15" t="str">
        <f>IF(COUNTA(B469,E469,H469,I469,J469,K469,L469,M469,N469,O469,P469,Q469,R469,S469,T469,U469,V469,W469,X469,Y469,Z469,AA469,AB469,AC469,AD469,AE469,AF469,AG469,AH469,AI469)=0,"",IF(OR(B469="",E469="",H469="",J469="",K469="",L469="",M469="",O469="",P469="",Q469="",R469="",S469="",T469="",U469="",W469="",X469="",Y469="",AB469="",AC469="",AE469="",AF469=""),"Incompleta: faltan campos obligatorios",IF(AND(LEFT(H469,6)="PROPIA",I469=""),"Falta el nombre de la acción propia del área",IF(AND(LEFT(H469,3)="A27",IFERROR(INDEX(Catalogos!$T$5:$T$207,MATCH(H469,Catalogos!$U$5:$U$207,0)),"x")&lt;&gt;LEFT(E469,7)),"La acción no corresponde a la meta seleccionada",IF(OR(NOT(ISNUMBER(M469)),M469&lt;10000000,M469&gt;99999999),"Código UNSPSC inválido: registre 8 dígitos",IF(MOD(M469,10000)=0,"UNSPSC a nivel de segmento o familia: use clase o producto",IF(IFERROR(MATCH(P469,L_MESES,0)&lt;MATCH(O469,L_MESES,0),TRUE()),"El mes de ofertas es anterior al de inicio del proceso",IF(OR(NOT(ISNUMBER(Q469)),Q469&lt;=0),"Duración inválida",IF(OR(NOT(ISNUMBER(W469)),NOT(ISNUMBER(X469))),"Valor inválido: registre solo números",IF(OR(W469&lt;=0,X469&lt;=0),"Valor inválido: debe ser mayor que cero",IF(X469&gt;W469,"El valor de la vigencia 2027 supera el valor total",IF(AND(X469&lt;W469,Y469="No"),"El valor total supera el de 2027: requiere vigencias futuras",IF(AND(Y469="Sí",OR(Z469="",Z469="No aplica")),"Indique el estado de la solicitud de vigencias futuras",IF(IF(AND(S469="Mínima cuantía",ISNUMBER(P_TOPE_MINIMA)),W469&gt;P_TOPE_MINIMA,FALSE()),"El valor supera el tope de mínima cuantía 2027",IF(IF(AND(S469="Selección abreviada de menor cuantía",ISNUMBER(P_TOPE_MENOR)),W469&gt;P_TOPE_MENOR,FALSE()),"El valor supera el tope de menor cuantía 2027",IF(OR(ISERROR(SEARCH("@itc.edu.co",AE469)),SUMPRODUCT(--ISNUMBER(SEARCH({"á","é","í","ó","ú","ñ"," "},AE469)))&gt;0),"El correo del responsable no es institucional válido",IF(AND(AF469="Sí",AG469=""),"Indique el N.° de registro 2026 que continúa","OK")))))))))))))))))</f>
        <v/>
      </c>
      <c r="AK469" s="15" t="str">
        <f>IF(AJ469="OK",COUNTIF($AJ$7:AJ469,"OK"),"")</f>
        <v/>
      </c>
    </row>
    <row r="470" spans="1:37" x14ac:dyDescent="0.3">
      <c r="A470" s="13" t="str">
        <f t="shared" si="7"/>
        <v>PN27-464</v>
      </c>
      <c r="B470" s="26"/>
      <c r="C470" s="13" t="str">
        <f>IF(B470="","",IFERROR(INDEX(Catalogos!$R$5:$R$51,MATCH(B470,L_AREAS,0)),""))</f>
        <v/>
      </c>
      <c r="D470" s="13" t="str">
        <f>IF(B470="","",IFERROR(INDEX(Catalogos!$O$5:$O$51,MATCH(B470,L_AREAS,0)),""))</f>
        <v/>
      </c>
      <c r="E470" s="26"/>
      <c r="F470" s="13" t="str">
        <f>IF(E470="","",IFERROR(INDEX(Catalogos!$C$5:$C$49,MATCH(E470,L_METAS,0)),""))</f>
        <v/>
      </c>
      <c r="G470" s="13" t="str">
        <f>IF(E470="","",IFERROR(INDEX(Catalogos!$E$5:$E$49,MATCH(E470,L_METAS,0)),""))</f>
        <v/>
      </c>
      <c r="H470" s="26"/>
      <c r="I470" s="26"/>
      <c r="J470" s="26"/>
      <c r="K470" s="26"/>
      <c r="L470" s="26"/>
      <c r="M470" s="27"/>
      <c r="N470" s="26"/>
      <c r="O470" s="26"/>
      <c r="P470" s="26"/>
      <c r="Q470" s="26"/>
      <c r="R470" s="26"/>
      <c r="S470" s="26"/>
      <c r="T470" s="26"/>
      <c r="U470" s="26"/>
      <c r="V470" s="26"/>
      <c r="W470" s="28"/>
      <c r="X470" s="28"/>
      <c r="Y470" s="26"/>
      <c r="Z470" s="26"/>
      <c r="AA470" s="26"/>
      <c r="AB470" s="26"/>
      <c r="AC470" s="26"/>
      <c r="AD470" s="26"/>
      <c r="AE470" s="26"/>
      <c r="AF470" s="26"/>
      <c r="AG470" s="26"/>
      <c r="AH470" s="26"/>
      <c r="AI470" s="26"/>
      <c r="AJ470" s="15" t="str">
        <f>IF(COUNTA(B470,E470,H470,I470,J470,K470,L470,M470,N470,O470,P470,Q470,R470,S470,T470,U470,V470,W470,X470,Y470,Z470,AA470,AB470,AC470,AD470,AE470,AF470,AG470,AH470,AI470)=0,"",IF(OR(B470="",E470="",H470="",J470="",K470="",L470="",M470="",O470="",P470="",Q470="",R470="",S470="",T470="",U470="",W470="",X470="",Y470="",AB470="",AC470="",AE470="",AF470=""),"Incompleta: faltan campos obligatorios",IF(AND(LEFT(H470,6)="PROPIA",I470=""),"Falta el nombre de la acción propia del área",IF(AND(LEFT(H470,3)="A27",IFERROR(INDEX(Catalogos!$T$5:$T$207,MATCH(H470,Catalogos!$U$5:$U$207,0)),"x")&lt;&gt;LEFT(E470,7)),"La acción no corresponde a la meta seleccionada",IF(OR(NOT(ISNUMBER(M470)),M470&lt;10000000,M470&gt;99999999),"Código UNSPSC inválido: registre 8 dígitos",IF(MOD(M470,10000)=0,"UNSPSC a nivel de segmento o familia: use clase o producto",IF(IFERROR(MATCH(P470,L_MESES,0)&lt;MATCH(O470,L_MESES,0),TRUE()),"El mes de ofertas es anterior al de inicio del proceso",IF(OR(NOT(ISNUMBER(Q470)),Q470&lt;=0),"Duración inválida",IF(OR(NOT(ISNUMBER(W470)),NOT(ISNUMBER(X470))),"Valor inválido: registre solo números",IF(OR(W470&lt;=0,X470&lt;=0),"Valor inválido: debe ser mayor que cero",IF(X470&gt;W470,"El valor de la vigencia 2027 supera el valor total",IF(AND(X470&lt;W470,Y470="No"),"El valor total supera el de 2027: requiere vigencias futuras",IF(AND(Y470="Sí",OR(Z470="",Z470="No aplica")),"Indique el estado de la solicitud de vigencias futuras",IF(IF(AND(S470="Mínima cuantía",ISNUMBER(P_TOPE_MINIMA)),W470&gt;P_TOPE_MINIMA,FALSE()),"El valor supera el tope de mínima cuantía 2027",IF(IF(AND(S470="Selección abreviada de menor cuantía",ISNUMBER(P_TOPE_MENOR)),W470&gt;P_TOPE_MENOR,FALSE()),"El valor supera el tope de menor cuantía 2027",IF(OR(ISERROR(SEARCH("@itc.edu.co",AE470)),SUMPRODUCT(--ISNUMBER(SEARCH({"á","é","í","ó","ú","ñ"," "},AE470)))&gt;0),"El correo del responsable no es institucional válido",IF(AND(AF470="Sí",AG470=""),"Indique el N.° de registro 2026 que continúa","OK")))))))))))))))))</f>
        <v/>
      </c>
      <c r="AK470" s="15" t="str">
        <f>IF(AJ470="OK",COUNTIF($AJ$7:AJ470,"OK"),"")</f>
        <v/>
      </c>
    </row>
    <row r="471" spans="1:37" x14ac:dyDescent="0.3">
      <c r="A471" s="13" t="str">
        <f t="shared" si="7"/>
        <v>PN27-465</v>
      </c>
      <c r="B471" s="26"/>
      <c r="C471" s="13" t="str">
        <f>IF(B471="","",IFERROR(INDEX(Catalogos!$R$5:$R$51,MATCH(B471,L_AREAS,0)),""))</f>
        <v/>
      </c>
      <c r="D471" s="13" t="str">
        <f>IF(B471="","",IFERROR(INDEX(Catalogos!$O$5:$O$51,MATCH(B471,L_AREAS,0)),""))</f>
        <v/>
      </c>
      <c r="E471" s="26"/>
      <c r="F471" s="13" t="str">
        <f>IF(E471="","",IFERROR(INDEX(Catalogos!$C$5:$C$49,MATCH(E471,L_METAS,0)),""))</f>
        <v/>
      </c>
      <c r="G471" s="13" t="str">
        <f>IF(E471="","",IFERROR(INDEX(Catalogos!$E$5:$E$49,MATCH(E471,L_METAS,0)),""))</f>
        <v/>
      </c>
      <c r="H471" s="26"/>
      <c r="I471" s="26"/>
      <c r="J471" s="26"/>
      <c r="K471" s="26"/>
      <c r="L471" s="26"/>
      <c r="M471" s="27"/>
      <c r="N471" s="26"/>
      <c r="O471" s="26"/>
      <c r="P471" s="26"/>
      <c r="Q471" s="26"/>
      <c r="R471" s="26"/>
      <c r="S471" s="26"/>
      <c r="T471" s="26"/>
      <c r="U471" s="26"/>
      <c r="V471" s="26"/>
      <c r="W471" s="28"/>
      <c r="X471" s="28"/>
      <c r="Y471" s="26"/>
      <c r="Z471" s="26"/>
      <c r="AA471" s="26"/>
      <c r="AB471" s="26"/>
      <c r="AC471" s="26"/>
      <c r="AD471" s="26"/>
      <c r="AE471" s="26"/>
      <c r="AF471" s="26"/>
      <c r="AG471" s="26"/>
      <c r="AH471" s="26"/>
      <c r="AI471" s="26"/>
      <c r="AJ471" s="15" t="str">
        <f>IF(COUNTA(B471,E471,H471,I471,J471,K471,L471,M471,N471,O471,P471,Q471,R471,S471,T471,U471,V471,W471,X471,Y471,Z471,AA471,AB471,AC471,AD471,AE471,AF471,AG471,AH471,AI471)=0,"",IF(OR(B471="",E471="",H471="",J471="",K471="",L471="",M471="",O471="",P471="",Q471="",R471="",S471="",T471="",U471="",W471="",X471="",Y471="",AB471="",AC471="",AE471="",AF471=""),"Incompleta: faltan campos obligatorios",IF(AND(LEFT(H471,6)="PROPIA",I471=""),"Falta el nombre de la acción propia del área",IF(AND(LEFT(H471,3)="A27",IFERROR(INDEX(Catalogos!$T$5:$T$207,MATCH(H471,Catalogos!$U$5:$U$207,0)),"x")&lt;&gt;LEFT(E471,7)),"La acción no corresponde a la meta seleccionada",IF(OR(NOT(ISNUMBER(M471)),M471&lt;10000000,M471&gt;99999999),"Código UNSPSC inválido: registre 8 dígitos",IF(MOD(M471,10000)=0,"UNSPSC a nivel de segmento o familia: use clase o producto",IF(IFERROR(MATCH(P471,L_MESES,0)&lt;MATCH(O471,L_MESES,0),TRUE()),"El mes de ofertas es anterior al de inicio del proceso",IF(OR(NOT(ISNUMBER(Q471)),Q471&lt;=0),"Duración inválida",IF(OR(NOT(ISNUMBER(W471)),NOT(ISNUMBER(X471))),"Valor inválido: registre solo números",IF(OR(W471&lt;=0,X471&lt;=0),"Valor inválido: debe ser mayor que cero",IF(X471&gt;W471,"El valor de la vigencia 2027 supera el valor total",IF(AND(X471&lt;W471,Y471="No"),"El valor total supera el de 2027: requiere vigencias futuras",IF(AND(Y471="Sí",OR(Z471="",Z471="No aplica")),"Indique el estado de la solicitud de vigencias futuras",IF(IF(AND(S471="Mínima cuantía",ISNUMBER(P_TOPE_MINIMA)),W471&gt;P_TOPE_MINIMA,FALSE()),"El valor supera el tope de mínima cuantía 2027",IF(IF(AND(S471="Selección abreviada de menor cuantía",ISNUMBER(P_TOPE_MENOR)),W471&gt;P_TOPE_MENOR,FALSE()),"El valor supera el tope de menor cuantía 2027",IF(OR(ISERROR(SEARCH("@itc.edu.co",AE471)),SUMPRODUCT(--ISNUMBER(SEARCH({"á","é","í","ó","ú","ñ"," "},AE471)))&gt;0),"El correo del responsable no es institucional válido",IF(AND(AF471="Sí",AG471=""),"Indique el N.° de registro 2026 que continúa","OK")))))))))))))))))</f>
        <v/>
      </c>
      <c r="AK471" s="15" t="str">
        <f>IF(AJ471="OK",COUNTIF($AJ$7:AJ471,"OK"),"")</f>
        <v/>
      </c>
    </row>
    <row r="472" spans="1:37" x14ac:dyDescent="0.3">
      <c r="A472" s="13" t="str">
        <f t="shared" si="7"/>
        <v>PN27-466</v>
      </c>
      <c r="B472" s="26"/>
      <c r="C472" s="13" t="str">
        <f>IF(B472="","",IFERROR(INDEX(Catalogos!$R$5:$R$51,MATCH(B472,L_AREAS,0)),""))</f>
        <v/>
      </c>
      <c r="D472" s="13" t="str">
        <f>IF(B472="","",IFERROR(INDEX(Catalogos!$O$5:$O$51,MATCH(B472,L_AREAS,0)),""))</f>
        <v/>
      </c>
      <c r="E472" s="26"/>
      <c r="F472" s="13" t="str">
        <f>IF(E472="","",IFERROR(INDEX(Catalogos!$C$5:$C$49,MATCH(E472,L_METAS,0)),""))</f>
        <v/>
      </c>
      <c r="G472" s="13" t="str">
        <f>IF(E472="","",IFERROR(INDEX(Catalogos!$E$5:$E$49,MATCH(E472,L_METAS,0)),""))</f>
        <v/>
      </c>
      <c r="H472" s="26"/>
      <c r="I472" s="26"/>
      <c r="J472" s="26"/>
      <c r="K472" s="26"/>
      <c r="L472" s="26"/>
      <c r="M472" s="27"/>
      <c r="N472" s="26"/>
      <c r="O472" s="26"/>
      <c r="P472" s="26"/>
      <c r="Q472" s="26"/>
      <c r="R472" s="26"/>
      <c r="S472" s="26"/>
      <c r="T472" s="26"/>
      <c r="U472" s="26"/>
      <c r="V472" s="26"/>
      <c r="W472" s="28"/>
      <c r="X472" s="28"/>
      <c r="Y472" s="26"/>
      <c r="Z472" s="26"/>
      <c r="AA472" s="26"/>
      <c r="AB472" s="26"/>
      <c r="AC472" s="26"/>
      <c r="AD472" s="26"/>
      <c r="AE472" s="26"/>
      <c r="AF472" s="26"/>
      <c r="AG472" s="26"/>
      <c r="AH472" s="26"/>
      <c r="AI472" s="26"/>
      <c r="AJ472" s="15" t="str">
        <f>IF(COUNTA(B472,E472,H472,I472,J472,K472,L472,M472,N472,O472,P472,Q472,R472,S472,T472,U472,V472,W472,X472,Y472,Z472,AA472,AB472,AC472,AD472,AE472,AF472,AG472,AH472,AI472)=0,"",IF(OR(B472="",E472="",H472="",J472="",K472="",L472="",M472="",O472="",P472="",Q472="",R472="",S472="",T472="",U472="",W472="",X472="",Y472="",AB472="",AC472="",AE472="",AF472=""),"Incompleta: faltan campos obligatorios",IF(AND(LEFT(H472,6)="PROPIA",I472=""),"Falta el nombre de la acción propia del área",IF(AND(LEFT(H472,3)="A27",IFERROR(INDEX(Catalogos!$T$5:$T$207,MATCH(H472,Catalogos!$U$5:$U$207,0)),"x")&lt;&gt;LEFT(E472,7)),"La acción no corresponde a la meta seleccionada",IF(OR(NOT(ISNUMBER(M472)),M472&lt;10000000,M472&gt;99999999),"Código UNSPSC inválido: registre 8 dígitos",IF(MOD(M472,10000)=0,"UNSPSC a nivel de segmento o familia: use clase o producto",IF(IFERROR(MATCH(P472,L_MESES,0)&lt;MATCH(O472,L_MESES,0),TRUE()),"El mes de ofertas es anterior al de inicio del proceso",IF(OR(NOT(ISNUMBER(Q472)),Q472&lt;=0),"Duración inválida",IF(OR(NOT(ISNUMBER(W472)),NOT(ISNUMBER(X472))),"Valor inválido: registre solo números",IF(OR(W472&lt;=0,X472&lt;=0),"Valor inválido: debe ser mayor que cero",IF(X472&gt;W472,"El valor de la vigencia 2027 supera el valor total",IF(AND(X472&lt;W472,Y472="No"),"El valor total supera el de 2027: requiere vigencias futuras",IF(AND(Y472="Sí",OR(Z472="",Z472="No aplica")),"Indique el estado de la solicitud de vigencias futuras",IF(IF(AND(S472="Mínima cuantía",ISNUMBER(P_TOPE_MINIMA)),W472&gt;P_TOPE_MINIMA,FALSE()),"El valor supera el tope de mínima cuantía 2027",IF(IF(AND(S472="Selección abreviada de menor cuantía",ISNUMBER(P_TOPE_MENOR)),W472&gt;P_TOPE_MENOR,FALSE()),"El valor supera el tope de menor cuantía 2027",IF(OR(ISERROR(SEARCH("@itc.edu.co",AE472)),SUMPRODUCT(--ISNUMBER(SEARCH({"á","é","í","ó","ú","ñ"," "},AE472)))&gt;0),"El correo del responsable no es institucional válido",IF(AND(AF472="Sí",AG472=""),"Indique el N.° de registro 2026 que continúa","OK")))))))))))))))))</f>
        <v/>
      </c>
      <c r="AK472" s="15" t="str">
        <f>IF(AJ472="OK",COUNTIF($AJ$7:AJ472,"OK"),"")</f>
        <v/>
      </c>
    </row>
    <row r="473" spans="1:37" x14ac:dyDescent="0.3">
      <c r="A473" s="13" t="str">
        <f t="shared" si="7"/>
        <v>PN27-467</v>
      </c>
      <c r="B473" s="26"/>
      <c r="C473" s="13" t="str">
        <f>IF(B473="","",IFERROR(INDEX(Catalogos!$R$5:$R$51,MATCH(B473,L_AREAS,0)),""))</f>
        <v/>
      </c>
      <c r="D473" s="13" t="str">
        <f>IF(B473="","",IFERROR(INDEX(Catalogos!$O$5:$O$51,MATCH(B473,L_AREAS,0)),""))</f>
        <v/>
      </c>
      <c r="E473" s="26"/>
      <c r="F473" s="13" t="str">
        <f>IF(E473="","",IFERROR(INDEX(Catalogos!$C$5:$C$49,MATCH(E473,L_METAS,0)),""))</f>
        <v/>
      </c>
      <c r="G473" s="13" t="str">
        <f>IF(E473="","",IFERROR(INDEX(Catalogos!$E$5:$E$49,MATCH(E473,L_METAS,0)),""))</f>
        <v/>
      </c>
      <c r="H473" s="26"/>
      <c r="I473" s="26"/>
      <c r="J473" s="26"/>
      <c r="K473" s="26"/>
      <c r="L473" s="26"/>
      <c r="M473" s="27"/>
      <c r="N473" s="26"/>
      <c r="O473" s="26"/>
      <c r="P473" s="26"/>
      <c r="Q473" s="26"/>
      <c r="R473" s="26"/>
      <c r="S473" s="26"/>
      <c r="T473" s="26"/>
      <c r="U473" s="26"/>
      <c r="V473" s="26"/>
      <c r="W473" s="28"/>
      <c r="X473" s="28"/>
      <c r="Y473" s="26"/>
      <c r="Z473" s="26"/>
      <c r="AA473" s="26"/>
      <c r="AB473" s="26"/>
      <c r="AC473" s="26"/>
      <c r="AD473" s="26"/>
      <c r="AE473" s="26"/>
      <c r="AF473" s="26"/>
      <c r="AG473" s="26"/>
      <c r="AH473" s="26"/>
      <c r="AI473" s="26"/>
      <c r="AJ473" s="15" t="str">
        <f>IF(COUNTA(B473,E473,H473,I473,J473,K473,L473,M473,N473,O473,P473,Q473,R473,S473,T473,U473,V473,W473,X473,Y473,Z473,AA473,AB473,AC473,AD473,AE473,AF473,AG473,AH473,AI473)=0,"",IF(OR(B473="",E473="",H473="",J473="",K473="",L473="",M473="",O473="",P473="",Q473="",R473="",S473="",T473="",U473="",W473="",X473="",Y473="",AB473="",AC473="",AE473="",AF473=""),"Incompleta: faltan campos obligatorios",IF(AND(LEFT(H473,6)="PROPIA",I473=""),"Falta el nombre de la acción propia del área",IF(AND(LEFT(H473,3)="A27",IFERROR(INDEX(Catalogos!$T$5:$T$207,MATCH(H473,Catalogos!$U$5:$U$207,0)),"x")&lt;&gt;LEFT(E473,7)),"La acción no corresponde a la meta seleccionada",IF(OR(NOT(ISNUMBER(M473)),M473&lt;10000000,M473&gt;99999999),"Código UNSPSC inválido: registre 8 dígitos",IF(MOD(M473,10000)=0,"UNSPSC a nivel de segmento o familia: use clase o producto",IF(IFERROR(MATCH(P473,L_MESES,0)&lt;MATCH(O473,L_MESES,0),TRUE()),"El mes de ofertas es anterior al de inicio del proceso",IF(OR(NOT(ISNUMBER(Q473)),Q473&lt;=0),"Duración inválida",IF(OR(NOT(ISNUMBER(W473)),NOT(ISNUMBER(X473))),"Valor inválido: registre solo números",IF(OR(W473&lt;=0,X473&lt;=0),"Valor inválido: debe ser mayor que cero",IF(X473&gt;W473,"El valor de la vigencia 2027 supera el valor total",IF(AND(X473&lt;W473,Y473="No"),"El valor total supera el de 2027: requiere vigencias futuras",IF(AND(Y473="Sí",OR(Z473="",Z473="No aplica")),"Indique el estado de la solicitud de vigencias futuras",IF(IF(AND(S473="Mínima cuantía",ISNUMBER(P_TOPE_MINIMA)),W473&gt;P_TOPE_MINIMA,FALSE()),"El valor supera el tope de mínima cuantía 2027",IF(IF(AND(S473="Selección abreviada de menor cuantía",ISNUMBER(P_TOPE_MENOR)),W473&gt;P_TOPE_MENOR,FALSE()),"El valor supera el tope de menor cuantía 2027",IF(OR(ISERROR(SEARCH("@itc.edu.co",AE473)),SUMPRODUCT(--ISNUMBER(SEARCH({"á","é","í","ó","ú","ñ"," "},AE473)))&gt;0),"El correo del responsable no es institucional válido",IF(AND(AF473="Sí",AG473=""),"Indique el N.° de registro 2026 que continúa","OK")))))))))))))))))</f>
        <v/>
      </c>
      <c r="AK473" s="15" t="str">
        <f>IF(AJ473="OK",COUNTIF($AJ$7:AJ473,"OK"),"")</f>
        <v/>
      </c>
    </row>
    <row r="474" spans="1:37" x14ac:dyDescent="0.3">
      <c r="A474" s="13" t="str">
        <f t="shared" si="7"/>
        <v>PN27-468</v>
      </c>
      <c r="B474" s="26"/>
      <c r="C474" s="13" t="str">
        <f>IF(B474="","",IFERROR(INDEX(Catalogos!$R$5:$R$51,MATCH(B474,L_AREAS,0)),""))</f>
        <v/>
      </c>
      <c r="D474" s="13" t="str">
        <f>IF(B474="","",IFERROR(INDEX(Catalogos!$O$5:$O$51,MATCH(B474,L_AREAS,0)),""))</f>
        <v/>
      </c>
      <c r="E474" s="26"/>
      <c r="F474" s="13" t="str">
        <f>IF(E474="","",IFERROR(INDEX(Catalogos!$C$5:$C$49,MATCH(E474,L_METAS,0)),""))</f>
        <v/>
      </c>
      <c r="G474" s="13" t="str">
        <f>IF(E474="","",IFERROR(INDEX(Catalogos!$E$5:$E$49,MATCH(E474,L_METAS,0)),""))</f>
        <v/>
      </c>
      <c r="H474" s="26"/>
      <c r="I474" s="26"/>
      <c r="J474" s="26"/>
      <c r="K474" s="26"/>
      <c r="L474" s="26"/>
      <c r="M474" s="27"/>
      <c r="N474" s="26"/>
      <c r="O474" s="26"/>
      <c r="P474" s="26"/>
      <c r="Q474" s="26"/>
      <c r="R474" s="26"/>
      <c r="S474" s="26"/>
      <c r="T474" s="26"/>
      <c r="U474" s="26"/>
      <c r="V474" s="26"/>
      <c r="W474" s="28"/>
      <c r="X474" s="28"/>
      <c r="Y474" s="26"/>
      <c r="Z474" s="26"/>
      <c r="AA474" s="26"/>
      <c r="AB474" s="26"/>
      <c r="AC474" s="26"/>
      <c r="AD474" s="26"/>
      <c r="AE474" s="26"/>
      <c r="AF474" s="26"/>
      <c r="AG474" s="26"/>
      <c r="AH474" s="26"/>
      <c r="AI474" s="26"/>
      <c r="AJ474" s="15" t="str">
        <f>IF(COUNTA(B474,E474,H474,I474,J474,K474,L474,M474,N474,O474,P474,Q474,R474,S474,T474,U474,V474,W474,X474,Y474,Z474,AA474,AB474,AC474,AD474,AE474,AF474,AG474,AH474,AI474)=0,"",IF(OR(B474="",E474="",H474="",J474="",K474="",L474="",M474="",O474="",P474="",Q474="",R474="",S474="",T474="",U474="",W474="",X474="",Y474="",AB474="",AC474="",AE474="",AF474=""),"Incompleta: faltan campos obligatorios",IF(AND(LEFT(H474,6)="PROPIA",I474=""),"Falta el nombre de la acción propia del área",IF(AND(LEFT(H474,3)="A27",IFERROR(INDEX(Catalogos!$T$5:$T$207,MATCH(H474,Catalogos!$U$5:$U$207,0)),"x")&lt;&gt;LEFT(E474,7)),"La acción no corresponde a la meta seleccionada",IF(OR(NOT(ISNUMBER(M474)),M474&lt;10000000,M474&gt;99999999),"Código UNSPSC inválido: registre 8 dígitos",IF(MOD(M474,10000)=0,"UNSPSC a nivel de segmento o familia: use clase o producto",IF(IFERROR(MATCH(P474,L_MESES,0)&lt;MATCH(O474,L_MESES,0),TRUE()),"El mes de ofertas es anterior al de inicio del proceso",IF(OR(NOT(ISNUMBER(Q474)),Q474&lt;=0),"Duración inválida",IF(OR(NOT(ISNUMBER(W474)),NOT(ISNUMBER(X474))),"Valor inválido: registre solo números",IF(OR(W474&lt;=0,X474&lt;=0),"Valor inválido: debe ser mayor que cero",IF(X474&gt;W474,"El valor de la vigencia 2027 supera el valor total",IF(AND(X474&lt;W474,Y474="No"),"El valor total supera el de 2027: requiere vigencias futuras",IF(AND(Y474="Sí",OR(Z474="",Z474="No aplica")),"Indique el estado de la solicitud de vigencias futuras",IF(IF(AND(S474="Mínima cuantía",ISNUMBER(P_TOPE_MINIMA)),W474&gt;P_TOPE_MINIMA,FALSE()),"El valor supera el tope de mínima cuantía 2027",IF(IF(AND(S474="Selección abreviada de menor cuantía",ISNUMBER(P_TOPE_MENOR)),W474&gt;P_TOPE_MENOR,FALSE()),"El valor supera el tope de menor cuantía 2027",IF(OR(ISERROR(SEARCH("@itc.edu.co",AE474)),SUMPRODUCT(--ISNUMBER(SEARCH({"á","é","í","ó","ú","ñ"," "},AE474)))&gt;0),"El correo del responsable no es institucional válido",IF(AND(AF474="Sí",AG474=""),"Indique el N.° de registro 2026 que continúa","OK")))))))))))))))))</f>
        <v/>
      </c>
      <c r="AK474" s="15" t="str">
        <f>IF(AJ474="OK",COUNTIF($AJ$7:AJ474,"OK"),"")</f>
        <v/>
      </c>
    </row>
    <row r="475" spans="1:37" x14ac:dyDescent="0.3">
      <c r="A475" s="13" t="str">
        <f t="shared" si="7"/>
        <v>PN27-469</v>
      </c>
      <c r="B475" s="26"/>
      <c r="C475" s="13" t="str">
        <f>IF(B475="","",IFERROR(INDEX(Catalogos!$R$5:$R$51,MATCH(B475,L_AREAS,0)),""))</f>
        <v/>
      </c>
      <c r="D475" s="13" t="str">
        <f>IF(B475="","",IFERROR(INDEX(Catalogos!$O$5:$O$51,MATCH(B475,L_AREAS,0)),""))</f>
        <v/>
      </c>
      <c r="E475" s="26"/>
      <c r="F475" s="13" t="str">
        <f>IF(E475="","",IFERROR(INDEX(Catalogos!$C$5:$C$49,MATCH(E475,L_METAS,0)),""))</f>
        <v/>
      </c>
      <c r="G475" s="13" t="str">
        <f>IF(E475="","",IFERROR(INDEX(Catalogos!$E$5:$E$49,MATCH(E475,L_METAS,0)),""))</f>
        <v/>
      </c>
      <c r="H475" s="26"/>
      <c r="I475" s="26"/>
      <c r="J475" s="26"/>
      <c r="K475" s="26"/>
      <c r="L475" s="26"/>
      <c r="M475" s="27"/>
      <c r="N475" s="26"/>
      <c r="O475" s="26"/>
      <c r="P475" s="26"/>
      <c r="Q475" s="26"/>
      <c r="R475" s="26"/>
      <c r="S475" s="26"/>
      <c r="T475" s="26"/>
      <c r="U475" s="26"/>
      <c r="V475" s="26"/>
      <c r="W475" s="28"/>
      <c r="X475" s="28"/>
      <c r="Y475" s="26"/>
      <c r="Z475" s="26"/>
      <c r="AA475" s="26"/>
      <c r="AB475" s="26"/>
      <c r="AC475" s="26"/>
      <c r="AD475" s="26"/>
      <c r="AE475" s="26"/>
      <c r="AF475" s="26"/>
      <c r="AG475" s="26"/>
      <c r="AH475" s="26"/>
      <c r="AI475" s="26"/>
      <c r="AJ475" s="15" t="str">
        <f>IF(COUNTA(B475,E475,H475,I475,J475,K475,L475,M475,N475,O475,P475,Q475,R475,S475,T475,U475,V475,W475,X475,Y475,Z475,AA475,AB475,AC475,AD475,AE475,AF475,AG475,AH475,AI475)=0,"",IF(OR(B475="",E475="",H475="",J475="",K475="",L475="",M475="",O475="",P475="",Q475="",R475="",S475="",T475="",U475="",W475="",X475="",Y475="",AB475="",AC475="",AE475="",AF475=""),"Incompleta: faltan campos obligatorios",IF(AND(LEFT(H475,6)="PROPIA",I475=""),"Falta el nombre de la acción propia del área",IF(AND(LEFT(H475,3)="A27",IFERROR(INDEX(Catalogos!$T$5:$T$207,MATCH(H475,Catalogos!$U$5:$U$207,0)),"x")&lt;&gt;LEFT(E475,7)),"La acción no corresponde a la meta seleccionada",IF(OR(NOT(ISNUMBER(M475)),M475&lt;10000000,M475&gt;99999999),"Código UNSPSC inválido: registre 8 dígitos",IF(MOD(M475,10000)=0,"UNSPSC a nivel de segmento o familia: use clase o producto",IF(IFERROR(MATCH(P475,L_MESES,0)&lt;MATCH(O475,L_MESES,0),TRUE()),"El mes de ofertas es anterior al de inicio del proceso",IF(OR(NOT(ISNUMBER(Q475)),Q475&lt;=0),"Duración inválida",IF(OR(NOT(ISNUMBER(W475)),NOT(ISNUMBER(X475))),"Valor inválido: registre solo números",IF(OR(W475&lt;=0,X475&lt;=0),"Valor inválido: debe ser mayor que cero",IF(X475&gt;W475,"El valor de la vigencia 2027 supera el valor total",IF(AND(X475&lt;W475,Y475="No"),"El valor total supera el de 2027: requiere vigencias futuras",IF(AND(Y475="Sí",OR(Z475="",Z475="No aplica")),"Indique el estado de la solicitud de vigencias futuras",IF(IF(AND(S475="Mínima cuantía",ISNUMBER(P_TOPE_MINIMA)),W475&gt;P_TOPE_MINIMA,FALSE()),"El valor supera el tope de mínima cuantía 2027",IF(IF(AND(S475="Selección abreviada de menor cuantía",ISNUMBER(P_TOPE_MENOR)),W475&gt;P_TOPE_MENOR,FALSE()),"El valor supera el tope de menor cuantía 2027",IF(OR(ISERROR(SEARCH("@itc.edu.co",AE475)),SUMPRODUCT(--ISNUMBER(SEARCH({"á","é","í","ó","ú","ñ"," "},AE475)))&gt;0),"El correo del responsable no es institucional válido",IF(AND(AF475="Sí",AG475=""),"Indique el N.° de registro 2026 que continúa","OK")))))))))))))))))</f>
        <v/>
      </c>
      <c r="AK475" s="15" t="str">
        <f>IF(AJ475="OK",COUNTIF($AJ$7:AJ475,"OK"),"")</f>
        <v/>
      </c>
    </row>
    <row r="476" spans="1:37" x14ac:dyDescent="0.3">
      <c r="A476" s="13" t="str">
        <f t="shared" si="7"/>
        <v>PN27-470</v>
      </c>
      <c r="B476" s="26"/>
      <c r="C476" s="13" t="str">
        <f>IF(B476="","",IFERROR(INDEX(Catalogos!$R$5:$R$51,MATCH(B476,L_AREAS,0)),""))</f>
        <v/>
      </c>
      <c r="D476" s="13" t="str">
        <f>IF(B476="","",IFERROR(INDEX(Catalogos!$O$5:$O$51,MATCH(B476,L_AREAS,0)),""))</f>
        <v/>
      </c>
      <c r="E476" s="26"/>
      <c r="F476" s="13" t="str">
        <f>IF(E476="","",IFERROR(INDEX(Catalogos!$C$5:$C$49,MATCH(E476,L_METAS,0)),""))</f>
        <v/>
      </c>
      <c r="G476" s="13" t="str">
        <f>IF(E476="","",IFERROR(INDEX(Catalogos!$E$5:$E$49,MATCH(E476,L_METAS,0)),""))</f>
        <v/>
      </c>
      <c r="H476" s="26"/>
      <c r="I476" s="26"/>
      <c r="J476" s="26"/>
      <c r="K476" s="26"/>
      <c r="L476" s="26"/>
      <c r="M476" s="27"/>
      <c r="N476" s="26"/>
      <c r="O476" s="26"/>
      <c r="P476" s="26"/>
      <c r="Q476" s="26"/>
      <c r="R476" s="26"/>
      <c r="S476" s="26"/>
      <c r="T476" s="26"/>
      <c r="U476" s="26"/>
      <c r="V476" s="26"/>
      <c r="W476" s="28"/>
      <c r="X476" s="28"/>
      <c r="Y476" s="26"/>
      <c r="Z476" s="26"/>
      <c r="AA476" s="26"/>
      <c r="AB476" s="26"/>
      <c r="AC476" s="26"/>
      <c r="AD476" s="26"/>
      <c r="AE476" s="26"/>
      <c r="AF476" s="26"/>
      <c r="AG476" s="26"/>
      <c r="AH476" s="26"/>
      <c r="AI476" s="26"/>
      <c r="AJ476" s="15" t="str">
        <f>IF(COUNTA(B476,E476,H476,I476,J476,K476,L476,M476,N476,O476,P476,Q476,R476,S476,T476,U476,V476,W476,X476,Y476,Z476,AA476,AB476,AC476,AD476,AE476,AF476,AG476,AH476,AI476)=0,"",IF(OR(B476="",E476="",H476="",J476="",K476="",L476="",M476="",O476="",P476="",Q476="",R476="",S476="",T476="",U476="",W476="",X476="",Y476="",AB476="",AC476="",AE476="",AF476=""),"Incompleta: faltan campos obligatorios",IF(AND(LEFT(H476,6)="PROPIA",I476=""),"Falta el nombre de la acción propia del área",IF(AND(LEFT(H476,3)="A27",IFERROR(INDEX(Catalogos!$T$5:$T$207,MATCH(H476,Catalogos!$U$5:$U$207,0)),"x")&lt;&gt;LEFT(E476,7)),"La acción no corresponde a la meta seleccionada",IF(OR(NOT(ISNUMBER(M476)),M476&lt;10000000,M476&gt;99999999),"Código UNSPSC inválido: registre 8 dígitos",IF(MOD(M476,10000)=0,"UNSPSC a nivel de segmento o familia: use clase o producto",IF(IFERROR(MATCH(P476,L_MESES,0)&lt;MATCH(O476,L_MESES,0),TRUE()),"El mes de ofertas es anterior al de inicio del proceso",IF(OR(NOT(ISNUMBER(Q476)),Q476&lt;=0),"Duración inválida",IF(OR(NOT(ISNUMBER(W476)),NOT(ISNUMBER(X476))),"Valor inválido: registre solo números",IF(OR(W476&lt;=0,X476&lt;=0),"Valor inválido: debe ser mayor que cero",IF(X476&gt;W476,"El valor de la vigencia 2027 supera el valor total",IF(AND(X476&lt;W476,Y476="No"),"El valor total supera el de 2027: requiere vigencias futuras",IF(AND(Y476="Sí",OR(Z476="",Z476="No aplica")),"Indique el estado de la solicitud de vigencias futuras",IF(IF(AND(S476="Mínima cuantía",ISNUMBER(P_TOPE_MINIMA)),W476&gt;P_TOPE_MINIMA,FALSE()),"El valor supera el tope de mínima cuantía 2027",IF(IF(AND(S476="Selección abreviada de menor cuantía",ISNUMBER(P_TOPE_MENOR)),W476&gt;P_TOPE_MENOR,FALSE()),"El valor supera el tope de menor cuantía 2027",IF(OR(ISERROR(SEARCH("@itc.edu.co",AE476)),SUMPRODUCT(--ISNUMBER(SEARCH({"á","é","í","ó","ú","ñ"," "},AE476)))&gt;0),"El correo del responsable no es institucional válido",IF(AND(AF476="Sí",AG476=""),"Indique el N.° de registro 2026 que continúa","OK")))))))))))))))))</f>
        <v/>
      </c>
      <c r="AK476" s="15" t="str">
        <f>IF(AJ476="OK",COUNTIF($AJ$7:AJ476,"OK"),"")</f>
        <v/>
      </c>
    </row>
    <row r="477" spans="1:37" x14ac:dyDescent="0.3">
      <c r="A477" s="13" t="str">
        <f t="shared" si="7"/>
        <v>PN27-471</v>
      </c>
      <c r="B477" s="26"/>
      <c r="C477" s="13" t="str">
        <f>IF(B477="","",IFERROR(INDEX(Catalogos!$R$5:$R$51,MATCH(B477,L_AREAS,0)),""))</f>
        <v/>
      </c>
      <c r="D477" s="13" t="str">
        <f>IF(B477="","",IFERROR(INDEX(Catalogos!$O$5:$O$51,MATCH(B477,L_AREAS,0)),""))</f>
        <v/>
      </c>
      <c r="E477" s="26"/>
      <c r="F477" s="13" t="str">
        <f>IF(E477="","",IFERROR(INDEX(Catalogos!$C$5:$C$49,MATCH(E477,L_METAS,0)),""))</f>
        <v/>
      </c>
      <c r="G477" s="13" t="str">
        <f>IF(E477="","",IFERROR(INDEX(Catalogos!$E$5:$E$49,MATCH(E477,L_METAS,0)),""))</f>
        <v/>
      </c>
      <c r="H477" s="26"/>
      <c r="I477" s="26"/>
      <c r="J477" s="26"/>
      <c r="K477" s="26"/>
      <c r="L477" s="26"/>
      <c r="M477" s="27"/>
      <c r="N477" s="26"/>
      <c r="O477" s="26"/>
      <c r="P477" s="26"/>
      <c r="Q477" s="26"/>
      <c r="R477" s="26"/>
      <c r="S477" s="26"/>
      <c r="T477" s="26"/>
      <c r="U477" s="26"/>
      <c r="V477" s="26"/>
      <c r="W477" s="28"/>
      <c r="X477" s="28"/>
      <c r="Y477" s="26"/>
      <c r="Z477" s="26"/>
      <c r="AA477" s="26"/>
      <c r="AB477" s="26"/>
      <c r="AC477" s="26"/>
      <c r="AD477" s="26"/>
      <c r="AE477" s="26"/>
      <c r="AF477" s="26"/>
      <c r="AG477" s="26"/>
      <c r="AH477" s="26"/>
      <c r="AI477" s="26"/>
      <c r="AJ477" s="15" t="str">
        <f>IF(COUNTA(B477,E477,H477,I477,J477,K477,L477,M477,N477,O477,P477,Q477,R477,S477,T477,U477,V477,W477,X477,Y477,Z477,AA477,AB477,AC477,AD477,AE477,AF477,AG477,AH477,AI477)=0,"",IF(OR(B477="",E477="",H477="",J477="",K477="",L477="",M477="",O477="",P477="",Q477="",R477="",S477="",T477="",U477="",W477="",X477="",Y477="",AB477="",AC477="",AE477="",AF477=""),"Incompleta: faltan campos obligatorios",IF(AND(LEFT(H477,6)="PROPIA",I477=""),"Falta el nombre de la acción propia del área",IF(AND(LEFT(H477,3)="A27",IFERROR(INDEX(Catalogos!$T$5:$T$207,MATCH(H477,Catalogos!$U$5:$U$207,0)),"x")&lt;&gt;LEFT(E477,7)),"La acción no corresponde a la meta seleccionada",IF(OR(NOT(ISNUMBER(M477)),M477&lt;10000000,M477&gt;99999999),"Código UNSPSC inválido: registre 8 dígitos",IF(MOD(M477,10000)=0,"UNSPSC a nivel de segmento o familia: use clase o producto",IF(IFERROR(MATCH(P477,L_MESES,0)&lt;MATCH(O477,L_MESES,0),TRUE()),"El mes de ofertas es anterior al de inicio del proceso",IF(OR(NOT(ISNUMBER(Q477)),Q477&lt;=0),"Duración inválida",IF(OR(NOT(ISNUMBER(W477)),NOT(ISNUMBER(X477))),"Valor inválido: registre solo números",IF(OR(W477&lt;=0,X477&lt;=0),"Valor inválido: debe ser mayor que cero",IF(X477&gt;W477,"El valor de la vigencia 2027 supera el valor total",IF(AND(X477&lt;W477,Y477="No"),"El valor total supera el de 2027: requiere vigencias futuras",IF(AND(Y477="Sí",OR(Z477="",Z477="No aplica")),"Indique el estado de la solicitud de vigencias futuras",IF(IF(AND(S477="Mínima cuantía",ISNUMBER(P_TOPE_MINIMA)),W477&gt;P_TOPE_MINIMA,FALSE()),"El valor supera el tope de mínima cuantía 2027",IF(IF(AND(S477="Selección abreviada de menor cuantía",ISNUMBER(P_TOPE_MENOR)),W477&gt;P_TOPE_MENOR,FALSE()),"El valor supera el tope de menor cuantía 2027",IF(OR(ISERROR(SEARCH("@itc.edu.co",AE477)),SUMPRODUCT(--ISNUMBER(SEARCH({"á","é","í","ó","ú","ñ"," "},AE477)))&gt;0),"El correo del responsable no es institucional válido",IF(AND(AF477="Sí",AG477=""),"Indique el N.° de registro 2026 que continúa","OK")))))))))))))))))</f>
        <v/>
      </c>
      <c r="AK477" s="15" t="str">
        <f>IF(AJ477="OK",COUNTIF($AJ$7:AJ477,"OK"),"")</f>
        <v/>
      </c>
    </row>
    <row r="478" spans="1:37" x14ac:dyDescent="0.3">
      <c r="A478" s="13" t="str">
        <f t="shared" si="7"/>
        <v>PN27-472</v>
      </c>
      <c r="B478" s="26"/>
      <c r="C478" s="13" t="str">
        <f>IF(B478="","",IFERROR(INDEX(Catalogos!$R$5:$R$51,MATCH(B478,L_AREAS,0)),""))</f>
        <v/>
      </c>
      <c r="D478" s="13" t="str">
        <f>IF(B478="","",IFERROR(INDEX(Catalogos!$O$5:$O$51,MATCH(B478,L_AREAS,0)),""))</f>
        <v/>
      </c>
      <c r="E478" s="26"/>
      <c r="F478" s="13" t="str">
        <f>IF(E478="","",IFERROR(INDEX(Catalogos!$C$5:$C$49,MATCH(E478,L_METAS,0)),""))</f>
        <v/>
      </c>
      <c r="G478" s="13" t="str">
        <f>IF(E478="","",IFERROR(INDEX(Catalogos!$E$5:$E$49,MATCH(E478,L_METAS,0)),""))</f>
        <v/>
      </c>
      <c r="H478" s="26"/>
      <c r="I478" s="26"/>
      <c r="J478" s="26"/>
      <c r="K478" s="26"/>
      <c r="L478" s="26"/>
      <c r="M478" s="27"/>
      <c r="N478" s="26"/>
      <c r="O478" s="26"/>
      <c r="P478" s="26"/>
      <c r="Q478" s="26"/>
      <c r="R478" s="26"/>
      <c r="S478" s="26"/>
      <c r="T478" s="26"/>
      <c r="U478" s="26"/>
      <c r="V478" s="26"/>
      <c r="W478" s="28"/>
      <c r="X478" s="28"/>
      <c r="Y478" s="26"/>
      <c r="Z478" s="26"/>
      <c r="AA478" s="26"/>
      <c r="AB478" s="26"/>
      <c r="AC478" s="26"/>
      <c r="AD478" s="26"/>
      <c r="AE478" s="26"/>
      <c r="AF478" s="26"/>
      <c r="AG478" s="26"/>
      <c r="AH478" s="26"/>
      <c r="AI478" s="26"/>
      <c r="AJ478" s="15" t="str">
        <f>IF(COUNTA(B478,E478,H478,I478,J478,K478,L478,M478,N478,O478,P478,Q478,R478,S478,T478,U478,V478,W478,X478,Y478,Z478,AA478,AB478,AC478,AD478,AE478,AF478,AG478,AH478,AI478)=0,"",IF(OR(B478="",E478="",H478="",J478="",K478="",L478="",M478="",O478="",P478="",Q478="",R478="",S478="",T478="",U478="",W478="",X478="",Y478="",AB478="",AC478="",AE478="",AF478=""),"Incompleta: faltan campos obligatorios",IF(AND(LEFT(H478,6)="PROPIA",I478=""),"Falta el nombre de la acción propia del área",IF(AND(LEFT(H478,3)="A27",IFERROR(INDEX(Catalogos!$T$5:$T$207,MATCH(H478,Catalogos!$U$5:$U$207,0)),"x")&lt;&gt;LEFT(E478,7)),"La acción no corresponde a la meta seleccionada",IF(OR(NOT(ISNUMBER(M478)),M478&lt;10000000,M478&gt;99999999),"Código UNSPSC inválido: registre 8 dígitos",IF(MOD(M478,10000)=0,"UNSPSC a nivel de segmento o familia: use clase o producto",IF(IFERROR(MATCH(P478,L_MESES,0)&lt;MATCH(O478,L_MESES,0),TRUE()),"El mes de ofertas es anterior al de inicio del proceso",IF(OR(NOT(ISNUMBER(Q478)),Q478&lt;=0),"Duración inválida",IF(OR(NOT(ISNUMBER(W478)),NOT(ISNUMBER(X478))),"Valor inválido: registre solo números",IF(OR(W478&lt;=0,X478&lt;=0),"Valor inválido: debe ser mayor que cero",IF(X478&gt;W478,"El valor de la vigencia 2027 supera el valor total",IF(AND(X478&lt;W478,Y478="No"),"El valor total supera el de 2027: requiere vigencias futuras",IF(AND(Y478="Sí",OR(Z478="",Z478="No aplica")),"Indique el estado de la solicitud de vigencias futuras",IF(IF(AND(S478="Mínima cuantía",ISNUMBER(P_TOPE_MINIMA)),W478&gt;P_TOPE_MINIMA,FALSE()),"El valor supera el tope de mínima cuantía 2027",IF(IF(AND(S478="Selección abreviada de menor cuantía",ISNUMBER(P_TOPE_MENOR)),W478&gt;P_TOPE_MENOR,FALSE()),"El valor supera el tope de menor cuantía 2027",IF(OR(ISERROR(SEARCH("@itc.edu.co",AE478)),SUMPRODUCT(--ISNUMBER(SEARCH({"á","é","í","ó","ú","ñ"," "},AE478)))&gt;0),"El correo del responsable no es institucional válido",IF(AND(AF478="Sí",AG478=""),"Indique el N.° de registro 2026 que continúa","OK")))))))))))))))))</f>
        <v/>
      </c>
      <c r="AK478" s="15" t="str">
        <f>IF(AJ478="OK",COUNTIF($AJ$7:AJ478,"OK"),"")</f>
        <v/>
      </c>
    </row>
    <row r="479" spans="1:37" x14ac:dyDescent="0.3">
      <c r="A479" s="13" t="str">
        <f t="shared" si="7"/>
        <v>PN27-473</v>
      </c>
      <c r="B479" s="26"/>
      <c r="C479" s="13" t="str">
        <f>IF(B479="","",IFERROR(INDEX(Catalogos!$R$5:$R$51,MATCH(B479,L_AREAS,0)),""))</f>
        <v/>
      </c>
      <c r="D479" s="13" t="str">
        <f>IF(B479="","",IFERROR(INDEX(Catalogos!$O$5:$O$51,MATCH(B479,L_AREAS,0)),""))</f>
        <v/>
      </c>
      <c r="E479" s="26"/>
      <c r="F479" s="13" t="str">
        <f>IF(E479="","",IFERROR(INDEX(Catalogos!$C$5:$C$49,MATCH(E479,L_METAS,0)),""))</f>
        <v/>
      </c>
      <c r="G479" s="13" t="str">
        <f>IF(E479="","",IFERROR(INDEX(Catalogos!$E$5:$E$49,MATCH(E479,L_METAS,0)),""))</f>
        <v/>
      </c>
      <c r="H479" s="26"/>
      <c r="I479" s="26"/>
      <c r="J479" s="26"/>
      <c r="K479" s="26"/>
      <c r="L479" s="26"/>
      <c r="M479" s="27"/>
      <c r="N479" s="26"/>
      <c r="O479" s="26"/>
      <c r="P479" s="26"/>
      <c r="Q479" s="26"/>
      <c r="R479" s="26"/>
      <c r="S479" s="26"/>
      <c r="T479" s="26"/>
      <c r="U479" s="26"/>
      <c r="V479" s="26"/>
      <c r="W479" s="28"/>
      <c r="X479" s="28"/>
      <c r="Y479" s="26"/>
      <c r="Z479" s="26"/>
      <c r="AA479" s="26"/>
      <c r="AB479" s="26"/>
      <c r="AC479" s="26"/>
      <c r="AD479" s="26"/>
      <c r="AE479" s="26"/>
      <c r="AF479" s="26"/>
      <c r="AG479" s="26"/>
      <c r="AH479" s="26"/>
      <c r="AI479" s="26"/>
      <c r="AJ479" s="15" t="str">
        <f>IF(COUNTA(B479,E479,H479,I479,J479,K479,L479,M479,N479,O479,P479,Q479,R479,S479,T479,U479,V479,W479,X479,Y479,Z479,AA479,AB479,AC479,AD479,AE479,AF479,AG479,AH479,AI479)=0,"",IF(OR(B479="",E479="",H479="",J479="",K479="",L479="",M479="",O479="",P479="",Q479="",R479="",S479="",T479="",U479="",W479="",X479="",Y479="",AB479="",AC479="",AE479="",AF479=""),"Incompleta: faltan campos obligatorios",IF(AND(LEFT(H479,6)="PROPIA",I479=""),"Falta el nombre de la acción propia del área",IF(AND(LEFT(H479,3)="A27",IFERROR(INDEX(Catalogos!$T$5:$T$207,MATCH(H479,Catalogos!$U$5:$U$207,0)),"x")&lt;&gt;LEFT(E479,7)),"La acción no corresponde a la meta seleccionada",IF(OR(NOT(ISNUMBER(M479)),M479&lt;10000000,M479&gt;99999999),"Código UNSPSC inválido: registre 8 dígitos",IF(MOD(M479,10000)=0,"UNSPSC a nivel de segmento o familia: use clase o producto",IF(IFERROR(MATCH(P479,L_MESES,0)&lt;MATCH(O479,L_MESES,0),TRUE()),"El mes de ofertas es anterior al de inicio del proceso",IF(OR(NOT(ISNUMBER(Q479)),Q479&lt;=0),"Duración inválida",IF(OR(NOT(ISNUMBER(W479)),NOT(ISNUMBER(X479))),"Valor inválido: registre solo números",IF(OR(W479&lt;=0,X479&lt;=0),"Valor inválido: debe ser mayor que cero",IF(X479&gt;W479,"El valor de la vigencia 2027 supera el valor total",IF(AND(X479&lt;W479,Y479="No"),"El valor total supera el de 2027: requiere vigencias futuras",IF(AND(Y479="Sí",OR(Z479="",Z479="No aplica")),"Indique el estado de la solicitud de vigencias futuras",IF(IF(AND(S479="Mínima cuantía",ISNUMBER(P_TOPE_MINIMA)),W479&gt;P_TOPE_MINIMA,FALSE()),"El valor supera el tope de mínima cuantía 2027",IF(IF(AND(S479="Selección abreviada de menor cuantía",ISNUMBER(P_TOPE_MENOR)),W479&gt;P_TOPE_MENOR,FALSE()),"El valor supera el tope de menor cuantía 2027",IF(OR(ISERROR(SEARCH("@itc.edu.co",AE479)),SUMPRODUCT(--ISNUMBER(SEARCH({"á","é","í","ó","ú","ñ"," "},AE479)))&gt;0),"El correo del responsable no es institucional válido",IF(AND(AF479="Sí",AG479=""),"Indique el N.° de registro 2026 que continúa","OK")))))))))))))))))</f>
        <v/>
      </c>
      <c r="AK479" s="15" t="str">
        <f>IF(AJ479="OK",COUNTIF($AJ$7:AJ479,"OK"),"")</f>
        <v/>
      </c>
    </row>
    <row r="480" spans="1:37" x14ac:dyDescent="0.3">
      <c r="A480" s="13" t="str">
        <f t="shared" si="7"/>
        <v>PN27-474</v>
      </c>
      <c r="B480" s="26"/>
      <c r="C480" s="13" t="str">
        <f>IF(B480="","",IFERROR(INDEX(Catalogos!$R$5:$R$51,MATCH(B480,L_AREAS,0)),""))</f>
        <v/>
      </c>
      <c r="D480" s="13" t="str">
        <f>IF(B480="","",IFERROR(INDEX(Catalogos!$O$5:$O$51,MATCH(B480,L_AREAS,0)),""))</f>
        <v/>
      </c>
      <c r="E480" s="26"/>
      <c r="F480" s="13" t="str">
        <f>IF(E480="","",IFERROR(INDEX(Catalogos!$C$5:$C$49,MATCH(E480,L_METAS,0)),""))</f>
        <v/>
      </c>
      <c r="G480" s="13" t="str">
        <f>IF(E480="","",IFERROR(INDEX(Catalogos!$E$5:$E$49,MATCH(E480,L_METAS,0)),""))</f>
        <v/>
      </c>
      <c r="H480" s="26"/>
      <c r="I480" s="26"/>
      <c r="J480" s="26"/>
      <c r="K480" s="26"/>
      <c r="L480" s="26"/>
      <c r="M480" s="27"/>
      <c r="N480" s="26"/>
      <c r="O480" s="26"/>
      <c r="P480" s="26"/>
      <c r="Q480" s="26"/>
      <c r="R480" s="26"/>
      <c r="S480" s="26"/>
      <c r="T480" s="26"/>
      <c r="U480" s="26"/>
      <c r="V480" s="26"/>
      <c r="W480" s="28"/>
      <c r="X480" s="28"/>
      <c r="Y480" s="26"/>
      <c r="Z480" s="26"/>
      <c r="AA480" s="26"/>
      <c r="AB480" s="26"/>
      <c r="AC480" s="26"/>
      <c r="AD480" s="26"/>
      <c r="AE480" s="26"/>
      <c r="AF480" s="26"/>
      <c r="AG480" s="26"/>
      <c r="AH480" s="26"/>
      <c r="AI480" s="26"/>
      <c r="AJ480" s="15" t="str">
        <f>IF(COUNTA(B480,E480,H480,I480,J480,K480,L480,M480,N480,O480,P480,Q480,R480,S480,T480,U480,V480,W480,X480,Y480,Z480,AA480,AB480,AC480,AD480,AE480,AF480,AG480,AH480,AI480)=0,"",IF(OR(B480="",E480="",H480="",J480="",K480="",L480="",M480="",O480="",P480="",Q480="",R480="",S480="",T480="",U480="",W480="",X480="",Y480="",AB480="",AC480="",AE480="",AF480=""),"Incompleta: faltan campos obligatorios",IF(AND(LEFT(H480,6)="PROPIA",I480=""),"Falta el nombre de la acción propia del área",IF(AND(LEFT(H480,3)="A27",IFERROR(INDEX(Catalogos!$T$5:$T$207,MATCH(H480,Catalogos!$U$5:$U$207,0)),"x")&lt;&gt;LEFT(E480,7)),"La acción no corresponde a la meta seleccionada",IF(OR(NOT(ISNUMBER(M480)),M480&lt;10000000,M480&gt;99999999),"Código UNSPSC inválido: registre 8 dígitos",IF(MOD(M480,10000)=0,"UNSPSC a nivel de segmento o familia: use clase o producto",IF(IFERROR(MATCH(P480,L_MESES,0)&lt;MATCH(O480,L_MESES,0),TRUE()),"El mes de ofertas es anterior al de inicio del proceso",IF(OR(NOT(ISNUMBER(Q480)),Q480&lt;=0),"Duración inválida",IF(OR(NOT(ISNUMBER(W480)),NOT(ISNUMBER(X480))),"Valor inválido: registre solo números",IF(OR(W480&lt;=0,X480&lt;=0),"Valor inválido: debe ser mayor que cero",IF(X480&gt;W480,"El valor de la vigencia 2027 supera el valor total",IF(AND(X480&lt;W480,Y480="No"),"El valor total supera el de 2027: requiere vigencias futuras",IF(AND(Y480="Sí",OR(Z480="",Z480="No aplica")),"Indique el estado de la solicitud de vigencias futuras",IF(IF(AND(S480="Mínima cuantía",ISNUMBER(P_TOPE_MINIMA)),W480&gt;P_TOPE_MINIMA,FALSE()),"El valor supera el tope de mínima cuantía 2027",IF(IF(AND(S480="Selección abreviada de menor cuantía",ISNUMBER(P_TOPE_MENOR)),W480&gt;P_TOPE_MENOR,FALSE()),"El valor supera el tope de menor cuantía 2027",IF(OR(ISERROR(SEARCH("@itc.edu.co",AE480)),SUMPRODUCT(--ISNUMBER(SEARCH({"á","é","í","ó","ú","ñ"," "},AE480)))&gt;0),"El correo del responsable no es institucional válido",IF(AND(AF480="Sí",AG480=""),"Indique el N.° de registro 2026 que continúa","OK")))))))))))))))))</f>
        <v/>
      </c>
      <c r="AK480" s="15" t="str">
        <f>IF(AJ480="OK",COUNTIF($AJ$7:AJ480,"OK"),"")</f>
        <v/>
      </c>
    </row>
    <row r="481" spans="1:37" x14ac:dyDescent="0.3">
      <c r="A481" s="13" t="str">
        <f t="shared" si="7"/>
        <v>PN27-475</v>
      </c>
      <c r="B481" s="26"/>
      <c r="C481" s="13" t="str">
        <f>IF(B481="","",IFERROR(INDEX(Catalogos!$R$5:$R$51,MATCH(B481,L_AREAS,0)),""))</f>
        <v/>
      </c>
      <c r="D481" s="13" t="str">
        <f>IF(B481="","",IFERROR(INDEX(Catalogos!$O$5:$O$51,MATCH(B481,L_AREAS,0)),""))</f>
        <v/>
      </c>
      <c r="E481" s="26"/>
      <c r="F481" s="13" t="str">
        <f>IF(E481="","",IFERROR(INDEX(Catalogos!$C$5:$C$49,MATCH(E481,L_METAS,0)),""))</f>
        <v/>
      </c>
      <c r="G481" s="13" t="str">
        <f>IF(E481="","",IFERROR(INDEX(Catalogos!$E$5:$E$49,MATCH(E481,L_METAS,0)),""))</f>
        <v/>
      </c>
      <c r="H481" s="26"/>
      <c r="I481" s="26"/>
      <c r="J481" s="26"/>
      <c r="K481" s="26"/>
      <c r="L481" s="26"/>
      <c r="M481" s="27"/>
      <c r="N481" s="26"/>
      <c r="O481" s="26"/>
      <c r="P481" s="26"/>
      <c r="Q481" s="26"/>
      <c r="R481" s="26"/>
      <c r="S481" s="26"/>
      <c r="T481" s="26"/>
      <c r="U481" s="26"/>
      <c r="V481" s="26"/>
      <c r="W481" s="28"/>
      <c r="X481" s="28"/>
      <c r="Y481" s="26"/>
      <c r="Z481" s="26"/>
      <c r="AA481" s="26"/>
      <c r="AB481" s="26"/>
      <c r="AC481" s="26"/>
      <c r="AD481" s="26"/>
      <c r="AE481" s="26"/>
      <c r="AF481" s="26"/>
      <c r="AG481" s="26"/>
      <c r="AH481" s="26"/>
      <c r="AI481" s="26"/>
      <c r="AJ481" s="15" t="str">
        <f>IF(COUNTA(B481,E481,H481,I481,J481,K481,L481,M481,N481,O481,P481,Q481,R481,S481,T481,U481,V481,W481,X481,Y481,Z481,AA481,AB481,AC481,AD481,AE481,AF481,AG481,AH481,AI481)=0,"",IF(OR(B481="",E481="",H481="",J481="",K481="",L481="",M481="",O481="",P481="",Q481="",R481="",S481="",T481="",U481="",W481="",X481="",Y481="",AB481="",AC481="",AE481="",AF481=""),"Incompleta: faltan campos obligatorios",IF(AND(LEFT(H481,6)="PROPIA",I481=""),"Falta el nombre de la acción propia del área",IF(AND(LEFT(H481,3)="A27",IFERROR(INDEX(Catalogos!$T$5:$T$207,MATCH(H481,Catalogos!$U$5:$U$207,0)),"x")&lt;&gt;LEFT(E481,7)),"La acción no corresponde a la meta seleccionada",IF(OR(NOT(ISNUMBER(M481)),M481&lt;10000000,M481&gt;99999999),"Código UNSPSC inválido: registre 8 dígitos",IF(MOD(M481,10000)=0,"UNSPSC a nivel de segmento o familia: use clase o producto",IF(IFERROR(MATCH(P481,L_MESES,0)&lt;MATCH(O481,L_MESES,0),TRUE()),"El mes de ofertas es anterior al de inicio del proceso",IF(OR(NOT(ISNUMBER(Q481)),Q481&lt;=0),"Duración inválida",IF(OR(NOT(ISNUMBER(W481)),NOT(ISNUMBER(X481))),"Valor inválido: registre solo números",IF(OR(W481&lt;=0,X481&lt;=0),"Valor inválido: debe ser mayor que cero",IF(X481&gt;W481,"El valor de la vigencia 2027 supera el valor total",IF(AND(X481&lt;W481,Y481="No"),"El valor total supera el de 2027: requiere vigencias futuras",IF(AND(Y481="Sí",OR(Z481="",Z481="No aplica")),"Indique el estado de la solicitud de vigencias futuras",IF(IF(AND(S481="Mínima cuantía",ISNUMBER(P_TOPE_MINIMA)),W481&gt;P_TOPE_MINIMA,FALSE()),"El valor supera el tope de mínima cuantía 2027",IF(IF(AND(S481="Selección abreviada de menor cuantía",ISNUMBER(P_TOPE_MENOR)),W481&gt;P_TOPE_MENOR,FALSE()),"El valor supera el tope de menor cuantía 2027",IF(OR(ISERROR(SEARCH("@itc.edu.co",AE481)),SUMPRODUCT(--ISNUMBER(SEARCH({"á","é","í","ó","ú","ñ"," "},AE481)))&gt;0),"El correo del responsable no es institucional válido",IF(AND(AF481="Sí",AG481=""),"Indique el N.° de registro 2026 que continúa","OK")))))))))))))))))</f>
        <v/>
      </c>
      <c r="AK481" s="15" t="str">
        <f>IF(AJ481="OK",COUNTIF($AJ$7:AJ481,"OK"),"")</f>
        <v/>
      </c>
    </row>
    <row r="482" spans="1:37" x14ac:dyDescent="0.3">
      <c r="A482" s="13" t="str">
        <f t="shared" si="7"/>
        <v>PN27-476</v>
      </c>
      <c r="B482" s="26"/>
      <c r="C482" s="13" t="str">
        <f>IF(B482="","",IFERROR(INDEX(Catalogos!$R$5:$R$51,MATCH(B482,L_AREAS,0)),""))</f>
        <v/>
      </c>
      <c r="D482" s="13" t="str">
        <f>IF(B482="","",IFERROR(INDEX(Catalogos!$O$5:$O$51,MATCH(B482,L_AREAS,0)),""))</f>
        <v/>
      </c>
      <c r="E482" s="26"/>
      <c r="F482" s="13" t="str">
        <f>IF(E482="","",IFERROR(INDEX(Catalogos!$C$5:$C$49,MATCH(E482,L_METAS,0)),""))</f>
        <v/>
      </c>
      <c r="G482" s="13" t="str">
        <f>IF(E482="","",IFERROR(INDEX(Catalogos!$E$5:$E$49,MATCH(E482,L_METAS,0)),""))</f>
        <v/>
      </c>
      <c r="H482" s="26"/>
      <c r="I482" s="26"/>
      <c r="J482" s="26"/>
      <c r="K482" s="26"/>
      <c r="L482" s="26"/>
      <c r="M482" s="27"/>
      <c r="N482" s="26"/>
      <c r="O482" s="26"/>
      <c r="P482" s="26"/>
      <c r="Q482" s="26"/>
      <c r="R482" s="26"/>
      <c r="S482" s="26"/>
      <c r="T482" s="26"/>
      <c r="U482" s="26"/>
      <c r="V482" s="26"/>
      <c r="W482" s="28"/>
      <c r="X482" s="28"/>
      <c r="Y482" s="26"/>
      <c r="Z482" s="26"/>
      <c r="AA482" s="26"/>
      <c r="AB482" s="26"/>
      <c r="AC482" s="26"/>
      <c r="AD482" s="26"/>
      <c r="AE482" s="26"/>
      <c r="AF482" s="26"/>
      <c r="AG482" s="26"/>
      <c r="AH482" s="26"/>
      <c r="AI482" s="26"/>
      <c r="AJ482" s="15" t="str">
        <f>IF(COUNTA(B482,E482,H482,I482,J482,K482,L482,M482,N482,O482,P482,Q482,R482,S482,T482,U482,V482,W482,X482,Y482,Z482,AA482,AB482,AC482,AD482,AE482,AF482,AG482,AH482,AI482)=0,"",IF(OR(B482="",E482="",H482="",J482="",K482="",L482="",M482="",O482="",P482="",Q482="",R482="",S482="",T482="",U482="",W482="",X482="",Y482="",AB482="",AC482="",AE482="",AF482=""),"Incompleta: faltan campos obligatorios",IF(AND(LEFT(H482,6)="PROPIA",I482=""),"Falta el nombre de la acción propia del área",IF(AND(LEFT(H482,3)="A27",IFERROR(INDEX(Catalogos!$T$5:$T$207,MATCH(H482,Catalogos!$U$5:$U$207,0)),"x")&lt;&gt;LEFT(E482,7)),"La acción no corresponde a la meta seleccionada",IF(OR(NOT(ISNUMBER(M482)),M482&lt;10000000,M482&gt;99999999),"Código UNSPSC inválido: registre 8 dígitos",IF(MOD(M482,10000)=0,"UNSPSC a nivel de segmento o familia: use clase o producto",IF(IFERROR(MATCH(P482,L_MESES,0)&lt;MATCH(O482,L_MESES,0),TRUE()),"El mes de ofertas es anterior al de inicio del proceso",IF(OR(NOT(ISNUMBER(Q482)),Q482&lt;=0),"Duración inválida",IF(OR(NOT(ISNUMBER(W482)),NOT(ISNUMBER(X482))),"Valor inválido: registre solo números",IF(OR(W482&lt;=0,X482&lt;=0),"Valor inválido: debe ser mayor que cero",IF(X482&gt;W482,"El valor de la vigencia 2027 supera el valor total",IF(AND(X482&lt;W482,Y482="No"),"El valor total supera el de 2027: requiere vigencias futuras",IF(AND(Y482="Sí",OR(Z482="",Z482="No aplica")),"Indique el estado de la solicitud de vigencias futuras",IF(IF(AND(S482="Mínima cuantía",ISNUMBER(P_TOPE_MINIMA)),W482&gt;P_TOPE_MINIMA,FALSE()),"El valor supera el tope de mínima cuantía 2027",IF(IF(AND(S482="Selección abreviada de menor cuantía",ISNUMBER(P_TOPE_MENOR)),W482&gt;P_TOPE_MENOR,FALSE()),"El valor supera el tope de menor cuantía 2027",IF(OR(ISERROR(SEARCH("@itc.edu.co",AE482)),SUMPRODUCT(--ISNUMBER(SEARCH({"á","é","í","ó","ú","ñ"," "},AE482)))&gt;0),"El correo del responsable no es institucional válido",IF(AND(AF482="Sí",AG482=""),"Indique el N.° de registro 2026 que continúa","OK")))))))))))))))))</f>
        <v/>
      </c>
      <c r="AK482" s="15" t="str">
        <f>IF(AJ482="OK",COUNTIF($AJ$7:AJ482,"OK"),"")</f>
        <v/>
      </c>
    </row>
    <row r="483" spans="1:37" x14ac:dyDescent="0.3">
      <c r="A483" s="13" t="str">
        <f t="shared" si="7"/>
        <v>PN27-477</v>
      </c>
      <c r="B483" s="26"/>
      <c r="C483" s="13" t="str">
        <f>IF(B483="","",IFERROR(INDEX(Catalogos!$R$5:$R$51,MATCH(B483,L_AREAS,0)),""))</f>
        <v/>
      </c>
      <c r="D483" s="13" t="str">
        <f>IF(B483="","",IFERROR(INDEX(Catalogos!$O$5:$O$51,MATCH(B483,L_AREAS,0)),""))</f>
        <v/>
      </c>
      <c r="E483" s="26"/>
      <c r="F483" s="13" t="str">
        <f>IF(E483="","",IFERROR(INDEX(Catalogos!$C$5:$C$49,MATCH(E483,L_METAS,0)),""))</f>
        <v/>
      </c>
      <c r="G483" s="13" t="str">
        <f>IF(E483="","",IFERROR(INDEX(Catalogos!$E$5:$E$49,MATCH(E483,L_METAS,0)),""))</f>
        <v/>
      </c>
      <c r="H483" s="26"/>
      <c r="I483" s="26"/>
      <c r="J483" s="26"/>
      <c r="K483" s="26"/>
      <c r="L483" s="26"/>
      <c r="M483" s="27"/>
      <c r="N483" s="26"/>
      <c r="O483" s="26"/>
      <c r="P483" s="26"/>
      <c r="Q483" s="26"/>
      <c r="R483" s="26"/>
      <c r="S483" s="26"/>
      <c r="T483" s="26"/>
      <c r="U483" s="26"/>
      <c r="V483" s="26"/>
      <c r="W483" s="28"/>
      <c r="X483" s="28"/>
      <c r="Y483" s="26"/>
      <c r="Z483" s="26"/>
      <c r="AA483" s="26"/>
      <c r="AB483" s="26"/>
      <c r="AC483" s="26"/>
      <c r="AD483" s="26"/>
      <c r="AE483" s="26"/>
      <c r="AF483" s="26"/>
      <c r="AG483" s="26"/>
      <c r="AH483" s="26"/>
      <c r="AI483" s="26"/>
      <c r="AJ483" s="15" t="str">
        <f>IF(COUNTA(B483,E483,H483,I483,J483,K483,L483,M483,N483,O483,P483,Q483,R483,S483,T483,U483,V483,W483,X483,Y483,Z483,AA483,AB483,AC483,AD483,AE483,AF483,AG483,AH483,AI483)=0,"",IF(OR(B483="",E483="",H483="",J483="",K483="",L483="",M483="",O483="",P483="",Q483="",R483="",S483="",T483="",U483="",W483="",X483="",Y483="",AB483="",AC483="",AE483="",AF483=""),"Incompleta: faltan campos obligatorios",IF(AND(LEFT(H483,6)="PROPIA",I483=""),"Falta el nombre de la acción propia del área",IF(AND(LEFT(H483,3)="A27",IFERROR(INDEX(Catalogos!$T$5:$T$207,MATCH(H483,Catalogos!$U$5:$U$207,0)),"x")&lt;&gt;LEFT(E483,7)),"La acción no corresponde a la meta seleccionada",IF(OR(NOT(ISNUMBER(M483)),M483&lt;10000000,M483&gt;99999999),"Código UNSPSC inválido: registre 8 dígitos",IF(MOD(M483,10000)=0,"UNSPSC a nivel de segmento o familia: use clase o producto",IF(IFERROR(MATCH(P483,L_MESES,0)&lt;MATCH(O483,L_MESES,0),TRUE()),"El mes de ofertas es anterior al de inicio del proceso",IF(OR(NOT(ISNUMBER(Q483)),Q483&lt;=0),"Duración inválida",IF(OR(NOT(ISNUMBER(W483)),NOT(ISNUMBER(X483))),"Valor inválido: registre solo números",IF(OR(W483&lt;=0,X483&lt;=0),"Valor inválido: debe ser mayor que cero",IF(X483&gt;W483,"El valor de la vigencia 2027 supera el valor total",IF(AND(X483&lt;W483,Y483="No"),"El valor total supera el de 2027: requiere vigencias futuras",IF(AND(Y483="Sí",OR(Z483="",Z483="No aplica")),"Indique el estado de la solicitud de vigencias futuras",IF(IF(AND(S483="Mínima cuantía",ISNUMBER(P_TOPE_MINIMA)),W483&gt;P_TOPE_MINIMA,FALSE()),"El valor supera el tope de mínima cuantía 2027",IF(IF(AND(S483="Selección abreviada de menor cuantía",ISNUMBER(P_TOPE_MENOR)),W483&gt;P_TOPE_MENOR,FALSE()),"El valor supera el tope de menor cuantía 2027",IF(OR(ISERROR(SEARCH("@itc.edu.co",AE483)),SUMPRODUCT(--ISNUMBER(SEARCH({"á","é","í","ó","ú","ñ"," "},AE483)))&gt;0),"El correo del responsable no es institucional válido",IF(AND(AF483="Sí",AG483=""),"Indique el N.° de registro 2026 que continúa","OK")))))))))))))))))</f>
        <v/>
      </c>
      <c r="AK483" s="15" t="str">
        <f>IF(AJ483="OK",COUNTIF($AJ$7:AJ483,"OK"),"")</f>
        <v/>
      </c>
    </row>
    <row r="484" spans="1:37" x14ac:dyDescent="0.3">
      <c r="A484" s="13" t="str">
        <f t="shared" si="7"/>
        <v>PN27-478</v>
      </c>
      <c r="B484" s="26"/>
      <c r="C484" s="13" t="str">
        <f>IF(B484="","",IFERROR(INDEX(Catalogos!$R$5:$R$51,MATCH(B484,L_AREAS,0)),""))</f>
        <v/>
      </c>
      <c r="D484" s="13" t="str">
        <f>IF(B484="","",IFERROR(INDEX(Catalogos!$O$5:$O$51,MATCH(B484,L_AREAS,0)),""))</f>
        <v/>
      </c>
      <c r="E484" s="26"/>
      <c r="F484" s="13" t="str">
        <f>IF(E484="","",IFERROR(INDEX(Catalogos!$C$5:$C$49,MATCH(E484,L_METAS,0)),""))</f>
        <v/>
      </c>
      <c r="G484" s="13" t="str">
        <f>IF(E484="","",IFERROR(INDEX(Catalogos!$E$5:$E$49,MATCH(E484,L_METAS,0)),""))</f>
        <v/>
      </c>
      <c r="H484" s="26"/>
      <c r="I484" s="26"/>
      <c r="J484" s="26"/>
      <c r="K484" s="26"/>
      <c r="L484" s="26"/>
      <c r="M484" s="27"/>
      <c r="N484" s="26"/>
      <c r="O484" s="26"/>
      <c r="P484" s="26"/>
      <c r="Q484" s="26"/>
      <c r="R484" s="26"/>
      <c r="S484" s="26"/>
      <c r="T484" s="26"/>
      <c r="U484" s="26"/>
      <c r="V484" s="26"/>
      <c r="W484" s="28"/>
      <c r="X484" s="28"/>
      <c r="Y484" s="26"/>
      <c r="Z484" s="26"/>
      <c r="AA484" s="26"/>
      <c r="AB484" s="26"/>
      <c r="AC484" s="26"/>
      <c r="AD484" s="26"/>
      <c r="AE484" s="26"/>
      <c r="AF484" s="26"/>
      <c r="AG484" s="26"/>
      <c r="AH484" s="26"/>
      <c r="AI484" s="26"/>
      <c r="AJ484" s="15" t="str">
        <f>IF(COUNTA(B484,E484,H484,I484,J484,K484,L484,M484,N484,O484,P484,Q484,R484,S484,T484,U484,V484,W484,X484,Y484,Z484,AA484,AB484,AC484,AD484,AE484,AF484,AG484,AH484,AI484)=0,"",IF(OR(B484="",E484="",H484="",J484="",K484="",L484="",M484="",O484="",P484="",Q484="",R484="",S484="",T484="",U484="",W484="",X484="",Y484="",AB484="",AC484="",AE484="",AF484=""),"Incompleta: faltan campos obligatorios",IF(AND(LEFT(H484,6)="PROPIA",I484=""),"Falta el nombre de la acción propia del área",IF(AND(LEFT(H484,3)="A27",IFERROR(INDEX(Catalogos!$T$5:$T$207,MATCH(H484,Catalogos!$U$5:$U$207,0)),"x")&lt;&gt;LEFT(E484,7)),"La acción no corresponde a la meta seleccionada",IF(OR(NOT(ISNUMBER(M484)),M484&lt;10000000,M484&gt;99999999),"Código UNSPSC inválido: registre 8 dígitos",IF(MOD(M484,10000)=0,"UNSPSC a nivel de segmento o familia: use clase o producto",IF(IFERROR(MATCH(P484,L_MESES,0)&lt;MATCH(O484,L_MESES,0),TRUE()),"El mes de ofertas es anterior al de inicio del proceso",IF(OR(NOT(ISNUMBER(Q484)),Q484&lt;=0),"Duración inválida",IF(OR(NOT(ISNUMBER(W484)),NOT(ISNUMBER(X484))),"Valor inválido: registre solo números",IF(OR(W484&lt;=0,X484&lt;=0),"Valor inválido: debe ser mayor que cero",IF(X484&gt;W484,"El valor de la vigencia 2027 supera el valor total",IF(AND(X484&lt;W484,Y484="No"),"El valor total supera el de 2027: requiere vigencias futuras",IF(AND(Y484="Sí",OR(Z484="",Z484="No aplica")),"Indique el estado de la solicitud de vigencias futuras",IF(IF(AND(S484="Mínima cuantía",ISNUMBER(P_TOPE_MINIMA)),W484&gt;P_TOPE_MINIMA,FALSE()),"El valor supera el tope de mínima cuantía 2027",IF(IF(AND(S484="Selección abreviada de menor cuantía",ISNUMBER(P_TOPE_MENOR)),W484&gt;P_TOPE_MENOR,FALSE()),"El valor supera el tope de menor cuantía 2027",IF(OR(ISERROR(SEARCH("@itc.edu.co",AE484)),SUMPRODUCT(--ISNUMBER(SEARCH({"á","é","í","ó","ú","ñ"," "},AE484)))&gt;0),"El correo del responsable no es institucional válido",IF(AND(AF484="Sí",AG484=""),"Indique el N.° de registro 2026 que continúa","OK")))))))))))))))))</f>
        <v/>
      </c>
      <c r="AK484" s="15" t="str">
        <f>IF(AJ484="OK",COUNTIF($AJ$7:AJ484,"OK"),"")</f>
        <v/>
      </c>
    </row>
    <row r="485" spans="1:37" x14ac:dyDescent="0.3">
      <c r="A485" s="13" t="str">
        <f t="shared" si="7"/>
        <v>PN27-479</v>
      </c>
      <c r="B485" s="26"/>
      <c r="C485" s="13" t="str">
        <f>IF(B485="","",IFERROR(INDEX(Catalogos!$R$5:$R$51,MATCH(B485,L_AREAS,0)),""))</f>
        <v/>
      </c>
      <c r="D485" s="13" t="str">
        <f>IF(B485="","",IFERROR(INDEX(Catalogos!$O$5:$O$51,MATCH(B485,L_AREAS,0)),""))</f>
        <v/>
      </c>
      <c r="E485" s="26"/>
      <c r="F485" s="13" t="str">
        <f>IF(E485="","",IFERROR(INDEX(Catalogos!$C$5:$C$49,MATCH(E485,L_METAS,0)),""))</f>
        <v/>
      </c>
      <c r="G485" s="13" t="str">
        <f>IF(E485="","",IFERROR(INDEX(Catalogos!$E$5:$E$49,MATCH(E485,L_METAS,0)),""))</f>
        <v/>
      </c>
      <c r="H485" s="26"/>
      <c r="I485" s="26"/>
      <c r="J485" s="26"/>
      <c r="K485" s="26"/>
      <c r="L485" s="26"/>
      <c r="M485" s="27"/>
      <c r="N485" s="26"/>
      <c r="O485" s="26"/>
      <c r="P485" s="26"/>
      <c r="Q485" s="26"/>
      <c r="R485" s="26"/>
      <c r="S485" s="26"/>
      <c r="T485" s="26"/>
      <c r="U485" s="26"/>
      <c r="V485" s="26"/>
      <c r="W485" s="28"/>
      <c r="X485" s="28"/>
      <c r="Y485" s="26"/>
      <c r="Z485" s="26"/>
      <c r="AA485" s="26"/>
      <c r="AB485" s="26"/>
      <c r="AC485" s="26"/>
      <c r="AD485" s="26"/>
      <c r="AE485" s="26"/>
      <c r="AF485" s="26"/>
      <c r="AG485" s="26"/>
      <c r="AH485" s="26"/>
      <c r="AI485" s="26"/>
      <c r="AJ485" s="15" t="str">
        <f>IF(COUNTA(B485,E485,H485,I485,J485,K485,L485,M485,N485,O485,P485,Q485,R485,S485,T485,U485,V485,W485,X485,Y485,Z485,AA485,AB485,AC485,AD485,AE485,AF485,AG485,AH485,AI485)=0,"",IF(OR(B485="",E485="",H485="",J485="",K485="",L485="",M485="",O485="",P485="",Q485="",R485="",S485="",T485="",U485="",W485="",X485="",Y485="",AB485="",AC485="",AE485="",AF485=""),"Incompleta: faltan campos obligatorios",IF(AND(LEFT(H485,6)="PROPIA",I485=""),"Falta el nombre de la acción propia del área",IF(AND(LEFT(H485,3)="A27",IFERROR(INDEX(Catalogos!$T$5:$T$207,MATCH(H485,Catalogos!$U$5:$U$207,0)),"x")&lt;&gt;LEFT(E485,7)),"La acción no corresponde a la meta seleccionada",IF(OR(NOT(ISNUMBER(M485)),M485&lt;10000000,M485&gt;99999999),"Código UNSPSC inválido: registre 8 dígitos",IF(MOD(M485,10000)=0,"UNSPSC a nivel de segmento o familia: use clase o producto",IF(IFERROR(MATCH(P485,L_MESES,0)&lt;MATCH(O485,L_MESES,0),TRUE()),"El mes de ofertas es anterior al de inicio del proceso",IF(OR(NOT(ISNUMBER(Q485)),Q485&lt;=0),"Duración inválida",IF(OR(NOT(ISNUMBER(W485)),NOT(ISNUMBER(X485))),"Valor inválido: registre solo números",IF(OR(W485&lt;=0,X485&lt;=0),"Valor inválido: debe ser mayor que cero",IF(X485&gt;W485,"El valor de la vigencia 2027 supera el valor total",IF(AND(X485&lt;W485,Y485="No"),"El valor total supera el de 2027: requiere vigencias futuras",IF(AND(Y485="Sí",OR(Z485="",Z485="No aplica")),"Indique el estado de la solicitud de vigencias futuras",IF(IF(AND(S485="Mínima cuantía",ISNUMBER(P_TOPE_MINIMA)),W485&gt;P_TOPE_MINIMA,FALSE()),"El valor supera el tope de mínima cuantía 2027",IF(IF(AND(S485="Selección abreviada de menor cuantía",ISNUMBER(P_TOPE_MENOR)),W485&gt;P_TOPE_MENOR,FALSE()),"El valor supera el tope de menor cuantía 2027",IF(OR(ISERROR(SEARCH("@itc.edu.co",AE485)),SUMPRODUCT(--ISNUMBER(SEARCH({"á","é","í","ó","ú","ñ"," "},AE485)))&gt;0),"El correo del responsable no es institucional válido",IF(AND(AF485="Sí",AG485=""),"Indique el N.° de registro 2026 que continúa","OK")))))))))))))))))</f>
        <v/>
      </c>
      <c r="AK485" s="15" t="str">
        <f>IF(AJ485="OK",COUNTIF($AJ$7:AJ485,"OK"),"")</f>
        <v/>
      </c>
    </row>
    <row r="486" spans="1:37" x14ac:dyDescent="0.3">
      <c r="A486" s="13" t="str">
        <f t="shared" si="7"/>
        <v>PN27-480</v>
      </c>
      <c r="B486" s="26"/>
      <c r="C486" s="13" t="str">
        <f>IF(B486="","",IFERROR(INDEX(Catalogos!$R$5:$R$51,MATCH(B486,L_AREAS,0)),""))</f>
        <v/>
      </c>
      <c r="D486" s="13" t="str">
        <f>IF(B486="","",IFERROR(INDEX(Catalogos!$O$5:$O$51,MATCH(B486,L_AREAS,0)),""))</f>
        <v/>
      </c>
      <c r="E486" s="26"/>
      <c r="F486" s="13" t="str">
        <f>IF(E486="","",IFERROR(INDEX(Catalogos!$C$5:$C$49,MATCH(E486,L_METAS,0)),""))</f>
        <v/>
      </c>
      <c r="G486" s="13" t="str">
        <f>IF(E486="","",IFERROR(INDEX(Catalogos!$E$5:$E$49,MATCH(E486,L_METAS,0)),""))</f>
        <v/>
      </c>
      <c r="H486" s="26"/>
      <c r="I486" s="26"/>
      <c r="J486" s="26"/>
      <c r="K486" s="26"/>
      <c r="L486" s="26"/>
      <c r="M486" s="27"/>
      <c r="N486" s="26"/>
      <c r="O486" s="26"/>
      <c r="P486" s="26"/>
      <c r="Q486" s="26"/>
      <c r="R486" s="26"/>
      <c r="S486" s="26"/>
      <c r="T486" s="26"/>
      <c r="U486" s="26"/>
      <c r="V486" s="26"/>
      <c r="W486" s="28"/>
      <c r="X486" s="28"/>
      <c r="Y486" s="26"/>
      <c r="Z486" s="26"/>
      <c r="AA486" s="26"/>
      <c r="AB486" s="26"/>
      <c r="AC486" s="26"/>
      <c r="AD486" s="26"/>
      <c r="AE486" s="26"/>
      <c r="AF486" s="26"/>
      <c r="AG486" s="26"/>
      <c r="AH486" s="26"/>
      <c r="AI486" s="26"/>
      <c r="AJ486" s="15" t="str">
        <f>IF(COUNTA(B486,E486,H486,I486,J486,K486,L486,M486,N486,O486,P486,Q486,R486,S486,T486,U486,V486,W486,X486,Y486,Z486,AA486,AB486,AC486,AD486,AE486,AF486,AG486,AH486,AI486)=0,"",IF(OR(B486="",E486="",H486="",J486="",K486="",L486="",M486="",O486="",P486="",Q486="",R486="",S486="",T486="",U486="",W486="",X486="",Y486="",AB486="",AC486="",AE486="",AF486=""),"Incompleta: faltan campos obligatorios",IF(AND(LEFT(H486,6)="PROPIA",I486=""),"Falta el nombre de la acción propia del área",IF(AND(LEFT(H486,3)="A27",IFERROR(INDEX(Catalogos!$T$5:$T$207,MATCH(H486,Catalogos!$U$5:$U$207,0)),"x")&lt;&gt;LEFT(E486,7)),"La acción no corresponde a la meta seleccionada",IF(OR(NOT(ISNUMBER(M486)),M486&lt;10000000,M486&gt;99999999),"Código UNSPSC inválido: registre 8 dígitos",IF(MOD(M486,10000)=0,"UNSPSC a nivel de segmento o familia: use clase o producto",IF(IFERROR(MATCH(P486,L_MESES,0)&lt;MATCH(O486,L_MESES,0),TRUE()),"El mes de ofertas es anterior al de inicio del proceso",IF(OR(NOT(ISNUMBER(Q486)),Q486&lt;=0),"Duración inválida",IF(OR(NOT(ISNUMBER(W486)),NOT(ISNUMBER(X486))),"Valor inválido: registre solo números",IF(OR(W486&lt;=0,X486&lt;=0),"Valor inválido: debe ser mayor que cero",IF(X486&gt;W486,"El valor de la vigencia 2027 supera el valor total",IF(AND(X486&lt;W486,Y486="No"),"El valor total supera el de 2027: requiere vigencias futuras",IF(AND(Y486="Sí",OR(Z486="",Z486="No aplica")),"Indique el estado de la solicitud de vigencias futuras",IF(IF(AND(S486="Mínima cuantía",ISNUMBER(P_TOPE_MINIMA)),W486&gt;P_TOPE_MINIMA,FALSE()),"El valor supera el tope de mínima cuantía 2027",IF(IF(AND(S486="Selección abreviada de menor cuantía",ISNUMBER(P_TOPE_MENOR)),W486&gt;P_TOPE_MENOR,FALSE()),"El valor supera el tope de menor cuantía 2027",IF(OR(ISERROR(SEARCH("@itc.edu.co",AE486)),SUMPRODUCT(--ISNUMBER(SEARCH({"á","é","í","ó","ú","ñ"," "},AE486)))&gt;0),"El correo del responsable no es institucional válido",IF(AND(AF486="Sí",AG486=""),"Indique el N.° de registro 2026 que continúa","OK")))))))))))))))))</f>
        <v/>
      </c>
      <c r="AK486" s="15" t="str">
        <f>IF(AJ486="OK",COUNTIF($AJ$7:AJ486,"OK"),"")</f>
        <v/>
      </c>
    </row>
    <row r="487" spans="1:37" x14ac:dyDescent="0.3">
      <c r="A487" s="13" t="str">
        <f t="shared" si="7"/>
        <v>PN27-481</v>
      </c>
      <c r="B487" s="26"/>
      <c r="C487" s="13" t="str">
        <f>IF(B487="","",IFERROR(INDEX(Catalogos!$R$5:$R$51,MATCH(B487,L_AREAS,0)),""))</f>
        <v/>
      </c>
      <c r="D487" s="13" t="str">
        <f>IF(B487="","",IFERROR(INDEX(Catalogos!$O$5:$O$51,MATCH(B487,L_AREAS,0)),""))</f>
        <v/>
      </c>
      <c r="E487" s="26"/>
      <c r="F487" s="13" t="str">
        <f>IF(E487="","",IFERROR(INDEX(Catalogos!$C$5:$C$49,MATCH(E487,L_METAS,0)),""))</f>
        <v/>
      </c>
      <c r="G487" s="13" t="str">
        <f>IF(E487="","",IFERROR(INDEX(Catalogos!$E$5:$E$49,MATCH(E487,L_METAS,0)),""))</f>
        <v/>
      </c>
      <c r="H487" s="26"/>
      <c r="I487" s="26"/>
      <c r="J487" s="26"/>
      <c r="K487" s="26"/>
      <c r="L487" s="26"/>
      <c r="M487" s="27"/>
      <c r="N487" s="26"/>
      <c r="O487" s="26"/>
      <c r="P487" s="26"/>
      <c r="Q487" s="26"/>
      <c r="R487" s="26"/>
      <c r="S487" s="26"/>
      <c r="T487" s="26"/>
      <c r="U487" s="26"/>
      <c r="V487" s="26"/>
      <c r="W487" s="28"/>
      <c r="X487" s="28"/>
      <c r="Y487" s="26"/>
      <c r="Z487" s="26"/>
      <c r="AA487" s="26"/>
      <c r="AB487" s="26"/>
      <c r="AC487" s="26"/>
      <c r="AD487" s="26"/>
      <c r="AE487" s="26"/>
      <c r="AF487" s="26"/>
      <c r="AG487" s="26"/>
      <c r="AH487" s="26"/>
      <c r="AI487" s="26"/>
      <c r="AJ487" s="15" t="str">
        <f>IF(COUNTA(B487,E487,H487,I487,J487,K487,L487,M487,N487,O487,P487,Q487,R487,S487,T487,U487,V487,W487,X487,Y487,Z487,AA487,AB487,AC487,AD487,AE487,AF487,AG487,AH487,AI487)=0,"",IF(OR(B487="",E487="",H487="",J487="",K487="",L487="",M487="",O487="",P487="",Q487="",R487="",S487="",T487="",U487="",W487="",X487="",Y487="",AB487="",AC487="",AE487="",AF487=""),"Incompleta: faltan campos obligatorios",IF(AND(LEFT(H487,6)="PROPIA",I487=""),"Falta el nombre de la acción propia del área",IF(AND(LEFT(H487,3)="A27",IFERROR(INDEX(Catalogos!$T$5:$T$207,MATCH(H487,Catalogos!$U$5:$U$207,0)),"x")&lt;&gt;LEFT(E487,7)),"La acción no corresponde a la meta seleccionada",IF(OR(NOT(ISNUMBER(M487)),M487&lt;10000000,M487&gt;99999999),"Código UNSPSC inválido: registre 8 dígitos",IF(MOD(M487,10000)=0,"UNSPSC a nivel de segmento o familia: use clase o producto",IF(IFERROR(MATCH(P487,L_MESES,0)&lt;MATCH(O487,L_MESES,0),TRUE()),"El mes de ofertas es anterior al de inicio del proceso",IF(OR(NOT(ISNUMBER(Q487)),Q487&lt;=0),"Duración inválida",IF(OR(NOT(ISNUMBER(W487)),NOT(ISNUMBER(X487))),"Valor inválido: registre solo números",IF(OR(W487&lt;=0,X487&lt;=0),"Valor inválido: debe ser mayor que cero",IF(X487&gt;W487,"El valor de la vigencia 2027 supera el valor total",IF(AND(X487&lt;W487,Y487="No"),"El valor total supera el de 2027: requiere vigencias futuras",IF(AND(Y487="Sí",OR(Z487="",Z487="No aplica")),"Indique el estado de la solicitud de vigencias futuras",IF(IF(AND(S487="Mínima cuantía",ISNUMBER(P_TOPE_MINIMA)),W487&gt;P_TOPE_MINIMA,FALSE()),"El valor supera el tope de mínima cuantía 2027",IF(IF(AND(S487="Selección abreviada de menor cuantía",ISNUMBER(P_TOPE_MENOR)),W487&gt;P_TOPE_MENOR,FALSE()),"El valor supera el tope de menor cuantía 2027",IF(OR(ISERROR(SEARCH("@itc.edu.co",AE487)),SUMPRODUCT(--ISNUMBER(SEARCH({"á","é","í","ó","ú","ñ"," "},AE487)))&gt;0),"El correo del responsable no es institucional válido",IF(AND(AF487="Sí",AG487=""),"Indique el N.° de registro 2026 que continúa","OK")))))))))))))))))</f>
        <v/>
      </c>
      <c r="AK487" s="15" t="str">
        <f>IF(AJ487="OK",COUNTIF($AJ$7:AJ487,"OK"),"")</f>
        <v/>
      </c>
    </row>
    <row r="488" spans="1:37" x14ac:dyDescent="0.3">
      <c r="A488" s="13" t="str">
        <f t="shared" si="7"/>
        <v>PN27-482</v>
      </c>
      <c r="B488" s="26"/>
      <c r="C488" s="13" t="str">
        <f>IF(B488="","",IFERROR(INDEX(Catalogos!$R$5:$R$51,MATCH(B488,L_AREAS,0)),""))</f>
        <v/>
      </c>
      <c r="D488" s="13" t="str">
        <f>IF(B488="","",IFERROR(INDEX(Catalogos!$O$5:$O$51,MATCH(B488,L_AREAS,0)),""))</f>
        <v/>
      </c>
      <c r="E488" s="26"/>
      <c r="F488" s="13" t="str">
        <f>IF(E488="","",IFERROR(INDEX(Catalogos!$C$5:$C$49,MATCH(E488,L_METAS,0)),""))</f>
        <v/>
      </c>
      <c r="G488" s="13" t="str">
        <f>IF(E488="","",IFERROR(INDEX(Catalogos!$E$5:$E$49,MATCH(E488,L_METAS,0)),""))</f>
        <v/>
      </c>
      <c r="H488" s="26"/>
      <c r="I488" s="26"/>
      <c r="J488" s="26"/>
      <c r="K488" s="26"/>
      <c r="L488" s="26"/>
      <c r="M488" s="27"/>
      <c r="N488" s="26"/>
      <c r="O488" s="26"/>
      <c r="P488" s="26"/>
      <c r="Q488" s="26"/>
      <c r="R488" s="26"/>
      <c r="S488" s="26"/>
      <c r="T488" s="26"/>
      <c r="U488" s="26"/>
      <c r="V488" s="26"/>
      <c r="W488" s="28"/>
      <c r="X488" s="28"/>
      <c r="Y488" s="26"/>
      <c r="Z488" s="26"/>
      <c r="AA488" s="26"/>
      <c r="AB488" s="26"/>
      <c r="AC488" s="26"/>
      <c r="AD488" s="26"/>
      <c r="AE488" s="26"/>
      <c r="AF488" s="26"/>
      <c r="AG488" s="26"/>
      <c r="AH488" s="26"/>
      <c r="AI488" s="26"/>
      <c r="AJ488" s="15" t="str">
        <f>IF(COUNTA(B488,E488,H488,I488,J488,K488,L488,M488,N488,O488,P488,Q488,R488,S488,T488,U488,V488,W488,X488,Y488,Z488,AA488,AB488,AC488,AD488,AE488,AF488,AG488,AH488,AI488)=0,"",IF(OR(B488="",E488="",H488="",J488="",K488="",L488="",M488="",O488="",P488="",Q488="",R488="",S488="",T488="",U488="",W488="",X488="",Y488="",AB488="",AC488="",AE488="",AF488=""),"Incompleta: faltan campos obligatorios",IF(AND(LEFT(H488,6)="PROPIA",I488=""),"Falta el nombre de la acción propia del área",IF(AND(LEFT(H488,3)="A27",IFERROR(INDEX(Catalogos!$T$5:$T$207,MATCH(H488,Catalogos!$U$5:$U$207,0)),"x")&lt;&gt;LEFT(E488,7)),"La acción no corresponde a la meta seleccionada",IF(OR(NOT(ISNUMBER(M488)),M488&lt;10000000,M488&gt;99999999),"Código UNSPSC inválido: registre 8 dígitos",IF(MOD(M488,10000)=0,"UNSPSC a nivel de segmento o familia: use clase o producto",IF(IFERROR(MATCH(P488,L_MESES,0)&lt;MATCH(O488,L_MESES,0),TRUE()),"El mes de ofertas es anterior al de inicio del proceso",IF(OR(NOT(ISNUMBER(Q488)),Q488&lt;=0),"Duración inválida",IF(OR(NOT(ISNUMBER(W488)),NOT(ISNUMBER(X488))),"Valor inválido: registre solo números",IF(OR(W488&lt;=0,X488&lt;=0),"Valor inválido: debe ser mayor que cero",IF(X488&gt;W488,"El valor de la vigencia 2027 supera el valor total",IF(AND(X488&lt;W488,Y488="No"),"El valor total supera el de 2027: requiere vigencias futuras",IF(AND(Y488="Sí",OR(Z488="",Z488="No aplica")),"Indique el estado de la solicitud de vigencias futuras",IF(IF(AND(S488="Mínima cuantía",ISNUMBER(P_TOPE_MINIMA)),W488&gt;P_TOPE_MINIMA,FALSE()),"El valor supera el tope de mínima cuantía 2027",IF(IF(AND(S488="Selección abreviada de menor cuantía",ISNUMBER(P_TOPE_MENOR)),W488&gt;P_TOPE_MENOR,FALSE()),"El valor supera el tope de menor cuantía 2027",IF(OR(ISERROR(SEARCH("@itc.edu.co",AE488)),SUMPRODUCT(--ISNUMBER(SEARCH({"á","é","í","ó","ú","ñ"," "},AE488)))&gt;0),"El correo del responsable no es institucional válido",IF(AND(AF488="Sí",AG488=""),"Indique el N.° de registro 2026 que continúa","OK")))))))))))))))))</f>
        <v/>
      </c>
      <c r="AK488" s="15" t="str">
        <f>IF(AJ488="OK",COUNTIF($AJ$7:AJ488,"OK"),"")</f>
        <v/>
      </c>
    </row>
    <row r="489" spans="1:37" x14ac:dyDescent="0.3">
      <c r="A489" s="13" t="str">
        <f t="shared" si="7"/>
        <v>PN27-483</v>
      </c>
      <c r="B489" s="26"/>
      <c r="C489" s="13" t="str">
        <f>IF(B489="","",IFERROR(INDEX(Catalogos!$R$5:$R$51,MATCH(B489,L_AREAS,0)),""))</f>
        <v/>
      </c>
      <c r="D489" s="13" t="str">
        <f>IF(B489="","",IFERROR(INDEX(Catalogos!$O$5:$O$51,MATCH(B489,L_AREAS,0)),""))</f>
        <v/>
      </c>
      <c r="E489" s="26"/>
      <c r="F489" s="13" t="str">
        <f>IF(E489="","",IFERROR(INDEX(Catalogos!$C$5:$C$49,MATCH(E489,L_METAS,0)),""))</f>
        <v/>
      </c>
      <c r="G489" s="13" t="str">
        <f>IF(E489="","",IFERROR(INDEX(Catalogos!$E$5:$E$49,MATCH(E489,L_METAS,0)),""))</f>
        <v/>
      </c>
      <c r="H489" s="26"/>
      <c r="I489" s="26"/>
      <c r="J489" s="26"/>
      <c r="K489" s="26"/>
      <c r="L489" s="26"/>
      <c r="M489" s="27"/>
      <c r="N489" s="26"/>
      <c r="O489" s="26"/>
      <c r="P489" s="26"/>
      <c r="Q489" s="26"/>
      <c r="R489" s="26"/>
      <c r="S489" s="26"/>
      <c r="T489" s="26"/>
      <c r="U489" s="26"/>
      <c r="V489" s="26"/>
      <c r="W489" s="28"/>
      <c r="X489" s="28"/>
      <c r="Y489" s="26"/>
      <c r="Z489" s="26"/>
      <c r="AA489" s="26"/>
      <c r="AB489" s="26"/>
      <c r="AC489" s="26"/>
      <c r="AD489" s="26"/>
      <c r="AE489" s="26"/>
      <c r="AF489" s="26"/>
      <c r="AG489" s="26"/>
      <c r="AH489" s="26"/>
      <c r="AI489" s="26"/>
      <c r="AJ489" s="15" t="str">
        <f>IF(COUNTA(B489,E489,H489,I489,J489,K489,L489,M489,N489,O489,P489,Q489,R489,S489,T489,U489,V489,W489,X489,Y489,Z489,AA489,AB489,AC489,AD489,AE489,AF489,AG489,AH489,AI489)=0,"",IF(OR(B489="",E489="",H489="",J489="",K489="",L489="",M489="",O489="",P489="",Q489="",R489="",S489="",T489="",U489="",W489="",X489="",Y489="",AB489="",AC489="",AE489="",AF489=""),"Incompleta: faltan campos obligatorios",IF(AND(LEFT(H489,6)="PROPIA",I489=""),"Falta el nombre de la acción propia del área",IF(AND(LEFT(H489,3)="A27",IFERROR(INDEX(Catalogos!$T$5:$T$207,MATCH(H489,Catalogos!$U$5:$U$207,0)),"x")&lt;&gt;LEFT(E489,7)),"La acción no corresponde a la meta seleccionada",IF(OR(NOT(ISNUMBER(M489)),M489&lt;10000000,M489&gt;99999999),"Código UNSPSC inválido: registre 8 dígitos",IF(MOD(M489,10000)=0,"UNSPSC a nivel de segmento o familia: use clase o producto",IF(IFERROR(MATCH(P489,L_MESES,0)&lt;MATCH(O489,L_MESES,0),TRUE()),"El mes de ofertas es anterior al de inicio del proceso",IF(OR(NOT(ISNUMBER(Q489)),Q489&lt;=0),"Duración inválida",IF(OR(NOT(ISNUMBER(W489)),NOT(ISNUMBER(X489))),"Valor inválido: registre solo números",IF(OR(W489&lt;=0,X489&lt;=0),"Valor inválido: debe ser mayor que cero",IF(X489&gt;W489,"El valor de la vigencia 2027 supera el valor total",IF(AND(X489&lt;W489,Y489="No"),"El valor total supera el de 2027: requiere vigencias futuras",IF(AND(Y489="Sí",OR(Z489="",Z489="No aplica")),"Indique el estado de la solicitud de vigencias futuras",IF(IF(AND(S489="Mínima cuantía",ISNUMBER(P_TOPE_MINIMA)),W489&gt;P_TOPE_MINIMA,FALSE()),"El valor supera el tope de mínima cuantía 2027",IF(IF(AND(S489="Selección abreviada de menor cuantía",ISNUMBER(P_TOPE_MENOR)),W489&gt;P_TOPE_MENOR,FALSE()),"El valor supera el tope de menor cuantía 2027",IF(OR(ISERROR(SEARCH("@itc.edu.co",AE489)),SUMPRODUCT(--ISNUMBER(SEARCH({"á","é","í","ó","ú","ñ"," "},AE489)))&gt;0),"El correo del responsable no es institucional válido",IF(AND(AF489="Sí",AG489=""),"Indique el N.° de registro 2026 que continúa","OK")))))))))))))))))</f>
        <v/>
      </c>
      <c r="AK489" s="15" t="str">
        <f>IF(AJ489="OK",COUNTIF($AJ$7:AJ489,"OK"),"")</f>
        <v/>
      </c>
    </row>
    <row r="490" spans="1:37" x14ac:dyDescent="0.3">
      <c r="A490" s="13" t="str">
        <f t="shared" si="7"/>
        <v>PN27-484</v>
      </c>
      <c r="B490" s="26"/>
      <c r="C490" s="13" t="str">
        <f>IF(B490="","",IFERROR(INDEX(Catalogos!$R$5:$R$51,MATCH(B490,L_AREAS,0)),""))</f>
        <v/>
      </c>
      <c r="D490" s="13" t="str">
        <f>IF(B490="","",IFERROR(INDEX(Catalogos!$O$5:$O$51,MATCH(B490,L_AREAS,0)),""))</f>
        <v/>
      </c>
      <c r="E490" s="26"/>
      <c r="F490" s="13" t="str">
        <f>IF(E490="","",IFERROR(INDEX(Catalogos!$C$5:$C$49,MATCH(E490,L_METAS,0)),""))</f>
        <v/>
      </c>
      <c r="G490" s="13" t="str">
        <f>IF(E490="","",IFERROR(INDEX(Catalogos!$E$5:$E$49,MATCH(E490,L_METAS,0)),""))</f>
        <v/>
      </c>
      <c r="H490" s="26"/>
      <c r="I490" s="26"/>
      <c r="J490" s="26"/>
      <c r="K490" s="26"/>
      <c r="L490" s="26"/>
      <c r="M490" s="27"/>
      <c r="N490" s="26"/>
      <c r="O490" s="26"/>
      <c r="P490" s="26"/>
      <c r="Q490" s="26"/>
      <c r="R490" s="26"/>
      <c r="S490" s="26"/>
      <c r="T490" s="26"/>
      <c r="U490" s="26"/>
      <c r="V490" s="26"/>
      <c r="W490" s="28"/>
      <c r="X490" s="28"/>
      <c r="Y490" s="26"/>
      <c r="Z490" s="26"/>
      <c r="AA490" s="26"/>
      <c r="AB490" s="26"/>
      <c r="AC490" s="26"/>
      <c r="AD490" s="26"/>
      <c r="AE490" s="26"/>
      <c r="AF490" s="26"/>
      <c r="AG490" s="26"/>
      <c r="AH490" s="26"/>
      <c r="AI490" s="26"/>
      <c r="AJ490" s="15" t="str">
        <f>IF(COUNTA(B490,E490,H490,I490,J490,K490,L490,M490,N490,O490,P490,Q490,R490,S490,T490,U490,V490,W490,X490,Y490,Z490,AA490,AB490,AC490,AD490,AE490,AF490,AG490,AH490,AI490)=0,"",IF(OR(B490="",E490="",H490="",J490="",K490="",L490="",M490="",O490="",P490="",Q490="",R490="",S490="",T490="",U490="",W490="",X490="",Y490="",AB490="",AC490="",AE490="",AF490=""),"Incompleta: faltan campos obligatorios",IF(AND(LEFT(H490,6)="PROPIA",I490=""),"Falta el nombre de la acción propia del área",IF(AND(LEFT(H490,3)="A27",IFERROR(INDEX(Catalogos!$T$5:$T$207,MATCH(H490,Catalogos!$U$5:$U$207,0)),"x")&lt;&gt;LEFT(E490,7)),"La acción no corresponde a la meta seleccionada",IF(OR(NOT(ISNUMBER(M490)),M490&lt;10000000,M490&gt;99999999),"Código UNSPSC inválido: registre 8 dígitos",IF(MOD(M490,10000)=0,"UNSPSC a nivel de segmento o familia: use clase o producto",IF(IFERROR(MATCH(P490,L_MESES,0)&lt;MATCH(O490,L_MESES,0),TRUE()),"El mes de ofertas es anterior al de inicio del proceso",IF(OR(NOT(ISNUMBER(Q490)),Q490&lt;=0),"Duración inválida",IF(OR(NOT(ISNUMBER(W490)),NOT(ISNUMBER(X490))),"Valor inválido: registre solo números",IF(OR(W490&lt;=0,X490&lt;=0),"Valor inválido: debe ser mayor que cero",IF(X490&gt;W490,"El valor de la vigencia 2027 supera el valor total",IF(AND(X490&lt;W490,Y490="No"),"El valor total supera el de 2027: requiere vigencias futuras",IF(AND(Y490="Sí",OR(Z490="",Z490="No aplica")),"Indique el estado de la solicitud de vigencias futuras",IF(IF(AND(S490="Mínima cuantía",ISNUMBER(P_TOPE_MINIMA)),W490&gt;P_TOPE_MINIMA,FALSE()),"El valor supera el tope de mínima cuantía 2027",IF(IF(AND(S490="Selección abreviada de menor cuantía",ISNUMBER(P_TOPE_MENOR)),W490&gt;P_TOPE_MENOR,FALSE()),"El valor supera el tope de menor cuantía 2027",IF(OR(ISERROR(SEARCH("@itc.edu.co",AE490)),SUMPRODUCT(--ISNUMBER(SEARCH({"á","é","í","ó","ú","ñ"," "},AE490)))&gt;0),"El correo del responsable no es institucional válido",IF(AND(AF490="Sí",AG490=""),"Indique el N.° de registro 2026 que continúa","OK")))))))))))))))))</f>
        <v/>
      </c>
      <c r="AK490" s="15" t="str">
        <f>IF(AJ490="OK",COUNTIF($AJ$7:AJ490,"OK"),"")</f>
        <v/>
      </c>
    </row>
    <row r="491" spans="1:37" x14ac:dyDescent="0.3">
      <c r="A491" s="13" t="str">
        <f t="shared" si="7"/>
        <v>PN27-485</v>
      </c>
      <c r="B491" s="26"/>
      <c r="C491" s="13" t="str">
        <f>IF(B491="","",IFERROR(INDEX(Catalogos!$R$5:$R$51,MATCH(B491,L_AREAS,0)),""))</f>
        <v/>
      </c>
      <c r="D491" s="13" t="str">
        <f>IF(B491="","",IFERROR(INDEX(Catalogos!$O$5:$O$51,MATCH(B491,L_AREAS,0)),""))</f>
        <v/>
      </c>
      <c r="E491" s="26"/>
      <c r="F491" s="13" t="str">
        <f>IF(E491="","",IFERROR(INDEX(Catalogos!$C$5:$C$49,MATCH(E491,L_METAS,0)),""))</f>
        <v/>
      </c>
      <c r="G491" s="13" t="str">
        <f>IF(E491="","",IFERROR(INDEX(Catalogos!$E$5:$E$49,MATCH(E491,L_METAS,0)),""))</f>
        <v/>
      </c>
      <c r="H491" s="26"/>
      <c r="I491" s="26"/>
      <c r="J491" s="26"/>
      <c r="K491" s="26"/>
      <c r="L491" s="26"/>
      <c r="M491" s="27"/>
      <c r="N491" s="26"/>
      <c r="O491" s="26"/>
      <c r="P491" s="26"/>
      <c r="Q491" s="26"/>
      <c r="R491" s="26"/>
      <c r="S491" s="26"/>
      <c r="T491" s="26"/>
      <c r="U491" s="26"/>
      <c r="V491" s="26"/>
      <c r="W491" s="28"/>
      <c r="X491" s="28"/>
      <c r="Y491" s="26"/>
      <c r="Z491" s="26"/>
      <c r="AA491" s="26"/>
      <c r="AB491" s="26"/>
      <c r="AC491" s="26"/>
      <c r="AD491" s="26"/>
      <c r="AE491" s="26"/>
      <c r="AF491" s="26"/>
      <c r="AG491" s="26"/>
      <c r="AH491" s="26"/>
      <c r="AI491" s="26"/>
      <c r="AJ491" s="15" t="str">
        <f>IF(COUNTA(B491,E491,H491,I491,J491,K491,L491,M491,N491,O491,P491,Q491,R491,S491,T491,U491,V491,W491,X491,Y491,Z491,AA491,AB491,AC491,AD491,AE491,AF491,AG491,AH491,AI491)=0,"",IF(OR(B491="",E491="",H491="",J491="",K491="",L491="",M491="",O491="",P491="",Q491="",R491="",S491="",T491="",U491="",W491="",X491="",Y491="",AB491="",AC491="",AE491="",AF491=""),"Incompleta: faltan campos obligatorios",IF(AND(LEFT(H491,6)="PROPIA",I491=""),"Falta el nombre de la acción propia del área",IF(AND(LEFT(H491,3)="A27",IFERROR(INDEX(Catalogos!$T$5:$T$207,MATCH(H491,Catalogos!$U$5:$U$207,0)),"x")&lt;&gt;LEFT(E491,7)),"La acción no corresponde a la meta seleccionada",IF(OR(NOT(ISNUMBER(M491)),M491&lt;10000000,M491&gt;99999999),"Código UNSPSC inválido: registre 8 dígitos",IF(MOD(M491,10000)=0,"UNSPSC a nivel de segmento o familia: use clase o producto",IF(IFERROR(MATCH(P491,L_MESES,0)&lt;MATCH(O491,L_MESES,0),TRUE()),"El mes de ofertas es anterior al de inicio del proceso",IF(OR(NOT(ISNUMBER(Q491)),Q491&lt;=0),"Duración inválida",IF(OR(NOT(ISNUMBER(W491)),NOT(ISNUMBER(X491))),"Valor inválido: registre solo números",IF(OR(W491&lt;=0,X491&lt;=0),"Valor inválido: debe ser mayor que cero",IF(X491&gt;W491,"El valor de la vigencia 2027 supera el valor total",IF(AND(X491&lt;W491,Y491="No"),"El valor total supera el de 2027: requiere vigencias futuras",IF(AND(Y491="Sí",OR(Z491="",Z491="No aplica")),"Indique el estado de la solicitud de vigencias futuras",IF(IF(AND(S491="Mínima cuantía",ISNUMBER(P_TOPE_MINIMA)),W491&gt;P_TOPE_MINIMA,FALSE()),"El valor supera el tope de mínima cuantía 2027",IF(IF(AND(S491="Selección abreviada de menor cuantía",ISNUMBER(P_TOPE_MENOR)),W491&gt;P_TOPE_MENOR,FALSE()),"El valor supera el tope de menor cuantía 2027",IF(OR(ISERROR(SEARCH("@itc.edu.co",AE491)),SUMPRODUCT(--ISNUMBER(SEARCH({"á","é","í","ó","ú","ñ"," "},AE491)))&gt;0),"El correo del responsable no es institucional válido",IF(AND(AF491="Sí",AG491=""),"Indique el N.° de registro 2026 que continúa","OK")))))))))))))))))</f>
        <v/>
      </c>
      <c r="AK491" s="15" t="str">
        <f>IF(AJ491="OK",COUNTIF($AJ$7:AJ491,"OK"),"")</f>
        <v/>
      </c>
    </row>
    <row r="492" spans="1:37" x14ac:dyDescent="0.3">
      <c r="A492" s="13" t="str">
        <f t="shared" si="7"/>
        <v>PN27-486</v>
      </c>
      <c r="B492" s="26"/>
      <c r="C492" s="13" t="str">
        <f>IF(B492="","",IFERROR(INDEX(Catalogos!$R$5:$R$51,MATCH(B492,L_AREAS,0)),""))</f>
        <v/>
      </c>
      <c r="D492" s="13" t="str">
        <f>IF(B492="","",IFERROR(INDEX(Catalogos!$O$5:$O$51,MATCH(B492,L_AREAS,0)),""))</f>
        <v/>
      </c>
      <c r="E492" s="26"/>
      <c r="F492" s="13" t="str">
        <f>IF(E492="","",IFERROR(INDEX(Catalogos!$C$5:$C$49,MATCH(E492,L_METAS,0)),""))</f>
        <v/>
      </c>
      <c r="G492" s="13" t="str">
        <f>IF(E492="","",IFERROR(INDEX(Catalogos!$E$5:$E$49,MATCH(E492,L_METAS,0)),""))</f>
        <v/>
      </c>
      <c r="H492" s="26"/>
      <c r="I492" s="26"/>
      <c r="J492" s="26"/>
      <c r="K492" s="26"/>
      <c r="L492" s="26"/>
      <c r="M492" s="27"/>
      <c r="N492" s="26"/>
      <c r="O492" s="26"/>
      <c r="P492" s="26"/>
      <c r="Q492" s="26"/>
      <c r="R492" s="26"/>
      <c r="S492" s="26"/>
      <c r="T492" s="26"/>
      <c r="U492" s="26"/>
      <c r="V492" s="26"/>
      <c r="W492" s="28"/>
      <c r="X492" s="28"/>
      <c r="Y492" s="26"/>
      <c r="Z492" s="26"/>
      <c r="AA492" s="26"/>
      <c r="AB492" s="26"/>
      <c r="AC492" s="26"/>
      <c r="AD492" s="26"/>
      <c r="AE492" s="26"/>
      <c r="AF492" s="26"/>
      <c r="AG492" s="26"/>
      <c r="AH492" s="26"/>
      <c r="AI492" s="26"/>
      <c r="AJ492" s="15" t="str">
        <f>IF(COUNTA(B492,E492,H492,I492,J492,K492,L492,M492,N492,O492,P492,Q492,R492,S492,T492,U492,V492,W492,X492,Y492,Z492,AA492,AB492,AC492,AD492,AE492,AF492,AG492,AH492,AI492)=0,"",IF(OR(B492="",E492="",H492="",J492="",K492="",L492="",M492="",O492="",P492="",Q492="",R492="",S492="",T492="",U492="",W492="",X492="",Y492="",AB492="",AC492="",AE492="",AF492=""),"Incompleta: faltan campos obligatorios",IF(AND(LEFT(H492,6)="PROPIA",I492=""),"Falta el nombre de la acción propia del área",IF(AND(LEFT(H492,3)="A27",IFERROR(INDEX(Catalogos!$T$5:$T$207,MATCH(H492,Catalogos!$U$5:$U$207,0)),"x")&lt;&gt;LEFT(E492,7)),"La acción no corresponde a la meta seleccionada",IF(OR(NOT(ISNUMBER(M492)),M492&lt;10000000,M492&gt;99999999),"Código UNSPSC inválido: registre 8 dígitos",IF(MOD(M492,10000)=0,"UNSPSC a nivel de segmento o familia: use clase o producto",IF(IFERROR(MATCH(P492,L_MESES,0)&lt;MATCH(O492,L_MESES,0),TRUE()),"El mes de ofertas es anterior al de inicio del proceso",IF(OR(NOT(ISNUMBER(Q492)),Q492&lt;=0),"Duración inválida",IF(OR(NOT(ISNUMBER(W492)),NOT(ISNUMBER(X492))),"Valor inválido: registre solo números",IF(OR(W492&lt;=0,X492&lt;=0),"Valor inválido: debe ser mayor que cero",IF(X492&gt;W492,"El valor de la vigencia 2027 supera el valor total",IF(AND(X492&lt;W492,Y492="No"),"El valor total supera el de 2027: requiere vigencias futuras",IF(AND(Y492="Sí",OR(Z492="",Z492="No aplica")),"Indique el estado de la solicitud de vigencias futuras",IF(IF(AND(S492="Mínima cuantía",ISNUMBER(P_TOPE_MINIMA)),W492&gt;P_TOPE_MINIMA,FALSE()),"El valor supera el tope de mínima cuantía 2027",IF(IF(AND(S492="Selección abreviada de menor cuantía",ISNUMBER(P_TOPE_MENOR)),W492&gt;P_TOPE_MENOR,FALSE()),"El valor supera el tope de menor cuantía 2027",IF(OR(ISERROR(SEARCH("@itc.edu.co",AE492)),SUMPRODUCT(--ISNUMBER(SEARCH({"á","é","í","ó","ú","ñ"," "},AE492)))&gt;0),"El correo del responsable no es institucional válido",IF(AND(AF492="Sí",AG492=""),"Indique el N.° de registro 2026 que continúa","OK")))))))))))))))))</f>
        <v/>
      </c>
      <c r="AK492" s="15" t="str">
        <f>IF(AJ492="OK",COUNTIF($AJ$7:AJ492,"OK"),"")</f>
        <v/>
      </c>
    </row>
    <row r="493" spans="1:37" x14ac:dyDescent="0.3">
      <c r="A493" s="13" t="str">
        <f t="shared" si="7"/>
        <v>PN27-487</v>
      </c>
      <c r="B493" s="26"/>
      <c r="C493" s="13" t="str">
        <f>IF(B493="","",IFERROR(INDEX(Catalogos!$R$5:$R$51,MATCH(B493,L_AREAS,0)),""))</f>
        <v/>
      </c>
      <c r="D493" s="13" t="str">
        <f>IF(B493="","",IFERROR(INDEX(Catalogos!$O$5:$O$51,MATCH(B493,L_AREAS,0)),""))</f>
        <v/>
      </c>
      <c r="E493" s="26"/>
      <c r="F493" s="13" t="str">
        <f>IF(E493="","",IFERROR(INDEX(Catalogos!$C$5:$C$49,MATCH(E493,L_METAS,0)),""))</f>
        <v/>
      </c>
      <c r="G493" s="13" t="str">
        <f>IF(E493="","",IFERROR(INDEX(Catalogos!$E$5:$E$49,MATCH(E493,L_METAS,0)),""))</f>
        <v/>
      </c>
      <c r="H493" s="26"/>
      <c r="I493" s="26"/>
      <c r="J493" s="26"/>
      <c r="K493" s="26"/>
      <c r="L493" s="26"/>
      <c r="M493" s="27"/>
      <c r="N493" s="26"/>
      <c r="O493" s="26"/>
      <c r="P493" s="26"/>
      <c r="Q493" s="26"/>
      <c r="R493" s="26"/>
      <c r="S493" s="26"/>
      <c r="T493" s="26"/>
      <c r="U493" s="26"/>
      <c r="V493" s="26"/>
      <c r="W493" s="28"/>
      <c r="X493" s="28"/>
      <c r="Y493" s="26"/>
      <c r="Z493" s="26"/>
      <c r="AA493" s="26"/>
      <c r="AB493" s="26"/>
      <c r="AC493" s="26"/>
      <c r="AD493" s="26"/>
      <c r="AE493" s="26"/>
      <c r="AF493" s="26"/>
      <c r="AG493" s="26"/>
      <c r="AH493" s="26"/>
      <c r="AI493" s="26"/>
      <c r="AJ493" s="15" t="str">
        <f>IF(COUNTA(B493,E493,H493,I493,J493,K493,L493,M493,N493,O493,P493,Q493,R493,S493,T493,U493,V493,W493,X493,Y493,Z493,AA493,AB493,AC493,AD493,AE493,AF493,AG493,AH493,AI493)=0,"",IF(OR(B493="",E493="",H493="",J493="",K493="",L493="",M493="",O493="",P493="",Q493="",R493="",S493="",T493="",U493="",W493="",X493="",Y493="",AB493="",AC493="",AE493="",AF493=""),"Incompleta: faltan campos obligatorios",IF(AND(LEFT(H493,6)="PROPIA",I493=""),"Falta el nombre de la acción propia del área",IF(AND(LEFT(H493,3)="A27",IFERROR(INDEX(Catalogos!$T$5:$T$207,MATCH(H493,Catalogos!$U$5:$U$207,0)),"x")&lt;&gt;LEFT(E493,7)),"La acción no corresponde a la meta seleccionada",IF(OR(NOT(ISNUMBER(M493)),M493&lt;10000000,M493&gt;99999999),"Código UNSPSC inválido: registre 8 dígitos",IF(MOD(M493,10000)=0,"UNSPSC a nivel de segmento o familia: use clase o producto",IF(IFERROR(MATCH(P493,L_MESES,0)&lt;MATCH(O493,L_MESES,0),TRUE()),"El mes de ofertas es anterior al de inicio del proceso",IF(OR(NOT(ISNUMBER(Q493)),Q493&lt;=0),"Duración inválida",IF(OR(NOT(ISNUMBER(W493)),NOT(ISNUMBER(X493))),"Valor inválido: registre solo números",IF(OR(W493&lt;=0,X493&lt;=0),"Valor inválido: debe ser mayor que cero",IF(X493&gt;W493,"El valor de la vigencia 2027 supera el valor total",IF(AND(X493&lt;W493,Y493="No"),"El valor total supera el de 2027: requiere vigencias futuras",IF(AND(Y493="Sí",OR(Z493="",Z493="No aplica")),"Indique el estado de la solicitud de vigencias futuras",IF(IF(AND(S493="Mínima cuantía",ISNUMBER(P_TOPE_MINIMA)),W493&gt;P_TOPE_MINIMA,FALSE()),"El valor supera el tope de mínima cuantía 2027",IF(IF(AND(S493="Selección abreviada de menor cuantía",ISNUMBER(P_TOPE_MENOR)),W493&gt;P_TOPE_MENOR,FALSE()),"El valor supera el tope de menor cuantía 2027",IF(OR(ISERROR(SEARCH("@itc.edu.co",AE493)),SUMPRODUCT(--ISNUMBER(SEARCH({"á","é","í","ó","ú","ñ"," "},AE493)))&gt;0),"El correo del responsable no es institucional válido",IF(AND(AF493="Sí",AG493=""),"Indique el N.° de registro 2026 que continúa","OK")))))))))))))))))</f>
        <v/>
      </c>
      <c r="AK493" s="15" t="str">
        <f>IF(AJ493="OK",COUNTIF($AJ$7:AJ493,"OK"),"")</f>
        <v/>
      </c>
    </row>
    <row r="494" spans="1:37" x14ac:dyDescent="0.3">
      <c r="A494" s="13" t="str">
        <f t="shared" si="7"/>
        <v>PN27-488</v>
      </c>
      <c r="B494" s="26"/>
      <c r="C494" s="13" t="str">
        <f>IF(B494="","",IFERROR(INDEX(Catalogos!$R$5:$R$51,MATCH(B494,L_AREAS,0)),""))</f>
        <v/>
      </c>
      <c r="D494" s="13" t="str">
        <f>IF(B494="","",IFERROR(INDEX(Catalogos!$O$5:$O$51,MATCH(B494,L_AREAS,0)),""))</f>
        <v/>
      </c>
      <c r="E494" s="26"/>
      <c r="F494" s="13" t="str">
        <f>IF(E494="","",IFERROR(INDEX(Catalogos!$C$5:$C$49,MATCH(E494,L_METAS,0)),""))</f>
        <v/>
      </c>
      <c r="G494" s="13" t="str">
        <f>IF(E494="","",IFERROR(INDEX(Catalogos!$E$5:$E$49,MATCH(E494,L_METAS,0)),""))</f>
        <v/>
      </c>
      <c r="H494" s="26"/>
      <c r="I494" s="26"/>
      <c r="J494" s="26"/>
      <c r="K494" s="26"/>
      <c r="L494" s="26"/>
      <c r="M494" s="27"/>
      <c r="N494" s="26"/>
      <c r="O494" s="26"/>
      <c r="P494" s="26"/>
      <c r="Q494" s="26"/>
      <c r="R494" s="26"/>
      <c r="S494" s="26"/>
      <c r="T494" s="26"/>
      <c r="U494" s="26"/>
      <c r="V494" s="26"/>
      <c r="W494" s="28"/>
      <c r="X494" s="28"/>
      <c r="Y494" s="26"/>
      <c r="Z494" s="26"/>
      <c r="AA494" s="26"/>
      <c r="AB494" s="26"/>
      <c r="AC494" s="26"/>
      <c r="AD494" s="26"/>
      <c r="AE494" s="26"/>
      <c r="AF494" s="26"/>
      <c r="AG494" s="26"/>
      <c r="AH494" s="26"/>
      <c r="AI494" s="26"/>
      <c r="AJ494" s="15" t="str">
        <f>IF(COUNTA(B494,E494,H494,I494,J494,K494,L494,M494,N494,O494,P494,Q494,R494,S494,T494,U494,V494,W494,X494,Y494,Z494,AA494,AB494,AC494,AD494,AE494,AF494,AG494,AH494,AI494)=0,"",IF(OR(B494="",E494="",H494="",J494="",K494="",L494="",M494="",O494="",P494="",Q494="",R494="",S494="",T494="",U494="",W494="",X494="",Y494="",AB494="",AC494="",AE494="",AF494=""),"Incompleta: faltan campos obligatorios",IF(AND(LEFT(H494,6)="PROPIA",I494=""),"Falta el nombre de la acción propia del área",IF(AND(LEFT(H494,3)="A27",IFERROR(INDEX(Catalogos!$T$5:$T$207,MATCH(H494,Catalogos!$U$5:$U$207,0)),"x")&lt;&gt;LEFT(E494,7)),"La acción no corresponde a la meta seleccionada",IF(OR(NOT(ISNUMBER(M494)),M494&lt;10000000,M494&gt;99999999),"Código UNSPSC inválido: registre 8 dígitos",IF(MOD(M494,10000)=0,"UNSPSC a nivel de segmento o familia: use clase o producto",IF(IFERROR(MATCH(P494,L_MESES,0)&lt;MATCH(O494,L_MESES,0),TRUE()),"El mes de ofertas es anterior al de inicio del proceso",IF(OR(NOT(ISNUMBER(Q494)),Q494&lt;=0),"Duración inválida",IF(OR(NOT(ISNUMBER(W494)),NOT(ISNUMBER(X494))),"Valor inválido: registre solo números",IF(OR(W494&lt;=0,X494&lt;=0),"Valor inválido: debe ser mayor que cero",IF(X494&gt;W494,"El valor de la vigencia 2027 supera el valor total",IF(AND(X494&lt;W494,Y494="No"),"El valor total supera el de 2027: requiere vigencias futuras",IF(AND(Y494="Sí",OR(Z494="",Z494="No aplica")),"Indique el estado de la solicitud de vigencias futuras",IF(IF(AND(S494="Mínima cuantía",ISNUMBER(P_TOPE_MINIMA)),W494&gt;P_TOPE_MINIMA,FALSE()),"El valor supera el tope de mínima cuantía 2027",IF(IF(AND(S494="Selección abreviada de menor cuantía",ISNUMBER(P_TOPE_MENOR)),W494&gt;P_TOPE_MENOR,FALSE()),"El valor supera el tope de menor cuantía 2027",IF(OR(ISERROR(SEARCH("@itc.edu.co",AE494)),SUMPRODUCT(--ISNUMBER(SEARCH({"á","é","í","ó","ú","ñ"," "},AE494)))&gt;0),"El correo del responsable no es institucional válido",IF(AND(AF494="Sí",AG494=""),"Indique el N.° de registro 2026 que continúa","OK")))))))))))))))))</f>
        <v/>
      </c>
      <c r="AK494" s="15" t="str">
        <f>IF(AJ494="OK",COUNTIF($AJ$7:AJ494,"OK"),"")</f>
        <v/>
      </c>
    </row>
    <row r="495" spans="1:37" x14ac:dyDescent="0.3">
      <c r="A495" s="13" t="str">
        <f t="shared" si="7"/>
        <v>PN27-489</v>
      </c>
      <c r="B495" s="26"/>
      <c r="C495" s="13" t="str">
        <f>IF(B495="","",IFERROR(INDEX(Catalogos!$R$5:$R$51,MATCH(B495,L_AREAS,0)),""))</f>
        <v/>
      </c>
      <c r="D495" s="13" t="str">
        <f>IF(B495="","",IFERROR(INDEX(Catalogos!$O$5:$O$51,MATCH(B495,L_AREAS,0)),""))</f>
        <v/>
      </c>
      <c r="E495" s="26"/>
      <c r="F495" s="13" t="str">
        <f>IF(E495="","",IFERROR(INDEX(Catalogos!$C$5:$C$49,MATCH(E495,L_METAS,0)),""))</f>
        <v/>
      </c>
      <c r="G495" s="13" t="str">
        <f>IF(E495="","",IFERROR(INDEX(Catalogos!$E$5:$E$49,MATCH(E495,L_METAS,0)),""))</f>
        <v/>
      </c>
      <c r="H495" s="26"/>
      <c r="I495" s="26"/>
      <c r="J495" s="26"/>
      <c r="K495" s="26"/>
      <c r="L495" s="26"/>
      <c r="M495" s="27"/>
      <c r="N495" s="26"/>
      <c r="O495" s="26"/>
      <c r="P495" s="26"/>
      <c r="Q495" s="26"/>
      <c r="R495" s="26"/>
      <c r="S495" s="26"/>
      <c r="T495" s="26"/>
      <c r="U495" s="26"/>
      <c r="V495" s="26"/>
      <c r="W495" s="28"/>
      <c r="X495" s="28"/>
      <c r="Y495" s="26"/>
      <c r="Z495" s="26"/>
      <c r="AA495" s="26"/>
      <c r="AB495" s="26"/>
      <c r="AC495" s="26"/>
      <c r="AD495" s="26"/>
      <c r="AE495" s="26"/>
      <c r="AF495" s="26"/>
      <c r="AG495" s="26"/>
      <c r="AH495" s="26"/>
      <c r="AI495" s="26"/>
      <c r="AJ495" s="15" t="str">
        <f>IF(COUNTA(B495,E495,H495,I495,J495,K495,L495,M495,N495,O495,P495,Q495,R495,S495,T495,U495,V495,W495,X495,Y495,Z495,AA495,AB495,AC495,AD495,AE495,AF495,AG495,AH495,AI495)=0,"",IF(OR(B495="",E495="",H495="",J495="",K495="",L495="",M495="",O495="",P495="",Q495="",R495="",S495="",T495="",U495="",W495="",X495="",Y495="",AB495="",AC495="",AE495="",AF495=""),"Incompleta: faltan campos obligatorios",IF(AND(LEFT(H495,6)="PROPIA",I495=""),"Falta el nombre de la acción propia del área",IF(AND(LEFT(H495,3)="A27",IFERROR(INDEX(Catalogos!$T$5:$T$207,MATCH(H495,Catalogos!$U$5:$U$207,0)),"x")&lt;&gt;LEFT(E495,7)),"La acción no corresponde a la meta seleccionada",IF(OR(NOT(ISNUMBER(M495)),M495&lt;10000000,M495&gt;99999999),"Código UNSPSC inválido: registre 8 dígitos",IF(MOD(M495,10000)=0,"UNSPSC a nivel de segmento o familia: use clase o producto",IF(IFERROR(MATCH(P495,L_MESES,0)&lt;MATCH(O495,L_MESES,0),TRUE()),"El mes de ofertas es anterior al de inicio del proceso",IF(OR(NOT(ISNUMBER(Q495)),Q495&lt;=0),"Duración inválida",IF(OR(NOT(ISNUMBER(W495)),NOT(ISNUMBER(X495))),"Valor inválido: registre solo números",IF(OR(W495&lt;=0,X495&lt;=0),"Valor inválido: debe ser mayor que cero",IF(X495&gt;W495,"El valor de la vigencia 2027 supera el valor total",IF(AND(X495&lt;W495,Y495="No"),"El valor total supera el de 2027: requiere vigencias futuras",IF(AND(Y495="Sí",OR(Z495="",Z495="No aplica")),"Indique el estado de la solicitud de vigencias futuras",IF(IF(AND(S495="Mínima cuantía",ISNUMBER(P_TOPE_MINIMA)),W495&gt;P_TOPE_MINIMA,FALSE()),"El valor supera el tope de mínima cuantía 2027",IF(IF(AND(S495="Selección abreviada de menor cuantía",ISNUMBER(P_TOPE_MENOR)),W495&gt;P_TOPE_MENOR,FALSE()),"El valor supera el tope de menor cuantía 2027",IF(OR(ISERROR(SEARCH("@itc.edu.co",AE495)),SUMPRODUCT(--ISNUMBER(SEARCH({"á","é","í","ó","ú","ñ"," "},AE495)))&gt;0),"El correo del responsable no es institucional válido",IF(AND(AF495="Sí",AG495=""),"Indique el N.° de registro 2026 que continúa","OK")))))))))))))))))</f>
        <v/>
      </c>
      <c r="AK495" s="15" t="str">
        <f>IF(AJ495="OK",COUNTIF($AJ$7:AJ495,"OK"),"")</f>
        <v/>
      </c>
    </row>
    <row r="496" spans="1:37" x14ac:dyDescent="0.3">
      <c r="A496" s="13" t="str">
        <f t="shared" si="7"/>
        <v>PN27-490</v>
      </c>
      <c r="B496" s="26"/>
      <c r="C496" s="13" t="str">
        <f>IF(B496="","",IFERROR(INDEX(Catalogos!$R$5:$R$51,MATCH(B496,L_AREAS,0)),""))</f>
        <v/>
      </c>
      <c r="D496" s="13" t="str">
        <f>IF(B496="","",IFERROR(INDEX(Catalogos!$O$5:$O$51,MATCH(B496,L_AREAS,0)),""))</f>
        <v/>
      </c>
      <c r="E496" s="26"/>
      <c r="F496" s="13" t="str">
        <f>IF(E496="","",IFERROR(INDEX(Catalogos!$C$5:$C$49,MATCH(E496,L_METAS,0)),""))</f>
        <v/>
      </c>
      <c r="G496" s="13" t="str">
        <f>IF(E496="","",IFERROR(INDEX(Catalogos!$E$5:$E$49,MATCH(E496,L_METAS,0)),""))</f>
        <v/>
      </c>
      <c r="H496" s="26"/>
      <c r="I496" s="26"/>
      <c r="J496" s="26"/>
      <c r="K496" s="26"/>
      <c r="L496" s="26"/>
      <c r="M496" s="27"/>
      <c r="N496" s="26"/>
      <c r="O496" s="26"/>
      <c r="P496" s="26"/>
      <c r="Q496" s="26"/>
      <c r="R496" s="26"/>
      <c r="S496" s="26"/>
      <c r="T496" s="26"/>
      <c r="U496" s="26"/>
      <c r="V496" s="26"/>
      <c r="W496" s="28"/>
      <c r="X496" s="28"/>
      <c r="Y496" s="26"/>
      <c r="Z496" s="26"/>
      <c r="AA496" s="26"/>
      <c r="AB496" s="26"/>
      <c r="AC496" s="26"/>
      <c r="AD496" s="26"/>
      <c r="AE496" s="26"/>
      <c r="AF496" s="26"/>
      <c r="AG496" s="26"/>
      <c r="AH496" s="26"/>
      <c r="AI496" s="26"/>
      <c r="AJ496" s="15" t="str">
        <f>IF(COUNTA(B496,E496,H496,I496,J496,K496,L496,M496,N496,O496,P496,Q496,R496,S496,T496,U496,V496,W496,X496,Y496,Z496,AA496,AB496,AC496,AD496,AE496,AF496,AG496,AH496,AI496)=0,"",IF(OR(B496="",E496="",H496="",J496="",K496="",L496="",M496="",O496="",P496="",Q496="",R496="",S496="",T496="",U496="",W496="",X496="",Y496="",AB496="",AC496="",AE496="",AF496=""),"Incompleta: faltan campos obligatorios",IF(AND(LEFT(H496,6)="PROPIA",I496=""),"Falta el nombre de la acción propia del área",IF(AND(LEFT(H496,3)="A27",IFERROR(INDEX(Catalogos!$T$5:$T$207,MATCH(H496,Catalogos!$U$5:$U$207,0)),"x")&lt;&gt;LEFT(E496,7)),"La acción no corresponde a la meta seleccionada",IF(OR(NOT(ISNUMBER(M496)),M496&lt;10000000,M496&gt;99999999),"Código UNSPSC inválido: registre 8 dígitos",IF(MOD(M496,10000)=0,"UNSPSC a nivel de segmento o familia: use clase o producto",IF(IFERROR(MATCH(P496,L_MESES,0)&lt;MATCH(O496,L_MESES,0),TRUE()),"El mes de ofertas es anterior al de inicio del proceso",IF(OR(NOT(ISNUMBER(Q496)),Q496&lt;=0),"Duración inválida",IF(OR(NOT(ISNUMBER(W496)),NOT(ISNUMBER(X496))),"Valor inválido: registre solo números",IF(OR(W496&lt;=0,X496&lt;=0),"Valor inválido: debe ser mayor que cero",IF(X496&gt;W496,"El valor de la vigencia 2027 supera el valor total",IF(AND(X496&lt;W496,Y496="No"),"El valor total supera el de 2027: requiere vigencias futuras",IF(AND(Y496="Sí",OR(Z496="",Z496="No aplica")),"Indique el estado de la solicitud de vigencias futuras",IF(IF(AND(S496="Mínima cuantía",ISNUMBER(P_TOPE_MINIMA)),W496&gt;P_TOPE_MINIMA,FALSE()),"El valor supera el tope de mínima cuantía 2027",IF(IF(AND(S496="Selección abreviada de menor cuantía",ISNUMBER(P_TOPE_MENOR)),W496&gt;P_TOPE_MENOR,FALSE()),"El valor supera el tope de menor cuantía 2027",IF(OR(ISERROR(SEARCH("@itc.edu.co",AE496)),SUMPRODUCT(--ISNUMBER(SEARCH({"á","é","í","ó","ú","ñ"," "},AE496)))&gt;0),"El correo del responsable no es institucional válido",IF(AND(AF496="Sí",AG496=""),"Indique el N.° de registro 2026 que continúa","OK")))))))))))))))))</f>
        <v/>
      </c>
      <c r="AK496" s="15" t="str">
        <f>IF(AJ496="OK",COUNTIF($AJ$7:AJ496,"OK"),"")</f>
        <v/>
      </c>
    </row>
    <row r="497" spans="1:37" x14ac:dyDescent="0.3">
      <c r="A497" s="13" t="str">
        <f t="shared" si="7"/>
        <v>PN27-491</v>
      </c>
      <c r="B497" s="26"/>
      <c r="C497" s="13" t="str">
        <f>IF(B497="","",IFERROR(INDEX(Catalogos!$R$5:$R$51,MATCH(B497,L_AREAS,0)),""))</f>
        <v/>
      </c>
      <c r="D497" s="13" t="str">
        <f>IF(B497="","",IFERROR(INDEX(Catalogos!$O$5:$O$51,MATCH(B497,L_AREAS,0)),""))</f>
        <v/>
      </c>
      <c r="E497" s="26"/>
      <c r="F497" s="13" t="str">
        <f>IF(E497="","",IFERROR(INDEX(Catalogos!$C$5:$C$49,MATCH(E497,L_METAS,0)),""))</f>
        <v/>
      </c>
      <c r="G497" s="13" t="str">
        <f>IF(E497="","",IFERROR(INDEX(Catalogos!$E$5:$E$49,MATCH(E497,L_METAS,0)),""))</f>
        <v/>
      </c>
      <c r="H497" s="26"/>
      <c r="I497" s="26"/>
      <c r="J497" s="26"/>
      <c r="K497" s="26"/>
      <c r="L497" s="26"/>
      <c r="M497" s="27"/>
      <c r="N497" s="26"/>
      <c r="O497" s="26"/>
      <c r="P497" s="26"/>
      <c r="Q497" s="26"/>
      <c r="R497" s="26"/>
      <c r="S497" s="26"/>
      <c r="T497" s="26"/>
      <c r="U497" s="26"/>
      <c r="V497" s="26"/>
      <c r="W497" s="28"/>
      <c r="X497" s="28"/>
      <c r="Y497" s="26"/>
      <c r="Z497" s="26"/>
      <c r="AA497" s="26"/>
      <c r="AB497" s="26"/>
      <c r="AC497" s="26"/>
      <c r="AD497" s="26"/>
      <c r="AE497" s="26"/>
      <c r="AF497" s="26"/>
      <c r="AG497" s="26"/>
      <c r="AH497" s="26"/>
      <c r="AI497" s="26"/>
      <c r="AJ497" s="15" t="str">
        <f>IF(COUNTA(B497,E497,H497,I497,J497,K497,L497,M497,N497,O497,P497,Q497,R497,S497,T497,U497,V497,W497,X497,Y497,Z497,AA497,AB497,AC497,AD497,AE497,AF497,AG497,AH497,AI497)=0,"",IF(OR(B497="",E497="",H497="",J497="",K497="",L497="",M497="",O497="",P497="",Q497="",R497="",S497="",T497="",U497="",W497="",X497="",Y497="",AB497="",AC497="",AE497="",AF497=""),"Incompleta: faltan campos obligatorios",IF(AND(LEFT(H497,6)="PROPIA",I497=""),"Falta el nombre de la acción propia del área",IF(AND(LEFT(H497,3)="A27",IFERROR(INDEX(Catalogos!$T$5:$T$207,MATCH(H497,Catalogos!$U$5:$U$207,0)),"x")&lt;&gt;LEFT(E497,7)),"La acción no corresponde a la meta seleccionada",IF(OR(NOT(ISNUMBER(M497)),M497&lt;10000000,M497&gt;99999999),"Código UNSPSC inválido: registre 8 dígitos",IF(MOD(M497,10000)=0,"UNSPSC a nivel de segmento o familia: use clase o producto",IF(IFERROR(MATCH(P497,L_MESES,0)&lt;MATCH(O497,L_MESES,0),TRUE()),"El mes de ofertas es anterior al de inicio del proceso",IF(OR(NOT(ISNUMBER(Q497)),Q497&lt;=0),"Duración inválida",IF(OR(NOT(ISNUMBER(W497)),NOT(ISNUMBER(X497))),"Valor inválido: registre solo números",IF(OR(W497&lt;=0,X497&lt;=0),"Valor inválido: debe ser mayor que cero",IF(X497&gt;W497,"El valor de la vigencia 2027 supera el valor total",IF(AND(X497&lt;W497,Y497="No"),"El valor total supera el de 2027: requiere vigencias futuras",IF(AND(Y497="Sí",OR(Z497="",Z497="No aplica")),"Indique el estado de la solicitud de vigencias futuras",IF(IF(AND(S497="Mínima cuantía",ISNUMBER(P_TOPE_MINIMA)),W497&gt;P_TOPE_MINIMA,FALSE()),"El valor supera el tope de mínima cuantía 2027",IF(IF(AND(S497="Selección abreviada de menor cuantía",ISNUMBER(P_TOPE_MENOR)),W497&gt;P_TOPE_MENOR,FALSE()),"El valor supera el tope de menor cuantía 2027",IF(OR(ISERROR(SEARCH("@itc.edu.co",AE497)),SUMPRODUCT(--ISNUMBER(SEARCH({"á","é","í","ó","ú","ñ"," "},AE497)))&gt;0),"El correo del responsable no es institucional válido",IF(AND(AF497="Sí",AG497=""),"Indique el N.° de registro 2026 que continúa","OK")))))))))))))))))</f>
        <v/>
      </c>
      <c r="AK497" s="15" t="str">
        <f>IF(AJ497="OK",COUNTIF($AJ$7:AJ497,"OK"),"")</f>
        <v/>
      </c>
    </row>
    <row r="498" spans="1:37" x14ac:dyDescent="0.3">
      <c r="A498" s="13" t="str">
        <f t="shared" si="7"/>
        <v>PN27-492</v>
      </c>
      <c r="B498" s="26"/>
      <c r="C498" s="13" t="str">
        <f>IF(B498="","",IFERROR(INDEX(Catalogos!$R$5:$R$51,MATCH(B498,L_AREAS,0)),""))</f>
        <v/>
      </c>
      <c r="D498" s="13" t="str">
        <f>IF(B498="","",IFERROR(INDEX(Catalogos!$O$5:$O$51,MATCH(B498,L_AREAS,0)),""))</f>
        <v/>
      </c>
      <c r="E498" s="26"/>
      <c r="F498" s="13" t="str">
        <f>IF(E498="","",IFERROR(INDEX(Catalogos!$C$5:$C$49,MATCH(E498,L_METAS,0)),""))</f>
        <v/>
      </c>
      <c r="G498" s="13" t="str">
        <f>IF(E498="","",IFERROR(INDEX(Catalogos!$E$5:$E$49,MATCH(E498,L_METAS,0)),""))</f>
        <v/>
      </c>
      <c r="H498" s="26"/>
      <c r="I498" s="26"/>
      <c r="J498" s="26"/>
      <c r="K498" s="26"/>
      <c r="L498" s="26"/>
      <c r="M498" s="27"/>
      <c r="N498" s="26"/>
      <c r="O498" s="26"/>
      <c r="P498" s="26"/>
      <c r="Q498" s="26"/>
      <c r="R498" s="26"/>
      <c r="S498" s="26"/>
      <c r="T498" s="26"/>
      <c r="U498" s="26"/>
      <c r="V498" s="26"/>
      <c r="W498" s="28"/>
      <c r="X498" s="28"/>
      <c r="Y498" s="26"/>
      <c r="Z498" s="26"/>
      <c r="AA498" s="26"/>
      <c r="AB498" s="26"/>
      <c r="AC498" s="26"/>
      <c r="AD498" s="26"/>
      <c r="AE498" s="26"/>
      <c r="AF498" s="26"/>
      <c r="AG498" s="26"/>
      <c r="AH498" s="26"/>
      <c r="AI498" s="26"/>
      <c r="AJ498" s="15" t="str">
        <f>IF(COUNTA(B498,E498,H498,I498,J498,K498,L498,M498,N498,O498,P498,Q498,R498,S498,T498,U498,V498,W498,X498,Y498,Z498,AA498,AB498,AC498,AD498,AE498,AF498,AG498,AH498,AI498)=0,"",IF(OR(B498="",E498="",H498="",J498="",K498="",L498="",M498="",O498="",P498="",Q498="",R498="",S498="",T498="",U498="",W498="",X498="",Y498="",AB498="",AC498="",AE498="",AF498=""),"Incompleta: faltan campos obligatorios",IF(AND(LEFT(H498,6)="PROPIA",I498=""),"Falta el nombre de la acción propia del área",IF(AND(LEFT(H498,3)="A27",IFERROR(INDEX(Catalogos!$T$5:$T$207,MATCH(H498,Catalogos!$U$5:$U$207,0)),"x")&lt;&gt;LEFT(E498,7)),"La acción no corresponde a la meta seleccionada",IF(OR(NOT(ISNUMBER(M498)),M498&lt;10000000,M498&gt;99999999),"Código UNSPSC inválido: registre 8 dígitos",IF(MOD(M498,10000)=0,"UNSPSC a nivel de segmento o familia: use clase o producto",IF(IFERROR(MATCH(P498,L_MESES,0)&lt;MATCH(O498,L_MESES,0),TRUE()),"El mes de ofertas es anterior al de inicio del proceso",IF(OR(NOT(ISNUMBER(Q498)),Q498&lt;=0),"Duración inválida",IF(OR(NOT(ISNUMBER(W498)),NOT(ISNUMBER(X498))),"Valor inválido: registre solo números",IF(OR(W498&lt;=0,X498&lt;=0),"Valor inválido: debe ser mayor que cero",IF(X498&gt;W498,"El valor de la vigencia 2027 supera el valor total",IF(AND(X498&lt;W498,Y498="No"),"El valor total supera el de 2027: requiere vigencias futuras",IF(AND(Y498="Sí",OR(Z498="",Z498="No aplica")),"Indique el estado de la solicitud de vigencias futuras",IF(IF(AND(S498="Mínima cuantía",ISNUMBER(P_TOPE_MINIMA)),W498&gt;P_TOPE_MINIMA,FALSE()),"El valor supera el tope de mínima cuantía 2027",IF(IF(AND(S498="Selección abreviada de menor cuantía",ISNUMBER(P_TOPE_MENOR)),W498&gt;P_TOPE_MENOR,FALSE()),"El valor supera el tope de menor cuantía 2027",IF(OR(ISERROR(SEARCH("@itc.edu.co",AE498)),SUMPRODUCT(--ISNUMBER(SEARCH({"á","é","í","ó","ú","ñ"," "},AE498)))&gt;0),"El correo del responsable no es institucional válido",IF(AND(AF498="Sí",AG498=""),"Indique el N.° de registro 2026 que continúa","OK")))))))))))))))))</f>
        <v/>
      </c>
      <c r="AK498" s="15" t="str">
        <f>IF(AJ498="OK",COUNTIF($AJ$7:AJ498,"OK"),"")</f>
        <v/>
      </c>
    </row>
    <row r="499" spans="1:37" x14ac:dyDescent="0.3">
      <c r="A499" s="13" t="str">
        <f t="shared" si="7"/>
        <v>PN27-493</v>
      </c>
      <c r="B499" s="26"/>
      <c r="C499" s="13" t="str">
        <f>IF(B499="","",IFERROR(INDEX(Catalogos!$R$5:$R$51,MATCH(B499,L_AREAS,0)),""))</f>
        <v/>
      </c>
      <c r="D499" s="13" t="str">
        <f>IF(B499="","",IFERROR(INDEX(Catalogos!$O$5:$O$51,MATCH(B499,L_AREAS,0)),""))</f>
        <v/>
      </c>
      <c r="E499" s="26"/>
      <c r="F499" s="13" t="str">
        <f>IF(E499="","",IFERROR(INDEX(Catalogos!$C$5:$C$49,MATCH(E499,L_METAS,0)),""))</f>
        <v/>
      </c>
      <c r="G499" s="13" t="str">
        <f>IF(E499="","",IFERROR(INDEX(Catalogos!$E$5:$E$49,MATCH(E499,L_METAS,0)),""))</f>
        <v/>
      </c>
      <c r="H499" s="26"/>
      <c r="I499" s="26"/>
      <c r="J499" s="26"/>
      <c r="K499" s="26"/>
      <c r="L499" s="26"/>
      <c r="M499" s="27"/>
      <c r="N499" s="26"/>
      <c r="O499" s="26"/>
      <c r="P499" s="26"/>
      <c r="Q499" s="26"/>
      <c r="R499" s="26"/>
      <c r="S499" s="26"/>
      <c r="T499" s="26"/>
      <c r="U499" s="26"/>
      <c r="V499" s="26"/>
      <c r="W499" s="28"/>
      <c r="X499" s="28"/>
      <c r="Y499" s="26"/>
      <c r="Z499" s="26"/>
      <c r="AA499" s="26"/>
      <c r="AB499" s="26"/>
      <c r="AC499" s="26"/>
      <c r="AD499" s="26"/>
      <c r="AE499" s="26"/>
      <c r="AF499" s="26"/>
      <c r="AG499" s="26"/>
      <c r="AH499" s="26"/>
      <c r="AI499" s="26"/>
      <c r="AJ499" s="15" t="str">
        <f>IF(COUNTA(B499,E499,H499,I499,J499,K499,L499,M499,N499,O499,P499,Q499,R499,S499,T499,U499,V499,W499,X499,Y499,Z499,AA499,AB499,AC499,AD499,AE499,AF499,AG499,AH499,AI499)=0,"",IF(OR(B499="",E499="",H499="",J499="",K499="",L499="",M499="",O499="",P499="",Q499="",R499="",S499="",T499="",U499="",W499="",X499="",Y499="",AB499="",AC499="",AE499="",AF499=""),"Incompleta: faltan campos obligatorios",IF(AND(LEFT(H499,6)="PROPIA",I499=""),"Falta el nombre de la acción propia del área",IF(AND(LEFT(H499,3)="A27",IFERROR(INDEX(Catalogos!$T$5:$T$207,MATCH(H499,Catalogos!$U$5:$U$207,0)),"x")&lt;&gt;LEFT(E499,7)),"La acción no corresponde a la meta seleccionada",IF(OR(NOT(ISNUMBER(M499)),M499&lt;10000000,M499&gt;99999999),"Código UNSPSC inválido: registre 8 dígitos",IF(MOD(M499,10000)=0,"UNSPSC a nivel de segmento o familia: use clase o producto",IF(IFERROR(MATCH(P499,L_MESES,0)&lt;MATCH(O499,L_MESES,0),TRUE()),"El mes de ofertas es anterior al de inicio del proceso",IF(OR(NOT(ISNUMBER(Q499)),Q499&lt;=0),"Duración inválida",IF(OR(NOT(ISNUMBER(W499)),NOT(ISNUMBER(X499))),"Valor inválido: registre solo números",IF(OR(W499&lt;=0,X499&lt;=0),"Valor inválido: debe ser mayor que cero",IF(X499&gt;W499,"El valor de la vigencia 2027 supera el valor total",IF(AND(X499&lt;W499,Y499="No"),"El valor total supera el de 2027: requiere vigencias futuras",IF(AND(Y499="Sí",OR(Z499="",Z499="No aplica")),"Indique el estado de la solicitud de vigencias futuras",IF(IF(AND(S499="Mínima cuantía",ISNUMBER(P_TOPE_MINIMA)),W499&gt;P_TOPE_MINIMA,FALSE()),"El valor supera el tope de mínima cuantía 2027",IF(IF(AND(S499="Selección abreviada de menor cuantía",ISNUMBER(P_TOPE_MENOR)),W499&gt;P_TOPE_MENOR,FALSE()),"El valor supera el tope de menor cuantía 2027",IF(OR(ISERROR(SEARCH("@itc.edu.co",AE499)),SUMPRODUCT(--ISNUMBER(SEARCH({"á","é","í","ó","ú","ñ"," "},AE499)))&gt;0),"El correo del responsable no es institucional válido",IF(AND(AF499="Sí",AG499=""),"Indique el N.° de registro 2026 que continúa","OK")))))))))))))))))</f>
        <v/>
      </c>
      <c r="AK499" s="15" t="str">
        <f>IF(AJ499="OK",COUNTIF($AJ$7:AJ499,"OK"),"")</f>
        <v/>
      </c>
    </row>
    <row r="500" spans="1:37" x14ac:dyDescent="0.3">
      <c r="A500" s="13" t="str">
        <f t="shared" si="7"/>
        <v>PN27-494</v>
      </c>
      <c r="B500" s="26"/>
      <c r="C500" s="13" t="str">
        <f>IF(B500="","",IFERROR(INDEX(Catalogos!$R$5:$R$51,MATCH(B500,L_AREAS,0)),""))</f>
        <v/>
      </c>
      <c r="D500" s="13" t="str">
        <f>IF(B500="","",IFERROR(INDEX(Catalogos!$O$5:$O$51,MATCH(B500,L_AREAS,0)),""))</f>
        <v/>
      </c>
      <c r="E500" s="26"/>
      <c r="F500" s="13" t="str">
        <f>IF(E500="","",IFERROR(INDEX(Catalogos!$C$5:$C$49,MATCH(E500,L_METAS,0)),""))</f>
        <v/>
      </c>
      <c r="G500" s="13" t="str">
        <f>IF(E500="","",IFERROR(INDEX(Catalogos!$E$5:$E$49,MATCH(E500,L_METAS,0)),""))</f>
        <v/>
      </c>
      <c r="H500" s="26"/>
      <c r="I500" s="26"/>
      <c r="J500" s="26"/>
      <c r="K500" s="26"/>
      <c r="L500" s="26"/>
      <c r="M500" s="27"/>
      <c r="N500" s="26"/>
      <c r="O500" s="26"/>
      <c r="P500" s="26"/>
      <c r="Q500" s="26"/>
      <c r="R500" s="26"/>
      <c r="S500" s="26"/>
      <c r="T500" s="26"/>
      <c r="U500" s="26"/>
      <c r="V500" s="26"/>
      <c r="W500" s="28"/>
      <c r="X500" s="28"/>
      <c r="Y500" s="26"/>
      <c r="Z500" s="26"/>
      <c r="AA500" s="26"/>
      <c r="AB500" s="26"/>
      <c r="AC500" s="26"/>
      <c r="AD500" s="26"/>
      <c r="AE500" s="26"/>
      <c r="AF500" s="26"/>
      <c r="AG500" s="26"/>
      <c r="AH500" s="26"/>
      <c r="AI500" s="26"/>
      <c r="AJ500" s="15" t="str">
        <f>IF(COUNTA(B500,E500,H500,I500,J500,K500,L500,M500,N500,O500,P500,Q500,R500,S500,T500,U500,V500,W500,X500,Y500,Z500,AA500,AB500,AC500,AD500,AE500,AF500,AG500,AH500,AI500)=0,"",IF(OR(B500="",E500="",H500="",J500="",K500="",L500="",M500="",O500="",P500="",Q500="",R500="",S500="",T500="",U500="",W500="",X500="",Y500="",AB500="",AC500="",AE500="",AF500=""),"Incompleta: faltan campos obligatorios",IF(AND(LEFT(H500,6)="PROPIA",I500=""),"Falta el nombre de la acción propia del área",IF(AND(LEFT(H500,3)="A27",IFERROR(INDEX(Catalogos!$T$5:$T$207,MATCH(H500,Catalogos!$U$5:$U$207,0)),"x")&lt;&gt;LEFT(E500,7)),"La acción no corresponde a la meta seleccionada",IF(OR(NOT(ISNUMBER(M500)),M500&lt;10000000,M500&gt;99999999),"Código UNSPSC inválido: registre 8 dígitos",IF(MOD(M500,10000)=0,"UNSPSC a nivel de segmento o familia: use clase o producto",IF(IFERROR(MATCH(P500,L_MESES,0)&lt;MATCH(O500,L_MESES,0),TRUE()),"El mes de ofertas es anterior al de inicio del proceso",IF(OR(NOT(ISNUMBER(Q500)),Q500&lt;=0),"Duración inválida",IF(OR(NOT(ISNUMBER(W500)),NOT(ISNUMBER(X500))),"Valor inválido: registre solo números",IF(OR(W500&lt;=0,X500&lt;=0),"Valor inválido: debe ser mayor que cero",IF(X500&gt;W500,"El valor de la vigencia 2027 supera el valor total",IF(AND(X500&lt;W500,Y500="No"),"El valor total supera el de 2027: requiere vigencias futuras",IF(AND(Y500="Sí",OR(Z500="",Z500="No aplica")),"Indique el estado de la solicitud de vigencias futuras",IF(IF(AND(S500="Mínima cuantía",ISNUMBER(P_TOPE_MINIMA)),W500&gt;P_TOPE_MINIMA,FALSE()),"El valor supera el tope de mínima cuantía 2027",IF(IF(AND(S500="Selección abreviada de menor cuantía",ISNUMBER(P_TOPE_MENOR)),W500&gt;P_TOPE_MENOR,FALSE()),"El valor supera el tope de menor cuantía 2027",IF(OR(ISERROR(SEARCH("@itc.edu.co",AE500)),SUMPRODUCT(--ISNUMBER(SEARCH({"á","é","í","ó","ú","ñ"," "},AE500)))&gt;0),"El correo del responsable no es institucional válido",IF(AND(AF500="Sí",AG500=""),"Indique el N.° de registro 2026 que continúa","OK")))))))))))))))))</f>
        <v/>
      </c>
      <c r="AK500" s="15" t="str">
        <f>IF(AJ500="OK",COUNTIF($AJ$7:AJ500,"OK"),"")</f>
        <v/>
      </c>
    </row>
    <row r="501" spans="1:37" x14ac:dyDescent="0.3">
      <c r="A501" s="13" t="str">
        <f t="shared" si="7"/>
        <v>PN27-495</v>
      </c>
      <c r="B501" s="26"/>
      <c r="C501" s="13" t="str">
        <f>IF(B501="","",IFERROR(INDEX(Catalogos!$R$5:$R$51,MATCH(B501,L_AREAS,0)),""))</f>
        <v/>
      </c>
      <c r="D501" s="13" t="str">
        <f>IF(B501="","",IFERROR(INDEX(Catalogos!$O$5:$O$51,MATCH(B501,L_AREAS,0)),""))</f>
        <v/>
      </c>
      <c r="E501" s="26"/>
      <c r="F501" s="13" t="str">
        <f>IF(E501="","",IFERROR(INDEX(Catalogos!$C$5:$C$49,MATCH(E501,L_METAS,0)),""))</f>
        <v/>
      </c>
      <c r="G501" s="13" t="str">
        <f>IF(E501="","",IFERROR(INDEX(Catalogos!$E$5:$E$49,MATCH(E501,L_METAS,0)),""))</f>
        <v/>
      </c>
      <c r="H501" s="26"/>
      <c r="I501" s="26"/>
      <c r="J501" s="26"/>
      <c r="K501" s="26"/>
      <c r="L501" s="26"/>
      <c r="M501" s="27"/>
      <c r="N501" s="26"/>
      <c r="O501" s="26"/>
      <c r="P501" s="26"/>
      <c r="Q501" s="26"/>
      <c r="R501" s="26"/>
      <c r="S501" s="26"/>
      <c r="T501" s="26"/>
      <c r="U501" s="26"/>
      <c r="V501" s="26"/>
      <c r="W501" s="28"/>
      <c r="X501" s="28"/>
      <c r="Y501" s="26"/>
      <c r="Z501" s="26"/>
      <c r="AA501" s="26"/>
      <c r="AB501" s="26"/>
      <c r="AC501" s="26"/>
      <c r="AD501" s="26"/>
      <c r="AE501" s="26"/>
      <c r="AF501" s="26"/>
      <c r="AG501" s="26"/>
      <c r="AH501" s="26"/>
      <c r="AI501" s="26"/>
      <c r="AJ501" s="15" t="str">
        <f>IF(COUNTA(B501,E501,H501,I501,J501,K501,L501,M501,N501,O501,P501,Q501,R501,S501,T501,U501,V501,W501,X501,Y501,Z501,AA501,AB501,AC501,AD501,AE501,AF501,AG501,AH501,AI501)=0,"",IF(OR(B501="",E501="",H501="",J501="",K501="",L501="",M501="",O501="",P501="",Q501="",R501="",S501="",T501="",U501="",W501="",X501="",Y501="",AB501="",AC501="",AE501="",AF501=""),"Incompleta: faltan campos obligatorios",IF(AND(LEFT(H501,6)="PROPIA",I501=""),"Falta el nombre de la acción propia del área",IF(AND(LEFT(H501,3)="A27",IFERROR(INDEX(Catalogos!$T$5:$T$207,MATCH(H501,Catalogos!$U$5:$U$207,0)),"x")&lt;&gt;LEFT(E501,7)),"La acción no corresponde a la meta seleccionada",IF(OR(NOT(ISNUMBER(M501)),M501&lt;10000000,M501&gt;99999999),"Código UNSPSC inválido: registre 8 dígitos",IF(MOD(M501,10000)=0,"UNSPSC a nivel de segmento o familia: use clase o producto",IF(IFERROR(MATCH(P501,L_MESES,0)&lt;MATCH(O501,L_MESES,0),TRUE()),"El mes de ofertas es anterior al de inicio del proceso",IF(OR(NOT(ISNUMBER(Q501)),Q501&lt;=0),"Duración inválida",IF(OR(NOT(ISNUMBER(W501)),NOT(ISNUMBER(X501))),"Valor inválido: registre solo números",IF(OR(W501&lt;=0,X501&lt;=0),"Valor inválido: debe ser mayor que cero",IF(X501&gt;W501,"El valor de la vigencia 2027 supera el valor total",IF(AND(X501&lt;W501,Y501="No"),"El valor total supera el de 2027: requiere vigencias futuras",IF(AND(Y501="Sí",OR(Z501="",Z501="No aplica")),"Indique el estado de la solicitud de vigencias futuras",IF(IF(AND(S501="Mínima cuantía",ISNUMBER(P_TOPE_MINIMA)),W501&gt;P_TOPE_MINIMA,FALSE()),"El valor supera el tope de mínima cuantía 2027",IF(IF(AND(S501="Selección abreviada de menor cuantía",ISNUMBER(P_TOPE_MENOR)),W501&gt;P_TOPE_MENOR,FALSE()),"El valor supera el tope de menor cuantía 2027",IF(OR(ISERROR(SEARCH("@itc.edu.co",AE501)),SUMPRODUCT(--ISNUMBER(SEARCH({"á","é","í","ó","ú","ñ"," "},AE501)))&gt;0),"El correo del responsable no es institucional válido",IF(AND(AF501="Sí",AG501=""),"Indique el N.° de registro 2026 que continúa","OK")))))))))))))))))</f>
        <v/>
      </c>
      <c r="AK501" s="15" t="str">
        <f>IF(AJ501="OK",COUNTIF($AJ$7:AJ501,"OK"),"")</f>
        <v/>
      </c>
    </row>
    <row r="502" spans="1:37" x14ac:dyDescent="0.3">
      <c r="A502" s="13" t="str">
        <f t="shared" si="7"/>
        <v>PN27-496</v>
      </c>
      <c r="B502" s="26"/>
      <c r="C502" s="13" t="str">
        <f>IF(B502="","",IFERROR(INDEX(Catalogos!$R$5:$R$51,MATCH(B502,L_AREAS,0)),""))</f>
        <v/>
      </c>
      <c r="D502" s="13" t="str">
        <f>IF(B502="","",IFERROR(INDEX(Catalogos!$O$5:$O$51,MATCH(B502,L_AREAS,0)),""))</f>
        <v/>
      </c>
      <c r="E502" s="26"/>
      <c r="F502" s="13" t="str">
        <f>IF(E502="","",IFERROR(INDEX(Catalogos!$C$5:$C$49,MATCH(E502,L_METAS,0)),""))</f>
        <v/>
      </c>
      <c r="G502" s="13" t="str">
        <f>IF(E502="","",IFERROR(INDEX(Catalogos!$E$5:$E$49,MATCH(E502,L_METAS,0)),""))</f>
        <v/>
      </c>
      <c r="H502" s="26"/>
      <c r="I502" s="26"/>
      <c r="J502" s="26"/>
      <c r="K502" s="26"/>
      <c r="L502" s="26"/>
      <c r="M502" s="27"/>
      <c r="N502" s="26"/>
      <c r="O502" s="26"/>
      <c r="P502" s="26"/>
      <c r="Q502" s="26"/>
      <c r="R502" s="26"/>
      <c r="S502" s="26"/>
      <c r="T502" s="26"/>
      <c r="U502" s="26"/>
      <c r="V502" s="26"/>
      <c r="W502" s="28"/>
      <c r="X502" s="28"/>
      <c r="Y502" s="26"/>
      <c r="Z502" s="26"/>
      <c r="AA502" s="26"/>
      <c r="AB502" s="26"/>
      <c r="AC502" s="26"/>
      <c r="AD502" s="26"/>
      <c r="AE502" s="26"/>
      <c r="AF502" s="26"/>
      <c r="AG502" s="26"/>
      <c r="AH502" s="26"/>
      <c r="AI502" s="26"/>
      <c r="AJ502" s="15" t="str">
        <f>IF(COUNTA(B502,E502,H502,I502,J502,K502,L502,M502,N502,O502,P502,Q502,R502,S502,T502,U502,V502,W502,X502,Y502,Z502,AA502,AB502,AC502,AD502,AE502,AF502,AG502,AH502,AI502)=0,"",IF(OR(B502="",E502="",H502="",J502="",K502="",L502="",M502="",O502="",P502="",Q502="",R502="",S502="",T502="",U502="",W502="",X502="",Y502="",AB502="",AC502="",AE502="",AF502=""),"Incompleta: faltan campos obligatorios",IF(AND(LEFT(H502,6)="PROPIA",I502=""),"Falta el nombre de la acción propia del área",IF(AND(LEFT(H502,3)="A27",IFERROR(INDEX(Catalogos!$T$5:$T$207,MATCH(H502,Catalogos!$U$5:$U$207,0)),"x")&lt;&gt;LEFT(E502,7)),"La acción no corresponde a la meta seleccionada",IF(OR(NOT(ISNUMBER(M502)),M502&lt;10000000,M502&gt;99999999),"Código UNSPSC inválido: registre 8 dígitos",IF(MOD(M502,10000)=0,"UNSPSC a nivel de segmento o familia: use clase o producto",IF(IFERROR(MATCH(P502,L_MESES,0)&lt;MATCH(O502,L_MESES,0),TRUE()),"El mes de ofertas es anterior al de inicio del proceso",IF(OR(NOT(ISNUMBER(Q502)),Q502&lt;=0),"Duración inválida",IF(OR(NOT(ISNUMBER(W502)),NOT(ISNUMBER(X502))),"Valor inválido: registre solo números",IF(OR(W502&lt;=0,X502&lt;=0),"Valor inválido: debe ser mayor que cero",IF(X502&gt;W502,"El valor de la vigencia 2027 supera el valor total",IF(AND(X502&lt;W502,Y502="No"),"El valor total supera el de 2027: requiere vigencias futuras",IF(AND(Y502="Sí",OR(Z502="",Z502="No aplica")),"Indique el estado de la solicitud de vigencias futuras",IF(IF(AND(S502="Mínima cuantía",ISNUMBER(P_TOPE_MINIMA)),W502&gt;P_TOPE_MINIMA,FALSE()),"El valor supera el tope de mínima cuantía 2027",IF(IF(AND(S502="Selección abreviada de menor cuantía",ISNUMBER(P_TOPE_MENOR)),W502&gt;P_TOPE_MENOR,FALSE()),"El valor supera el tope de menor cuantía 2027",IF(OR(ISERROR(SEARCH("@itc.edu.co",AE502)),SUMPRODUCT(--ISNUMBER(SEARCH({"á","é","í","ó","ú","ñ"," "},AE502)))&gt;0),"El correo del responsable no es institucional válido",IF(AND(AF502="Sí",AG502=""),"Indique el N.° de registro 2026 que continúa","OK")))))))))))))))))</f>
        <v/>
      </c>
      <c r="AK502" s="15" t="str">
        <f>IF(AJ502="OK",COUNTIF($AJ$7:AJ502,"OK"),"")</f>
        <v/>
      </c>
    </row>
    <row r="503" spans="1:37" x14ac:dyDescent="0.3">
      <c r="A503" s="13" t="str">
        <f t="shared" si="7"/>
        <v>PN27-497</v>
      </c>
      <c r="B503" s="26"/>
      <c r="C503" s="13" t="str">
        <f>IF(B503="","",IFERROR(INDEX(Catalogos!$R$5:$R$51,MATCH(B503,L_AREAS,0)),""))</f>
        <v/>
      </c>
      <c r="D503" s="13" t="str">
        <f>IF(B503="","",IFERROR(INDEX(Catalogos!$O$5:$O$51,MATCH(B503,L_AREAS,0)),""))</f>
        <v/>
      </c>
      <c r="E503" s="26"/>
      <c r="F503" s="13" t="str">
        <f>IF(E503="","",IFERROR(INDEX(Catalogos!$C$5:$C$49,MATCH(E503,L_METAS,0)),""))</f>
        <v/>
      </c>
      <c r="G503" s="13" t="str">
        <f>IF(E503="","",IFERROR(INDEX(Catalogos!$E$5:$E$49,MATCH(E503,L_METAS,0)),""))</f>
        <v/>
      </c>
      <c r="H503" s="26"/>
      <c r="I503" s="26"/>
      <c r="J503" s="26"/>
      <c r="K503" s="26"/>
      <c r="L503" s="26"/>
      <c r="M503" s="27"/>
      <c r="N503" s="26"/>
      <c r="O503" s="26"/>
      <c r="P503" s="26"/>
      <c r="Q503" s="26"/>
      <c r="R503" s="26"/>
      <c r="S503" s="26"/>
      <c r="T503" s="26"/>
      <c r="U503" s="26"/>
      <c r="V503" s="26"/>
      <c r="W503" s="28"/>
      <c r="X503" s="28"/>
      <c r="Y503" s="26"/>
      <c r="Z503" s="26"/>
      <c r="AA503" s="26"/>
      <c r="AB503" s="26"/>
      <c r="AC503" s="26"/>
      <c r="AD503" s="26"/>
      <c r="AE503" s="26"/>
      <c r="AF503" s="26"/>
      <c r="AG503" s="26"/>
      <c r="AH503" s="26"/>
      <c r="AI503" s="26"/>
      <c r="AJ503" s="15" t="str">
        <f>IF(COUNTA(B503,E503,H503,I503,J503,K503,L503,M503,N503,O503,P503,Q503,R503,S503,T503,U503,V503,W503,X503,Y503,Z503,AA503,AB503,AC503,AD503,AE503,AF503,AG503,AH503,AI503)=0,"",IF(OR(B503="",E503="",H503="",J503="",K503="",L503="",M503="",O503="",P503="",Q503="",R503="",S503="",T503="",U503="",W503="",X503="",Y503="",AB503="",AC503="",AE503="",AF503=""),"Incompleta: faltan campos obligatorios",IF(AND(LEFT(H503,6)="PROPIA",I503=""),"Falta el nombre de la acción propia del área",IF(AND(LEFT(H503,3)="A27",IFERROR(INDEX(Catalogos!$T$5:$T$207,MATCH(H503,Catalogos!$U$5:$U$207,0)),"x")&lt;&gt;LEFT(E503,7)),"La acción no corresponde a la meta seleccionada",IF(OR(NOT(ISNUMBER(M503)),M503&lt;10000000,M503&gt;99999999),"Código UNSPSC inválido: registre 8 dígitos",IF(MOD(M503,10000)=0,"UNSPSC a nivel de segmento o familia: use clase o producto",IF(IFERROR(MATCH(P503,L_MESES,0)&lt;MATCH(O503,L_MESES,0),TRUE()),"El mes de ofertas es anterior al de inicio del proceso",IF(OR(NOT(ISNUMBER(Q503)),Q503&lt;=0),"Duración inválida",IF(OR(NOT(ISNUMBER(W503)),NOT(ISNUMBER(X503))),"Valor inválido: registre solo números",IF(OR(W503&lt;=0,X503&lt;=0),"Valor inválido: debe ser mayor que cero",IF(X503&gt;W503,"El valor de la vigencia 2027 supera el valor total",IF(AND(X503&lt;W503,Y503="No"),"El valor total supera el de 2027: requiere vigencias futuras",IF(AND(Y503="Sí",OR(Z503="",Z503="No aplica")),"Indique el estado de la solicitud de vigencias futuras",IF(IF(AND(S503="Mínima cuantía",ISNUMBER(P_TOPE_MINIMA)),W503&gt;P_TOPE_MINIMA,FALSE()),"El valor supera el tope de mínima cuantía 2027",IF(IF(AND(S503="Selección abreviada de menor cuantía",ISNUMBER(P_TOPE_MENOR)),W503&gt;P_TOPE_MENOR,FALSE()),"El valor supera el tope de menor cuantía 2027",IF(OR(ISERROR(SEARCH("@itc.edu.co",AE503)),SUMPRODUCT(--ISNUMBER(SEARCH({"á","é","í","ó","ú","ñ"," "},AE503)))&gt;0),"El correo del responsable no es institucional válido",IF(AND(AF503="Sí",AG503=""),"Indique el N.° de registro 2026 que continúa","OK")))))))))))))))))</f>
        <v/>
      </c>
      <c r="AK503" s="15" t="str">
        <f>IF(AJ503="OK",COUNTIF($AJ$7:AJ503,"OK"),"")</f>
        <v/>
      </c>
    </row>
    <row r="504" spans="1:37" x14ac:dyDescent="0.3">
      <c r="A504" s="13" t="str">
        <f t="shared" si="7"/>
        <v>PN27-498</v>
      </c>
      <c r="B504" s="26"/>
      <c r="C504" s="13" t="str">
        <f>IF(B504="","",IFERROR(INDEX(Catalogos!$R$5:$R$51,MATCH(B504,L_AREAS,0)),""))</f>
        <v/>
      </c>
      <c r="D504" s="13" t="str">
        <f>IF(B504="","",IFERROR(INDEX(Catalogos!$O$5:$O$51,MATCH(B504,L_AREAS,0)),""))</f>
        <v/>
      </c>
      <c r="E504" s="26"/>
      <c r="F504" s="13" t="str">
        <f>IF(E504="","",IFERROR(INDEX(Catalogos!$C$5:$C$49,MATCH(E504,L_METAS,0)),""))</f>
        <v/>
      </c>
      <c r="G504" s="13" t="str">
        <f>IF(E504="","",IFERROR(INDEX(Catalogos!$E$5:$E$49,MATCH(E504,L_METAS,0)),""))</f>
        <v/>
      </c>
      <c r="H504" s="26"/>
      <c r="I504" s="26"/>
      <c r="J504" s="26"/>
      <c r="K504" s="26"/>
      <c r="L504" s="26"/>
      <c r="M504" s="27"/>
      <c r="N504" s="26"/>
      <c r="O504" s="26"/>
      <c r="P504" s="26"/>
      <c r="Q504" s="26"/>
      <c r="R504" s="26"/>
      <c r="S504" s="26"/>
      <c r="T504" s="26"/>
      <c r="U504" s="26"/>
      <c r="V504" s="26"/>
      <c r="W504" s="28"/>
      <c r="X504" s="28"/>
      <c r="Y504" s="26"/>
      <c r="Z504" s="26"/>
      <c r="AA504" s="26"/>
      <c r="AB504" s="26"/>
      <c r="AC504" s="26"/>
      <c r="AD504" s="26"/>
      <c r="AE504" s="26"/>
      <c r="AF504" s="26"/>
      <c r="AG504" s="26"/>
      <c r="AH504" s="26"/>
      <c r="AI504" s="26"/>
      <c r="AJ504" s="15" t="str">
        <f>IF(COUNTA(B504,E504,H504,I504,J504,K504,L504,M504,N504,O504,P504,Q504,R504,S504,T504,U504,V504,W504,X504,Y504,Z504,AA504,AB504,AC504,AD504,AE504,AF504,AG504,AH504,AI504)=0,"",IF(OR(B504="",E504="",H504="",J504="",K504="",L504="",M504="",O504="",P504="",Q504="",R504="",S504="",T504="",U504="",W504="",X504="",Y504="",AB504="",AC504="",AE504="",AF504=""),"Incompleta: faltan campos obligatorios",IF(AND(LEFT(H504,6)="PROPIA",I504=""),"Falta el nombre de la acción propia del área",IF(AND(LEFT(H504,3)="A27",IFERROR(INDEX(Catalogos!$T$5:$T$207,MATCH(H504,Catalogos!$U$5:$U$207,0)),"x")&lt;&gt;LEFT(E504,7)),"La acción no corresponde a la meta seleccionada",IF(OR(NOT(ISNUMBER(M504)),M504&lt;10000000,M504&gt;99999999),"Código UNSPSC inválido: registre 8 dígitos",IF(MOD(M504,10000)=0,"UNSPSC a nivel de segmento o familia: use clase o producto",IF(IFERROR(MATCH(P504,L_MESES,0)&lt;MATCH(O504,L_MESES,0),TRUE()),"El mes de ofertas es anterior al de inicio del proceso",IF(OR(NOT(ISNUMBER(Q504)),Q504&lt;=0),"Duración inválida",IF(OR(NOT(ISNUMBER(W504)),NOT(ISNUMBER(X504))),"Valor inválido: registre solo números",IF(OR(W504&lt;=0,X504&lt;=0),"Valor inválido: debe ser mayor que cero",IF(X504&gt;W504,"El valor de la vigencia 2027 supera el valor total",IF(AND(X504&lt;W504,Y504="No"),"El valor total supera el de 2027: requiere vigencias futuras",IF(AND(Y504="Sí",OR(Z504="",Z504="No aplica")),"Indique el estado de la solicitud de vigencias futuras",IF(IF(AND(S504="Mínima cuantía",ISNUMBER(P_TOPE_MINIMA)),W504&gt;P_TOPE_MINIMA,FALSE()),"El valor supera el tope de mínima cuantía 2027",IF(IF(AND(S504="Selección abreviada de menor cuantía",ISNUMBER(P_TOPE_MENOR)),W504&gt;P_TOPE_MENOR,FALSE()),"El valor supera el tope de menor cuantía 2027",IF(OR(ISERROR(SEARCH("@itc.edu.co",AE504)),SUMPRODUCT(--ISNUMBER(SEARCH({"á","é","í","ó","ú","ñ"," "},AE504)))&gt;0),"El correo del responsable no es institucional válido",IF(AND(AF504="Sí",AG504=""),"Indique el N.° de registro 2026 que continúa","OK")))))))))))))))))</f>
        <v/>
      </c>
      <c r="AK504" s="15" t="str">
        <f>IF(AJ504="OK",COUNTIF($AJ$7:AJ504,"OK"),"")</f>
        <v/>
      </c>
    </row>
    <row r="505" spans="1:37" x14ac:dyDescent="0.3">
      <c r="A505" s="13" t="str">
        <f t="shared" si="7"/>
        <v>PN27-499</v>
      </c>
      <c r="B505" s="26"/>
      <c r="C505" s="13" t="str">
        <f>IF(B505="","",IFERROR(INDEX(Catalogos!$R$5:$R$51,MATCH(B505,L_AREAS,0)),""))</f>
        <v/>
      </c>
      <c r="D505" s="13" t="str">
        <f>IF(B505="","",IFERROR(INDEX(Catalogos!$O$5:$O$51,MATCH(B505,L_AREAS,0)),""))</f>
        <v/>
      </c>
      <c r="E505" s="26"/>
      <c r="F505" s="13" t="str">
        <f>IF(E505="","",IFERROR(INDEX(Catalogos!$C$5:$C$49,MATCH(E505,L_METAS,0)),""))</f>
        <v/>
      </c>
      <c r="G505" s="13" t="str">
        <f>IF(E505="","",IFERROR(INDEX(Catalogos!$E$5:$E$49,MATCH(E505,L_METAS,0)),""))</f>
        <v/>
      </c>
      <c r="H505" s="26"/>
      <c r="I505" s="26"/>
      <c r="J505" s="26"/>
      <c r="K505" s="26"/>
      <c r="L505" s="26"/>
      <c r="M505" s="27"/>
      <c r="N505" s="26"/>
      <c r="O505" s="26"/>
      <c r="P505" s="26"/>
      <c r="Q505" s="26"/>
      <c r="R505" s="26"/>
      <c r="S505" s="26"/>
      <c r="T505" s="26"/>
      <c r="U505" s="26"/>
      <c r="V505" s="26"/>
      <c r="W505" s="28"/>
      <c r="X505" s="28"/>
      <c r="Y505" s="26"/>
      <c r="Z505" s="26"/>
      <c r="AA505" s="26"/>
      <c r="AB505" s="26"/>
      <c r="AC505" s="26"/>
      <c r="AD505" s="26"/>
      <c r="AE505" s="26"/>
      <c r="AF505" s="26"/>
      <c r="AG505" s="26"/>
      <c r="AH505" s="26"/>
      <c r="AI505" s="26"/>
      <c r="AJ505" s="15" t="str">
        <f>IF(COUNTA(B505,E505,H505,I505,J505,K505,L505,M505,N505,O505,P505,Q505,R505,S505,T505,U505,V505,W505,X505,Y505,Z505,AA505,AB505,AC505,AD505,AE505,AF505,AG505,AH505,AI505)=0,"",IF(OR(B505="",E505="",H505="",J505="",K505="",L505="",M505="",O505="",P505="",Q505="",R505="",S505="",T505="",U505="",W505="",X505="",Y505="",AB505="",AC505="",AE505="",AF505=""),"Incompleta: faltan campos obligatorios",IF(AND(LEFT(H505,6)="PROPIA",I505=""),"Falta el nombre de la acción propia del área",IF(AND(LEFT(H505,3)="A27",IFERROR(INDEX(Catalogos!$T$5:$T$207,MATCH(H505,Catalogos!$U$5:$U$207,0)),"x")&lt;&gt;LEFT(E505,7)),"La acción no corresponde a la meta seleccionada",IF(OR(NOT(ISNUMBER(M505)),M505&lt;10000000,M505&gt;99999999),"Código UNSPSC inválido: registre 8 dígitos",IF(MOD(M505,10000)=0,"UNSPSC a nivel de segmento o familia: use clase o producto",IF(IFERROR(MATCH(P505,L_MESES,0)&lt;MATCH(O505,L_MESES,0),TRUE()),"El mes de ofertas es anterior al de inicio del proceso",IF(OR(NOT(ISNUMBER(Q505)),Q505&lt;=0),"Duración inválida",IF(OR(NOT(ISNUMBER(W505)),NOT(ISNUMBER(X505))),"Valor inválido: registre solo números",IF(OR(W505&lt;=0,X505&lt;=0),"Valor inválido: debe ser mayor que cero",IF(X505&gt;W505,"El valor de la vigencia 2027 supera el valor total",IF(AND(X505&lt;W505,Y505="No"),"El valor total supera el de 2027: requiere vigencias futuras",IF(AND(Y505="Sí",OR(Z505="",Z505="No aplica")),"Indique el estado de la solicitud de vigencias futuras",IF(IF(AND(S505="Mínima cuantía",ISNUMBER(P_TOPE_MINIMA)),W505&gt;P_TOPE_MINIMA,FALSE()),"El valor supera el tope de mínima cuantía 2027",IF(IF(AND(S505="Selección abreviada de menor cuantía",ISNUMBER(P_TOPE_MENOR)),W505&gt;P_TOPE_MENOR,FALSE()),"El valor supera el tope de menor cuantía 2027",IF(OR(ISERROR(SEARCH("@itc.edu.co",AE505)),SUMPRODUCT(--ISNUMBER(SEARCH({"á","é","í","ó","ú","ñ"," "},AE505)))&gt;0),"El correo del responsable no es institucional válido",IF(AND(AF505="Sí",AG505=""),"Indique el N.° de registro 2026 que continúa","OK")))))))))))))))))</f>
        <v/>
      </c>
      <c r="AK505" s="15" t="str">
        <f>IF(AJ505="OK",COUNTIF($AJ$7:AJ505,"OK"),"")</f>
        <v/>
      </c>
    </row>
    <row r="506" spans="1:37" x14ac:dyDescent="0.3">
      <c r="A506" s="13" t="str">
        <f t="shared" si="7"/>
        <v>PN27-500</v>
      </c>
      <c r="B506" s="26"/>
      <c r="C506" s="13" t="str">
        <f>IF(B506="","",IFERROR(INDEX(Catalogos!$R$5:$R$51,MATCH(B506,L_AREAS,0)),""))</f>
        <v/>
      </c>
      <c r="D506" s="13" t="str">
        <f>IF(B506="","",IFERROR(INDEX(Catalogos!$O$5:$O$51,MATCH(B506,L_AREAS,0)),""))</f>
        <v/>
      </c>
      <c r="E506" s="26"/>
      <c r="F506" s="13" t="str">
        <f>IF(E506="","",IFERROR(INDEX(Catalogos!$C$5:$C$49,MATCH(E506,L_METAS,0)),""))</f>
        <v/>
      </c>
      <c r="G506" s="13" t="str">
        <f>IF(E506="","",IFERROR(INDEX(Catalogos!$E$5:$E$49,MATCH(E506,L_METAS,0)),""))</f>
        <v/>
      </c>
      <c r="H506" s="26"/>
      <c r="I506" s="26"/>
      <c r="J506" s="26"/>
      <c r="K506" s="26"/>
      <c r="L506" s="26"/>
      <c r="M506" s="27"/>
      <c r="N506" s="26"/>
      <c r="O506" s="26"/>
      <c r="P506" s="26"/>
      <c r="Q506" s="26"/>
      <c r="R506" s="26"/>
      <c r="S506" s="26"/>
      <c r="T506" s="26"/>
      <c r="U506" s="26"/>
      <c r="V506" s="26"/>
      <c r="W506" s="28"/>
      <c r="X506" s="28"/>
      <c r="Y506" s="26"/>
      <c r="Z506" s="26"/>
      <c r="AA506" s="26"/>
      <c r="AB506" s="26"/>
      <c r="AC506" s="26"/>
      <c r="AD506" s="26"/>
      <c r="AE506" s="26"/>
      <c r="AF506" s="26"/>
      <c r="AG506" s="26"/>
      <c r="AH506" s="26"/>
      <c r="AI506" s="26"/>
      <c r="AJ506" s="15" t="str">
        <f>IF(COUNTA(B506,E506,H506,I506,J506,K506,L506,M506,N506,O506,P506,Q506,R506,S506,T506,U506,V506,W506,X506,Y506,Z506,AA506,AB506,AC506,AD506,AE506,AF506,AG506,AH506,AI506)=0,"",IF(OR(B506="",E506="",H506="",J506="",K506="",L506="",M506="",O506="",P506="",Q506="",R506="",S506="",T506="",U506="",W506="",X506="",Y506="",AB506="",AC506="",AE506="",AF506=""),"Incompleta: faltan campos obligatorios",IF(AND(LEFT(H506,6)="PROPIA",I506=""),"Falta el nombre de la acción propia del área",IF(AND(LEFT(H506,3)="A27",IFERROR(INDEX(Catalogos!$T$5:$T$207,MATCH(H506,Catalogos!$U$5:$U$207,0)),"x")&lt;&gt;LEFT(E506,7)),"La acción no corresponde a la meta seleccionada",IF(OR(NOT(ISNUMBER(M506)),M506&lt;10000000,M506&gt;99999999),"Código UNSPSC inválido: registre 8 dígitos",IF(MOD(M506,10000)=0,"UNSPSC a nivel de segmento o familia: use clase o producto",IF(IFERROR(MATCH(P506,L_MESES,0)&lt;MATCH(O506,L_MESES,0),TRUE()),"El mes de ofertas es anterior al de inicio del proceso",IF(OR(NOT(ISNUMBER(Q506)),Q506&lt;=0),"Duración inválida",IF(OR(NOT(ISNUMBER(W506)),NOT(ISNUMBER(X506))),"Valor inválido: registre solo números",IF(OR(W506&lt;=0,X506&lt;=0),"Valor inválido: debe ser mayor que cero",IF(X506&gt;W506,"El valor de la vigencia 2027 supera el valor total",IF(AND(X506&lt;W506,Y506="No"),"El valor total supera el de 2027: requiere vigencias futuras",IF(AND(Y506="Sí",OR(Z506="",Z506="No aplica")),"Indique el estado de la solicitud de vigencias futuras",IF(IF(AND(S506="Mínima cuantía",ISNUMBER(P_TOPE_MINIMA)),W506&gt;P_TOPE_MINIMA,FALSE()),"El valor supera el tope de mínima cuantía 2027",IF(IF(AND(S506="Selección abreviada de menor cuantía",ISNUMBER(P_TOPE_MENOR)),W506&gt;P_TOPE_MENOR,FALSE()),"El valor supera el tope de menor cuantía 2027",IF(OR(ISERROR(SEARCH("@itc.edu.co",AE506)),SUMPRODUCT(--ISNUMBER(SEARCH({"á","é","í","ó","ú","ñ"," "},AE506)))&gt;0),"El correo del responsable no es institucional válido",IF(AND(AF506="Sí",AG506=""),"Indique el N.° de registro 2026 que continúa","OK")))))))))))))))))</f>
        <v/>
      </c>
      <c r="AK506" s="15" t="str">
        <f>IF(AJ506="OK",COUNTIF($AJ$7:AJ506,"OK"),"")</f>
        <v/>
      </c>
    </row>
  </sheetData>
  <sheetProtection password="CC6D" sheet="1" formatColumns="0" formatRows="0" autoFilter="0"/>
  <autoFilter ref="A6:AJ506" xr:uid="{00000000-0009-0000-0000-000002000000}"/>
  <mergeCells count="7">
    <mergeCell ref="AF5:AI5"/>
    <mergeCell ref="AJ5:AK5"/>
    <mergeCell ref="A5:D5"/>
    <mergeCell ref="E5:I5"/>
    <mergeCell ref="J5:L5"/>
    <mergeCell ref="M5:AA5"/>
    <mergeCell ref="AB5:AE5"/>
  </mergeCells>
  <conditionalFormatting sqref="AJ7:AJ506">
    <cfRule type="expression" dxfId="1" priority="2">
      <formula>AJ7="OK"</formula>
    </cfRule>
    <cfRule type="expression" dxfId="0" priority="3">
      <formula>AND(AJ7&lt;&gt;"",AJ7&lt;&gt;"OK")</formula>
    </cfRule>
  </conditionalFormatting>
  <dataValidations count="17">
    <dataValidation type="list" allowBlank="1" showInputMessage="1" showErrorMessage="1" errorTitle="Valor no válido" error="Seleccione un valor de la lista desplegable." promptTitle="Área" prompt="Seleccione su área funcional. La dependencia y el proceso se completan solos." sqref="B7:B506" xr:uid="{00000000-0002-0000-0200-000000000000}">
      <formula1>L_AREAS</formula1>
      <formula2>0</formula2>
    </dataValidation>
    <dataValidation type="list" allowBlank="1" showInputMessage="1" showErrorMessage="1" errorTitle="Valor no válido" error="Seleccione un valor de la lista desplegable." promptTitle="Meta PDI" prompt="Seleccione la meta PDI a la que aporta la acción que requiere esta necesidad." sqref="E7:E506" xr:uid="{00000000-0002-0000-0200-000001000000}">
      <formula1>L_METAS</formula1>
      <formula2>0</formula2>
    </dataValidation>
    <dataValidation type="list" allowBlank="1" showErrorMessage="1" errorTitle="Valor no válido" error="Seleccione un valor de la lista desplegable." sqref="J7:J506" xr:uid="{00000000-0002-0000-0200-000003000000}">
      <formula1>L_TIPO</formula1>
      <formula2>0</formula2>
    </dataValidation>
    <dataValidation type="list" allowBlank="1" showErrorMessage="1" errorTitle="Valor no válido" error="Seleccione un valor de la lista desplegable." sqref="O7:P506" xr:uid="{00000000-0002-0000-0200-000004000000}">
      <formula1>L_MESES</formula1>
      <formula2>0</formula2>
    </dataValidation>
    <dataValidation type="list" allowBlank="1" showErrorMessage="1" errorTitle="Valor no válido" error="Seleccione un valor de la lista desplegable." sqref="R7:R506" xr:uid="{00000000-0002-0000-0200-000006000000}">
      <formula1>L_UNIDAD</formula1>
      <formula2>0</formula2>
    </dataValidation>
    <dataValidation type="list" allowBlank="1" showInputMessage="1" showErrorMessage="1" errorTitle="Valor no válido" error="Seleccione un valor de la lista desplegable." promptTitle="Modalidad" prompt="Modalidad estimada. El GIT de Contratación la confirma al consolidar el Plan Anual de Adquisiciones." sqref="S7:S506" xr:uid="{00000000-0002-0000-0200-000007000000}">
      <formula1>L_MOD</formula1>
      <formula2>0</formula2>
    </dataValidation>
    <dataValidation type="list" allowBlank="1" showErrorMessage="1" errorTitle="Valor no válido" error="Seleccione un valor de la lista desplegable." sqref="T7:T506" xr:uid="{00000000-0002-0000-0200-000008000000}">
      <formula1>L_FUENTE</formula1>
      <formula2>0</formula2>
    </dataValidation>
    <dataValidation type="list" allowBlank="1" showErrorMessage="1" errorTitle="Valor no válido" error="Seleccione un valor de la lista desplegable." sqref="U7:U506" xr:uid="{00000000-0002-0000-0200-000009000000}">
      <formula1>L_GASTO</formula1>
      <formula2>0</formula2>
    </dataValidation>
    <dataValidation type="list" allowBlank="1" showErrorMessage="1" errorTitle="Valor no válido" error="Seleccione un valor de la lista desplegable." sqref="Y7:Y506 AF7:AF506" xr:uid="{00000000-0002-0000-0200-00000A000000}">
      <formula1>L_SINO</formula1>
      <formula2>0</formula2>
    </dataValidation>
    <dataValidation type="list" allowBlank="1" showErrorMessage="1" errorTitle="Valor no válido" error="Seleccione un valor de la lista desplegable." sqref="Z7:Z506" xr:uid="{00000000-0002-0000-0200-00000B000000}">
      <formula1>L_ESTVF</formula1>
      <formula2>0</formula2>
    </dataValidation>
    <dataValidation type="list" allowBlank="1" showInputMessage="1" showErrorMessage="1" errorTitle="Valor no válido" error="Seleccione un valor de la lista desplegable." promptTitle="Registro 2026" prompt="Seleccione el N.° PN26-### de la hoja 2026 que esta necesidad continúa." sqref="AG7:AG506" xr:uid="{00000000-0002-0000-0200-00000D000000}">
      <formula1>L_REG2026</formula1>
      <formula2>0</formula2>
    </dataValidation>
    <dataValidation type="list" allowBlank="1" showErrorMessage="1" errorTitle="Valor no válido" error="Seleccione un valor de la lista desplegable." sqref="AH7:AH506" xr:uid="{00000000-0002-0000-0200-00000E000000}">
      <formula1>L_PRIOR</formula1>
      <formula2>0</formula2>
    </dataValidation>
    <dataValidation type="whole" allowBlank="1" showInputMessage="1" showErrorMessage="1" errorTitle="Código UNSPSC" error="Registre un solo código de 8 dígitos, sin espacios ni texto. Los códigos adicionales van en la columna N." promptTitle="UNSPSC" prompt="8 dígitos a nivel de clase (termina en 00) o de producto. Consulte la hoja Guía UNSPSC." sqref="M7:M506" xr:uid="{00000000-0002-0000-0200-00000F000000}">
      <formula1>10000000</formula1>
      <formula2>99999999</formula2>
    </dataValidation>
    <dataValidation type="decimal" operator="greaterThan" allowBlank="1" showInputMessage="1" showErrorMessage="1" errorTitle="Valor no válido" error="Registre un número mayor que cero, sin puntos ni signos." prompt="Número mayor que cero. La unidad (días, meses, años) va en la columna R." sqref="Q7:Q506" xr:uid="{00000000-0002-0000-0200-000010000000}">
      <formula1>0</formula1>
      <formula2>0</formula2>
    </dataValidation>
    <dataValidation type="decimal" operator="greaterThan" allowBlank="1" showInputMessage="1" showErrorMessage="1" errorTitle="Valor no válido" error="Registre un número mayor que cero, sin puntos ni signos." prompt="Valor en pesos, solo números, sin puntos ni signo $." sqref="W7:W506" xr:uid="{00000000-0002-0000-0200-000011000000}">
      <formula1>0</formula1>
      <formula2>0</formula2>
    </dataValidation>
    <dataValidation type="decimal" operator="greaterThan" allowBlank="1" showInputMessage="1" showErrorMessage="1" errorTitle="Valor no válido" error="Registre un número mayor que cero, sin puntos ni signos." prompt="Valor en pesos que se ejecutará en 2027. No puede superar el valor total." sqref="X7:X506" xr:uid="{00000000-0002-0000-0200-000012000000}">
      <formula1>0</formula1>
      <formula2>0</formula2>
    </dataValidation>
    <dataValidation type="custom" allowBlank="1" showErrorMessage="1" errorTitle="Correo" error="Use el correo institucional @itc.edu.co (sin tildes ni espacios)." sqref="AE7:AE506" xr:uid="{00000000-0002-0000-0200-000013000000}">
      <formula1>ISNUMBER(SEARCH("@itc.edu.co",AE7))</formula1>
      <formula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errorTitle="Valor no válido" error="Seleccione un valor de la lista desplegable." promptTitle="Acción 2027" prompt="La lista muestra solo las acciones de la meta elegida en la columna E. Si su acción no está, elija PROPIA y escriba su nombre en la columna I." xr:uid="{00000000-0002-0000-0200-000002000000}">
          <x14:formula1>
            <xm:f>OFFSET(Catalogos!$U$4,MATCH(LEFT($E7,7),Catalogos!$T$5:$T$207,0),0,COUNTIF(Catalogos!$T$5:$T$207,LEFT($E7,7)),1)</xm:f>
          </x14:formula1>
          <x14:formula2>
            <xm:f>0</xm:f>
          </x14:formula2>
          <xm:sqref>H7:H506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428"/>
  <sheetViews>
    <sheetView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4.4" x14ac:dyDescent="0.3"/>
  <cols>
    <col min="1" max="1" width="11" customWidth="1"/>
    <col min="2" max="2" width="12" customWidth="1"/>
    <col min="3" max="3" width="26" customWidth="1"/>
    <col min="4" max="4" width="60" customWidth="1"/>
    <col min="5" max="5" width="12" customWidth="1"/>
    <col min="6" max="6" width="18" customWidth="1"/>
    <col min="7" max="7" width="15" customWidth="1"/>
    <col min="8" max="8" width="22" customWidth="1"/>
    <col min="9" max="9" width="16" customWidth="1"/>
    <col min="10" max="10" width="24" customWidth="1"/>
    <col min="11" max="11" width="8" customWidth="1"/>
    <col min="12" max="12" width="30" customWidth="1"/>
    <col min="13" max="13" width="16" customWidth="1"/>
    <col min="14" max="14" width="24" customWidth="1"/>
    <col min="15" max="15" width="38" customWidth="1"/>
  </cols>
  <sheetData>
    <row r="1" spans="1:15" ht="17.399999999999999" x14ac:dyDescent="0.3">
      <c r="A1" s="10" t="s">
        <v>770</v>
      </c>
    </row>
    <row r="2" spans="1:15" x14ac:dyDescent="0.3">
      <c r="A2" s="11" t="s">
        <v>771</v>
      </c>
    </row>
    <row r="3" spans="1:15" x14ac:dyDescent="0.3">
      <c r="A3" s="22" t="s">
        <v>772</v>
      </c>
    </row>
    <row r="4" spans="1:15" ht="66" customHeight="1" x14ac:dyDescent="0.3">
      <c r="A4" s="24" t="s">
        <v>329</v>
      </c>
      <c r="B4" s="24" t="s">
        <v>773</v>
      </c>
      <c r="C4" s="24" t="s">
        <v>774</v>
      </c>
      <c r="D4" s="24" t="s">
        <v>775</v>
      </c>
      <c r="E4" s="24" t="s">
        <v>776</v>
      </c>
      <c r="F4" s="24" t="s">
        <v>777</v>
      </c>
      <c r="G4" s="24" t="s">
        <v>778</v>
      </c>
      <c r="H4" s="24" t="s">
        <v>779</v>
      </c>
      <c r="I4" s="24" t="s">
        <v>780</v>
      </c>
      <c r="J4" s="24" t="s">
        <v>781</v>
      </c>
      <c r="K4" s="24" t="s">
        <v>782</v>
      </c>
      <c r="L4" s="12" t="s">
        <v>783</v>
      </c>
      <c r="M4" s="12" t="s">
        <v>784</v>
      </c>
      <c r="N4" s="12" t="s">
        <v>785</v>
      </c>
      <c r="O4" s="12" t="s">
        <v>786</v>
      </c>
    </row>
    <row r="5" spans="1:15" ht="45.6" x14ac:dyDescent="0.3">
      <c r="A5" s="15" t="s">
        <v>707</v>
      </c>
      <c r="B5" s="15">
        <v>84131602</v>
      </c>
      <c r="C5" s="15" t="s">
        <v>334</v>
      </c>
      <c r="D5" s="15" t="s">
        <v>787</v>
      </c>
      <c r="E5" s="15">
        <v>11</v>
      </c>
      <c r="F5" s="15" t="s">
        <v>788</v>
      </c>
      <c r="G5" s="29">
        <v>25800</v>
      </c>
      <c r="H5" s="15" t="s">
        <v>789</v>
      </c>
      <c r="I5" s="15"/>
      <c r="J5" s="15" t="s">
        <v>790</v>
      </c>
      <c r="K5" s="15">
        <v>1</v>
      </c>
      <c r="L5" s="30" t="s">
        <v>791</v>
      </c>
      <c r="M5" s="31">
        <v>25800</v>
      </c>
      <c r="N5" s="30" t="s">
        <v>792</v>
      </c>
      <c r="O5" s="30" t="str">
        <f>IF(LEN(IF(OR(NOT(ISNUMBER(B5)),LEN(B5)&lt;&gt;8),"UNSPSC vacío, en texto, con varios códigos o sin 8 dígitos; ","")&amp;IF(AND(ISNUMBER(B5),LEN(B5)=8),IF(MOD(B5,10000)=0,"UNSPSC a nivel de segmento o familia; ",""),"")&amp;IF(NOT(ISNUMBER(E5)),"Duración vacía o en texto; ","")&amp;IF(NOT(ISNUMBER(G5)),"Valor vacío o en texto; ","")&amp;IF(ISNUMBER(M5),IF(M5&lt;1000000,"Valor inferior a $1.000.000: verificar; ",""),"Valor no interpretable; ")&amp;IF(N5="[PENDIENTE DE VERIFICAR]","Modalidad no identificable; ","")&amp;IF(OR(ISERROR(SEARCH("@itc.edu.co",J5)),SUMPRODUCT(--ISNUMBER(SEARCH({"á","é","í","ó","ú","ñ"},J5)))&gt;0),"Correo vacío o no institucional válido; ","")&amp;IF(LEN(TRIM(D5))=0,"Sin objeto contractual; ","")&amp;IF(AND(ISNUMBER(M5),N5="Mínima cuantía"),IF(M5&gt;39850000,"Mínima cuantía con valor superior al tope citado en el instructivo 2026 ($39.850.000): verificar modalidad; ",""),"")&amp;IF(AND(ISNUMBER(M5),OR(ISNUMBER(SEARCH("prestación de servicios",D5)),ISNUMBER(SEARCH("prestar servicios",D5)),ISNUMBER(SEARCH("prestar los servicios",D5)))),IF(M5&gt;=500000000,"Prestación de servicios por $500 millones o más: posible error de digitación; ",""),""))=0,"Sin observaciones",IF(OR(NOT(ISNUMBER(B5)),LEN(B5)&lt;&gt;8),"UNSPSC vacío, en texto, con varios códigos o sin 8 dígitos; ","")&amp;IF(AND(ISNUMBER(B5),LEN(B5)=8),IF(MOD(B5,10000)=0,"UNSPSC a nivel de segmento o familia; ",""),"")&amp;IF(NOT(ISNUMBER(E5)),"Duración vacía o en texto; ","")&amp;IF(NOT(ISNUMBER(G5)),"Valor vacío o en texto; ","")&amp;IF(ISNUMBER(M5),IF(M5&lt;1000000,"Valor inferior a $1.000.000: verificar; ",""),"Valor no interpretable; ")&amp;IF(N5="[PENDIENTE DE VERIFICAR]","Modalidad no identificable; ","")&amp;IF(OR(ISERROR(SEARCH("@itc.edu.co",J5)),SUMPRODUCT(--ISNUMBER(SEARCH({"á","é","í","ó","ú","ñ"},J5)))&gt;0),"Correo vacío o no institucional válido; ","")&amp;IF(LEN(TRIM(D5))=0,"Sin objeto contractual; ","")&amp;IF(AND(ISNUMBER(M5),N5="Mínima cuantía"),IF(M5&gt;39850000,"Mínima cuantía con valor superior al tope citado en el instructivo 2026 ($39.850.000): verificar modalidad; ",""),"")&amp;IF(AND(ISNUMBER(M5),OR(ISNUMBER(SEARCH("prestación de servicios",D5)),ISNUMBER(SEARCH("prestar servicios",D5)),ISNUMBER(SEARCH("prestar los servicios",D5)))),IF(M5&gt;=500000000,"Prestación de servicios por $500 millones o más: posible error de digitación; ",""),""))</f>
        <v xml:space="preserve">Valor inferior a $1.000.000: verificar; </v>
      </c>
    </row>
    <row r="6" spans="1:15" ht="68.400000000000006" x14ac:dyDescent="0.3">
      <c r="A6" s="15" t="s">
        <v>673</v>
      </c>
      <c r="B6" s="15">
        <v>80101505</v>
      </c>
      <c r="C6" s="15" t="s">
        <v>334</v>
      </c>
      <c r="D6" s="15" t="s">
        <v>793</v>
      </c>
      <c r="E6" s="15">
        <v>10</v>
      </c>
      <c r="F6" s="15" t="s">
        <v>788</v>
      </c>
      <c r="G6" s="29">
        <v>25000000</v>
      </c>
      <c r="H6" s="15" t="s">
        <v>789</v>
      </c>
      <c r="I6" s="15"/>
      <c r="J6" s="15" t="s">
        <v>790</v>
      </c>
      <c r="K6" s="15">
        <v>2</v>
      </c>
      <c r="L6" s="30" t="s">
        <v>791</v>
      </c>
      <c r="M6" s="31">
        <v>25000000</v>
      </c>
      <c r="N6" s="30" t="s">
        <v>792</v>
      </c>
      <c r="O6" s="30" t="str">
        <f>IF(LEN(IF(OR(NOT(ISNUMBER(B6)),LEN(B6)&lt;&gt;8),"UNSPSC vacío, en texto, con varios códigos o sin 8 dígitos; ","")&amp;IF(AND(ISNUMBER(B6),LEN(B6)=8),IF(MOD(B6,10000)=0,"UNSPSC a nivel de segmento o familia; ",""),"")&amp;IF(NOT(ISNUMBER(E6)),"Duración vacía o en texto; ","")&amp;IF(NOT(ISNUMBER(G6)),"Valor vacío o en texto; ","")&amp;IF(ISNUMBER(M6),IF(M6&lt;1000000,"Valor inferior a $1.000.000: verificar; ",""),"Valor no interpretable; ")&amp;IF(N6="[PENDIENTE DE VERIFICAR]","Modalidad no identificable; ","")&amp;IF(OR(ISERROR(SEARCH("@itc.edu.co",J6)),SUMPRODUCT(--ISNUMBER(SEARCH({"á","é","í","ó","ú","ñ"},J6)))&gt;0),"Correo vacío o no institucional válido; ","")&amp;IF(LEN(TRIM(D6))=0,"Sin objeto contractual; ","")&amp;IF(AND(ISNUMBER(M6),N6="Mínima cuantía"),IF(M6&gt;39850000,"Mínima cuantía con valor superior al tope citado en el instructivo 2026 ($39.850.000): verificar modalidad; ",""),"")&amp;IF(AND(ISNUMBER(M6),OR(ISNUMBER(SEARCH("prestación de servicios",D6)),ISNUMBER(SEARCH("prestar servicios",D6)),ISNUMBER(SEARCH("prestar los servicios",D6)))),IF(M6&gt;=500000000,"Prestación de servicios por $500 millones o más: posible error de digitación; ",""),""))=0,"Sin observaciones",IF(OR(NOT(ISNUMBER(B6)),LEN(B6)&lt;&gt;8),"UNSPSC vacío, en texto, con varios códigos o sin 8 dígitos; ","")&amp;IF(AND(ISNUMBER(B6),LEN(B6)=8),IF(MOD(B6,10000)=0,"UNSPSC a nivel de segmento o familia; ",""),"")&amp;IF(NOT(ISNUMBER(E6)),"Duración vacía o en texto; ","")&amp;IF(NOT(ISNUMBER(G6)),"Valor vacío o en texto; ","")&amp;IF(ISNUMBER(M6),IF(M6&lt;1000000,"Valor inferior a $1.000.000: verificar; ",""),"Valor no interpretable; ")&amp;IF(N6="[PENDIENTE DE VERIFICAR]","Modalidad no identificable; ","")&amp;IF(OR(ISERROR(SEARCH("@itc.edu.co",J6)),SUMPRODUCT(--ISNUMBER(SEARCH({"á","é","í","ó","ú","ñ"},J6)))&gt;0),"Correo vacío o no institucional válido; ","")&amp;IF(LEN(TRIM(D6))=0,"Sin objeto contractual; ","")&amp;IF(AND(ISNUMBER(M6),N6="Mínima cuantía"),IF(M6&gt;39850000,"Mínima cuantía con valor superior al tope citado en el instructivo 2026 ($39.850.000): verificar modalidad; ",""),"")&amp;IF(AND(ISNUMBER(M6),OR(ISNUMBER(SEARCH("prestación de servicios",D6)),ISNUMBER(SEARCH("prestar servicios",D6)),ISNUMBER(SEARCH("prestar los servicios",D6)))),IF(M6&gt;=500000000,"Prestación de servicios por $500 millones o más: posible error de digitación; ",""),""))</f>
        <v>Sin observaciones</v>
      </c>
    </row>
    <row r="7" spans="1:15" ht="45.6" x14ac:dyDescent="0.3">
      <c r="A7" s="15" t="s">
        <v>667</v>
      </c>
      <c r="B7" s="15">
        <v>76122406</v>
      </c>
      <c r="C7" s="15" t="s">
        <v>334</v>
      </c>
      <c r="D7" s="15" t="s">
        <v>794</v>
      </c>
      <c r="E7" s="15">
        <v>7</v>
      </c>
      <c r="F7" s="15" t="s">
        <v>795</v>
      </c>
      <c r="G7" s="29">
        <v>100000000</v>
      </c>
      <c r="H7" s="15" t="s">
        <v>789</v>
      </c>
      <c r="I7" s="15"/>
      <c r="J7" s="15" t="s">
        <v>790</v>
      </c>
      <c r="K7" s="15">
        <v>3</v>
      </c>
      <c r="L7" s="30" t="s">
        <v>791</v>
      </c>
      <c r="M7" s="31">
        <v>100000000</v>
      </c>
      <c r="N7" s="30" t="s">
        <v>796</v>
      </c>
      <c r="O7" s="30" t="str">
        <f>IF(LEN(IF(OR(NOT(ISNUMBER(B7)),LEN(B7)&lt;&gt;8),"UNSPSC vacío, en texto, con varios códigos o sin 8 dígitos; ","")&amp;IF(AND(ISNUMBER(B7),LEN(B7)=8),IF(MOD(B7,10000)=0,"UNSPSC a nivel de segmento o familia; ",""),"")&amp;IF(NOT(ISNUMBER(E7)),"Duración vacía o en texto; ","")&amp;IF(NOT(ISNUMBER(G7)),"Valor vacío o en texto; ","")&amp;IF(ISNUMBER(M7),IF(M7&lt;1000000,"Valor inferior a $1.000.000: verificar; ",""),"Valor no interpretable; ")&amp;IF(N7="[PENDIENTE DE VERIFICAR]","Modalidad no identificable; ","")&amp;IF(OR(ISERROR(SEARCH("@itc.edu.co",J7)),SUMPRODUCT(--ISNUMBER(SEARCH({"á","é","í","ó","ú","ñ"},J7)))&gt;0),"Correo vacío o no institucional válido; ","")&amp;IF(LEN(TRIM(D7))=0,"Sin objeto contractual; ","")&amp;IF(AND(ISNUMBER(M7),N7="Mínima cuantía"),IF(M7&gt;39850000,"Mínima cuantía con valor superior al tope citado en el instructivo 2026 ($39.850.000): verificar modalidad; ",""),"")&amp;IF(AND(ISNUMBER(M7),OR(ISNUMBER(SEARCH("prestación de servicios",D7)),ISNUMBER(SEARCH("prestar servicios",D7)),ISNUMBER(SEARCH("prestar los servicios",D7)))),IF(M7&gt;=500000000,"Prestación de servicios por $500 millones o más: posible error de digitación; ",""),""))=0,"Sin observaciones",IF(OR(NOT(ISNUMBER(B7)),LEN(B7)&lt;&gt;8),"UNSPSC vacío, en texto, con varios códigos o sin 8 dígitos; ","")&amp;IF(AND(ISNUMBER(B7),LEN(B7)=8),IF(MOD(B7,10000)=0,"UNSPSC a nivel de segmento o familia; ",""),"")&amp;IF(NOT(ISNUMBER(E7)),"Duración vacía o en texto; ","")&amp;IF(NOT(ISNUMBER(G7)),"Valor vacío o en texto; ","")&amp;IF(ISNUMBER(M7),IF(M7&lt;1000000,"Valor inferior a $1.000.000: verificar; ",""),"Valor no interpretable; ")&amp;IF(N7="[PENDIENTE DE VERIFICAR]","Modalidad no identificable; ","")&amp;IF(OR(ISERROR(SEARCH("@itc.edu.co",J7)),SUMPRODUCT(--ISNUMBER(SEARCH({"á","é","í","ó","ú","ñ"},J7)))&gt;0),"Correo vacío o no institucional válido; ","")&amp;IF(LEN(TRIM(D7))=0,"Sin objeto contractual; ","")&amp;IF(AND(ISNUMBER(M7),N7="Mínima cuantía"),IF(M7&gt;39850000,"Mínima cuantía con valor superior al tope citado en el instructivo 2026 ($39.850.000): verificar modalidad; ",""),"")&amp;IF(AND(ISNUMBER(M7),OR(ISNUMBER(SEARCH("prestación de servicios",D7)),ISNUMBER(SEARCH("prestar servicios",D7)),ISNUMBER(SEARCH("prestar los servicios",D7)))),IF(M7&gt;=500000000,"Prestación de servicios por $500 millones o más: posible error de digitación; ",""),""))</f>
        <v>Sin observaciones</v>
      </c>
    </row>
    <row r="8" spans="1:15" ht="79.8" x14ac:dyDescent="0.3">
      <c r="A8" s="15" t="s">
        <v>711</v>
      </c>
      <c r="B8" s="15">
        <v>85122201</v>
      </c>
      <c r="C8" s="15" t="s">
        <v>334</v>
      </c>
      <c r="D8" s="15" t="s">
        <v>797</v>
      </c>
      <c r="E8" s="15">
        <v>10</v>
      </c>
      <c r="F8" s="15" t="s">
        <v>788</v>
      </c>
      <c r="G8" s="29">
        <v>26750000</v>
      </c>
      <c r="H8" s="15" t="s">
        <v>789</v>
      </c>
      <c r="I8" s="15"/>
      <c r="J8" s="15" t="s">
        <v>790</v>
      </c>
      <c r="K8" s="15">
        <v>4</v>
      </c>
      <c r="L8" s="30" t="s">
        <v>791</v>
      </c>
      <c r="M8" s="31">
        <v>26750000</v>
      </c>
      <c r="N8" s="30" t="s">
        <v>792</v>
      </c>
      <c r="O8" s="30" t="str">
        <f>IF(LEN(IF(OR(NOT(ISNUMBER(B8)),LEN(B8)&lt;&gt;8),"UNSPSC vacío, en texto, con varios códigos o sin 8 dígitos; ","")&amp;IF(AND(ISNUMBER(B8),LEN(B8)=8),IF(MOD(B8,10000)=0,"UNSPSC a nivel de segmento o familia; ",""),"")&amp;IF(NOT(ISNUMBER(E8)),"Duración vacía o en texto; ","")&amp;IF(NOT(ISNUMBER(G8)),"Valor vacío o en texto; ","")&amp;IF(ISNUMBER(M8),IF(M8&lt;1000000,"Valor inferior a $1.000.000: verificar; ",""),"Valor no interpretable; ")&amp;IF(N8="[PENDIENTE DE VERIFICAR]","Modalidad no identificable; ","")&amp;IF(OR(ISERROR(SEARCH("@itc.edu.co",J8)),SUMPRODUCT(--ISNUMBER(SEARCH({"á","é","í","ó","ú","ñ"},J8)))&gt;0),"Correo vacío o no institucional válido; ","")&amp;IF(LEN(TRIM(D8))=0,"Sin objeto contractual; ","")&amp;IF(AND(ISNUMBER(M8),N8="Mínima cuantía"),IF(M8&gt;39850000,"Mínima cuantía con valor superior al tope citado en el instructivo 2026 ($39.850.000): verificar modalidad; ",""),"")&amp;IF(AND(ISNUMBER(M8),OR(ISNUMBER(SEARCH("prestación de servicios",D8)),ISNUMBER(SEARCH("prestar servicios",D8)),ISNUMBER(SEARCH("prestar los servicios",D8)))),IF(M8&gt;=500000000,"Prestación de servicios por $500 millones o más: posible error de digitación; ",""),""))=0,"Sin observaciones",IF(OR(NOT(ISNUMBER(B8)),LEN(B8)&lt;&gt;8),"UNSPSC vacío, en texto, con varios códigos o sin 8 dígitos; ","")&amp;IF(AND(ISNUMBER(B8),LEN(B8)=8),IF(MOD(B8,10000)=0,"UNSPSC a nivel de segmento o familia; ",""),"")&amp;IF(NOT(ISNUMBER(E8)),"Duración vacía o en texto; ","")&amp;IF(NOT(ISNUMBER(G8)),"Valor vacío o en texto; ","")&amp;IF(ISNUMBER(M8),IF(M8&lt;1000000,"Valor inferior a $1.000.000: verificar; ",""),"Valor no interpretable; ")&amp;IF(N8="[PENDIENTE DE VERIFICAR]","Modalidad no identificable; ","")&amp;IF(OR(ISERROR(SEARCH("@itc.edu.co",J8)),SUMPRODUCT(--ISNUMBER(SEARCH({"á","é","í","ó","ú","ñ"},J8)))&gt;0),"Correo vacío o no institucional válido; ","")&amp;IF(LEN(TRIM(D8))=0,"Sin objeto contractual; ","")&amp;IF(AND(ISNUMBER(M8),N8="Mínima cuantía"),IF(M8&gt;39850000,"Mínima cuantía con valor superior al tope citado en el instructivo 2026 ($39.850.000): verificar modalidad; ",""),"")&amp;IF(AND(ISNUMBER(M8),OR(ISNUMBER(SEARCH("prestación de servicios",D8)),ISNUMBER(SEARCH("prestar servicios",D8)),ISNUMBER(SEARCH("prestar los servicios",D8)))),IF(M8&gt;=500000000,"Prestación de servicios por $500 millones o más: posible error de digitación; ",""),""))</f>
        <v>Sin observaciones</v>
      </c>
    </row>
    <row r="9" spans="1:15" ht="45.6" x14ac:dyDescent="0.3">
      <c r="A9" s="15" t="s">
        <v>608</v>
      </c>
      <c r="B9" s="15">
        <v>46191601</v>
      </c>
      <c r="C9" s="15" t="s">
        <v>334</v>
      </c>
      <c r="D9" s="15" t="s">
        <v>798</v>
      </c>
      <c r="E9" s="15">
        <v>7</v>
      </c>
      <c r="F9" s="15" t="s">
        <v>799</v>
      </c>
      <c r="G9" s="29">
        <v>33000000</v>
      </c>
      <c r="H9" s="15" t="s">
        <v>789</v>
      </c>
      <c r="I9" s="15"/>
      <c r="J9" s="15" t="s">
        <v>790</v>
      </c>
      <c r="K9" s="15">
        <v>5</v>
      </c>
      <c r="L9" s="30" t="s">
        <v>791</v>
      </c>
      <c r="M9" s="31">
        <v>33000000</v>
      </c>
      <c r="N9" s="30" t="s">
        <v>800</v>
      </c>
      <c r="O9" s="30" t="str">
        <f>IF(LEN(IF(OR(NOT(ISNUMBER(B9)),LEN(B9)&lt;&gt;8),"UNSPSC vacío, en texto, con varios códigos o sin 8 dígitos; ","")&amp;IF(AND(ISNUMBER(B9),LEN(B9)=8),IF(MOD(B9,10000)=0,"UNSPSC a nivel de segmento o familia; ",""),"")&amp;IF(NOT(ISNUMBER(E9)),"Duración vacía o en texto; ","")&amp;IF(NOT(ISNUMBER(G9)),"Valor vacío o en texto; ","")&amp;IF(ISNUMBER(M9),IF(M9&lt;1000000,"Valor inferior a $1.000.000: verificar; ",""),"Valor no interpretable; ")&amp;IF(N9="[PENDIENTE DE VERIFICAR]","Modalidad no identificable; ","")&amp;IF(OR(ISERROR(SEARCH("@itc.edu.co",J9)),SUMPRODUCT(--ISNUMBER(SEARCH({"á","é","í","ó","ú","ñ"},J9)))&gt;0),"Correo vacío o no institucional válido; ","")&amp;IF(LEN(TRIM(D9))=0,"Sin objeto contractual; ","")&amp;IF(AND(ISNUMBER(M9),N9="Mínima cuantía"),IF(M9&gt;39850000,"Mínima cuantía con valor superior al tope citado en el instructivo 2026 ($39.850.000): verificar modalidad; ",""),"")&amp;IF(AND(ISNUMBER(M9),OR(ISNUMBER(SEARCH("prestación de servicios",D9)),ISNUMBER(SEARCH("prestar servicios",D9)),ISNUMBER(SEARCH("prestar los servicios",D9)))),IF(M9&gt;=500000000,"Prestación de servicios por $500 millones o más: posible error de digitación; ",""),""))=0,"Sin observaciones",IF(OR(NOT(ISNUMBER(B9)),LEN(B9)&lt;&gt;8),"UNSPSC vacío, en texto, con varios códigos o sin 8 dígitos; ","")&amp;IF(AND(ISNUMBER(B9),LEN(B9)=8),IF(MOD(B9,10000)=0,"UNSPSC a nivel de segmento o familia; ",""),"")&amp;IF(NOT(ISNUMBER(E9)),"Duración vacía o en texto; ","")&amp;IF(NOT(ISNUMBER(G9)),"Valor vacío o en texto; ","")&amp;IF(ISNUMBER(M9),IF(M9&lt;1000000,"Valor inferior a $1.000.000: verificar; ",""),"Valor no interpretable; ")&amp;IF(N9="[PENDIENTE DE VERIFICAR]","Modalidad no identificable; ","")&amp;IF(OR(ISERROR(SEARCH("@itc.edu.co",J9)),SUMPRODUCT(--ISNUMBER(SEARCH({"á","é","í","ó","ú","ñ"},J9)))&gt;0),"Correo vacío o no institucional válido; ","")&amp;IF(LEN(TRIM(D9))=0,"Sin objeto contractual; ","")&amp;IF(AND(ISNUMBER(M9),N9="Mínima cuantía"),IF(M9&gt;39850000,"Mínima cuantía con valor superior al tope citado en el instructivo 2026 ($39.850.000): verificar modalidad; ",""),"")&amp;IF(AND(ISNUMBER(M9),OR(ISNUMBER(SEARCH("prestación de servicios",D9)),ISNUMBER(SEARCH("prestar servicios",D9)),ISNUMBER(SEARCH("prestar los servicios",D9)))),IF(M9&gt;=500000000,"Prestación de servicios por $500 millones o más: posible error de digitación; ",""),""))</f>
        <v>Sin observaciones</v>
      </c>
    </row>
    <row r="10" spans="1:15" ht="68.400000000000006" x14ac:dyDescent="0.3">
      <c r="A10" s="15" t="s">
        <v>333</v>
      </c>
      <c r="B10" s="15">
        <v>80111600</v>
      </c>
      <c r="C10" s="15" t="s">
        <v>334</v>
      </c>
      <c r="D10" s="15" t="s">
        <v>801</v>
      </c>
      <c r="E10" s="15">
        <v>10.5</v>
      </c>
      <c r="F10" s="15" t="s">
        <v>802</v>
      </c>
      <c r="G10" s="29">
        <v>57500000</v>
      </c>
      <c r="H10" s="15" t="s">
        <v>789</v>
      </c>
      <c r="I10" s="15"/>
      <c r="J10" s="15" t="s">
        <v>790</v>
      </c>
      <c r="K10" s="15">
        <v>6</v>
      </c>
      <c r="L10" s="30" t="s">
        <v>791</v>
      </c>
      <c r="M10" s="31">
        <v>57500000</v>
      </c>
      <c r="N10" s="30" t="s">
        <v>803</v>
      </c>
      <c r="O10" s="30" t="str">
        <f>IF(LEN(IF(OR(NOT(ISNUMBER(B10)),LEN(B10)&lt;&gt;8),"UNSPSC vacío, en texto, con varios códigos o sin 8 dígitos; ","")&amp;IF(AND(ISNUMBER(B10),LEN(B10)=8),IF(MOD(B10,10000)=0,"UNSPSC a nivel de segmento o familia; ",""),"")&amp;IF(NOT(ISNUMBER(E10)),"Duración vacía o en texto; ","")&amp;IF(NOT(ISNUMBER(G10)),"Valor vacío o en texto; ","")&amp;IF(ISNUMBER(M10),IF(M10&lt;1000000,"Valor inferior a $1.000.000: verificar; ",""),"Valor no interpretable; ")&amp;IF(N10="[PENDIENTE DE VERIFICAR]","Modalidad no identificable; ","")&amp;IF(OR(ISERROR(SEARCH("@itc.edu.co",J10)),SUMPRODUCT(--ISNUMBER(SEARCH({"á","é","í","ó","ú","ñ"},J10)))&gt;0),"Correo vacío o no institucional válido; ","")&amp;IF(LEN(TRIM(D10))=0,"Sin objeto contractual; ","")&amp;IF(AND(ISNUMBER(M10),N10="Mínima cuantía"),IF(M10&gt;39850000,"Mínima cuantía con valor superior al tope citado en el instructivo 2026 ($39.850.000): verificar modalidad; ",""),"")&amp;IF(AND(ISNUMBER(M10),OR(ISNUMBER(SEARCH("prestación de servicios",D10)),ISNUMBER(SEARCH("prestar servicios",D10)),ISNUMBER(SEARCH("prestar los servicios",D10)))),IF(M10&gt;=500000000,"Prestación de servicios por $500 millones o más: posible error de digitación; ",""),""))=0,"Sin observaciones",IF(OR(NOT(ISNUMBER(B10)),LEN(B10)&lt;&gt;8),"UNSPSC vacío, en texto, con varios códigos o sin 8 dígitos; ","")&amp;IF(AND(ISNUMBER(B10),LEN(B10)=8),IF(MOD(B10,10000)=0,"UNSPSC a nivel de segmento o familia; ",""),"")&amp;IF(NOT(ISNUMBER(E10)),"Duración vacía o en texto; ","")&amp;IF(NOT(ISNUMBER(G10)),"Valor vacío o en texto; ","")&amp;IF(ISNUMBER(M10),IF(M10&lt;1000000,"Valor inferior a $1.000.000: verificar; ",""),"Valor no interpretable; ")&amp;IF(N10="[PENDIENTE DE VERIFICAR]","Modalidad no identificable; ","")&amp;IF(OR(ISERROR(SEARCH("@itc.edu.co",J10)),SUMPRODUCT(--ISNUMBER(SEARCH({"á","é","í","ó","ú","ñ"},J10)))&gt;0),"Correo vacío o no institucional válido; ","")&amp;IF(LEN(TRIM(D10))=0,"Sin objeto contractual; ","")&amp;IF(AND(ISNUMBER(M10),N10="Mínima cuantía"),IF(M10&gt;39850000,"Mínima cuantía con valor superior al tope citado en el instructivo 2026 ($39.850.000): verificar modalidad; ",""),"")&amp;IF(AND(ISNUMBER(M10),OR(ISNUMBER(SEARCH("prestación de servicios",D10)),ISNUMBER(SEARCH("prestar servicios",D10)),ISNUMBER(SEARCH("prestar los servicios",D10)))),IF(M10&gt;=500000000,"Prestación de servicios por $500 millones o más: posible error de digitación; ",""),""))</f>
        <v>Sin observaciones</v>
      </c>
    </row>
    <row r="11" spans="1:15" ht="57" x14ac:dyDescent="0.3">
      <c r="A11" s="15" t="s">
        <v>804</v>
      </c>
      <c r="B11" s="15"/>
      <c r="C11" s="15" t="s">
        <v>805</v>
      </c>
      <c r="D11" s="15" t="s">
        <v>806</v>
      </c>
      <c r="E11" s="15">
        <v>10.5</v>
      </c>
      <c r="F11" s="15" t="s">
        <v>802</v>
      </c>
      <c r="G11" s="29">
        <v>350000000</v>
      </c>
      <c r="H11" s="15" t="s">
        <v>807</v>
      </c>
      <c r="I11" s="15"/>
      <c r="J11" s="15" t="s">
        <v>808</v>
      </c>
      <c r="K11" s="15"/>
      <c r="L11" s="30" t="s">
        <v>791</v>
      </c>
      <c r="M11" s="31">
        <v>350000000</v>
      </c>
      <c r="N11" s="30" t="s">
        <v>803</v>
      </c>
      <c r="O11" s="30" t="str">
        <f>IF(LEN(IF(OR(NOT(ISNUMBER(B11)),LEN(B11)&lt;&gt;8),"UNSPSC vacío, en texto, con varios códigos o sin 8 dígitos; ","")&amp;IF(AND(ISNUMBER(B11),LEN(B11)=8),IF(MOD(B11,10000)=0,"UNSPSC a nivel de segmento o familia; ",""),"")&amp;IF(NOT(ISNUMBER(E11)),"Duración vacía o en texto; ","")&amp;IF(NOT(ISNUMBER(G11)),"Valor vacío o en texto; ","")&amp;IF(ISNUMBER(M11),IF(M11&lt;1000000,"Valor inferior a $1.000.000: verificar; ",""),"Valor no interpretable; ")&amp;IF(N11="[PENDIENTE DE VERIFICAR]","Modalidad no identificable; ","")&amp;IF(OR(ISERROR(SEARCH("@itc.edu.co",J11)),SUMPRODUCT(--ISNUMBER(SEARCH({"á","é","í","ó","ú","ñ"},J11)))&gt;0),"Correo vacío o no institucional válido; ","")&amp;IF(LEN(TRIM(D11))=0,"Sin objeto contractual; ","")&amp;IF(AND(ISNUMBER(M11),N11="Mínima cuantía"),IF(M11&gt;39850000,"Mínima cuantía con valor superior al tope citado en el instructivo 2026 ($39.850.000): verificar modalidad; ",""),"")&amp;IF(AND(ISNUMBER(M11),OR(ISNUMBER(SEARCH("prestación de servicios",D11)),ISNUMBER(SEARCH("prestar servicios",D11)),ISNUMBER(SEARCH("prestar los servicios",D11)))),IF(M11&gt;=500000000,"Prestación de servicios por $500 millones o más: posible error de digitación; ",""),""))=0,"Sin observaciones",IF(OR(NOT(ISNUMBER(B11)),LEN(B11)&lt;&gt;8),"UNSPSC vacío, en texto, con varios códigos o sin 8 dígitos; ","")&amp;IF(AND(ISNUMBER(B11),LEN(B11)=8),IF(MOD(B11,10000)=0,"UNSPSC a nivel de segmento o familia; ",""),"")&amp;IF(NOT(ISNUMBER(E11)),"Duración vacía o en texto; ","")&amp;IF(NOT(ISNUMBER(G11)),"Valor vacío o en texto; ","")&amp;IF(ISNUMBER(M11),IF(M11&lt;1000000,"Valor inferior a $1.000.000: verificar; ",""),"Valor no interpretable; ")&amp;IF(N11="[PENDIENTE DE VERIFICAR]","Modalidad no identificable; ","")&amp;IF(OR(ISERROR(SEARCH("@itc.edu.co",J11)),SUMPRODUCT(--ISNUMBER(SEARCH({"á","é","í","ó","ú","ñ"},J11)))&gt;0),"Correo vacío o no institucional válido; ","")&amp;IF(LEN(TRIM(D11))=0,"Sin objeto contractual; ","")&amp;IF(AND(ISNUMBER(M11),N11="Mínima cuantía"),IF(M11&gt;39850000,"Mínima cuantía con valor superior al tope citado en el instructivo 2026 ($39.850.000): verificar modalidad; ",""),"")&amp;IF(AND(ISNUMBER(M11),OR(ISNUMBER(SEARCH("prestación de servicios",D11)),ISNUMBER(SEARCH("prestar servicios",D11)),ISNUMBER(SEARCH("prestar los servicios",D11)))),IF(M11&gt;=500000000,"Prestación de servicios por $500 millones o más: posible error de digitación; ",""),""))</f>
        <v xml:space="preserve">UNSPSC vacío, en texto, con varios códigos o sin 8 dígitos; </v>
      </c>
    </row>
    <row r="12" spans="1:15" ht="68.400000000000006" x14ac:dyDescent="0.3">
      <c r="A12" s="15" t="s">
        <v>809</v>
      </c>
      <c r="B12" s="15">
        <v>80111600</v>
      </c>
      <c r="C12" s="15" t="s">
        <v>810</v>
      </c>
      <c r="D12" s="15" t="s">
        <v>811</v>
      </c>
      <c r="E12" s="15">
        <v>11</v>
      </c>
      <c r="F12" s="15" t="s">
        <v>802</v>
      </c>
      <c r="G12" s="29">
        <v>60500000</v>
      </c>
      <c r="H12" s="15" t="s">
        <v>812</v>
      </c>
      <c r="I12" s="15"/>
      <c r="J12" s="15" t="s">
        <v>813</v>
      </c>
      <c r="K12" s="15">
        <v>7</v>
      </c>
      <c r="L12" s="30" t="s">
        <v>814</v>
      </c>
      <c r="M12" s="31">
        <v>60500000</v>
      </c>
      <c r="N12" s="30" t="s">
        <v>803</v>
      </c>
      <c r="O12" s="30" t="str">
        <f>IF(LEN(IF(OR(NOT(ISNUMBER(B12)),LEN(B12)&lt;&gt;8),"UNSPSC vacío, en texto, con varios códigos o sin 8 dígitos; ","")&amp;IF(AND(ISNUMBER(B12),LEN(B12)=8),IF(MOD(B12,10000)=0,"UNSPSC a nivel de segmento o familia; ",""),"")&amp;IF(NOT(ISNUMBER(E12)),"Duración vacía o en texto; ","")&amp;IF(NOT(ISNUMBER(G12)),"Valor vacío o en texto; ","")&amp;IF(ISNUMBER(M12),IF(M12&lt;1000000,"Valor inferior a $1.000.000: verificar; ",""),"Valor no interpretable; ")&amp;IF(N12="[PENDIENTE DE VERIFICAR]","Modalidad no identificable; ","")&amp;IF(OR(ISERROR(SEARCH("@itc.edu.co",J12)),SUMPRODUCT(--ISNUMBER(SEARCH({"á","é","í","ó","ú","ñ"},J12)))&gt;0),"Correo vacío o no institucional válido; ","")&amp;IF(LEN(TRIM(D12))=0,"Sin objeto contractual; ","")&amp;IF(AND(ISNUMBER(M12),N12="Mínima cuantía"),IF(M12&gt;39850000,"Mínima cuantía con valor superior al tope citado en el instructivo 2026 ($39.850.000): verificar modalidad; ",""),"")&amp;IF(AND(ISNUMBER(M12),OR(ISNUMBER(SEARCH("prestación de servicios",D12)),ISNUMBER(SEARCH("prestar servicios",D12)),ISNUMBER(SEARCH("prestar los servicios",D12)))),IF(M12&gt;=500000000,"Prestación de servicios por $500 millones o más: posible error de digitación; ",""),""))=0,"Sin observaciones",IF(OR(NOT(ISNUMBER(B12)),LEN(B12)&lt;&gt;8),"UNSPSC vacío, en texto, con varios códigos o sin 8 dígitos; ","")&amp;IF(AND(ISNUMBER(B12),LEN(B12)=8),IF(MOD(B12,10000)=0,"UNSPSC a nivel de segmento o familia; ",""),"")&amp;IF(NOT(ISNUMBER(E12)),"Duración vacía o en texto; ","")&amp;IF(NOT(ISNUMBER(G12)),"Valor vacío o en texto; ","")&amp;IF(ISNUMBER(M12),IF(M12&lt;1000000,"Valor inferior a $1.000.000: verificar; ",""),"Valor no interpretable; ")&amp;IF(N12="[PENDIENTE DE VERIFICAR]","Modalidad no identificable; ","")&amp;IF(OR(ISERROR(SEARCH("@itc.edu.co",J12)),SUMPRODUCT(--ISNUMBER(SEARCH({"á","é","í","ó","ú","ñ"},J12)))&gt;0),"Correo vacío o no institucional válido; ","")&amp;IF(LEN(TRIM(D12))=0,"Sin objeto contractual; ","")&amp;IF(AND(ISNUMBER(M12),N12="Mínima cuantía"),IF(M12&gt;39850000,"Mínima cuantía con valor superior al tope citado en el instructivo 2026 ($39.850.000): verificar modalidad; ",""),"")&amp;IF(AND(ISNUMBER(M12),OR(ISNUMBER(SEARCH("prestación de servicios",D12)),ISNUMBER(SEARCH("prestar servicios",D12)),ISNUMBER(SEARCH("prestar los servicios",D12)))),IF(M12&gt;=500000000,"Prestación de servicios por $500 millones o más: posible error de digitación; ",""),""))</f>
        <v>Sin observaciones</v>
      </c>
    </row>
    <row r="13" spans="1:15" ht="91.2" x14ac:dyDescent="0.3">
      <c r="A13" s="15" t="s">
        <v>815</v>
      </c>
      <c r="B13" s="15">
        <v>80111600</v>
      </c>
      <c r="C13" s="15" t="s">
        <v>816</v>
      </c>
      <c r="D13" s="15" t="s">
        <v>817</v>
      </c>
      <c r="E13" s="15">
        <v>11</v>
      </c>
      <c r="F13" s="15" t="s">
        <v>802</v>
      </c>
      <c r="G13" s="29">
        <v>60500000</v>
      </c>
      <c r="H13" s="15" t="s">
        <v>812</v>
      </c>
      <c r="I13" s="15"/>
      <c r="J13" s="15" t="s">
        <v>813</v>
      </c>
      <c r="K13" s="15">
        <v>8</v>
      </c>
      <c r="L13" s="30" t="s">
        <v>814</v>
      </c>
      <c r="M13" s="31">
        <v>60500000</v>
      </c>
      <c r="N13" s="30" t="s">
        <v>803</v>
      </c>
      <c r="O13" s="30" t="str">
        <f>IF(LEN(IF(OR(NOT(ISNUMBER(B13)),LEN(B13)&lt;&gt;8),"UNSPSC vacío, en texto, con varios códigos o sin 8 dígitos; ","")&amp;IF(AND(ISNUMBER(B13),LEN(B13)=8),IF(MOD(B13,10000)=0,"UNSPSC a nivel de segmento o familia; ",""),"")&amp;IF(NOT(ISNUMBER(E13)),"Duración vacía o en texto; ","")&amp;IF(NOT(ISNUMBER(G13)),"Valor vacío o en texto; ","")&amp;IF(ISNUMBER(M13),IF(M13&lt;1000000,"Valor inferior a $1.000.000: verificar; ",""),"Valor no interpretable; ")&amp;IF(N13="[PENDIENTE DE VERIFICAR]","Modalidad no identificable; ","")&amp;IF(OR(ISERROR(SEARCH("@itc.edu.co",J13)),SUMPRODUCT(--ISNUMBER(SEARCH({"á","é","í","ó","ú","ñ"},J13)))&gt;0),"Correo vacío o no institucional válido; ","")&amp;IF(LEN(TRIM(D13))=0,"Sin objeto contractual; ","")&amp;IF(AND(ISNUMBER(M13),N13="Mínima cuantía"),IF(M13&gt;39850000,"Mínima cuantía con valor superior al tope citado en el instructivo 2026 ($39.850.000): verificar modalidad; ",""),"")&amp;IF(AND(ISNUMBER(M13),OR(ISNUMBER(SEARCH("prestación de servicios",D13)),ISNUMBER(SEARCH("prestar servicios",D13)),ISNUMBER(SEARCH("prestar los servicios",D13)))),IF(M13&gt;=500000000,"Prestación de servicios por $500 millones o más: posible error de digitación; ",""),""))=0,"Sin observaciones",IF(OR(NOT(ISNUMBER(B13)),LEN(B13)&lt;&gt;8),"UNSPSC vacío, en texto, con varios códigos o sin 8 dígitos; ","")&amp;IF(AND(ISNUMBER(B13),LEN(B13)=8),IF(MOD(B13,10000)=0,"UNSPSC a nivel de segmento o familia; ",""),"")&amp;IF(NOT(ISNUMBER(E13)),"Duración vacía o en texto; ","")&amp;IF(NOT(ISNUMBER(G13)),"Valor vacío o en texto; ","")&amp;IF(ISNUMBER(M13),IF(M13&lt;1000000,"Valor inferior a $1.000.000: verificar; ",""),"Valor no interpretable; ")&amp;IF(N13="[PENDIENTE DE VERIFICAR]","Modalidad no identificable; ","")&amp;IF(OR(ISERROR(SEARCH("@itc.edu.co",J13)),SUMPRODUCT(--ISNUMBER(SEARCH({"á","é","í","ó","ú","ñ"},J13)))&gt;0),"Correo vacío o no institucional válido; ","")&amp;IF(LEN(TRIM(D13))=0,"Sin objeto contractual; ","")&amp;IF(AND(ISNUMBER(M13),N13="Mínima cuantía"),IF(M13&gt;39850000,"Mínima cuantía con valor superior al tope citado en el instructivo 2026 ($39.850.000): verificar modalidad; ",""),"")&amp;IF(AND(ISNUMBER(M13),OR(ISNUMBER(SEARCH("prestación de servicios",D13)),ISNUMBER(SEARCH("prestar servicios",D13)),ISNUMBER(SEARCH("prestar los servicios",D13)))),IF(M13&gt;=500000000,"Prestación de servicios por $500 millones o más: posible error de digitación; ",""),""))</f>
        <v>Sin observaciones</v>
      </c>
    </row>
    <row r="14" spans="1:15" ht="79.8" x14ac:dyDescent="0.3">
      <c r="A14" s="15" t="s">
        <v>818</v>
      </c>
      <c r="B14" s="15">
        <v>80111600</v>
      </c>
      <c r="C14" s="15" t="s">
        <v>819</v>
      </c>
      <c r="D14" s="15" t="s">
        <v>820</v>
      </c>
      <c r="E14" s="15">
        <v>11</v>
      </c>
      <c r="F14" s="15" t="s">
        <v>802</v>
      </c>
      <c r="G14" s="29">
        <v>93500000</v>
      </c>
      <c r="H14" s="15" t="s">
        <v>812</v>
      </c>
      <c r="I14" s="15"/>
      <c r="J14" s="15" t="s">
        <v>813</v>
      </c>
      <c r="K14" s="15">
        <v>9</v>
      </c>
      <c r="L14" s="30" t="s">
        <v>814</v>
      </c>
      <c r="M14" s="31">
        <v>93500000</v>
      </c>
      <c r="N14" s="30" t="s">
        <v>803</v>
      </c>
      <c r="O14" s="30" t="str">
        <f>IF(LEN(IF(OR(NOT(ISNUMBER(B14)),LEN(B14)&lt;&gt;8),"UNSPSC vacío, en texto, con varios códigos o sin 8 dígitos; ","")&amp;IF(AND(ISNUMBER(B14),LEN(B14)=8),IF(MOD(B14,10000)=0,"UNSPSC a nivel de segmento o familia; ",""),"")&amp;IF(NOT(ISNUMBER(E14)),"Duración vacía o en texto; ","")&amp;IF(NOT(ISNUMBER(G14)),"Valor vacío o en texto; ","")&amp;IF(ISNUMBER(M14),IF(M14&lt;1000000,"Valor inferior a $1.000.000: verificar; ",""),"Valor no interpretable; ")&amp;IF(N14="[PENDIENTE DE VERIFICAR]","Modalidad no identificable; ","")&amp;IF(OR(ISERROR(SEARCH("@itc.edu.co",J14)),SUMPRODUCT(--ISNUMBER(SEARCH({"á","é","í","ó","ú","ñ"},J14)))&gt;0),"Correo vacío o no institucional válido; ","")&amp;IF(LEN(TRIM(D14))=0,"Sin objeto contractual; ","")&amp;IF(AND(ISNUMBER(M14),N14="Mínima cuantía"),IF(M14&gt;39850000,"Mínima cuantía con valor superior al tope citado en el instructivo 2026 ($39.850.000): verificar modalidad; ",""),"")&amp;IF(AND(ISNUMBER(M14),OR(ISNUMBER(SEARCH("prestación de servicios",D14)),ISNUMBER(SEARCH("prestar servicios",D14)),ISNUMBER(SEARCH("prestar los servicios",D14)))),IF(M14&gt;=500000000,"Prestación de servicios por $500 millones o más: posible error de digitación; ",""),""))=0,"Sin observaciones",IF(OR(NOT(ISNUMBER(B14)),LEN(B14)&lt;&gt;8),"UNSPSC vacío, en texto, con varios códigos o sin 8 dígitos; ","")&amp;IF(AND(ISNUMBER(B14),LEN(B14)=8),IF(MOD(B14,10000)=0,"UNSPSC a nivel de segmento o familia; ",""),"")&amp;IF(NOT(ISNUMBER(E14)),"Duración vacía o en texto; ","")&amp;IF(NOT(ISNUMBER(G14)),"Valor vacío o en texto; ","")&amp;IF(ISNUMBER(M14),IF(M14&lt;1000000,"Valor inferior a $1.000.000: verificar; ",""),"Valor no interpretable; ")&amp;IF(N14="[PENDIENTE DE VERIFICAR]","Modalidad no identificable; ","")&amp;IF(OR(ISERROR(SEARCH("@itc.edu.co",J14)),SUMPRODUCT(--ISNUMBER(SEARCH({"á","é","í","ó","ú","ñ"},J14)))&gt;0),"Correo vacío o no institucional válido; ","")&amp;IF(LEN(TRIM(D14))=0,"Sin objeto contractual; ","")&amp;IF(AND(ISNUMBER(M14),N14="Mínima cuantía"),IF(M14&gt;39850000,"Mínima cuantía con valor superior al tope citado en el instructivo 2026 ($39.850.000): verificar modalidad; ",""),"")&amp;IF(AND(ISNUMBER(M14),OR(ISNUMBER(SEARCH("prestación de servicios",D14)),ISNUMBER(SEARCH("prestar servicios",D14)),ISNUMBER(SEARCH("prestar los servicios",D14)))),IF(M14&gt;=500000000,"Prestación de servicios por $500 millones o más: posible error de digitación; ",""),""))</f>
        <v>Sin observaciones</v>
      </c>
    </row>
    <row r="15" spans="1:15" ht="68.400000000000006" x14ac:dyDescent="0.3">
      <c r="A15" s="15" t="s">
        <v>821</v>
      </c>
      <c r="B15" s="15">
        <v>80111600</v>
      </c>
      <c r="C15" s="15" t="s">
        <v>822</v>
      </c>
      <c r="D15" s="15" t="s">
        <v>823</v>
      </c>
      <c r="E15" s="15">
        <v>11</v>
      </c>
      <c r="F15" s="15" t="s">
        <v>802</v>
      </c>
      <c r="G15" s="29">
        <v>60500000</v>
      </c>
      <c r="H15" s="15" t="s">
        <v>812</v>
      </c>
      <c r="I15" s="15"/>
      <c r="J15" s="15" t="s">
        <v>813</v>
      </c>
      <c r="K15" s="15">
        <v>10</v>
      </c>
      <c r="L15" s="30" t="s">
        <v>814</v>
      </c>
      <c r="M15" s="31">
        <v>60500000</v>
      </c>
      <c r="N15" s="30" t="s">
        <v>803</v>
      </c>
      <c r="O15" s="30" t="str">
        <f>IF(LEN(IF(OR(NOT(ISNUMBER(B15)),LEN(B15)&lt;&gt;8),"UNSPSC vacío, en texto, con varios códigos o sin 8 dígitos; ","")&amp;IF(AND(ISNUMBER(B15),LEN(B15)=8),IF(MOD(B15,10000)=0,"UNSPSC a nivel de segmento o familia; ",""),"")&amp;IF(NOT(ISNUMBER(E15)),"Duración vacía o en texto; ","")&amp;IF(NOT(ISNUMBER(G15)),"Valor vacío o en texto; ","")&amp;IF(ISNUMBER(M15),IF(M15&lt;1000000,"Valor inferior a $1.000.000: verificar; ",""),"Valor no interpretable; ")&amp;IF(N15="[PENDIENTE DE VERIFICAR]","Modalidad no identificable; ","")&amp;IF(OR(ISERROR(SEARCH("@itc.edu.co",J15)),SUMPRODUCT(--ISNUMBER(SEARCH({"á","é","í","ó","ú","ñ"},J15)))&gt;0),"Correo vacío o no institucional válido; ","")&amp;IF(LEN(TRIM(D15))=0,"Sin objeto contractual; ","")&amp;IF(AND(ISNUMBER(M15),N15="Mínima cuantía"),IF(M15&gt;39850000,"Mínima cuantía con valor superior al tope citado en el instructivo 2026 ($39.850.000): verificar modalidad; ",""),"")&amp;IF(AND(ISNUMBER(M15),OR(ISNUMBER(SEARCH("prestación de servicios",D15)),ISNUMBER(SEARCH("prestar servicios",D15)),ISNUMBER(SEARCH("prestar los servicios",D15)))),IF(M15&gt;=500000000,"Prestación de servicios por $500 millones o más: posible error de digitación; ",""),""))=0,"Sin observaciones",IF(OR(NOT(ISNUMBER(B15)),LEN(B15)&lt;&gt;8),"UNSPSC vacío, en texto, con varios códigos o sin 8 dígitos; ","")&amp;IF(AND(ISNUMBER(B15),LEN(B15)=8),IF(MOD(B15,10000)=0,"UNSPSC a nivel de segmento o familia; ",""),"")&amp;IF(NOT(ISNUMBER(E15)),"Duración vacía o en texto; ","")&amp;IF(NOT(ISNUMBER(G15)),"Valor vacío o en texto; ","")&amp;IF(ISNUMBER(M15),IF(M15&lt;1000000,"Valor inferior a $1.000.000: verificar; ",""),"Valor no interpretable; ")&amp;IF(N15="[PENDIENTE DE VERIFICAR]","Modalidad no identificable; ","")&amp;IF(OR(ISERROR(SEARCH("@itc.edu.co",J15)),SUMPRODUCT(--ISNUMBER(SEARCH({"á","é","í","ó","ú","ñ"},J15)))&gt;0),"Correo vacío o no institucional válido; ","")&amp;IF(LEN(TRIM(D15))=0,"Sin objeto contractual; ","")&amp;IF(AND(ISNUMBER(M15),N15="Mínima cuantía"),IF(M15&gt;39850000,"Mínima cuantía con valor superior al tope citado en el instructivo 2026 ($39.850.000): verificar modalidad; ",""),"")&amp;IF(AND(ISNUMBER(M15),OR(ISNUMBER(SEARCH("prestación de servicios",D15)),ISNUMBER(SEARCH("prestar servicios",D15)),ISNUMBER(SEARCH("prestar los servicios",D15)))),IF(M15&gt;=500000000,"Prestación de servicios por $500 millones o más: posible error de digitación; ",""),""))</f>
        <v>Sin observaciones</v>
      </c>
    </row>
    <row r="16" spans="1:15" ht="79.8" x14ac:dyDescent="0.3">
      <c r="A16" s="15" t="s">
        <v>824</v>
      </c>
      <c r="B16" s="15">
        <v>80111600</v>
      </c>
      <c r="C16" s="15" t="s">
        <v>825</v>
      </c>
      <c r="D16" s="15" t="s">
        <v>826</v>
      </c>
      <c r="E16" s="15">
        <v>11</v>
      </c>
      <c r="F16" s="15" t="s">
        <v>802</v>
      </c>
      <c r="G16" s="29">
        <v>60500000</v>
      </c>
      <c r="H16" s="15" t="s">
        <v>812</v>
      </c>
      <c r="I16" s="15"/>
      <c r="J16" s="15" t="s">
        <v>813</v>
      </c>
      <c r="K16" s="15">
        <v>11</v>
      </c>
      <c r="L16" s="30" t="s">
        <v>814</v>
      </c>
      <c r="M16" s="31">
        <v>60500000</v>
      </c>
      <c r="N16" s="30" t="s">
        <v>803</v>
      </c>
      <c r="O16" s="30" t="str">
        <f>IF(LEN(IF(OR(NOT(ISNUMBER(B16)),LEN(B16)&lt;&gt;8),"UNSPSC vacío, en texto, con varios códigos o sin 8 dígitos; ","")&amp;IF(AND(ISNUMBER(B16),LEN(B16)=8),IF(MOD(B16,10000)=0,"UNSPSC a nivel de segmento o familia; ",""),"")&amp;IF(NOT(ISNUMBER(E16)),"Duración vacía o en texto; ","")&amp;IF(NOT(ISNUMBER(G16)),"Valor vacío o en texto; ","")&amp;IF(ISNUMBER(M16),IF(M16&lt;1000000,"Valor inferior a $1.000.000: verificar; ",""),"Valor no interpretable; ")&amp;IF(N16="[PENDIENTE DE VERIFICAR]","Modalidad no identificable; ","")&amp;IF(OR(ISERROR(SEARCH("@itc.edu.co",J16)),SUMPRODUCT(--ISNUMBER(SEARCH({"á","é","í","ó","ú","ñ"},J16)))&gt;0),"Correo vacío o no institucional válido; ","")&amp;IF(LEN(TRIM(D16))=0,"Sin objeto contractual; ","")&amp;IF(AND(ISNUMBER(M16),N16="Mínima cuantía"),IF(M16&gt;39850000,"Mínima cuantía con valor superior al tope citado en el instructivo 2026 ($39.850.000): verificar modalidad; ",""),"")&amp;IF(AND(ISNUMBER(M16),OR(ISNUMBER(SEARCH("prestación de servicios",D16)),ISNUMBER(SEARCH("prestar servicios",D16)),ISNUMBER(SEARCH("prestar los servicios",D16)))),IF(M16&gt;=500000000,"Prestación de servicios por $500 millones o más: posible error de digitación; ",""),""))=0,"Sin observaciones",IF(OR(NOT(ISNUMBER(B16)),LEN(B16)&lt;&gt;8),"UNSPSC vacío, en texto, con varios códigos o sin 8 dígitos; ","")&amp;IF(AND(ISNUMBER(B16),LEN(B16)=8),IF(MOD(B16,10000)=0,"UNSPSC a nivel de segmento o familia; ",""),"")&amp;IF(NOT(ISNUMBER(E16)),"Duración vacía o en texto; ","")&amp;IF(NOT(ISNUMBER(G16)),"Valor vacío o en texto; ","")&amp;IF(ISNUMBER(M16),IF(M16&lt;1000000,"Valor inferior a $1.000.000: verificar; ",""),"Valor no interpretable; ")&amp;IF(N16="[PENDIENTE DE VERIFICAR]","Modalidad no identificable; ","")&amp;IF(OR(ISERROR(SEARCH("@itc.edu.co",J16)),SUMPRODUCT(--ISNUMBER(SEARCH({"á","é","í","ó","ú","ñ"},J16)))&gt;0),"Correo vacío o no institucional válido; ","")&amp;IF(LEN(TRIM(D16))=0,"Sin objeto contractual; ","")&amp;IF(AND(ISNUMBER(M16),N16="Mínima cuantía"),IF(M16&gt;39850000,"Mínima cuantía con valor superior al tope citado en el instructivo 2026 ($39.850.000): verificar modalidad; ",""),"")&amp;IF(AND(ISNUMBER(M16),OR(ISNUMBER(SEARCH("prestación de servicios",D16)),ISNUMBER(SEARCH("prestar servicios",D16)),ISNUMBER(SEARCH("prestar los servicios",D16)))),IF(M16&gt;=500000000,"Prestación de servicios por $500 millones o más: posible error de digitación; ",""),""))</f>
        <v>Sin observaciones</v>
      </c>
    </row>
    <row r="17" spans="1:15" ht="57" x14ac:dyDescent="0.3">
      <c r="A17" s="15" t="s">
        <v>827</v>
      </c>
      <c r="B17" s="15">
        <v>80111600</v>
      </c>
      <c r="C17" s="15" t="s">
        <v>828</v>
      </c>
      <c r="D17" s="15" t="s">
        <v>829</v>
      </c>
      <c r="E17" s="15">
        <v>11</v>
      </c>
      <c r="F17" s="15" t="s">
        <v>802</v>
      </c>
      <c r="G17" s="29">
        <v>52800000</v>
      </c>
      <c r="H17" s="15" t="s">
        <v>812</v>
      </c>
      <c r="I17" s="15"/>
      <c r="J17" s="15" t="s">
        <v>813</v>
      </c>
      <c r="K17" s="15">
        <v>12</v>
      </c>
      <c r="L17" s="30" t="s">
        <v>814</v>
      </c>
      <c r="M17" s="31">
        <v>52800000</v>
      </c>
      <c r="N17" s="30" t="s">
        <v>803</v>
      </c>
      <c r="O17" s="30" t="str">
        <f>IF(LEN(IF(OR(NOT(ISNUMBER(B17)),LEN(B17)&lt;&gt;8),"UNSPSC vacío, en texto, con varios códigos o sin 8 dígitos; ","")&amp;IF(AND(ISNUMBER(B17),LEN(B17)=8),IF(MOD(B17,10000)=0,"UNSPSC a nivel de segmento o familia; ",""),"")&amp;IF(NOT(ISNUMBER(E17)),"Duración vacía o en texto; ","")&amp;IF(NOT(ISNUMBER(G17)),"Valor vacío o en texto; ","")&amp;IF(ISNUMBER(M17),IF(M17&lt;1000000,"Valor inferior a $1.000.000: verificar; ",""),"Valor no interpretable; ")&amp;IF(N17="[PENDIENTE DE VERIFICAR]","Modalidad no identificable; ","")&amp;IF(OR(ISERROR(SEARCH("@itc.edu.co",J17)),SUMPRODUCT(--ISNUMBER(SEARCH({"á","é","í","ó","ú","ñ"},J17)))&gt;0),"Correo vacío o no institucional válido; ","")&amp;IF(LEN(TRIM(D17))=0,"Sin objeto contractual; ","")&amp;IF(AND(ISNUMBER(M17),N17="Mínima cuantía"),IF(M17&gt;39850000,"Mínima cuantía con valor superior al tope citado en el instructivo 2026 ($39.850.000): verificar modalidad; ",""),"")&amp;IF(AND(ISNUMBER(M17),OR(ISNUMBER(SEARCH("prestación de servicios",D17)),ISNUMBER(SEARCH("prestar servicios",D17)),ISNUMBER(SEARCH("prestar los servicios",D17)))),IF(M17&gt;=500000000,"Prestación de servicios por $500 millones o más: posible error de digitación; ",""),""))=0,"Sin observaciones",IF(OR(NOT(ISNUMBER(B17)),LEN(B17)&lt;&gt;8),"UNSPSC vacío, en texto, con varios códigos o sin 8 dígitos; ","")&amp;IF(AND(ISNUMBER(B17),LEN(B17)=8),IF(MOD(B17,10000)=0,"UNSPSC a nivel de segmento o familia; ",""),"")&amp;IF(NOT(ISNUMBER(E17)),"Duración vacía o en texto; ","")&amp;IF(NOT(ISNUMBER(G17)),"Valor vacío o en texto; ","")&amp;IF(ISNUMBER(M17),IF(M17&lt;1000000,"Valor inferior a $1.000.000: verificar; ",""),"Valor no interpretable; ")&amp;IF(N17="[PENDIENTE DE VERIFICAR]","Modalidad no identificable; ","")&amp;IF(OR(ISERROR(SEARCH("@itc.edu.co",J17)),SUMPRODUCT(--ISNUMBER(SEARCH({"á","é","í","ó","ú","ñ"},J17)))&gt;0),"Correo vacío o no institucional válido; ","")&amp;IF(LEN(TRIM(D17))=0,"Sin objeto contractual; ","")&amp;IF(AND(ISNUMBER(M17),N17="Mínima cuantía"),IF(M17&gt;39850000,"Mínima cuantía con valor superior al tope citado en el instructivo 2026 ($39.850.000): verificar modalidad; ",""),"")&amp;IF(AND(ISNUMBER(M17),OR(ISNUMBER(SEARCH("prestación de servicios",D17)),ISNUMBER(SEARCH("prestar servicios",D17)),ISNUMBER(SEARCH("prestar los servicios",D17)))),IF(M17&gt;=500000000,"Prestación de servicios por $500 millones o más: posible error de digitación; ",""),""))</f>
        <v>Sin observaciones</v>
      </c>
    </row>
    <row r="18" spans="1:15" ht="45.6" x14ac:dyDescent="0.3">
      <c r="A18" s="15" t="s">
        <v>830</v>
      </c>
      <c r="B18" s="15">
        <v>80111600</v>
      </c>
      <c r="C18" s="15" t="s">
        <v>831</v>
      </c>
      <c r="D18" s="15" t="s">
        <v>832</v>
      </c>
      <c r="E18" s="15">
        <v>11</v>
      </c>
      <c r="F18" s="15" t="s">
        <v>802</v>
      </c>
      <c r="G18" s="29">
        <v>41800000</v>
      </c>
      <c r="H18" s="15" t="s">
        <v>812</v>
      </c>
      <c r="I18" s="15"/>
      <c r="J18" s="15" t="s">
        <v>813</v>
      </c>
      <c r="K18" s="15">
        <v>13</v>
      </c>
      <c r="L18" s="30" t="s">
        <v>814</v>
      </c>
      <c r="M18" s="31">
        <v>41800000</v>
      </c>
      <c r="N18" s="30" t="s">
        <v>803</v>
      </c>
      <c r="O18" s="30" t="str">
        <f>IF(LEN(IF(OR(NOT(ISNUMBER(B18)),LEN(B18)&lt;&gt;8),"UNSPSC vacío, en texto, con varios códigos o sin 8 dígitos; ","")&amp;IF(AND(ISNUMBER(B18),LEN(B18)=8),IF(MOD(B18,10000)=0,"UNSPSC a nivel de segmento o familia; ",""),"")&amp;IF(NOT(ISNUMBER(E18)),"Duración vacía o en texto; ","")&amp;IF(NOT(ISNUMBER(G18)),"Valor vacío o en texto; ","")&amp;IF(ISNUMBER(M18),IF(M18&lt;1000000,"Valor inferior a $1.000.000: verificar; ",""),"Valor no interpretable; ")&amp;IF(N18="[PENDIENTE DE VERIFICAR]","Modalidad no identificable; ","")&amp;IF(OR(ISERROR(SEARCH("@itc.edu.co",J18)),SUMPRODUCT(--ISNUMBER(SEARCH({"á","é","í","ó","ú","ñ"},J18)))&gt;0),"Correo vacío o no institucional válido; ","")&amp;IF(LEN(TRIM(D18))=0,"Sin objeto contractual; ","")&amp;IF(AND(ISNUMBER(M18),N18="Mínima cuantía"),IF(M18&gt;39850000,"Mínima cuantía con valor superior al tope citado en el instructivo 2026 ($39.850.000): verificar modalidad; ",""),"")&amp;IF(AND(ISNUMBER(M18),OR(ISNUMBER(SEARCH("prestación de servicios",D18)),ISNUMBER(SEARCH("prestar servicios",D18)),ISNUMBER(SEARCH("prestar los servicios",D18)))),IF(M18&gt;=500000000,"Prestación de servicios por $500 millones o más: posible error de digitación; ",""),""))=0,"Sin observaciones",IF(OR(NOT(ISNUMBER(B18)),LEN(B18)&lt;&gt;8),"UNSPSC vacío, en texto, con varios códigos o sin 8 dígitos; ","")&amp;IF(AND(ISNUMBER(B18),LEN(B18)=8),IF(MOD(B18,10000)=0,"UNSPSC a nivel de segmento o familia; ",""),"")&amp;IF(NOT(ISNUMBER(E18)),"Duración vacía o en texto; ","")&amp;IF(NOT(ISNUMBER(G18)),"Valor vacío o en texto; ","")&amp;IF(ISNUMBER(M18),IF(M18&lt;1000000,"Valor inferior a $1.000.000: verificar; ",""),"Valor no interpretable; ")&amp;IF(N18="[PENDIENTE DE VERIFICAR]","Modalidad no identificable; ","")&amp;IF(OR(ISERROR(SEARCH("@itc.edu.co",J18)),SUMPRODUCT(--ISNUMBER(SEARCH({"á","é","í","ó","ú","ñ"},J18)))&gt;0),"Correo vacío o no institucional válido; ","")&amp;IF(LEN(TRIM(D18))=0,"Sin objeto contractual; ","")&amp;IF(AND(ISNUMBER(M18),N18="Mínima cuantía"),IF(M18&gt;39850000,"Mínima cuantía con valor superior al tope citado en el instructivo 2026 ($39.850.000): verificar modalidad; ",""),"")&amp;IF(AND(ISNUMBER(M18),OR(ISNUMBER(SEARCH("prestación de servicios",D18)),ISNUMBER(SEARCH("prestar servicios",D18)),ISNUMBER(SEARCH("prestar los servicios",D18)))),IF(M18&gt;=500000000,"Prestación de servicios por $500 millones o más: posible error de digitación; ",""),""))</f>
        <v>Sin observaciones</v>
      </c>
    </row>
    <row r="19" spans="1:15" ht="68.400000000000006" x14ac:dyDescent="0.3">
      <c r="A19" s="15" t="s">
        <v>833</v>
      </c>
      <c r="B19" s="15">
        <v>80111600</v>
      </c>
      <c r="C19" s="15" t="s">
        <v>834</v>
      </c>
      <c r="D19" s="15" t="s">
        <v>835</v>
      </c>
      <c r="E19" s="15">
        <v>11</v>
      </c>
      <c r="F19" s="15" t="s">
        <v>802</v>
      </c>
      <c r="G19" s="29">
        <v>52800000</v>
      </c>
      <c r="H19" s="15" t="s">
        <v>812</v>
      </c>
      <c r="I19" s="15"/>
      <c r="J19" s="15" t="s">
        <v>813</v>
      </c>
      <c r="K19" s="15">
        <v>14</v>
      </c>
      <c r="L19" s="30" t="s">
        <v>814</v>
      </c>
      <c r="M19" s="31">
        <v>52800000</v>
      </c>
      <c r="N19" s="30" t="s">
        <v>803</v>
      </c>
      <c r="O19" s="30" t="str">
        <f>IF(LEN(IF(OR(NOT(ISNUMBER(B19)),LEN(B19)&lt;&gt;8),"UNSPSC vacío, en texto, con varios códigos o sin 8 dígitos; ","")&amp;IF(AND(ISNUMBER(B19),LEN(B19)=8),IF(MOD(B19,10000)=0,"UNSPSC a nivel de segmento o familia; ",""),"")&amp;IF(NOT(ISNUMBER(E19)),"Duración vacía o en texto; ","")&amp;IF(NOT(ISNUMBER(G19)),"Valor vacío o en texto; ","")&amp;IF(ISNUMBER(M19),IF(M19&lt;1000000,"Valor inferior a $1.000.000: verificar; ",""),"Valor no interpretable; ")&amp;IF(N19="[PENDIENTE DE VERIFICAR]","Modalidad no identificable; ","")&amp;IF(OR(ISERROR(SEARCH("@itc.edu.co",J19)),SUMPRODUCT(--ISNUMBER(SEARCH({"á","é","í","ó","ú","ñ"},J19)))&gt;0),"Correo vacío o no institucional válido; ","")&amp;IF(LEN(TRIM(D19))=0,"Sin objeto contractual; ","")&amp;IF(AND(ISNUMBER(M19),N19="Mínima cuantía"),IF(M19&gt;39850000,"Mínima cuantía con valor superior al tope citado en el instructivo 2026 ($39.850.000): verificar modalidad; ",""),"")&amp;IF(AND(ISNUMBER(M19),OR(ISNUMBER(SEARCH("prestación de servicios",D19)),ISNUMBER(SEARCH("prestar servicios",D19)),ISNUMBER(SEARCH("prestar los servicios",D19)))),IF(M19&gt;=500000000,"Prestación de servicios por $500 millones o más: posible error de digitación; ",""),""))=0,"Sin observaciones",IF(OR(NOT(ISNUMBER(B19)),LEN(B19)&lt;&gt;8),"UNSPSC vacío, en texto, con varios códigos o sin 8 dígitos; ","")&amp;IF(AND(ISNUMBER(B19),LEN(B19)=8),IF(MOD(B19,10000)=0,"UNSPSC a nivel de segmento o familia; ",""),"")&amp;IF(NOT(ISNUMBER(E19)),"Duración vacía o en texto; ","")&amp;IF(NOT(ISNUMBER(G19)),"Valor vacío o en texto; ","")&amp;IF(ISNUMBER(M19),IF(M19&lt;1000000,"Valor inferior a $1.000.000: verificar; ",""),"Valor no interpretable; ")&amp;IF(N19="[PENDIENTE DE VERIFICAR]","Modalidad no identificable; ","")&amp;IF(OR(ISERROR(SEARCH("@itc.edu.co",J19)),SUMPRODUCT(--ISNUMBER(SEARCH({"á","é","í","ó","ú","ñ"},J19)))&gt;0),"Correo vacío o no institucional válido; ","")&amp;IF(LEN(TRIM(D19))=0,"Sin objeto contractual; ","")&amp;IF(AND(ISNUMBER(M19),N19="Mínima cuantía"),IF(M19&gt;39850000,"Mínima cuantía con valor superior al tope citado en el instructivo 2026 ($39.850.000): verificar modalidad; ",""),"")&amp;IF(AND(ISNUMBER(M19),OR(ISNUMBER(SEARCH("prestación de servicios",D19)),ISNUMBER(SEARCH("prestar servicios",D19)),ISNUMBER(SEARCH("prestar los servicios",D19)))),IF(M19&gt;=500000000,"Prestación de servicios por $500 millones o más: posible error de digitación; ",""),""))</f>
        <v>Sin observaciones</v>
      </c>
    </row>
    <row r="20" spans="1:15" ht="68.400000000000006" x14ac:dyDescent="0.3">
      <c r="A20" s="15" t="s">
        <v>836</v>
      </c>
      <c r="B20" s="15">
        <v>811112208</v>
      </c>
      <c r="C20" s="15" t="s">
        <v>837</v>
      </c>
      <c r="D20" s="15" t="s">
        <v>838</v>
      </c>
      <c r="E20" s="15">
        <v>11</v>
      </c>
      <c r="F20" s="15" t="s">
        <v>802</v>
      </c>
      <c r="G20" s="29">
        <v>52800000</v>
      </c>
      <c r="H20" s="15" t="s">
        <v>839</v>
      </c>
      <c r="I20" s="15"/>
      <c r="J20" s="15" t="s">
        <v>840</v>
      </c>
      <c r="K20" s="15">
        <v>15</v>
      </c>
      <c r="L20" s="30" t="s">
        <v>841</v>
      </c>
      <c r="M20" s="31">
        <v>52800000</v>
      </c>
      <c r="N20" s="30" t="s">
        <v>803</v>
      </c>
      <c r="O20" s="30" t="str">
        <f>IF(LEN(IF(OR(NOT(ISNUMBER(B20)),LEN(B20)&lt;&gt;8),"UNSPSC vacío, en texto, con varios códigos o sin 8 dígitos; ","")&amp;IF(AND(ISNUMBER(B20),LEN(B20)=8),IF(MOD(B20,10000)=0,"UNSPSC a nivel de segmento o familia; ",""),"")&amp;IF(NOT(ISNUMBER(E20)),"Duración vacía o en texto; ","")&amp;IF(NOT(ISNUMBER(G20)),"Valor vacío o en texto; ","")&amp;IF(ISNUMBER(M20),IF(M20&lt;1000000,"Valor inferior a $1.000.000: verificar; ",""),"Valor no interpretable; ")&amp;IF(N20="[PENDIENTE DE VERIFICAR]","Modalidad no identificable; ","")&amp;IF(OR(ISERROR(SEARCH("@itc.edu.co",J20)),SUMPRODUCT(--ISNUMBER(SEARCH({"á","é","í","ó","ú","ñ"},J20)))&gt;0),"Correo vacío o no institucional válido; ","")&amp;IF(LEN(TRIM(D20))=0,"Sin objeto contractual; ","")&amp;IF(AND(ISNUMBER(M20),N20="Mínima cuantía"),IF(M20&gt;39850000,"Mínima cuantía con valor superior al tope citado en el instructivo 2026 ($39.850.000): verificar modalidad; ",""),"")&amp;IF(AND(ISNUMBER(M20),OR(ISNUMBER(SEARCH("prestación de servicios",D20)),ISNUMBER(SEARCH("prestar servicios",D20)),ISNUMBER(SEARCH("prestar los servicios",D20)))),IF(M20&gt;=500000000,"Prestación de servicios por $500 millones o más: posible error de digitación; ",""),""))=0,"Sin observaciones",IF(OR(NOT(ISNUMBER(B20)),LEN(B20)&lt;&gt;8),"UNSPSC vacío, en texto, con varios códigos o sin 8 dígitos; ","")&amp;IF(AND(ISNUMBER(B20),LEN(B20)=8),IF(MOD(B20,10000)=0,"UNSPSC a nivel de segmento o familia; ",""),"")&amp;IF(NOT(ISNUMBER(E20)),"Duración vacía o en texto; ","")&amp;IF(NOT(ISNUMBER(G20)),"Valor vacío o en texto; ","")&amp;IF(ISNUMBER(M20),IF(M20&lt;1000000,"Valor inferior a $1.000.000: verificar; ",""),"Valor no interpretable; ")&amp;IF(N20="[PENDIENTE DE VERIFICAR]","Modalidad no identificable; ","")&amp;IF(OR(ISERROR(SEARCH("@itc.edu.co",J20)),SUMPRODUCT(--ISNUMBER(SEARCH({"á","é","í","ó","ú","ñ"},J20)))&gt;0),"Correo vacío o no institucional válido; ","")&amp;IF(LEN(TRIM(D20))=0,"Sin objeto contractual; ","")&amp;IF(AND(ISNUMBER(M20),N20="Mínima cuantía"),IF(M20&gt;39850000,"Mínima cuantía con valor superior al tope citado en el instructivo 2026 ($39.850.000): verificar modalidad; ",""),"")&amp;IF(AND(ISNUMBER(M20),OR(ISNUMBER(SEARCH("prestación de servicios",D20)),ISNUMBER(SEARCH("prestar servicios",D20)),ISNUMBER(SEARCH("prestar los servicios",D20)))),IF(M20&gt;=500000000,"Prestación de servicios por $500 millones o más: posible error de digitación; ",""),""))</f>
        <v xml:space="preserve">UNSPSC vacío, en texto, con varios códigos o sin 8 dígitos; </v>
      </c>
    </row>
    <row r="21" spans="1:15" ht="57" x14ac:dyDescent="0.3">
      <c r="A21" s="15" t="s">
        <v>842</v>
      </c>
      <c r="B21" s="15">
        <v>80111600</v>
      </c>
      <c r="C21" s="15" t="s">
        <v>843</v>
      </c>
      <c r="D21" s="15" t="s">
        <v>844</v>
      </c>
      <c r="E21" s="15">
        <v>11</v>
      </c>
      <c r="F21" s="15" t="s">
        <v>802</v>
      </c>
      <c r="G21" s="29">
        <v>52800000</v>
      </c>
      <c r="H21" s="15" t="s">
        <v>812</v>
      </c>
      <c r="I21" s="15"/>
      <c r="J21" s="15" t="s">
        <v>813</v>
      </c>
      <c r="K21" s="15">
        <v>16</v>
      </c>
      <c r="L21" s="30" t="s">
        <v>814</v>
      </c>
      <c r="M21" s="31">
        <v>52800000</v>
      </c>
      <c r="N21" s="30" t="s">
        <v>803</v>
      </c>
      <c r="O21" s="30" t="str">
        <f>IF(LEN(IF(OR(NOT(ISNUMBER(B21)),LEN(B21)&lt;&gt;8),"UNSPSC vacío, en texto, con varios códigos o sin 8 dígitos; ","")&amp;IF(AND(ISNUMBER(B21),LEN(B21)=8),IF(MOD(B21,10000)=0,"UNSPSC a nivel de segmento o familia; ",""),"")&amp;IF(NOT(ISNUMBER(E21)),"Duración vacía o en texto; ","")&amp;IF(NOT(ISNUMBER(G21)),"Valor vacío o en texto; ","")&amp;IF(ISNUMBER(M21),IF(M21&lt;1000000,"Valor inferior a $1.000.000: verificar; ",""),"Valor no interpretable; ")&amp;IF(N21="[PENDIENTE DE VERIFICAR]","Modalidad no identificable; ","")&amp;IF(OR(ISERROR(SEARCH("@itc.edu.co",J21)),SUMPRODUCT(--ISNUMBER(SEARCH({"á","é","í","ó","ú","ñ"},J21)))&gt;0),"Correo vacío o no institucional válido; ","")&amp;IF(LEN(TRIM(D21))=0,"Sin objeto contractual; ","")&amp;IF(AND(ISNUMBER(M21),N21="Mínima cuantía"),IF(M21&gt;39850000,"Mínima cuantía con valor superior al tope citado en el instructivo 2026 ($39.850.000): verificar modalidad; ",""),"")&amp;IF(AND(ISNUMBER(M21),OR(ISNUMBER(SEARCH("prestación de servicios",D21)),ISNUMBER(SEARCH("prestar servicios",D21)),ISNUMBER(SEARCH("prestar los servicios",D21)))),IF(M21&gt;=500000000,"Prestación de servicios por $500 millones o más: posible error de digitación; ",""),""))=0,"Sin observaciones",IF(OR(NOT(ISNUMBER(B21)),LEN(B21)&lt;&gt;8),"UNSPSC vacío, en texto, con varios códigos o sin 8 dígitos; ","")&amp;IF(AND(ISNUMBER(B21),LEN(B21)=8),IF(MOD(B21,10000)=0,"UNSPSC a nivel de segmento o familia; ",""),"")&amp;IF(NOT(ISNUMBER(E21)),"Duración vacía o en texto; ","")&amp;IF(NOT(ISNUMBER(G21)),"Valor vacío o en texto; ","")&amp;IF(ISNUMBER(M21),IF(M21&lt;1000000,"Valor inferior a $1.000.000: verificar; ",""),"Valor no interpretable; ")&amp;IF(N21="[PENDIENTE DE VERIFICAR]","Modalidad no identificable; ","")&amp;IF(OR(ISERROR(SEARCH("@itc.edu.co",J21)),SUMPRODUCT(--ISNUMBER(SEARCH({"á","é","í","ó","ú","ñ"},J21)))&gt;0),"Correo vacío o no institucional válido; ","")&amp;IF(LEN(TRIM(D21))=0,"Sin objeto contractual; ","")&amp;IF(AND(ISNUMBER(M21),N21="Mínima cuantía"),IF(M21&gt;39850000,"Mínima cuantía con valor superior al tope citado en el instructivo 2026 ($39.850.000): verificar modalidad; ",""),"")&amp;IF(AND(ISNUMBER(M21),OR(ISNUMBER(SEARCH("prestación de servicios",D21)),ISNUMBER(SEARCH("prestar servicios",D21)),ISNUMBER(SEARCH("prestar los servicios",D21)))),IF(M21&gt;=500000000,"Prestación de servicios por $500 millones o más: posible error de digitación; ",""),""))</f>
        <v>Sin observaciones</v>
      </c>
    </row>
    <row r="22" spans="1:15" ht="68.400000000000006" x14ac:dyDescent="0.3">
      <c r="A22" s="15" t="s">
        <v>845</v>
      </c>
      <c r="B22" s="15">
        <v>80111600</v>
      </c>
      <c r="C22" s="15" t="s">
        <v>846</v>
      </c>
      <c r="D22" s="15" t="s">
        <v>847</v>
      </c>
      <c r="E22" s="15">
        <v>11</v>
      </c>
      <c r="F22" s="15" t="s">
        <v>802</v>
      </c>
      <c r="G22" s="29"/>
      <c r="H22" s="15" t="s">
        <v>812</v>
      </c>
      <c r="I22" s="15"/>
      <c r="J22" s="15" t="s">
        <v>813</v>
      </c>
      <c r="K22" s="15">
        <v>17</v>
      </c>
      <c r="L22" s="30" t="s">
        <v>814</v>
      </c>
      <c r="M22" s="31"/>
      <c r="N22" s="30" t="s">
        <v>803</v>
      </c>
      <c r="O22" s="30" t="str">
        <f>IF(LEN(IF(OR(NOT(ISNUMBER(B22)),LEN(B22)&lt;&gt;8),"UNSPSC vacío, en texto, con varios códigos o sin 8 dígitos; ","")&amp;IF(AND(ISNUMBER(B22),LEN(B22)=8),IF(MOD(B22,10000)=0,"UNSPSC a nivel de segmento o familia; ",""),"")&amp;IF(NOT(ISNUMBER(E22)),"Duración vacía o en texto; ","")&amp;IF(NOT(ISNUMBER(G22)),"Valor vacío o en texto; ","")&amp;IF(ISNUMBER(M22),IF(M22&lt;1000000,"Valor inferior a $1.000.000: verificar; ",""),"Valor no interpretable; ")&amp;IF(N22="[PENDIENTE DE VERIFICAR]","Modalidad no identificable; ","")&amp;IF(OR(ISERROR(SEARCH("@itc.edu.co",J22)),SUMPRODUCT(--ISNUMBER(SEARCH({"á","é","í","ó","ú","ñ"},J22)))&gt;0),"Correo vacío o no institucional válido; ","")&amp;IF(LEN(TRIM(D22))=0,"Sin objeto contractual; ","")&amp;IF(AND(ISNUMBER(M22),N22="Mínima cuantía"),IF(M22&gt;39850000,"Mínima cuantía con valor superior al tope citado en el instructivo 2026 ($39.850.000): verificar modalidad; ",""),"")&amp;IF(AND(ISNUMBER(M22),OR(ISNUMBER(SEARCH("prestación de servicios",D22)),ISNUMBER(SEARCH("prestar servicios",D22)),ISNUMBER(SEARCH("prestar los servicios",D22)))),IF(M22&gt;=500000000,"Prestación de servicios por $500 millones o más: posible error de digitación; ",""),""))=0,"Sin observaciones",IF(OR(NOT(ISNUMBER(B22)),LEN(B22)&lt;&gt;8),"UNSPSC vacío, en texto, con varios códigos o sin 8 dígitos; ","")&amp;IF(AND(ISNUMBER(B22),LEN(B22)=8),IF(MOD(B22,10000)=0,"UNSPSC a nivel de segmento o familia; ",""),"")&amp;IF(NOT(ISNUMBER(E22)),"Duración vacía o en texto; ","")&amp;IF(NOT(ISNUMBER(G22)),"Valor vacío o en texto; ","")&amp;IF(ISNUMBER(M22),IF(M22&lt;1000000,"Valor inferior a $1.000.000: verificar; ",""),"Valor no interpretable; ")&amp;IF(N22="[PENDIENTE DE VERIFICAR]","Modalidad no identificable; ","")&amp;IF(OR(ISERROR(SEARCH("@itc.edu.co",J22)),SUMPRODUCT(--ISNUMBER(SEARCH({"á","é","í","ó","ú","ñ"},J22)))&gt;0),"Correo vacío o no institucional válido; ","")&amp;IF(LEN(TRIM(D22))=0,"Sin objeto contractual; ","")&amp;IF(AND(ISNUMBER(M22),N22="Mínima cuantía"),IF(M22&gt;39850000,"Mínima cuantía con valor superior al tope citado en el instructivo 2026 ($39.850.000): verificar modalidad; ",""),"")&amp;IF(AND(ISNUMBER(M22),OR(ISNUMBER(SEARCH("prestación de servicios",D22)),ISNUMBER(SEARCH("prestar servicios",D22)),ISNUMBER(SEARCH("prestar los servicios",D22)))),IF(M22&gt;=500000000,"Prestación de servicios por $500 millones o más: posible error de digitación; ",""),""))</f>
        <v xml:space="preserve">Valor vacío o en texto; Valor no interpretable; </v>
      </c>
    </row>
    <row r="23" spans="1:15" ht="114" x14ac:dyDescent="0.3">
      <c r="A23" s="15" t="s">
        <v>450</v>
      </c>
      <c r="B23" s="15">
        <v>80111607</v>
      </c>
      <c r="C23" s="15" t="s">
        <v>451</v>
      </c>
      <c r="D23" s="15" t="s">
        <v>848</v>
      </c>
      <c r="E23" s="15">
        <v>11</v>
      </c>
      <c r="F23" s="15" t="s">
        <v>802</v>
      </c>
      <c r="G23" s="29">
        <v>69600000</v>
      </c>
      <c r="H23" s="15" t="s">
        <v>849</v>
      </c>
      <c r="I23" s="15"/>
      <c r="J23" s="15"/>
      <c r="K23" s="15">
        <v>18</v>
      </c>
      <c r="L23" s="30" t="s">
        <v>850</v>
      </c>
      <c r="M23" s="31">
        <v>69600000</v>
      </c>
      <c r="N23" s="30" t="s">
        <v>803</v>
      </c>
      <c r="O23" s="30" t="str">
        <f>IF(LEN(IF(OR(NOT(ISNUMBER(B23)),LEN(B23)&lt;&gt;8),"UNSPSC vacío, en texto, con varios códigos o sin 8 dígitos; ","")&amp;IF(AND(ISNUMBER(B23),LEN(B23)=8),IF(MOD(B23,10000)=0,"UNSPSC a nivel de segmento o familia; ",""),"")&amp;IF(NOT(ISNUMBER(E23)),"Duración vacía o en texto; ","")&amp;IF(NOT(ISNUMBER(G23)),"Valor vacío o en texto; ","")&amp;IF(ISNUMBER(M23),IF(M23&lt;1000000,"Valor inferior a $1.000.000: verificar; ",""),"Valor no interpretable; ")&amp;IF(N23="[PENDIENTE DE VERIFICAR]","Modalidad no identificable; ","")&amp;IF(OR(ISERROR(SEARCH("@itc.edu.co",J23)),SUMPRODUCT(--ISNUMBER(SEARCH({"á","é","í","ó","ú","ñ"},J23)))&gt;0),"Correo vacío o no institucional válido; ","")&amp;IF(LEN(TRIM(D23))=0,"Sin objeto contractual; ","")&amp;IF(AND(ISNUMBER(M23),N23="Mínima cuantía"),IF(M23&gt;39850000,"Mínima cuantía con valor superior al tope citado en el instructivo 2026 ($39.850.000): verificar modalidad; ",""),"")&amp;IF(AND(ISNUMBER(M23),OR(ISNUMBER(SEARCH("prestación de servicios",D23)),ISNUMBER(SEARCH("prestar servicios",D23)),ISNUMBER(SEARCH("prestar los servicios",D23)))),IF(M23&gt;=500000000,"Prestación de servicios por $500 millones o más: posible error de digitación; ",""),""))=0,"Sin observaciones",IF(OR(NOT(ISNUMBER(B23)),LEN(B23)&lt;&gt;8),"UNSPSC vacío, en texto, con varios códigos o sin 8 dígitos; ","")&amp;IF(AND(ISNUMBER(B23),LEN(B23)=8),IF(MOD(B23,10000)=0,"UNSPSC a nivel de segmento o familia; ",""),"")&amp;IF(NOT(ISNUMBER(E23)),"Duración vacía o en texto; ","")&amp;IF(NOT(ISNUMBER(G23)),"Valor vacío o en texto; ","")&amp;IF(ISNUMBER(M23),IF(M23&lt;1000000,"Valor inferior a $1.000.000: verificar; ",""),"Valor no interpretable; ")&amp;IF(N23="[PENDIENTE DE VERIFICAR]","Modalidad no identificable; ","")&amp;IF(OR(ISERROR(SEARCH("@itc.edu.co",J23)),SUMPRODUCT(--ISNUMBER(SEARCH({"á","é","í","ó","ú","ñ"},J23)))&gt;0),"Correo vacío o no institucional válido; ","")&amp;IF(LEN(TRIM(D23))=0,"Sin objeto contractual; ","")&amp;IF(AND(ISNUMBER(M23),N23="Mínima cuantía"),IF(M23&gt;39850000,"Mínima cuantía con valor superior al tope citado en el instructivo 2026 ($39.850.000): verificar modalidad; ",""),"")&amp;IF(AND(ISNUMBER(M23),OR(ISNUMBER(SEARCH("prestación de servicios",D23)),ISNUMBER(SEARCH("prestar servicios",D23)),ISNUMBER(SEARCH("prestar los servicios",D23)))),IF(M23&gt;=500000000,"Prestación de servicios por $500 millones o más: posible error de digitación; ",""),""))</f>
        <v xml:space="preserve">Correo vacío o no institucional válido; </v>
      </c>
    </row>
    <row r="24" spans="1:15" ht="102.6" x14ac:dyDescent="0.3">
      <c r="A24" s="15" t="s">
        <v>851</v>
      </c>
      <c r="B24" s="15">
        <v>80111607</v>
      </c>
      <c r="C24" s="15" t="s">
        <v>451</v>
      </c>
      <c r="D24" s="15" t="s">
        <v>852</v>
      </c>
      <c r="E24" s="15">
        <v>11</v>
      </c>
      <c r="F24" s="15" t="s">
        <v>802</v>
      </c>
      <c r="G24" s="29">
        <v>69600000</v>
      </c>
      <c r="H24" s="15" t="s">
        <v>853</v>
      </c>
      <c r="I24" s="15"/>
      <c r="J24" s="15"/>
      <c r="K24" s="15">
        <v>19</v>
      </c>
      <c r="L24" s="30" t="s">
        <v>850</v>
      </c>
      <c r="M24" s="31">
        <v>69600000</v>
      </c>
      <c r="N24" s="30" t="s">
        <v>803</v>
      </c>
      <c r="O24" s="30" t="str">
        <f>IF(LEN(IF(OR(NOT(ISNUMBER(B24)),LEN(B24)&lt;&gt;8),"UNSPSC vacío, en texto, con varios códigos o sin 8 dígitos; ","")&amp;IF(AND(ISNUMBER(B24),LEN(B24)=8),IF(MOD(B24,10000)=0,"UNSPSC a nivel de segmento o familia; ",""),"")&amp;IF(NOT(ISNUMBER(E24)),"Duración vacía o en texto; ","")&amp;IF(NOT(ISNUMBER(G24)),"Valor vacío o en texto; ","")&amp;IF(ISNUMBER(M24),IF(M24&lt;1000000,"Valor inferior a $1.000.000: verificar; ",""),"Valor no interpretable; ")&amp;IF(N24="[PENDIENTE DE VERIFICAR]","Modalidad no identificable; ","")&amp;IF(OR(ISERROR(SEARCH("@itc.edu.co",J24)),SUMPRODUCT(--ISNUMBER(SEARCH({"á","é","í","ó","ú","ñ"},J24)))&gt;0),"Correo vacío o no institucional válido; ","")&amp;IF(LEN(TRIM(D24))=0,"Sin objeto contractual; ","")&amp;IF(AND(ISNUMBER(M24),N24="Mínima cuantía"),IF(M24&gt;39850000,"Mínima cuantía con valor superior al tope citado en el instructivo 2026 ($39.850.000): verificar modalidad; ",""),"")&amp;IF(AND(ISNUMBER(M24),OR(ISNUMBER(SEARCH("prestación de servicios",D24)),ISNUMBER(SEARCH("prestar servicios",D24)),ISNUMBER(SEARCH("prestar los servicios",D24)))),IF(M24&gt;=500000000,"Prestación de servicios por $500 millones o más: posible error de digitación; ",""),""))=0,"Sin observaciones",IF(OR(NOT(ISNUMBER(B24)),LEN(B24)&lt;&gt;8),"UNSPSC vacío, en texto, con varios códigos o sin 8 dígitos; ","")&amp;IF(AND(ISNUMBER(B24),LEN(B24)=8),IF(MOD(B24,10000)=0,"UNSPSC a nivel de segmento o familia; ",""),"")&amp;IF(NOT(ISNUMBER(E24)),"Duración vacía o en texto; ","")&amp;IF(NOT(ISNUMBER(G24)),"Valor vacío o en texto; ","")&amp;IF(ISNUMBER(M24),IF(M24&lt;1000000,"Valor inferior a $1.000.000: verificar; ",""),"Valor no interpretable; ")&amp;IF(N24="[PENDIENTE DE VERIFICAR]","Modalidad no identificable; ","")&amp;IF(OR(ISERROR(SEARCH("@itc.edu.co",J24)),SUMPRODUCT(--ISNUMBER(SEARCH({"á","é","í","ó","ú","ñ"},J24)))&gt;0),"Correo vacío o no institucional válido; ","")&amp;IF(LEN(TRIM(D24))=0,"Sin objeto contractual; ","")&amp;IF(AND(ISNUMBER(M24),N24="Mínima cuantía"),IF(M24&gt;39850000,"Mínima cuantía con valor superior al tope citado en el instructivo 2026 ($39.850.000): verificar modalidad; ",""),"")&amp;IF(AND(ISNUMBER(M24),OR(ISNUMBER(SEARCH("prestación de servicios",D24)),ISNUMBER(SEARCH("prestar servicios",D24)),ISNUMBER(SEARCH("prestar los servicios",D24)))),IF(M24&gt;=500000000,"Prestación de servicios por $500 millones o más: posible error de digitación; ",""),""))</f>
        <v xml:space="preserve">Correo vacío o no institucional válido; </v>
      </c>
    </row>
    <row r="25" spans="1:15" ht="45.6" x14ac:dyDescent="0.3">
      <c r="A25" s="15" t="s">
        <v>854</v>
      </c>
      <c r="B25" s="15">
        <v>80111600</v>
      </c>
      <c r="C25" s="15" t="s">
        <v>678</v>
      </c>
      <c r="D25" s="15" t="s">
        <v>855</v>
      </c>
      <c r="E25" s="15">
        <v>11</v>
      </c>
      <c r="F25" s="15" t="s">
        <v>802</v>
      </c>
      <c r="G25" s="29">
        <v>42928650</v>
      </c>
      <c r="H25" s="15" t="s">
        <v>849</v>
      </c>
      <c r="I25" s="15" t="s">
        <v>856</v>
      </c>
      <c r="J25" s="15" t="s">
        <v>857</v>
      </c>
      <c r="K25" s="15">
        <v>20</v>
      </c>
      <c r="L25" s="30" t="s">
        <v>858</v>
      </c>
      <c r="M25" s="31">
        <v>42928650</v>
      </c>
      <c r="N25" s="30" t="s">
        <v>803</v>
      </c>
      <c r="O25" s="30" t="str">
        <f>IF(LEN(IF(OR(NOT(ISNUMBER(B25)),LEN(B25)&lt;&gt;8),"UNSPSC vacío, en texto, con varios códigos o sin 8 dígitos; ","")&amp;IF(AND(ISNUMBER(B25),LEN(B25)=8),IF(MOD(B25,10000)=0,"UNSPSC a nivel de segmento o familia; ",""),"")&amp;IF(NOT(ISNUMBER(E25)),"Duración vacía o en texto; ","")&amp;IF(NOT(ISNUMBER(G25)),"Valor vacío o en texto; ","")&amp;IF(ISNUMBER(M25),IF(M25&lt;1000000,"Valor inferior a $1.000.000: verificar; ",""),"Valor no interpretable; ")&amp;IF(N25="[PENDIENTE DE VERIFICAR]","Modalidad no identificable; ","")&amp;IF(OR(ISERROR(SEARCH("@itc.edu.co",J25)),SUMPRODUCT(--ISNUMBER(SEARCH({"á","é","í","ó","ú","ñ"},J25)))&gt;0),"Correo vacío o no institucional válido; ","")&amp;IF(LEN(TRIM(D25))=0,"Sin objeto contractual; ","")&amp;IF(AND(ISNUMBER(M25),N25="Mínima cuantía"),IF(M25&gt;39850000,"Mínima cuantía con valor superior al tope citado en el instructivo 2026 ($39.850.000): verificar modalidad; ",""),"")&amp;IF(AND(ISNUMBER(M25),OR(ISNUMBER(SEARCH("prestación de servicios",D25)),ISNUMBER(SEARCH("prestar servicios",D25)),ISNUMBER(SEARCH("prestar los servicios",D25)))),IF(M25&gt;=500000000,"Prestación de servicios por $500 millones o más: posible error de digitación; ",""),""))=0,"Sin observaciones",IF(OR(NOT(ISNUMBER(B25)),LEN(B25)&lt;&gt;8),"UNSPSC vacío, en texto, con varios códigos o sin 8 dígitos; ","")&amp;IF(AND(ISNUMBER(B25),LEN(B25)=8),IF(MOD(B25,10000)=0,"UNSPSC a nivel de segmento o familia; ",""),"")&amp;IF(NOT(ISNUMBER(E25)),"Duración vacía o en texto; ","")&amp;IF(NOT(ISNUMBER(G25)),"Valor vacío o en texto; ","")&amp;IF(ISNUMBER(M25),IF(M25&lt;1000000,"Valor inferior a $1.000.000: verificar; ",""),"Valor no interpretable; ")&amp;IF(N25="[PENDIENTE DE VERIFICAR]","Modalidad no identificable; ","")&amp;IF(OR(ISERROR(SEARCH("@itc.edu.co",J25)),SUMPRODUCT(--ISNUMBER(SEARCH({"á","é","í","ó","ú","ñ"},J25)))&gt;0),"Correo vacío o no institucional válido; ","")&amp;IF(LEN(TRIM(D25))=0,"Sin objeto contractual; ","")&amp;IF(AND(ISNUMBER(M25),N25="Mínima cuantía"),IF(M25&gt;39850000,"Mínima cuantía con valor superior al tope citado en el instructivo 2026 ($39.850.000): verificar modalidad; ",""),"")&amp;IF(AND(ISNUMBER(M25),OR(ISNUMBER(SEARCH("prestación de servicios",D25)),ISNUMBER(SEARCH("prestar servicios",D25)),ISNUMBER(SEARCH("prestar los servicios",D25)))),IF(M25&gt;=500000000,"Prestación de servicios por $500 millones o más: posible error de digitación; ",""),""))</f>
        <v>Sin observaciones</v>
      </c>
    </row>
    <row r="26" spans="1:15" ht="57" x14ac:dyDescent="0.3">
      <c r="A26" s="15" t="s">
        <v>859</v>
      </c>
      <c r="B26" s="15">
        <v>80111600</v>
      </c>
      <c r="C26" s="15" t="s">
        <v>678</v>
      </c>
      <c r="D26" s="15" t="s">
        <v>860</v>
      </c>
      <c r="E26" s="15">
        <v>11</v>
      </c>
      <c r="F26" s="15" t="s">
        <v>802</v>
      </c>
      <c r="G26" s="29">
        <v>42928650</v>
      </c>
      <c r="H26" s="15" t="s">
        <v>849</v>
      </c>
      <c r="I26" s="15" t="s">
        <v>856</v>
      </c>
      <c r="J26" s="15" t="s">
        <v>857</v>
      </c>
      <c r="K26" s="15">
        <v>21</v>
      </c>
      <c r="L26" s="30" t="s">
        <v>858</v>
      </c>
      <c r="M26" s="31">
        <v>42928650</v>
      </c>
      <c r="N26" s="30" t="s">
        <v>803</v>
      </c>
      <c r="O26" s="30" t="str">
        <f>IF(LEN(IF(OR(NOT(ISNUMBER(B26)),LEN(B26)&lt;&gt;8),"UNSPSC vacío, en texto, con varios códigos o sin 8 dígitos; ","")&amp;IF(AND(ISNUMBER(B26),LEN(B26)=8),IF(MOD(B26,10000)=0,"UNSPSC a nivel de segmento o familia; ",""),"")&amp;IF(NOT(ISNUMBER(E26)),"Duración vacía o en texto; ","")&amp;IF(NOT(ISNUMBER(G26)),"Valor vacío o en texto; ","")&amp;IF(ISNUMBER(M26),IF(M26&lt;1000000,"Valor inferior a $1.000.000: verificar; ",""),"Valor no interpretable; ")&amp;IF(N26="[PENDIENTE DE VERIFICAR]","Modalidad no identificable; ","")&amp;IF(OR(ISERROR(SEARCH("@itc.edu.co",J26)),SUMPRODUCT(--ISNUMBER(SEARCH({"á","é","í","ó","ú","ñ"},J26)))&gt;0),"Correo vacío o no institucional válido; ","")&amp;IF(LEN(TRIM(D26))=0,"Sin objeto contractual; ","")&amp;IF(AND(ISNUMBER(M26),N26="Mínima cuantía"),IF(M26&gt;39850000,"Mínima cuantía con valor superior al tope citado en el instructivo 2026 ($39.850.000): verificar modalidad; ",""),"")&amp;IF(AND(ISNUMBER(M26),OR(ISNUMBER(SEARCH("prestación de servicios",D26)),ISNUMBER(SEARCH("prestar servicios",D26)),ISNUMBER(SEARCH("prestar los servicios",D26)))),IF(M26&gt;=500000000,"Prestación de servicios por $500 millones o más: posible error de digitación; ",""),""))=0,"Sin observaciones",IF(OR(NOT(ISNUMBER(B26)),LEN(B26)&lt;&gt;8),"UNSPSC vacío, en texto, con varios códigos o sin 8 dígitos; ","")&amp;IF(AND(ISNUMBER(B26),LEN(B26)=8),IF(MOD(B26,10000)=0,"UNSPSC a nivel de segmento o familia; ",""),"")&amp;IF(NOT(ISNUMBER(E26)),"Duración vacía o en texto; ","")&amp;IF(NOT(ISNUMBER(G26)),"Valor vacío o en texto; ","")&amp;IF(ISNUMBER(M26),IF(M26&lt;1000000,"Valor inferior a $1.000.000: verificar; ",""),"Valor no interpretable; ")&amp;IF(N26="[PENDIENTE DE VERIFICAR]","Modalidad no identificable; ","")&amp;IF(OR(ISERROR(SEARCH("@itc.edu.co",J26)),SUMPRODUCT(--ISNUMBER(SEARCH({"á","é","í","ó","ú","ñ"},J26)))&gt;0),"Correo vacío o no institucional válido; ","")&amp;IF(LEN(TRIM(D26))=0,"Sin objeto contractual; ","")&amp;IF(AND(ISNUMBER(M26),N26="Mínima cuantía"),IF(M26&gt;39850000,"Mínima cuantía con valor superior al tope citado en el instructivo 2026 ($39.850.000): verificar modalidad; ",""),"")&amp;IF(AND(ISNUMBER(M26),OR(ISNUMBER(SEARCH("prestación de servicios",D26)),ISNUMBER(SEARCH("prestar servicios",D26)),ISNUMBER(SEARCH("prestar los servicios",D26)))),IF(M26&gt;=500000000,"Prestación de servicios por $500 millones o más: posible error de digitación; ",""),""))</f>
        <v>Sin observaciones</v>
      </c>
    </row>
    <row r="27" spans="1:15" ht="57" x14ac:dyDescent="0.3">
      <c r="A27" s="15" t="s">
        <v>861</v>
      </c>
      <c r="B27" s="15">
        <v>80111600</v>
      </c>
      <c r="C27" s="15" t="s">
        <v>678</v>
      </c>
      <c r="D27" s="15" t="s">
        <v>862</v>
      </c>
      <c r="E27" s="15">
        <v>5</v>
      </c>
      <c r="F27" s="15" t="s">
        <v>802</v>
      </c>
      <c r="G27" s="29">
        <v>27514657</v>
      </c>
      <c r="H27" s="15" t="s">
        <v>849</v>
      </c>
      <c r="I27" s="15" t="s">
        <v>856</v>
      </c>
      <c r="J27" s="15" t="s">
        <v>857</v>
      </c>
      <c r="K27" s="15">
        <v>22</v>
      </c>
      <c r="L27" s="30" t="s">
        <v>858</v>
      </c>
      <c r="M27" s="31">
        <v>27514657</v>
      </c>
      <c r="N27" s="30" t="s">
        <v>803</v>
      </c>
      <c r="O27" s="30" t="str">
        <f>IF(LEN(IF(OR(NOT(ISNUMBER(B27)),LEN(B27)&lt;&gt;8),"UNSPSC vacío, en texto, con varios códigos o sin 8 dígitos; ","")&amp;IF(AND(ISNUMBER(B27),LEN(B27)=8),IF(MOD(B27,10000)=0,"UNSPSC a nivel de segmento o familia; ",""),"")&amp;IF(NOT(ISNUMBER(E27)),"Duración vacía o en texto; ","")&amp;IF(NOT(ISNUMBER(G27)),"Valor vacío o en texto; ","")&amp;IF(ISNUMBER(M27),IF(M27&lt;1000000,"Valor inferior a $1.000.000: verificar; ",""),"Valor no interpretable; ")&amp;IF(N27="[PENDIENTE DE VERIFICAR]","Modalidad no identificable; ","")&amp;IF(OR(ISERROR(SEARCH("@itc.edu.co",J27)),SUMPRODUCT(--ISNUMBER(SEARCH({"á","é","í","ó","ú","ñ"},J27)))&gt;0),"Correo vacío o no institucional válido; ","")&amp;IF(LEN(TRIM(D27))=0,"Sin objeto contractual; ","")&amp;IF(AND(ISNUMBER(M27),N27="Mínima cuantía"),IF(M27&gt;39850000,"Mínima cuantía con valor superior al tope citado en el instructivo 2026 ($39.850.000): verificar modalidad; ",""),"")&amp;IF(AND(ISNUMBER(M27),OR(ISNUMBER(SEARCH("prestación de servicios",D27)),ISNUMBER(SEARCH("prestar servicios",D27)),ISNUMBER(SEARCH("prestar los servicios",D27)))),IF(M27&gt;=500000000,"Prestación de servicios por $500 millones o más: posible error de digitación; ",""),""))=0,"Sin observaciones",IF(OR(NOT(ISNUMBER(B27)),LEN(B27)&lt;&gt;8),"UNSPSC vacío, en texto, con varios códigos o sin 8 dígitos; ","")&amp;IF(AND(ISNUMBER(B27),LEN(B27)=8),IF(MOD(B27,10000)=0,"UNSPSC a nivel de segmento o familia; ",""),"")&amp;IF(NOT(ISNUMBER(E27)),"Duración vacía o en texto; ","")&amp;IF(NOT(ISNUMBER(G27)),"Valor vacío o en texto; ","")&amp;IF(ISNUMBER(M27),IF(M27&lt;1000000,"Valor inferior a $1.000.000: verificar; ",""),"Valor no interpretable; ")&amp;IF(N27="[PENDIENTE DE VERIFICAR]","Modalidad no identificable; ","")&amp;IF(OR(ISERROR(SEARCH("@itc.edu.co",J27)),SUMPRODUCT(--ISNUMBER(SEARCH({"á","é","í","ó","ú","ñ"},J27)))&gt;0),"Correo vacío o no institucional válido; ","")&amp;IF(LEN(TRIM(D27))=0,"Sin objeto contractual; ","")&amp;IF(AND(ISNUMBER(M27),N27="Mínima cuantía"),IF(M27&gt;39850000,"Mínima cuantía con valor superior al tope citado en el instructivo 2026 ($39.850.000): verificar modalidad; ",""),"")&amp;IF(AND(ISNUMBER(M27),OR(ISNUMBER(SEARCH("prestación de servicios",D27)),ISNUMBER(SEARCH("prestar servicios",D27)),ISNUMBER(SEARCH("prestar los servicios",D27)))),IF(M27&gt;=500000000,"Prestación de servicios por $500 millones o más: posible error de digitación; ",""),""))</f>
        <v>Sin observaciones</v>
      </c>
    </row>
    <row r="28" spans="1:15" ht="34.200000000000003" x14ac:dyDescent="0.3">
      <c r="A28" s="15" t="s">
        <v>863</v>
      </c>
      <c r="B28" s="15">
        <v>80111600</v>
      </c>
      <c r="C28" s="15" t="s">
        <v>864</v>
      </c>
      <c r="D28" s="15" t="s">
        <v>865</v>
      </c>
      <c r="E28" s="15">
        <v>11</v>
      </c>
      <c r="F28" s="15" t="s">
        <v>802</v>
      </c>
      <c r="G28" s="29">
        <v>37827272</v>
      </c>
      <c r="H28" s="15" t="s">
        <v>812</v>
      </c>
      <c r="I28" s="15"/>
      <c r="J28" s="15" t="s">
        <v>813</v>
      </c>
      <c r="K28" s="15">
        <v>23</v>
      </c>
      <c r="L28" s="30" t="s">
        <v>814</v>
      </c>
      <c r="M28" s="31">
        <v>37827272</v>
      </c>
      <c r="N28" s="30" t="s">
        <v>803</v>
      </c>
      <c r="O28" s="30" t="str">
        <f>IF(LEN(IF(OR(NOT(ISNUMBER(B28)),LEN(B28)&lt;&gt;8),"UNSPSC vacío, en texto, con varios códigos o sin 8 dígitos; ","")&amp;IF(AND(ISNUMBER(B28),LEN(B28)=8),IF(MOD(B28,10000)=0,"UNSPSC a nivel de segmento o familia; ",""),"")&amp;IF(NOT(ISNUMBER(E28)),"Duración vacía o en texto; ","")&amp;IF(NOT(ISNUMBER(G28)),"Valor vacío o en texto; ","")&amp;IF(ISNUMBER(M28),IF(M28&lt;1000000,"Valor inferior a $1.000.000: verificar; ",""),"Valor no interpretable; ")&amp;IF(N28="[PENDIENTE DE VERIFICAR]","Modalidad no identificable; ","")&amp;IF(OR(ISERROR(SEARCH("@itc.edu.co",J28)),SUMPRODUCT(--ISNUMBER(SEARCH({"á","é","í","ó","ú","ñ"},J28)))&gt;0),"Correo vacío o no institucional válido; ","")&amp;IF(LEN(TRIM(D28))=0,"Sin objeto contractual; ","")&amp;IF(AND(ISNUMBER(M28),N28="Mínima cuantía"),IF(M28&gt;39850000,"Mínima cuantía con valor superior al tope citado en el instructivo 2026 ($39.850.000): verificar modalidad; ",""),"")&amp;IF(AND(ISNUMBER(M28),OR(ISNUMBER(SEARCH("prestación de servicios",D28)),ISNUMBER(SEARCH("prestar servicios",D28)),ISNUMBER(SEARCH("prestar los servicios",D28)))),IF(M28&gt;=500000000,"Prestación de servicios por $500 millones o más: posible error de digitación; ",""),""))=0,"Sin observaciones",IF(OR(NOT(ISNUMBER(B28)),LEN(B28)&lt;&gt;8),"UNSPSC vacío, en texto, con varios códigos o sin 8 dígitos; ","")&amp;IF(AND(ISNUMBER(B28),LEN(B28)=8),IF(MOD(B28,10000)=0,"UNSPSC a nivel de segmento o familia; ",""),"")&amp;IF(NOT(ISNUMBER(E28)),"Duración vacía o en texto; ","")&amp;IF(NOT(ISNUMBER(G28)),"Valor vacío o en texto; ","")&amp;IF(ISNUMBER(M28),IF(M28&lt;1000000,"Valor inferior a $1.000.000: verificar; ",""),"Valor no interpretable; ")&amp;IF(N28="[PENDIENTE DE VERIFICAR]","Modalidad no identificable; ","")&amp;IF(OR(ISERROR(SEARCH("@itc.edu.co",J28)),SUMPRODUCT(--ISNUMBER(SEARCH({"á","é","í","ó","ú","ñ"},J28)))&gt;0),"Correo vacío o no institucional válido; ","")&amp;IF(LEN(TRIM(D28))=0,"Sin objeto contractual; ","")&amp;IF(AND(ISNUMBER(M28),N28="Mínima cuantía"),IF(M28&gt;39850000,"Mínima cuantía con valor superior al tope citado en el instructivo 2026 ($39.850.000): verificar modalidad; ",""),"")&amp;IF(AND(ISNUMBER(M28),OR(ISNUMBER(SEARCH("prestación de servicios",D28)),ISNUMBER(SEARCH("prestar servicios",D28)),ISNUMBER(SEARCH("prestar los servicios",D28)))),IF(M28&gt;=500000000,"Prestación de servicios por $500 millones o más: posible error de digitación; ",""),""))</f>
        <v>Sin observaciones</v>
      </c>
    </row>
    <row r="29" spans="1:15" ht="45.6" x14ac:dyDescent="0.3">
      <c r="A29" s="15" t="s">
        <v>866</v>
      </c>
      <c r="B29" s="15">
        <v>80111600</v>
      </c>
      <c r="C29" s="15" t="s">
        <v>867</v>
      </c>
      <c r="D29" s="15" t="s">
        <v>868</v>
      </c>
      <c r="E29" s="15">
        <v>11</v>
      </c>
      <c r="F29" s="15" t="s">
        <v>802</v>
      </c>
      <c r="G29" s="29">
        <v>44405902</v>
      </c>
      <c r="H29" s="15" t="s">
        <v>812</v>
      </c>
      <c r="I29" s="15"/>
      <c r="J29" s="15" t="s">
        <v>813</v>
      </c>
      <c r="K29" s="15">
        <v>24</v>
      </c>
      <c r="L29" s="30" t="s">
        <v>814</v>
      </c>
      <c r="M29" s="31">
        <v>44405902</v>
      </c>
      <c r="N29" s="30" t="s">
        <v>803</v>
      </c>
      <c r="O29" s="30" t="str">
        <f>IF(LEN(IF(OR(NOT(ISNUMBER(B29)),LEN(B29)&lt;&gt;8),"UNSPSC vacío, en texto, con varios códigos o sin 8 dígitos; ","")&amp;IF(AND(ISNUMBER(B29),LEN(B29)=8),IF(MOD(B29,10000)=0,"UNSPSC a nivel de segmento o familia; ",""),"")&amp;IF(NOT(ISNUMBER(E29)),"Duración vacía o en texto; ","")&amp;IF(NOT(ISNUMBER(G29)),"Valor vacío o en texto; ","")&amp;IF(ISNUMBER(M29),IF(M29&lt;1000000,"Valor inferior a $1.000.000: verificar; ",""),"Valor no interpretable; ")&amp;IF(N29="[PENDIENTE DE VERIFICAR]","Modalidad no identificable; ","")&amp;IF(OR(ISERROR(SEARCH("@itc.edu.co",J29)),SUMPRODUCT(--ISNUMBER(SEARCH({"á","é","í","ó","ú","ñ"},J29)))&gt;0),"Correo vacío o no institucional válido; ","")&amp;IF(LEN(TRIM(D29))=0,"Sin objeto contractual; ","")&amp;IF(AND(ISNUMBER(M29),N29="Mínima cuantía"),IF(M29&gt;39850000,"Mínima cuantía con valor superior al tope citado en el instructivo 2026 ($39.850.000): verificar modalidad; ",""),"")&amp;IF(AND(ISNUMBER(M29),OR(ISNUMBER(SEARCH("prestación de servicios",D29)),ISNUMBER(SEARCH("prestar servicios",D29)),ISNUMBER(SEARCH("prestar los servicios",D29)))),IF(M29&gt;=500000000,"Prestación de servicios por $500 millones o más: posible error de digitación; ",""),""))=0,"Sin observaciones",IF(OR(NOT(ISNUMBER(B29)),LEN(B29)&lt;&gt;8),"UNSPSC vacío, en texto, con varios códigos o sin 8 dígitos; ","")&amp;IF(AND(ISNUMBER(B29),LEN(B29)=8),IF(MOD(B29,10000)=0,"UNSPSC a nivel de segmento o familia; ",""),"")&amp;IF(NOT(ISNUMBER(E29)),"Duración vacía o en texto; ","")&amp;IF(NOT(ISNUMBER(G29)),"Valor vacío o en texto; ","")&amp;IF(ISNUMBER(M29),IF(M29&lt;1000000,"Valor inferior a $1.000.000: verificar; ",""),"Valor no interpretable; ")&amp;IF(N29="[PENDIENTE DE VERIFICAR]","Modalidad no identificable; ","")&amp;IF(OR(ISERROR(SEARCH("@itc.edu.co",J29)),SUMPRODUCT(--ISNUMBER(SEARCH({"á","é","í","ó","ú","ñ"},J29)))&gt;0),"Correo vacío o no institucional válido; ","")&amp;IF(LEN(TRIM(D29))=0,"Sin objeto contractual; ","")&amp;IF(AND(ISNUMBER(M29),N29="Mínima cuantía"),IF(M29&gt;39850000,"Mínima cuantía con valor superior al tope citado en el instructivo 2026 ($39.850.000): verificar modalidad; ",""),"")&amp;IF(AND(ISNUMBER(M29),OR(ISNUMBER(SEARCH("prestación de servicios",D29)),ISNUMBER(SEARCH("prestar servicios",D29)),ISNUMBER(SEARCH("prestar los servicios",D29)))),IF(M29&gt;=500000000,"Prestación de servicios por $500 millones o más: posible error de digitación; ",""),""))</f>
        <v>Sin observaciones</v>
      </c>
    </row>
    <row r="30" spans="1:15" ht="34.200000000000003" x14ac:dyDescent="0.3">
      <c r="A30" s="15" t="s">
        <v>869</v>
      </c>
      <c r="B30" s="15">
        <v>80111600</v>
      </c>
      <c r="C30" s="15" t="s">
        <v>870</v>
      </c>
      <c r="D30" s="15" t="s">
        <v>871</v>
      </c>
      <c r="E30" s="15">
        <v>11</v>
      </c>
      <c r="F30" s="15" t="s">
        <v>802</v>
      </c>
      <c r="G30" s="29">
        <v>44405902</v>
      </c>
      <c r="H30" s="15" t="s">
        <v>812</v>
      </c>
      <c r="I30" s="15"/>
      <c r="J30" s="15" t="s">
        <v>813</v>
      </c>
      <c r="K30" s="15">
        <v>25</v>
      </c>
      <c r="L30" s="30" t="s">
        <v>814</v>
      </c>
      <c r="M30" s="31">
        <v>44405902</v>
      </c>
      <c r="N30" s="30" t="s">
        <v>803</v>
      </c>
      <c r="O30" s="30" t="str">
        <f>IF(LEN(IF(OR(NOT(ISNUMBER(B30)),LEN(B30)&lt;&gt;8),"UNSPSC vacío, en texto, con varios códigos o sin 8 dígitos; ","")&amp;IF(AND(ISNUMBER(B30),LEN(B30)=8),IF(MOD(B30,10000)=0,"UNSPSC a nivel de segmento o familia; ",""),"")&amp;IF(NOT(ISNUMBER(E30)),"Duración vacía o en texto; ","")&amp;IF(NOT(ISNUMBER(G30)),"Valor vacío o en texto; ","")&amp;IF(ISNUMBER(M30),IF(M30&lt;1000000,"Valor inferior a $1.000.000: verificar; ",""),"Valor no interpretable; ")&amp;IF(N30="[PENDIENTE DE VERIFICAR]","Modalidad no identificable; ","")&amp;IF(OR(ISERROR(SEARCH("@itc.edu.co",J30)),SUMPRODUCT(--ISNUMBER(SEARCH({"á","é","í","ó","ú","ñ"},J30)))&gt;0),"Correo vacío o no institucional válido; ","")&amp;IF(LEN(TRIM(D30))=0,"Sin objeto contractual; ","")&amp;IF(AND(ISNUMBER(M30),N30="Mínima cuantía"),IF(M30&gt;39850000,"Mínima cuantía con valor superior al tope citado en el instructivo 2026 ($39.850.000): verificar modalidad; ",""),"")&amp;IF(AND(ISNUMBER(M30),OR(ISNUMBER(SEARCH("prestación de servicios",D30)),ISNUMBER(SEARCH("prestar servicios",D30)),ISNUMBER(SEARCH("prestar los servicios",D30)))),IF(M30&gt;=500000000,"Prestación de servicios por $500 millones o más: posible error de digitación; ",""),""))=0,"Sin observaciones",IF(OR(NOT(ISNUMBER(B30)),LEN(B30)&lt;&gt;8),"UNSPSC vacío, en texto, con varios códigos o sin 8 dígitos; ","")&amp;IF(AND(ISNUMBER(B30),LEN(B30)=8),IF(MOD(B30,10000)=0,"UNSPSC a nivel de segmento o familia; ",""),"")&amp;IF(NOT(ISNUMBER(E30)),"Duración vacía o en texto; ","")&amp;IF(NOT(ISNUMBER(G30)),"Valor vacío o en texto; ","")&amp;IF(ISNUMBER(M30),IF(M30&lt;1000000,"Valor inferior a $1.000.000: verificar; ",""),"Valor no interpretable; ")&amp;IF(N30="[PENDIENTE DE VERIFICAR]","Modalidad no identificable; ","")&amp;IF(OR(ISERROR(SEARCH("@itc.edu.co",J30)),SUMPRODUCT(--ISNUMBER(SEARCH({"á","é","í","ó","ú","ñ"},J30)))&gt;0),"Correo vacío o no institucional válido; ","")&amp;IF(LEN(TRIM(D30))=0,"Sin objeto contractual; ","")&amp;IF(AND(ISNUMBER(M30),N30="Mínima cuantía"),IF(M30&gt;39850000,"Mínima cuantía con valor superior al tope citado en el instructivo 2026 ($39.850.000): verificar modalidad; ",""),"")&amp;IF(AND(ISNUMBER(M30),OR(ISNUMBER(SEARCH("prestación de servicios",D30)),ISNUMBER(SEARCH("prestar servicios",D30)),ISNUMBER(SEARCH("prestar los servicios",D30)))),IF(M30&gt;=500000000,"Prestación de servicios por $500 millones o más: posible error de digitación; ",""),""))</f>
        <v>Sin observaciones</v>
      </c>
    </row>
    <row r="31" spans="1:15" ht="45.6" x14ac:dyDescent="0.3">
      <c r="A31" s="15" t="s">
        <v>872</v>
      </c>
      <c r="B31" s="15">
        <v>80111600</v>
      </c>
      <c r="C31" s="15" t="s">
        <v>873</v>
      </c>
      <c r="D31" s="15" t="s">
        <v>874</v>
      </c>
      <c r="E31" s="15">
        <v>11</v>
      </c>
      <c r="F31" s="15" t="s">
        <v>802</v>
      </c>
      <c r="G31" s="29">
        <v>41527766</v>
      </c>
      <c r="H31" s="15" t="s">
        <v>812</v>
      </c>
      <c r="I31" s="15"/>
      <c r="J31" s="15" t="s">
        <v>813</v>
      </c>
      <c r="K31" s="15">
        <v>26</v>
      </c>
      <c r="L31" s="30" t="s">
        <v>814</v>
      </c>
      <c r="M31" s="31">
        <v>41527766</v>
      </c>
      <c r="N31" s="30" t="s">
        <v>803</v>
      </c>
      <c r="O31" s="30" t="str">
        <f>IF(LEN(IF(OR(NOT(ISNUMBER(B31)),LEN(B31)&lt;&gt;8),"UNSPSC vacío, en texto, con varios códigos o sin 8 dígitos; ","")&amp;IF(AND(ISNUMBER(B31),LEN(B31)=8),IF(MOD(B31,10000)=0,"UNSPSC a nivel de segmento o familia; ",""),"")&amp;IF(NOT(ISNUMBER(E31)),"Duración vacía o en texto; ","")&amp;IF(NOT(ISNUMBER(G31)),"Valor vacío o en texto; ","")&amp;IF(ISNUMBER(M31),IF(M31&lt;1000000,"Valor inferior a $1.000.000: verificar; ",""),"Valor no interpretable; ")&amp;IF(N31="[PENDIENTE DE VERIFICAR]","Modalidad no identificable; ","")&amp;IF(OR(ISERROR(SEARCH("@itc.edu.co",J31)),SUMPRODUCT(--ISNUMBER(SEARCH({"á","é","í","ó","ú","ñ"},J31)))&gt;0),"Correo vacío o no institucional válido; ","")&amp;IF(LEN(TRIM(D31))=0,"Sin objeto contractual; ","")&amp;IF(AND(ISNUMBER(M31),N31="Mínima cuantía"),IF(M31&gt;39850000,"Mínima cuantía con valor superior al tope citado en el instructivo 2026 ($39.850.000): verificar modalidad; ",""),"")&amp;IF(AND(ISNUMBER(M31),OR(ISNUMBER(SEARCH("prestación de servicios",D31)),ISNUMBER(SEARCH("prestar servicios",D31)),ISNUMBER(SEARCH("prestar los servicios",D31)))),IF(M31&gt;=500000000,"Prestación de servicios por $500 millones o más: posible error de digitación; ",""),""))=0,"Sin observaciones",IF(OR(NOT(ISNUMBER(B31)),LEN(B31)&lt;&gt;8),"UNSPSC vacío, en texto, con varios códigos o sin 8 dígitos; ","")&amp;IF(AND(ISNUMBER(B31),LEN(B31)=8),IF(MOD(B31,10000)=0,"UNSPSC a nivel de segmento o familia; ",""),"")&amp;IF(NOT(ISNUMBER(E31)),"Duración vacía o en texto; ","")&amp;IF(NOT(ISNUMBER(G31)),"Valor vacío o en texto; ","")&amp;IF(ISNUMBER(M31),IF(M31&lt;1000000,"Valor inferior a $1.000.000: verificar; ",""),"Valor no interpretable; ")&amp;IF(N31="[PENDIENTE DE VERIFICAR]","Modalidad no identificable; ","")&amp;IF(OR(ISERROR(SEARCH("@itc.edu.co",J31)),SUMPRODUCT(--ISNUMBER(SEARCH({"á","é","í","ó","ú","ñ"},J31)))&gt;0),"Correo vacío o no institucional válido; ","")&amp;IF(LEN(TRIM(D31))=0,"Sin objeto contractual; ","")&amp;IF(AND(ISNUMBER(M31),N31="Mínima cuantía"),IF(M31&gt;39850000,"Mínima cuantía con valor superior al tope citado en el instructivo 2026 ($39.850.000): verificar modalidad; ",""),"")&amp;IF(AND(ISNUMBER(M31),OR(ISNUMBER(SEARCH("prestación de servicios",D31)),ISNUMBER(SEARCH("prestar servicios",D31)),ISNUMBER(SEARCH("prestar los servicios",D31)))),IF(M31&gt;=500000000,"Prestación de servicios por $500 millones o más: posible error de digitación; ",""),""))</f>
        <v>Sin observaciones</v>
      </c>
    </row>
    <row r="32" spans="1:15" ht="34.200000000000003" x14ac:dyDescent="0.3">
      <c r="A32" s="15" t="s">
        <v>875</v>
      </c>
      <c r="B32" s="15">
        <v>80111600</v>
      </c>
      <c r="C32" s="15" t="s">
        <v>876</v>
      </c>
      <c r="D32" s="15" t="s">
        <v>877</v>
      </c>
      <c r="E32" s="15">
        <v>11</v>
      </c>
      <c r="F32" s="15" t="s">
        <v>802</v>
      </c>
      <c r="G32" s="29">
        <v>31103320</v>
      </c>
      <c r="H32" s="15" t="s">
        <v>812</v>
      </c>
      <c r="I32" s="15"/>
      <c r="J32" s="15" t="s">
        <v>813</v>
      </c>
      <c r="K32" s="15">
        <v>27</v>
      </c>
      <c r="L32" s="30" t="s">
        <v>814</v>
      </c>
      <c r="M32" s="31">
        <v>31103320</v>
      </c>
      <c r="N32" s="30" t="s">
        <v>803</v>
      </c>
      <c r="O32" s="30" t="str">
        <f>IF(LEN(IF(OR(NOT(ISNUMBER(B32)),LEN(B32)&lt;&gt;8),"UNSPSC vacío, en texto, con varios códigos o sin 8 dígitos; ","")&amp;IF(AND(ISNUMBER(B32),LEN(B32)=8),IF(MOD(B32,10000)=0,"UNSPSC a nivel de segmento o familia; ",""),"")&amp;IF(NOT(ISNUMBER(E32)),"Duración vacía o en texto; ","")&amp;IF(NOT(ISNUMBER(G32)),"Valor vacío o en texto; ","")&amp;IF(ISNUMBER(M32),IF(M32&lt;1000000,"Valor inferior a $1.000.000: verificar; ",""),"Valor no interpretable; ")&amp;IF(N32="[PENDIENTE DE VERIFICAR]","Modalidad no identificable; ","")&amp;IF(OR(ISERROR(SEARCH("@itc.edu.co",J32)),SUMPRODUCT(--ISNUMBER(SEARCH({"á","é","í","ó","ú","ñ"},J32)))&gt;0),"Correo vacío o no institucional válido; ","")&amp;IF(LEN(TRIM(D32))=0,"Sin objeto contractual; ","")&amp;IF(AND(ISNUMBER(M32),N32="Mínima cuantía"),IF(M32&gt;39850000,"Mínima cuantía con valor superior al tope citado en el instructivo 2026 ($39.850.000): verificar modalidad; ",""),"")&amp;IF(AND(ISNUMBER(M32),OR(ISNUMBER(SEARCH("prestación de servicios",D32)),ISNUMBER(SEARCH("prestar servicios",D32)),ISNUMBER(SEARCH("prestar los servicios",D32)))),IF(M32&gt;=500000000,"Prestación de servicios por $500 millones o más: posible error de digitación; ",""),""))=0,"Sin observaciones",IF(OR(NOT(ISNUMBER(B32)),LEN(B32)&lt;&gt;8),"UNSPSC vacío, en texto, con varios códigos o sin 8 dígitos; ","")&amp;IF(AND(ISNUMBER(B32),LEN(B32)=8),IF(MOD(B32,10000)=0,"UNSPSC a nivel de segmento o familia; ",""),"")&amp;IF(NOT(ISNUMBER(E32)),"Duración vacía o en texto; ","")&amp;IF(NOT(ISNUMBER(G32)),"Valor vacío o en texto; ","")&amp;IF(ISNUMBER(M32),IF(M32&lt;1000000,"Valor inferior a $1.000.000: verificar; ",""),"Valor no interpretable; ")&amp;IF(N32="[PENDIENTE DE VERIFICAR]","Modalidad no identificable; ","")&amp;IF(OR(ISERROR(SEARCH("@itc.edu.co",J32)),SUMPRODUCT(--ISNUMBER(SEARCH({"á","é","í","ó","ú","ñ"},J32)))&gt;0),"Correo vacío o no institucional válido; ","")&amp;IF(LEN(TRIM(D32))=0,"Sin objeto contractual; ","")&amp;IF(AND(ISNUMBER(M32),N32="Mínima cuantía"),IF(M32&gt;39850000,"Mínima cuantía con valor superior al tope citado en el instructivo 2026 ($39.850.000): verificar modalidad; ",""),"")&amp;IF(AND(ISNUMBER(M32),OR(ISNUMBER(SEARCH("prestación de servicios",D32)),ISNUMBER(SEARCH("prestar servicios",D32)),ISNUMBER(SEARCH("prestar los servicios",D32)))),IF(M32&gt;=500000000,"Prestación de servicios por $500 millones o más: posible error de digitación; ",""),""))</f>
        <v>Sin observaciones</v>
      </c>
    </row>
    <row r="33" spans="1:15" ht="34.200000000000003" x14ac:dyDescent="0.3">
      <c r="A33" s="15" t="s">
        <v>878</v>
      </c>
      <c r="B33" s="15">
        <v>80111600</v>
      </c>
      <c r="C33" s="15" t="s">
        <v>879</v>
      </c>
      <c r="D33" s="15" t="s">
        <v>880</v>
      </c>
      <c r="E33" s="15">
        <v>11</v>
      </c>
      <c r="F33" s="15" t="s">
        <v>802</v>
      </c>
      <c r="G33" s="29"/>
      <c r="H33" s="15" t="s">
        <v>812</v>
      </c>
      <c r="I33" s="15"/>
      <c r="J33" s="15" t="s">
        <v>813</v>
      </c>
      <c r="K33" s="15">
        <v>28</v>
      </c>
      <c r="L33" s="30" t="s">
        <v>814</v>
      </c>
      <c r="M33" s="31"/>
      <c r="N33" s="30" t="s">
        <v>803</v>
      </c>
      <c r="O33" s="30" t="str">
        <f>IF(LEN(IF(OR(NOT(ISNUMBER(B33)),LEN(B33)&lt;&gt;8),"UNSPSC vacío, en texto, con varios códigos o sin 8 dígitos; ","")&amp;IF(AND(ISNUMBER(B33),LEN(B33)=8),IF(MOD(B33,10000)=0,"UNSPSC a nivel de segmento o familia; ",""),"")&amp;IF(NOT(ISNUMBER(E33)),"Duración vacía o en texto; ","")&amp;IF(NOT(ISNUMBER(G33)),"Valor vacío o en texto; ","")&amp;IF(ISNUMBER(M33),IF(M33&lt;1000000,"Valor inferior a $1.000.000: verificar; ",""),"Valor no interpretable; ")&amp;IF(N33="[PENDIENTE DE VERIFICAR]","Modalidad no identificable; ","")&amp;IF(OR(ISERROR(SEARCH("@itc.edu.co",J33)),SUMPRODUCT(--ISNUMBER(SEARCH({"á","é","í","ó","ú","ñ"},J33)))&gt;0),"Correo vacío o no institucional válido; ","")&amp;IF(LEN(TRIM(D33))=0,"Sin objeto contractual; ","")&amp;IF(AND(ISNUMBER(M33),N33="Mínima cuantía"),IF(M33&gt;39850000,"Mínima cuantía con valor superior al tope citado en el instructivo 2026 ($39.850.000): verificar modalidad; ",""),"")&amp;IF(AND(ISNUMBER(M33),OR(ISNUMBER(SEARCH("prestación de servicios",D33)),ISNUMBER(SEARCH("prestar servicios",D33)),ISNUMBER(SEARCH("prestar los servicios",D33)))),IF(M33&gt;=500000000,"Prestación de servicios por $500 millones o más: posible error de digitación; ",""),""))=0,"Sin observaciones",IF(OR(NOT(ISNUMBER(B33)),LEN(B33)&lt;&gt;8),"UNSPSC vacío, en texto, con varios códigos o sin 8 dígitos; ","")&amp;IF(AND(ISNUMBER(B33),LEN(B33)=8),IF(MOD(B33,10000)=0,"UNSPSC a nivel de segmento o familia; ",""),"")&amp;IF(NOT(ISNUMBER(E33)),"Duración vacía o en texto; ","")&amp;IF(NOT(ISNUMBER(G33)),"Valor vacío o en texto; ","")&amp;IF(ISNUMBER(M33),IF(M33&lt;1000000,"Valor inferior a $1.000.000: verificar; ",""),"Valor no interpretable; ")&amp;IF(N33="[PENDIENTE DE VERIFICAR]","Modalidad no identificable; ","")&amp;IF(OR(ISERROR(SEARCH("@itc.edu.co",J33)),SUMPRODUCT(--ISNUMBER(SEARCH({"á","é","í","ó","ú","ñ"},J33)))&gt;0),"Correo vacío o no institucional válido; ","")&amp;IF(LEN(TRIM(D33))=0,"Sin objeto contractual; ","")&amp;IF(AND(ISNUMBER(M33),N33="Mínima cuantía"),IF(M33&gt;39850000,"Mínima cuantía con valor superior al tope citado en el instructivo 2026 ($39.850.000): verificar modalidad; ",""),"")&amp;IF(AND(ISNUMBER(M33),OR(ISNUMBER(SEARCH("prestación de servicios",D33)),ISNUMBER(SEARCH("prestar servicios",D33)),ISNUMBER(SEARCH("prestar los servicios",D33)))),IF(M33&gt;=500000000,"Prestación de servicios por $500 millones o más: posible error de digitación; ",""),""))</f>
        <v xml:space="preserve">Valor vacío o en texto; Valor no interpretable; </v>
      </c>
    </row>
    <row r="34" spans="1:15" ht="45.6" x14ac:dyDescent="0.3">
      <c r="A34" s="15" t="s">
        <v>881</v>
      </c>
      <c r="B34" s="15">
        <v>80111600</v>
      </c>
      <c r="C34" s="15" t="s">
        <v>882</v>
      </c>
      <c r="D34" s="15" t="s">
        <v>883</v>
      </c>
      <c r="E34" s="15">
        <v>11</v>
      </c>
      <c r="F34" s="15" t="s">
        <v>802</v>
      </c>
      <c r="G34" s="29">
        <v>54209616</v>
      </c>
      <c r="H34" s="15" t="s">
        <v>812</v>
      </c>
      <c r="I34" s="15"/>
      <c r="J34" s="15" t="s">
        <v>813</v>
      </c>
      <c r="K34" s="15">
        <v>29</v>
      </c>
      <c r="L34" s="30" t="s">
        <v>814</v>
      </c>
      <c r="M34" s="31">
        <v>54209616</v>
      </c>
      <c r="N34" s="30" t="s">
        <v>803</v>
      </c>
      <c r="O34" s="30" t="str">
        <f>IF(LEN(IF(OR(NOT(ISNUMBER(B34)),LEN(B34)&lt;&gt;8),"UNSPSC vacío, en texto, con varios códigos o sin 8 dígitos; ","")&amp;IF(AND(ISNUMBER(B34),LEN(B34)=8),IF(MOD(B34,10000)=0,"UNSPSC a nivel de segmento o familia; ",""),"")&amp;IF(NOT(ISNUMBER(E34)),"Duración vacía o en texto; ","")&amp;IF(NOT(ISNUMBER(G34)),"Valor vacío o en texto; ","")&amp;IF(ISNUMBER(M34),IF(M34&lt;1000000,"Valor inferior a $1.000.000: verificar; ",""),"Valor no interpretable; ")&amp;IF(N34="[PENDIENTE DE VERIFICAR]","Modalidad no identificable; ","")&amp;IF(OR(ISERROR(SEARCH("@itc.edu.co",J34)),SUMPRODUCT(--ISNUMBER(SEARCH({"á","é","í","ó","ú","ñ"},J34)))&gt;0),"Correo vacío o no institucional válido; ","")&amp;IF(LEN(TRIM(D34))=0,"Sin objeto contractual; ","")&amp;IF(AND(ISNUMBER(M34),N34="Mínima cuantía"),IF(M34&gt;39850000,"Mínima cuantía con valor superior al tope citado en el instructivo 2026 ($39.850.000): verificar modalidad; ",""),"")&amp;IF(AND(ISNUMBER(M34),OR(ISNUMBER(SEARCH("prestación de servicios",D34)),ISNUMBER(SEARCH("prestar servicios",D34)),ISNUMBER(SEARCH("prestar los servicios",D34)))),IF(M34&gt;=500000000,"Prestación de servicios por $500 millones o más: posible error de digitación; ",""),""))=0,"Sin observaciones",IF(OR(NOT(ISNUMBER(B34)),LEN(B34)&lt;&gt;8),"UNSPSC vacío, en texto, con varios códigos o sin 8 dígitos; ","")&amp;IF(AND(ISNUMBER(B34),LEN(B34)=8),IF(MOD(B34,10000)=0,"UNSPSC a nivel de segmento o familia; ",""),"")&amp;IF(NOT(ISNUMBER(E34)),"Duración vacía o en texto; ","")&amp;IF(NOT(ISNUMBER(G34)),"Valor vacío o en texto; ","")&amp;IF(ISNUMBER(M34),IF(M34&lt;1000000,"Valor inferior a $1.000.000: verificar; ",""),"Valor no interpretable; ")&amp;IF(N34="[PENDIENTE DE VERIFICAR]","Modalidad no identificable; ","")&amp;IF(OR(ISERROR(SEARCH("@itc.edu.co",J34)),SUMPRODUCT(--ISNUMBER(SEARCH({"á","é","í","ó","ú","ñ"},J34)))&gt;0),"Correo vacío o no institucional válido; ","")&amp;IF(LEN(TRIM(D34))=0,"Sin objeto contractual; ","")&amp;IF(AND(ISNUMBER(M34),N34="Mínima cuantía"),IF(M34&gt;39850000,"Mínima cuantía con valor superior al tope citado en el instructivo 2026 ($39.850.000): verificar modalidad; ",""),"")&amp;IF(AND(ISNUMBER(M34),OR(ISNUMBER(SEARCH("prestación de servicios",D34)),ISNUMBER(SEARCH("prestar servicios",D34)),ISNUMBER(SEARCH("prestar los servicios",D34)))),IF(M34&gt;=500000000,"Prestación de servicios por $500 millones o más: posible error de digitación; ",""),""))</f>
        <v>Sin observaciones</v>
      </c>
    </row>
    <row r="35" spans="1:15" ht="57" x14ac:dyDescent="0.3">
      <c r="A35" s="15" t="s">
        <v>884</v>
      </c>
      <c r="B35" s="15">
        <v>80111600</v>
      </c>
      <c r="C35" s="15" t="s">
        <v>885</v>
      </c>
      <c r="D35" s="15" t="s">
        <v>886</v>
      </c>
      <c r="E35" s="15">
        <v>11</v>
      </c>
      <c r="F35" s="15" t="s">
        <v>802</v>
      </c>
      <c r="G35" s="29">
        <v>54209616</v>
      </c>
      <c r="H35" s="15" t="s">
        <v>812</v>
      </c>
      <c r="I35" s="15"/>
      <c r="J35" s="15" t="s">
        <v>813</v>
      </c>
      <c r="K35" s="15">
        <v>30</v>
      </c>
      <c r="L35" s="30" t="s">
        <v>814</v>
      </c>
      <c r="M35" s="31">
        <v>54209616</v>
      </c>
      <c r="N35" s="30" t="s">
        <v>803</v>
      </c>
      <c r="O35" s="30" t="str">
        <f>IF(LEN(IF(OR(NOT(ISNUMBER(B35)),LEN(B35)&lt;&gt;8),"UNSPSC vacío, en texto, con varios códigos o sin 8 dígitos; ","")&amp;IF(AND(ISNUMBER(B35),LEN(B35)=8),IF(MOD(B35,10000)=0,"UNSPSC a nivel de segmento o familia; ",""),"")&amp;IF(NOT(ISNUMBER(E35)),"Duración vacía o en texto; ","")&amp;IF(NOT(ISNUMBER(G35)),"Valor vacío o en texto; ","")&amp;IF(ISNUMBER(M35),IF(M35&lt;1000000,"Valor inferior a $1.000.000: verificar; ",""),"Valor no interpretable; ")&amp;IF(N35="[PENDIENTE DE VERIFICAR]","Modalidad no identificable; ","")&amp;IF(OR(ISERROR(SEARCH("@itc.edu.co",J35)),SUMPRODUCT(--ISNUMBER(SEARCH({"á","é","í","ó","ú","ñ"},J35)))&gt;0),"Correo vacío o no institucional válido; ","")&amp;IF(LEN(TRIM(D35))=0,"Sin objeto contractual; ","")&amp;IF(AND(ISNUMBER(M35),N35="Mínima cuantía"),IF(M35&gt;39850000,"Mínima cuantía con valor superior al tope citado en el instructivo 2026 ($39.850.000): verificar modalidad; ",""),"")&amp;IF(AND(ISNUMBER(M35),OR(ISNUMBER(SEARCH("prestación de servicios",D35)),ISNUMBER(SEARCH("prestar servicios",D35)),ISNUMBER(SEARCH("prestar los servicios",D35)))),IF(M35&gt;=500000000,"Prestación de servicios por $500 millones o más: posible error de digitación; ",""),""))=0,"Sin observaciones",IF(OR(NOT(ISNUMBER(B35)),LEN(B35)&lt;&gt;8),"UNSPSC vacío, en texto, con varios códigos o sin 8 dígitos; ","")&amp;IF(AND(ISNUMBER(B35),LEN(B35)=8),IF(MOD(B35,10000)=0,"UNSPSC a nivel de segmento o familia; ",""),"")&amp;IF(NOT(ISNUMBER(E35)),"Duración vacía o en texto; ","")&amp;IF(NOT(ISNUMBER(G35)),"Valor vacío o en texto; ","")&amp;IF(ISNUMBER(M35),IF(M35&lt;1000000,"Valor inferior a $1.000.000: verificar; ",""),"Valor no interpretable; ")&amp;IF(N35="[PENDIENTE DE VERIFICAR]","Modalidad no identificable; ","")&amp;IF(OR(ISERROR(SEARCH("@itc.edu.co",J35)),SUMPRODUCT(--ISNUMBER(SEARCH({"á","é","í","ó","ú","ñ"},J35)))&gt;0),"Correo vacío o no institucional válido; ","")&amp;IF(LEN(TRIM(D35))=0,"Sin objeto contractual; ","")&amp;IF(AND(ISNUMBER(M35),N35="Mínima cuantía"),IF(M35&gt;39850000,"Mínima cuantía con valor superior al tope citado en el instructivo 2026 ($39.850.000): verificar modalidad; ",""),"")&amp;IF(AND(ISNUMBER(M35),OR(ISNUMBER(SEARCH("prestación de servicios",D35)),ISNUMBER(SEARCH("prestar servicios",D35)),ISNUMBER(SEARCH("prestar los servicios",D35)))),IF(M35&gt;=500000000,"Prestación de servicios por $500 millones o más: posible error de digitación; ",""),""))</f>
        <v>Sin observaciones</v>
      </c>
    </row>
    <row r="36" spans="1:15" ht="45.6" x14ac:dyDescent="0.3">
      <c r="A36" s="15" t="s">
        <v>887</v>
      </c>
      <c r="B36" s="15">
        <v>80111600</v>
      </c>
      <c r="C36" s="15" t="s">
        <v>888</v>
      </c>
      <c r="D36" s="15" t="s">
        <v>889</v>
      </c>
      <c r="E36" s="15">
        <v>11</v>
      </c>
      <c r="F36" s="15" t="s">
        <v>802</v>
      </c>
      <c r="G36" s="29">
        <v>52800000</v>
      </c>
      <c r="H36" s="15" t="s">
        <v>890</v>
      </c>
      <c r="I36" s="15"/>
      <c r="J36" s="15"/>
      <c r="K36" s="15">
        <v>31</v>
      </c>
      <c r="L36" s="30" t="s">
        <v>891</v>
      </c>
      <c r="M36" s="31">
        <v>52800000</v>
      </c>
      <c r="N36" s="30" t="s">
        <v>803</v>
      </c>
      <c r="O36" s="30" t="str">
        <f>IF(LEN(IF(OR(NOT(ISNUMBER(B36)),LEN(B36)&lt;&gt;8),"UNSPSC vacío, en texto, con varios códigos o sin 8 dígitos; ","")&amp;IF(AND(ISNUMBER(B36),LEN(B36)=8),IF(MOD(B36,10000)=0,"UNSPSC a nivel de segmento o familia; ",""),"")&amp;IF(NOT(ISNUMBER(E36)),"Duración vacía o en texto; ","")&amp;IF(NOT(ISNUMBER(G36)),"Valor vacío o en texto; ","")&amp;IF(ISNUMBER(M36),IF(M36&lt;1000000,"Valor inferior a $1.000.000: verificar; ",""),"Valor no interpretable; ")&amp;IF(N36="[PENDIENTE DE VERIFICAR]","Modalidad no identificable; ","")&amp;IF(OR(ISERROR(SEARCH("@itc.edu.co",J36)),SUMPRODUCT(--ISNUMBER(SEARCH({"á","é","í","ó","ú","ñ"},J36)))&gt;0),"Correo vacío o no institucional válido; ","")&amp;IF(LEN(TRIM(D36))=0,"Sin objeto contractual; ","")&amp;IF(AND(ISNUMBER(M36),N36="Mínima cuantía"),IF(M36&gt;39850000,"Mínima cuantía con valor superior al tope citado en el instructivo 2026 ($39.850.000): verificar modalidad; ",""),"")&amp;IF(AND(ISNUMBER(M36),OR(ISNUMBER(SEARCH("prestación de servicios",D36)),ISNUMBER(SEARCH("prestar servicios",D36)),ISNUMBER(SEARCH("prestar los servicios",D36)))),IF(M36&gt;=500000000,"Prestación de servicios por $500 millones o más: posible error de digitación; ",""),""))=0,"Sin observaciones",IF(OR(NOT(ISNUMBER(B36)),LEN(B36)&lt;&gt;8),"UNSPSC vacío, en texto, con varios códigos o sin 8 dígitos; ","")&amp;IF(AND(ISNUMBER(B36),LEN(B36)=8),IF(MOD(B36,10000)=0,"UNSPSC a nivel de segmento o familia; ",""),"")&amp;IF(NOT(ISNUMBER(E36)),"Duración vacía o en texto; ","")&amp;IF(NOT(ISNUMBER(G36)),"Valor vacío o en texto; ","")&amp;IF(ISNUMBER(M36),IF(M36&lt;1000000,"Valor inferior a $1.000.000: verificar; ",""),"Valor no interpretable; ")&amp;IF(N36="[PENDIENTE DE VERIFICAR]","Modalidad no identificable; ","")&amp;IF(OR(ISERROR(SEARCH("@itc.edu.co",J36)),SUMPRODUCT(--ISNUMBER(SEARCH({"á","é","í","ó","ú","ñ"},J36)))&gt;0),"Correo vacío o no institucional válido; ","")&amp;IF(LEN(TRIM(D36))=0,"Sin objeto contractual; ","")&amp;IF(AND(ISNUMBER(M36),N36="Mínima cuantía"),IF(M36&gt;39850000,"Mínima cuantía con valor superior al tope citado en el instructivo 2026 ($39.850.000): verificar modalidad; ",""),"")&amp;IF(AND(ISNUMBER(M36),OR(ISNUMBER(SEARCH("prestación de servicios",D36)),ISNUMBER(SEARCH("prestar servicios",D36)),ISNUMBER(SEARCH("prestar los servicios",D36)))),IF(M36&gt;=500000000,"Prestación de servicios por $500 millones o más: posible error de digitación; ",""),""))</f>
        <v xml:space="preserve">Correo vacío o no institucional válido; </v>
      </c>
    </row>
    <row r="37" spans="1:15" ht="79.8" x14ac:dyDescent="0.3">
      <c r="A37" s="15" t="s">
        <v>892</v>
      </c>
      <c r="B37" s="15">
        <v>80111600</v>
      </c>
      <c r="C37" s="15" t="s">
        <v>893</v>
      </c>
      <c r="D37" s="15" t="s">
        <v>894</v>
      </c>
      <c r="E37" s="15">
        <v>11</v>
      </c>
      <c r="F37" s="15" t="s">
        <v>802</v>
      </c>
      <c r="G37" s="29">
        <v>52800000</v>
      </c>
      <c r="H37" s="15" t="s">
        <v>890</v>
      </c>
      <c r="I37" s="15"/>
      <c r="J37" s="15"/>
      <c r="K37" s="15">
        <v>32</v>
      </c>
      <c r="L37" s="30" t="s">
        <v>891</v>
      </c>
      <c r="M37" s="31">
        <v>52800000</v>
      </c>
      <c r="N37" s="30" t="s">
        <v>803</v>
      </c>
      <c r="O37" s="30" t="str">
        <f>IF(LEN(IF(OR(NOT(ISNUMBER(B37)),LEN(B37)&lt;&gt;8),"UNSPSC vacío, en texto, con varios códigos o sin 8 dígitos; ","")&amp;IF(AND(ISNUMBER(B37),LEN(B37)=8),IF(MOD(B37,10000)=0,"UNSPSC a nivel de segmento o familia; ",""),"")&amp;IF(NOT(ISNUMBER(E37)),"Duración vacía o en texto; ","")&amp;IF(NOT(ISNUMBER(G37)),"Valor vacío o en texto; ","")&amp;IF(ISNUMBER(M37),IF(M37&lt;1000000,"Valor inferior a $1.000.000: verificar; ",""),"Valor no interpretable; ")&amp;IF(N37="[PENDIENTE DE VERIFICAR]","Modalidad no identificable; ","")&amp;IF(OR(ISERROR(SEARCH("@itc.edu.co",J37)),SUMPRODUCT(--ISNUMBER(SEARCH({"á","é","í","ó","ú","ñ"},J37)))&gt;0),"Correo vacío o no institucional válido; ","")&amp;IF(LEN(TRIM(D37))=0,"Sin objeto contractual; ","")&amp;IF(AND(ISNUMBER(M37),N37="Mínima cuantía"),IF(M37&gt;39850000,"Mínima cuantía con valor superior al tope citado en el instructivo 2026 ($39.850.000): verificar modalidad; ",""),"")&amp;IF(AND(ISNUMBER(M37),OR(ISNUMBER(SEARCH("prestación de servicios",D37)),ISNUMBER(SEARCH("prestar servicios",D37)),ISNUMBER(SEARCH("prestar los servicios",D37)))),IF(M37&gt;=500000000,"Prestación de servicios por $500 millones o más: posible error de digitación; ",""),""))=0,"Sin observaciones",IF(OR(NOT(ISNUMBER(B37)),LEN(B37)&lt;&gt;8),"UNSPSC vacío, en texto, con varios códigos o sin 8 dígitos; ","")&amp;IF(AND(ISNUMBER(B37),LEN(B37)=8),IF(MOD(B37,10000)=0,"UNSPSC a nivel de segmento o familia; ",""),"")&amp;IF(NOT(ISNUMBER(E37)),"Duración vacía o en texto; ","")&amp;IF(NOT(ISNUMBER(G37)),"Valor vacío o en texto; ","")&amp;IF(ISNUMBER(M37),IF(M37&lt;1000000,"Valor inferior a $1.000.000: verificar; ",""),"Valor no interpretable; ")&amp;IF(N37="[PENDIENTE DE VERIFICAR]","Modalidad no identificable; ","")&amp;IF(OR(ISERROR(SEARCH("@itc.edu.co",J37)),SUMPRODUCT(--ISNUMBER(SEARCH({"á","é","í","ó","ú","ñ"},J37)))&gt;0),"Correo vacío o no institucional válido; ","")&amp;IF(LEN(TRIM(D37))=0,"Sin objeto contractual; ","")&amp;IF(AND(ISNUMBER(M37),N37="Mínima cuantía"),IF(M37&gt;39850000,"Mínima cuantía con valor superior al tope citado en el instructivo 2026 ($39.850.000): verificar modalidad; ",""),"")&amp;IF(AND(ISNUMBER(M37),OR(ISNUMBER(SEARCH("prestación de servicios",D37)),ISNUMBER(SEARCH("prestar servicios",D37)),ISNUMBER(SEARCH("prestar los servicios",D37)))),IF(M37&gt;=500000000,"Prestación de servicios por $500 millones o más: posible error de digitación; ",""),""))</f>
        <v xml:space="preserve">Correo vacío o no institucional válido; </v>
      </c>
    </row>
    <row r="38" spans="1:15" ht="45.6" x14ac:dyDescent="0.3">
      <c r="A38" s="15" t="s">
        <v>895</v>
      </c>
      <c r="B38" s="15">
        <v>80111600</v>
      </c>
      <c r="C38" s="15" t="s">
        <v>896</v>
      </c>
      <c r="D38" s="15" t="s">
        <v>897</v>
      </c>
      <c r="E38" s="15">
        <v>11</v>
      </c>
      <c r="F38" s="15" t="s">
        <v>802</v>
      </c>
      <c r="G38" s="29">
        <v>52800000</v>
      </c>
      <c r="H38" s="15" t="s">
        <v>898</v>
      </c>
      <c r="I38" s="15"/>
      <c r="J38" s="15" t="s">
        <v>899</v>
      </c>
      <c r="K38" s="15">
        <v>33</v>
      </c>
      <c r="L38" s="30" t="s">
        <v>814</v>
      </c>
      <c r="M38" s="31">
        <v>52800000</v>
      </c>
      <c r="N38" s="30" t="s">
        <v>803</v>
      </c>
      <c r="O38" s="30" t="str">
        <f>IF(LEN(IF(OR(NOT(ISNUMBER(B38)),LEN(B38)&lt;&gt;8),"UNSPSC vacío, en texto, con varios códigos o sin 8 dígitos; ","")&amp;IF(AND(ISNUMBER(B38),LEN(B38)=8),IF(MOD(B38,10000)=0,"UNSPSC a nivel de segmento o familia; ",""),"")&amp;IF(NOT(ISNUMBER(E38)),"Duración vacía o en texto; ","")&amp;IF(NOT(ISNUMBER(G38)),"Valor vacío o en texto; ","")&amp;IF(ISNUMBER(M38),IF(M38&lt;1000000,"Valor inferior a $1.000.000: verificar; ",""),"Valor no interpretable; ")&amp;IF(N38="[PENDIENTE DE VERIFICAR]","Modalidad no identificable; ","")&amp;IF(OR(ISERROR(SEARCH("@itc.edu.co",J38)),SUMPRODUCT(--ISNUMBER(SEARCH({"á","é","í","ó","ú","ñ"},J38)))&gt;0),"Correo vacío o no institucional válido; ","")&amp;IF(LEN(TRIM(D38))=0,"Sin objeto contractual; ","")&amp;IF(AND(ISNUMBER(M38),N38="Mínima cuantía"),IF(M38&gt;39850000,"Mínima cuantía con valor superior al tope citado en el instructivo 2026 ($39.850.000): verificar modalidad; ",""),"")&amp;IF(AND(ISNUMBER(M38),OR(ISNUMBER(SEARCH("prestación de servicios",D38)),ISNUMBER(SEARCH("prestar servicios",D38)),ISNUMBER(SEARCH("prestar los servicios",D38)))),IF(M38&gt;=500000000,"Prestación de servicios por $500 millones o más: posible error de digitación; ",""),""))=0,"Sin observaciones",IF(OR(NOT(ISNUMBER(B38)),LEN(B38)&lt;&gt;8),"UNSPSC vacío, en texto, con varios códigos o sin 8 dígitos; ","")&amp;IF(AND(ISNUMBER(B38),LEN(B38)=8),IF(MOD(B38,10000)=0,"UNSPSC a nivel de segmento o familia; ",""),"")&amp;IF(NOT(ISNUMBER(E38)),"Duración vacía o en texto; ","")&amp;IF(NOT(ISNUMBER(G38)),"Valor vacío o en texto; ","")&amp;IF(ISNUMBER(M38),IF(M38&lt;1000000,"Valor inferior a $1.000.000: verificar; ",""),"Valor no interpretable; ")&amp;IF(N38="[PENDIENTE DE VERIFICAR]","Modalidad no identificable; ","")&amp;IF(OR(ISERROR(SEARCH("@itc.edu.co",J38)),SUMPRODUCT(--ISNUMBER(SEARCH({"á","é","í","ó","ú","ñ"},J38)))&gt;0),"Correo vacío o no institucional válido; ","")&amp;IF(LEN(TRIM(D38))=0,"Sin objeto contractual; ","")&amp;IF(AND(ISNUMBER(M38),N38="Mínima cuantía"),IF(M38&gt;39850000,"Mínima cuantía con valor superior al tope citado en el instructivo 2026 ($39.850.000): verificar modalidad; ",""),"")&amp;IF(AND(ISNUMBER(M38),OR(ISNUMBER(SEARCH("prestación de servicios",D38)),ISNUMBER(SEARCH("prestar servicios",D38)),ISNUMBER(SEARCH("prestar los servicios",D38)))),IF(M38&gt;=500000000,"Prestación de servicios por $500 millones o más: posible error de digitación; ",""),""))</f>
        <v>Sin observaciones</v>
      </c>
    </row>
    <row r="39" spans="1:15" ht="45.6" x14ac:dyDescent="0.3">
      <c r="A39" s="15" t="s">
        <v>900</v>
      </c>
      <c r="B39" s="15">
        <v>80111600</v>
      </c>
      <c r="C39" s="15" t="s">
        <v>901</v>
      </c>
      <c r="D39" s="15" t="s">
        <v>902</v>
      </c>
      <c r="E39" s="15">
        <v>11</v>
      </c>
      <c r="F39" s="15" t="s">
        <v>802</v>
      </c>
      <c r="G39" s="29">
        <v>52800000</v>
      </c>
      <c r="H39" s="15" t="s">
        <v>898</v>
      </c>
      <c r="I39" s="15"/>
      <c r="J39" s="15" t="s">
        <v>899</v>
      </c>
      <c r="K39" s="15">
        <v>34</v>
      </c>
      <c r="L39" s="30" t="s">
        <v>814</v>
      </c>
      <c r="M39" s="31">
        <v>52800000</v>
      </c>
      <c r="N39" s="30" t="s">
        <v>803</v>
      </c>
      <c r="O39" s="30" t="str">
        <f>IF(LEN(IF(OR(NOT(ISNUMBER(B39)),LEN(B39)&lt;&gt;8),"UNSPSC vacío, en texto, con varios códigos o sin 8 dígitos; ","")&amp;IF(AND(ISNUMBER(B39),LEN(B39)=8),IF(MOD(B39,10000)=0,"UNSPSC a nivel de segmento o familia; ",""),"")&amp;IF(NOT(ISNUMBER(E39)),"Duración vacía o en texto; ","")&amp;IF(NOT(ISNUMBER(G39)),"Valor vacío o en texto; ","")&amp;IF(ISNUMBER(M39),IF(M39&lt;1000000,"Valor inferior a $1.000.000: verificar; ",""),"Valor no interpretable; ")&amp;IF(N39="[PENDIENTE DE VERIFICAR]","Modalidad no identificable; ","")&amp;IF(OR(ISERROR(SEARCH("@itc.edu.co",J39)),SUMPRODUCT(--ISNUMBER(SEARCH({"á","é","í","ó","ú","ñ"},J39)))&gt;0),"Correo vacío o no institucional válido; ","")&amp;IF(LEN(TRIM(D39))=0,"Sin objeto contractual; ","")&amp;IF(AND(ISNUMBER(M39),N39="Mínima cuantía"),IF(M39&gt;39850000,"Mínima cuantía con valor superior al tope citado en el instructivo 2026 ($39.850.000): verificar modalidad; ",""),"")&amp;IF(AND(ISNUMBER(M39),OR(ISNUMBER(SEARCH("prestación de servicios",D39)),ISNUMBER(SEARCH("prestar servicios",D39)),ISNUMBER(SEARCH("prestar los servicios",D39)))),IF(M39&gt;=500000000,"Prestación de servicios por $500 millones o más: posible error de digitación; ",""),""))=0,"Sin observaciones",IF(OR(NOT(ISNUMBER(B39)),LEN(B39)&lt;&gt;8),"UNSPSC vacío, en texto, con varios códigos o sin 8 dígitos; ","")&amp;IF(AND(ISNUMBER(B39),LEN(B39)=8),IF(MOD(B39,10000)=0,"UNSPSC a nivel de segmento o familia; ",""),"")&amp;IF(NOT(ISNUMBER(E39)),"Duración vacía o en texto; ","")&amp;IF(NOT(ISNUMBER(G39)),"Valor vacío o en texto; ","")&amp;IF(ISNUMBER(M39),IF(M39&lt;1000000,"Valor inferior a $1.000.000: verificar; ",""),"Valor no interpretable; ")&amp;IF(N39="[PENDIENTE DE VERIFICAR]","Modalidad no identificable; ","")&amp;IF(OR(ISERROR(SEARCH("@itc.edu.co",J39)),SUMPRODUCT(--ISNUMBER(SEARCH({"á","é","í","ó","ú","ñ"},J39)))&gt;0),"Correo vacío o no institucional válido; ","")&amp;IF(LEN(TRIM(D39))=0,"Sin objeto contractual; ","")&amp;IF(AND(ISNUMBER(M39),N39="Mínima cuantía"),IF(M39&gt;39850000,"Mínima cuantía con valor superior al tope citado en el instructivo 2026 ($39.850.000): verificar modalidad; ",""),"")&amp;IF(AND(ISNUMBER(M39),OR(ISNUMBER(SEARCH("prestación de servicios",D39)),ISNUMBER(SEARCH("prestar servicios",D39)),ISNUMBER(SEARCH("prestar los servicios",D39)))),IF(M39&gt;=500000000,"Prestación de servicios por $500 millones o más: posible error de digitación; ",""),""))</f>
        <v>Sin observaciones</v>
      </c>
    </row>
    <row r="40" spans="1:15" ht="34.200000000000003" x14ac:dyDescent="0.3">
      <c r="A40" s="15" t="s">
        <v>903</v>
      </c>
      <c r="B40" s="15">
        <v>80111600</v>
      </c>
      <c r="C40" s="15" t="s">
        <v>904</v>
      </c>
      <c r="D40" s="15" t="s">
        <v>905</v>
      </c>
      <c r="E40" s="15">
        <v>11</v>
      </c>
      <c r="F40" s="15" t="s">
        <v>802</v>
      </c>
      <c r="G40" s="29">
        <v>52800000</v>
      </c>
      <c r="H40" s="15" t="s">
        <v>898</v>
      </c>
      <c r="I40" s="15"/>
      <c r="J40" s="15" t="s">
        <v>899</v>
      </c>
      <c r="K40" s="15">
        <v>35</v>
      </c>
      <c r="L40" s="30" t="s">
        <v>814</v>
      </c>
      <c r="M40" s="31">
        <v>52800000</v>
      </c>
      <c r="N40" s="30" t="s">
        <v>803</v>
      </c>
      <c r="O40" s="30" t="str">
        <f>IF(LEN(IF(OR(NOT(ISNUMBER(B40)),LEN(B40)&lt;&gt;8),"UNSPSC vacío, en texto, con varios códigos o sin 8 dígitos; ","")&amp;IF(AND(ISNUMBER(B40),LEN(B40)=8),IF(MOD(B40,10000)=0,"UNSPSC a nivel de segmento o familia; ",""),"")&amp;IF(NOT(ISNUMBER(E40)),"Duración vacía o en texto; ","")&amp;IF(NOT(ISNUMBER(G40)),"Valor vacío o en texto; ","")&amp;IF(ISNUMBER(M40),IF(M40&lt;1000000,"Valor inferior a $1.000.000: verificar; ",""),"Valor no interpretable; ")&amp;IF(N40="[PENDIENTE DE VERIFICAR]","Modalidad no identificable; ","")&amp;IF(OR(ISERROR(SEARCH("@itc.edu.co",J40)),SUMPRODUCT(--ISNUMBER(SEARCH({"á","é","í","ó","ú","ñ"},J40)))&gt;0),"Correo vacío o no institucional válido; ","")&amp;IF(LEN(TRIM(D40))=0,"Sin objeto contractual; ","")&amp;IF(AND(ISNUMBER(M40),N40="Mínima cuantía"),IF(M40&gt;39850000,"Mínima cuantía con valor superior al tope citado en el instructivo 2026 ($39.850.000): verificar modalidad; ",""),"")&amp;IF(AND(ISNUMBER(M40),OR(ISNUMBER(SEARCH("prestación de servicios",D40)),ISNUMBER(SEARCH("prestar servicios",D40)),ISNUMBER(SEARCH("prestar los servicios",D40)))),IF(M40&gt;=500000000,"Prestación de servicios por $500 millones o más: posible error de digitación; ",""),""))=0,"Sin observaciones",IF(OR(NOT(ISNUMBER(B40)),LEN(B40)&lt;&gt;8),"UNSPSC vacío, en texto, con varios códigos o sin 8 dígitos; ","")&amp;IF(AND(ISNUMBER(B40),LEN(B40)=8),IF(MOD(B40,10000)=0,"UNSPSC a nivel de segmento o familia; ",""),"")&amp;IF(NOT(ISNUMBER(E40)),"Duración vacía o en texto; ","")&amp;IF(NOT(ISNUMBER(G40)),"Valor vacío o en texto; ","")&amp;IF(ISNUMBER(M40),IF(M40&lt;1000000,"Valor inferior a $1.000.000: verificar; ",""),"Valor no interpretable; ")&amp;IF(N40="[PENDIENTE DE VERIFICAR]","Modalidad no identificable; ","")&amp;IF(OR(ISERROR(SEARCH("@itc.edu.co",J40)),SUMPRODUCT(--ISNUMBER(SEARCH({"á","é","í","ó","ú","ñ"},J40)))&gt;0),"Correo vacío o no institucional válido; ","")&amp;IF(LEN(TRIM(D40))=0,"Sin objeto contractual; ","")&amp;IF(AND(ISNUMBER(M40),N40="Mínima cuantía"),IF(M40&gt;39850000,"Mínima cuantía con valor superior al tope citado en el instructivo 2026 ($39.850.000): verificar modalidad; ",""),"")&amp;IF(AND(ISNUMBER(M40),OR(ISNUMBER(SEARCH("prestación de servicios",D40)),ISNUMBER(SEARCH("prestar servicios",D40)),ISNUMBER(SEARCH("prestar los servicios",D40)))),IF(M40&gt;=500000000,"Prestación de servicios por $500 millones o más: posible error de digitación; ",""),""))</f>
        <v>Sin observaciones</v>
      </c>
    </row>
    <row r="41" spans="1:15" ht="68.400000000000006" x14ac:dyDescent="0.3">
      <c r="A41" s="15" t="s">
        <v>906</v>
      </c>
      <c r="B41" s="15">
        <v>80111600</v>
      </c>
      <c r="C41" s="15" t="s">
        <v>907</v>
      </c>
      <c r="D41" s="15" t="s">
        <v>908</v>
      </c>
      <c r="E41" s="15">
        <v>11</v>
      </c>
      <c r="F41" s="15" t="s">
        <v>802</v>
      </c>
      <c r="G41" s="29">
        <v>39504668</v>
      </c>
      <c r="H41" s="15" t="s">
        <v>909</v>
      </c>
      <c r="I41" s="15"/>
      <c r="J41" s="15" t="s">
        <v>910</v>
      </c>
      <c r="K41" s="15">
        <v>36</v>
      </c>
      <c r="L41" s="30" t="s">
        <v>911</v>
      </c>
      <c r="M41" s="31">
        <v>39504668</v>
      </c>
      <c r="N41" s="30" t="s">
        <v>803</v>
      </c>
      <c r="O41" s="30" t="str">
        <f>IF(LEN(IF(OR(NOT(ISNUMBER(B41)),LEN(B41)&lt;&gt;8),"UNSPSC vacío, en texto, con varios códigos o sin 8 dígitos; ","")&amp;IF(AND(ISNUMBER(B41),LEN(B41)=8),IF(MOD(B41,10000)=0,"UNSPSC a nivel de segmento o familia; ",""),"")&amp;IF(NOT(ISNUMBER(E41)),"Duración vacía o en texto; ","")&amp;IF(NOT(ISNUMBER(G41)),"Valor vacío o en texto; ","")&amp;IF(ISNUMBER(M41),IF(M41&lt;1000000,"Valor inferior a $1.000.000: verificar; ",""),"Valor no interpretable; ")&amp;IF(N41="[PENDIENTE DE VERIFICAR]","Modalidad no identificable; ","")&amp;IF(OR(ISERROR(SEARCH("@itc.edu.co",J41)),SUMPRODUCT(--ISNUMBER(SEARCH({"á","é","í","ó","ú","ñ"},J41)))&gt;0),"Correo vacío o no institucional válido; ","")&amp;IF(LEN(TRIM(D41))=0,"Sin objeto contractual; ","")&amp;IF(AND(ISNUMBER(M41),N41="Mínima cuantía"),IF(M41&gt;39850000,"Mínima cuantía con valor superior al tope citado en el instructivo 2026 ($39.850.000): verificar modalidad; ",""),"")&amp;IF(AND(ISNUMBER(M41),OR(ISNUMBER(SEARCH("prestación de servicios",D41)),ISNUMBER(SEARCH("prestar servicios",D41)),ISNUMBER(SEARCH("prestar los servicios",D41)))),IF(M41&gt;=500000000,"Prestación de servicios por $500 millones o más: posible error de digitación; ",""),""))=0,"Sin observaciones",IF(OR(NOT(ISNUMBER(B41)),LEN(B41)&lt;&gt;8),"UNSPSC vacío, en texto, con varios códigos o sin 8 dígitos; ","")&amp;IF(AND(ISNUMBER(B41),LEN(B41)=8),IF(MOD(B41,10000)=0,"UNSPSC a nivel de segmento o familia; ",""),"")&amp;IF(NOT(ISNUMBER(E41)),"Duración vacía o en texto; ","")&amp;IF(NOT(ISNUMBER(G41)),"Valor vacío o en texto; ","")&amp;IF(ISNUMBER(M41),IF(M41&lt;1000000,"Valor inferior a $1.000.000: verificar; ",""),"Valor no interpretable; ")&amp;IF(N41="[PENDIENTE DE VERIFICAR]","Modalidad no identificable; ","")&amp;IF(OR(ISERROR(SEARCH("@itc.edu.co",J41)),SUMPRODUCT(--ISNUMBER(SEARCH({"á","é","í","ó","ú","ñ"},J41)))&gt;0),"Correo vacío o no institucional válido; ","")&amp;IF(LEN(TRIM(D41))=0,"Sin objeto contractual; ","")&amp;IF(AND(ISNUMBER(M41),N41="Mínima cuantía"),IF(M41&gt;39850000,"Mínima cuantía con valor superior al tope citado en el instructivo 2026 ($39.850.000): verificar modalidad; ",""),"")&amp;IF(AND(ISNUMBER(M41),OR(ISNUMBER(SEARCH("prestación de servicios",D41)),ISNUMBER(SEARCH("prestar servicios",D41)),ISNUMBER(SEARCH("prestar los servicios",D41)))),IF(M41&gt;=500000000,"Prestación de servicios por $500 millones o más: posible error de digitación; ",""),""))</f>
        <v>Sin observaciones</v>
      </c>
    </row>
    <row r="42" spans="1:15" ht="34.200000000000003" x14ac:dyDescent="0.3">
      <c r="A42" s="15" t="s">
        <v>912</v>
      </c>
      <c r="B42" s="15">
        <v>80111600</v>
      </c>
      <c r="C42" s="15" t="s">
        <v>913</v>
      </c>
      <c r="D42" s="15" t="s">
        <v>914</v>
      </c>
      <c r="E42" s="15">
        <v>11</v>
      </c>
      <c r="F42" s="15" t="s">
        <v>802</v>
      </c>
      <c r="G42" s="29">
        <v>45672007</v>
      </c>
      <c r="H42" s="15" t="s">
        <v>909</v>
      </c>
      <c r="I42" s="15"/>
      <c r="J42" s="15" t="s">
        <v>910</v>
      </c>
      <c r="K42" s="15">
        <v>37</v>
      </c>
      <c r="L42" s="30" t="s">
        <v>911</v>
      </c>
      <c r="M42" s="31">
        <v>45672007</v>
      </c>
      <c r="N42" s="30" t="s">
        <v>803</v>
      </c>
      <c r="O42" s="30" t="str">
        <f>IF(LEN(IF(OR(NOT(ISNUMBER(B42)),LEN(B42)&lt;&gt;8),"UNSPSC vacío, en texto, con varios códigos o sin 8 dígitos; ","")&amp;IF(AND(ISNUMBER(B42),LEN(B42)=8),IF(MOD(B42,10000)=0,"UNSPSC a nivel de segmento o familia; ",""),"")&amp;IF(NOT(ISNUMBER(E42)),"Duración vacía o en texto; ","")&amp;IF(NOT(ISNUMBER(G42)),"Valor vacío o en texto; ","")&amp;IF(ISNUMBER(M42),IF(M42&lt;1000000,"Valor inferior a $1.000.000: verificar; ",""),"Valor no interpretable; ")&amp;IF(N42="[PENDIENTE DE VERIFICAR]","Modalidad no identificable; ","")&amp;IF(OR(ISERROR(SEARCH("@itc.edu.co",J42)),SUMPRODUCT(--ISNUMBER(SEARCH({"á","é","í","ó","ú","ñ"},J42)))&gt;0),"Correo vacío o no institucional válido; ","")&amp;IF(LEN(TRIM(D42))=0,"Sin objeto contractual; ","")&amp;IF(AND(ISNUMBER(M42),N42="Mínima cuantía"),IF(M42&gt;39850000,"Mínima cuantía con valor superior al tope citado en el instructivo 2026 ($39.850.000): verificar modalidad; ",""),"")&amp;IF(AND(ISNUMBER(M42),OR(ISNUMBER(SEARCH("prestación de servicios",D42)),ISNUMBER(SEARCH("prestar servicios",D42)),ISNUMBER(SEARCH("prestar los servicios",D42)))),IF(M42&gt;=500000000,"Prestación de servicios por $500 millones o más: posible error de digitación; ",""),""))=0,"Sin observaciones",IF(OR(NOT(ISNUMBER(B42)),LEN(B42)&lt;&gt;8),"UNSPSC vacío, en texto, con varios códigos o sin 8 dígitos; ","")&amp;IF(AND(ISNUMBER(B42),LEN(B42)=8),IF(MOD(B42,10000)=0,"UNSPSC a nivel de segmento o familia; ",""),"")&amp;IF(NOT(ISNUMBER(E42)),"Duración vacía o en texto; ","")&amp;IF(NOT(ISNUMBER(G42)),"Valor vacío o en texto; ","")&amp;IF(ISNUMBER(M42),IF(M42&lt;1000000,"Valor inferior a $1.000.000: verificar; ",""),"Valor no interpretable; ")&amp;IF(N42="[PENDIENTE DE VERIFICAR]","Modalidad no identificable; ","")&amp;IF(OR(ISERROR(SEARCH("@itc.edu.co",J42)),SUMPRODUCT(--ISNUMBER(SEARCH({"á","é","í","ó","ú","ñ"},J42)))&gt;0),"Correo vacío o no institucional válido; ","")&amp;IF(LEN(TRIM(D42))=0,"Sin objeto contractual; ","")&amp;IF(AND(ISNUMBER(M42),N42="Mínima cuantía"),IF(M42&gt;39850000,"Mínima cuantía con valor superior al tope citado en el instructivo 2026 ($39.850.000): verificar modalidad; ",""),"")&amp;IF(AND(ISNUMBER(M42),OR(ISNUMBER(SEARCH("prestación de servicios",D42)),ISNUMBER(SEARCH("prestar servicios",D42)),ISNUMBER(SEARCH("prestar los servicios",D42)))),IF(M42&gt;=500000000,"Prestación de servicios por $500 millones o más: posible error de digitación; ",""),""))</f>
        <v>Sin observaciones</v>
      </c>
    </row>
    <row r="43" spans="1:15" ht="68.400000000000006" x14ac:dyDescent="0.3">
      <c r="A43" s="15" t="s">
        <v>915</v>
      </c>
      <c r="B43" s="15">
        <v>80111600</v>
      </c>
      <c r="C43" s="15" t="s">
        <v>916</v>
      </c>
      <c r="D43" s="15" t="s">
        <v>917</v>
      </c>
      <c r="E43" s="15">
        <v>11</v>
      </c>
      <c r="F43" s="15" t="s">
        <v>802</v>
      </c>
      <c r="G43" s="29">
        <v>49181250</v>
      </c>
      <c r="H43" s="15" t="s">
        <v>909</v>
      </c>
      <c r="I43" s="15"/>
      <c r="J43" s="15" t="s">
        <v>910</v>
      </c>
      <c r="K43" s="15">
        <v>38</v>
      </c>
      <c r="L43" s="30" t="s">
        <v>911</v>
      </c>
      <c r="M43" s="31">
        <v>49181250</v>
      </c>
      <c r="N43" s="30" t="s">
        <v>803</v>
      </c>
      <c r="O43" s="30" t="str">
        <f>IF(LEN(IF(OR(NOT(ISNUMBER(B43)),LEN(B43)&lt;&gt;8),"UNSPSC vacío, en texto, con varios códigos o sin 8 dígitos; ","")&amp;IF(AND(ISNUMBER(B43),LEN(B43)=8),IF(MOD(B43,10000)=0,"UNSPSC a nivel de segmento o familia; ",""),"")&amp;IF(NOT(ISNUMBER(E43)),"Duración vacía o en texto; ","")&amp;IF(NOT(ISNUMBER(G43)),"Valor vacío o en texto; ","")&amp;IF(ISNUMBER(M43),IF(M43&lt;1000000,"Valor inferior a $1.000.000: verificar; ",""),"Valor no interpretable; ")&amp;IF(N43="[PENDIENTE DE VERIFICAR]","Modalidad no identificable; ","")&amp;IF(OR(ISERROR(SEARCH("@itc.edu.co",J43)),SUMPRODUCT(--ISNUMBER(SEARCH({"á","é","í","ó","ú","ñ"},J43)))&gt;0),"Correo vacío o no institucional válido; ","")&amp;IF(LEN(TRIM(D43))=0,"Sin objeto contractual; ","")&amp;IF(AND(ISNUMBER(M43),N43="Mínima cuantía"),IF(M43&gt;39850000,"Mínima cuantía con valor superior al tope citado en el instructivo 2026 ($39.850.000): verificar modalidad; ",""),"")&amp;IF(AND(ISNUMBER(M43),OR(ISNUMBER(SEARCH("prestación de servicios",D43)),ISNUMBER(SEARCH("prestar servicios",D43)),ISNUMBER(SEARCH("prestar los servicios",D43)))),IF(M43&gt;=500000000,"Prestación de servicios por $500 millones o más: posible error de digitación; ",""),""))=0,"Sin observaciones",IF(OR(NOT(ISNUMBER(B43)),LEN(B43)&lt;&gt;8),"UNSPSC vacío, en texto, con varios códigos o sin 8 dígitos; ","")&amp;IF(AND(ISNUMBER(B43),LEN(B43)=8),IF(MOD(B43,10000)=0,"UNSPSC a nivel de segmento o familia; ",""),"")&amp;IF(NOT(ISNUMBER(E43)),"Duración vacía o en texto; ","")&amp;IF(NOT(ISNUMBER(G43)),"Valor vacío o en texto; ","")&amp;IF(ISNUMBER(M43),IF(M43&lt;1000000,"Valor inferior a $1.000.000: verificar; ",""),"Valor no interpretable; ")&amp;IF(N43="[PENDIENTE DE VERIFICAR]","Modalidad no identificable; ","")&amp;IF(OR(ISERROR(SEARCH("@itc.edu.co",J43)),SUMPRODUCT(--ISNUMBER(SEARCH({"á","é","í","ó","ú","ñ"},J43)))&gt;0),"Correo vacío o no institucional válido; ","")&amp;IF(LEN(TRIM(D43))=0,"Sin objeto contractual; ","")&amp;IF(AND(ISNUMBER(M43),N43="Mínima cuantía"),IF(M43&gt;39850000,"Mínima cuantía con valor superior al tope citado en el instructivo 2026 ($39.850.000): verificar modalidad; ",""),"")&amp;IF(AND(ISNUMBER(M43),OR(ISNUMBER(SEARCH("prestación de servicios",D43)),ISNUMBER(SEARCH("prestar servicios",D43)),ISNUMBER(SEARCH("prestar los servicios",D43)))),IF(M43&gt;=500000000,"Prestación de servicios por $500 millones o más: posible error de digitación; ",""),""))</f>
        <v>Sin observaciones</v>
      </c>
    </row>
    <row r="44" spans="1:15" ht="45.6" x14ac:dyDescent="0.3">
      <c r="A44" s="15" t="s">
        <v>918</v>
      </c>
      <c r="B44" s="15">
        <v>80111600</v>
      </c>
      <c r="C44" s="15" t="s">
        <v>919</v>
      </c>
      <c r="D44" s="15" t="s">
        <v>920</v>
      </c>
      <c r="E44" s="15">
        <v>11</v>
      </c>
      <c r="F44" s="15" t="s">
        <v>802</v>
      </c>
      <c r="G44" s="29">
        <v>49181250</v>
      </c>
      <c r="H44" s="15" t="s">
        <v>909</v>
      </c>
      <c r="I44" s="15"/>
      <c r="J44" s="15" t="s">
        <v>910</v>
      </c>
      <c r="K44" s="15">
        <v>39</v>
      </c>
      <c r="L44" s="30" t="s">
        <v>911</v>
      </c>
      <c r="M44" s="31">
        <v>49181250</v>
      </c>
      <c r="N44" s="30" t="s">
        <v>803</v>
      </c>
      <c r="O44" s="30" t="str">
        <f>IF(LEN(IF(OR(NOT(ISNUMBER(B44)),LEN(B44)&lt;&gt;8),"UNSPSC vacío, en texto, con varios códigos o sin 8 dígitos; ","")&amp;IF(AND(ISNUMBER(B44),LEN(B44)=8),IF(MOD(B44,10000)=0,"UNSPSC a nivel de segmento o familia; ",""),"")&amp;IF(NOT(ISNUMBER(E44)),"Duración vacía o en texto; ","")&amp;IF(NOT(ISNUMBER(G44)),"Valor vacío o en texto; ","")&amp;IF(ISNUMBER(M44),IF(M44&lt;1000000,"Valor inferior a $1.000.000: verificar; ",""),"Valor no interpretable; ")&amp;IF(N44="[PENDIENTE DE VERIFICAR]","Modalidad no identificable; ","")&amp;IF(OR(ISERROR(SEARCH("@itc.edu.co",J44)),SUMPRODUCT(--ISNUMBER(SEARCH({"á","é","í","ó","ú","ñ"},J44)))&gt;0),"Correo vacío o no institucional válido; ","")&amp;IF(LEN(TRIM(D44))=0,"Sin objeto contractual; ","")&amp;IF(AND(ISNUMBER(M44),N44="Mínima cuantía"),IF(M44&gt;39850000,"Mínima cuantía con valor superior al tope citado en el instructivo 2026 ($39.850.000): verificar modalidad; ",""),"")&amp;IF(AND(ISNUMBER(M44),OR(ISNUMBER(SEARCH("prestación de servicios",D44)),ISNUMBER(SEARCH("prestar servicios",D44)),ISNUMBER(SEARCH("prestar los servicios",D44)))),IF(M44&gt;=500000000,"Prestación de servicios por $500 millones o más: posible error de digitación; ",""),""))=0,"Sin observaciones",IF(OR(NOT(ISNUMBER(B44)),LEN(B44)&lt;&gt;8),"UNSPSC vacío, en texto, con varios códigos o sin 8 dígitos; ","")&amp;IF(AND(ISNUMBER(B44),LEN(B44)=8),IF(MOD(B44,10000)=0,"UNSPSC a nivel de segmento o familia; ",""),"")&amp;IF(NOT(ISNUMBER(E44)),"Duración vacía o en texto; ","")&amp;IF(NOT(ISNUMBER(G44)),"Valor vacío o en texto; ","")&amp;IF(ISNUMBER(M44),IF(M44&lt;1000000,"Valor inferior a $1.000.000: verificar; ",""),"Valor no interpretable; ")&amp;IF(N44="[PENDIENTE DE VERIFICAR]","Modalidad no identificable; ","")&amp;IF(OR(ISERROR(SEARCH("@itc.edu.co",J44)),SUMPRODUCT(--ISNUMBER(SEARCH({"á","é","í","ó","ú","ñ"},J44)))&gt;0),"Correo vacío o no institucional válido; ","")&amp;IF(LEN(TRIM(D44))=0,"Sin objeto contractual; ","")&amp;IF(AND(ISNUMBER(M44),N44="Mínima cuantía"),IF(M44&gt;39850000,"Mínima cuantía con valor superior al tope citado en el instructivo 2026 ($39.850.000): verificar modalidad; ",""),"")&amp;IF(AND(ISNUMBER(M44),OR(ISNUMBER(SEARCH("prestación de servicios",D44)),ISNUMBER(SEARCH("prestar servicios",D44)),ISNUMBER(SEARCH("prestar los servicios",D44)))),IF(M44&gt;=500000000,"Prestación de servicios por $500 millones o más: posible error de digitación; ",""),""))</f>
        <v>Sin observaciones</v>
      </c>
    </row>
    <row r="45" spans="1:15" ht="45.6" x14ac:dyDescent="0.3">
      <c r="A45" s="15" t="s">
        <v>921</v>
      </c>
      <c r="B45" s="15">
        <v>80111600</v>
      </c>
      <c r="C45" s="15" t="s">
        <v>922</v>
      </c>
      <c r="D45" s="15" t="s">
        <v>923</v>
      </c>
      <c r="E45" s="15">
        <v>11</v>
      </c>
      <c r="F45" s="15" t="s">
        <v>802</v>
      </c>
      <c r="G45" s="29">
        <v>49181250</v>
      </c>
      <c r="H45" s="15" t="s">
        <v>909</v>
      </c>
      <c r="I45" s="15"/>
      <c r="J45" s="15" t="s">
        <v>910</v>
      </c>
      <c r="K45" s="15">
        <v>40</v>
      </c>
      <c r="L45" s="30" t="s">
        <v>911</v>
      </c>
      <c r="M45" s="31">
        <v>49181250</v>
      </c>
      <c r="N45" s="30" t="s">
        <v>803</v>
      </c>
      <c r="O45" s="30" t="str">
        <f>IF(LEN(IF(OR(NOT(ISNUMBER(B45)),LEN(B45)&lt;&gt;8),"UNSPSC vacío, en texto, con varios códigos o sin 8 dígitos; ","")&amp;IF(AND(ISNUMBER(B45),LEN(B45)=8),IF(MOD(B45,10000)=0,"UNSPSC a nivel de segmento o familia; ",""),"")&amp;IF(NOT(ISNUMBER(E45)),"Duración vacía o en texto; ","")&amp;IF(NOT(ISNUMBER(G45)),"Valor vacío o en texto; ","")&amp;IF(ISNUMBER(M45),IF(M45&lt;1000000,"Valor inferior a $1.000.000: verificar; ",""),"Valor no interpretable; ")&amp;IF(N45="[PENDIENTE DE VERIFICAR]","Modalidad no identificable; ","")&amp;IF(OR(ISERROR(SEARCH("@itc.edu.co",J45)),SUMPRODUCT(--ISNUMBER(SEARCH({"á","é","í","ó","ú","ñ"},J45)))&gt;0),"Correo vacío o no institucional válido; ","")&amp;IF(LEN(TRIM(D45))=0,"Sin objeto contractual; ","")&amp;IF(AND(ISNUMBER(M45),N45="Mínima cuantía"),IF(M45&gt;39850000,"Mínima cuantía con valor superior al tope citado en el instructivo 2026 ($39.850.000): verificar modalidad; ",""),"")&amp;IF(AND(ISNUMBER(M45),OR(ISNUMBER(SEARCH("prestación de servicios",D45)),ISNUMBER(SEARCH("prestar servicios",D45)),ISNUMBER(SEARCH("prestar los servicios",D45)))),IF(M45&gt;=500000000,"Prestación de servicios por $500 millones o más: posible error de digitación; ",""),""))=0,"Sin observaciones",IF(OR(NOT(ISNUMBER(B45)),LEN(B45)&lt;&gt;8),"UNSPSC vacío, en texto, con varios códigos o sin 8 dígitos; ","")&amp;IF(AND(ISNUMBER(B45),LEN(B45)=8),IF(MOD(B45,10000)=0,"UNSPSC a nivel de segmento o familia; ",""),"")&amp;IF(NOT(ISNUMBER(E45)),"Duración vacía o en texto; ","")&amp;IF(NOT(ISNUMBER(G45)),"Valor vacío o en texto; ","")&amp;IF(ISNUMBER(M45),IF(M45&lt;1000000,"Valor inferior a $1.000.000: verificar; ",""),"Valor no interpretable; ")&amp;IF(N45="[PENDIENTE DE VERIFICAR]","Modalidad no identificable; ","")&amp;IF(OR(ISERROR(SEARCH("@itc.edu.co",J45)),SUMPRODUCT(--ISNUMBER(SEARCH({"á","é","í","ó","ú","ñ"},J45)))&gt;0),"Correo vacío o no institucional válido; ","")&amp;IF(LEN(TRIM(D45))=0,"Sin objeto contractual; ","")&amp;IF(AND(ISNUMBER(M45),N45="Mínima cuantía"),IF(M45&gt;39850000,"Mínima cuantía con valor superior al tope citado en el instructivo 2026 ($39.850.000): verificar modalidad; ",""),"")&amp;IF(AND(ISNUMBER(M45),OR(ISNUMBER(SEARCH("prestación de servicios",D45)),ISNUMBER(SEARCH("prestar servicios",D45)),ISNUMBER(SEARCH("prestar los servicios",D45)))),IF(M45&gt;=500000000,"Prestación de servicios por $500 millones o más: posible error de digitación; ",""),""))</f>
        <v>Sin observaciones</v>
      </c>
    </row>
    <row r="46" spans="1:15" ht="57" x14ac:dyDescent="0.3">
      <c r="A46" s="15" t="s">
        <v>924</v>
      </c>
      <c r="B46" s="15">
        <v>80111600</v>
      </c>
      <c r="C46" s="15" t="s">
        <v>925</v>
      </c>
      <c r="D46" s="15" t="s">
        <v>926</v>
      </c>
      <c r="E46" s="15">
        <v>11</v>
      </c>
      <c r="F46" s="15" t="s">
        <v>802</v>
      </c>
      <c r="G46" s="29">
        <v>42525357</v>
      </c>
      <c r="H46" s="15" t="s">
        <v>909</v>
      </c>
      <c r="I46" s="15"/>
      <c r="J46" s="15" t="s">
        <v>910</v>
      </c>
      <c r="K46" s="15">
        <v>41</v>
      </c>
      <c r="L46" s="30" t="s">
        <v>911</v>
      </c>
      <c r="M46" s="31">
        <v>42525357</v>
      </c>
      <c r="N46" s="30" t="s">
        <v>803</v>
      </c>
      <c r="O46" s="30" t="str">
        <f>IF(LEN(IF(OR(NOT(ISNUMBER(B46)),LEN(B46)&lt;&gt;8),"UNSPSC vacío, en texto, con varios códigos o sin 8 dígitos; ","")&amp;IF(AND(ISNUMBER(B46),LEN(B46)=8),IF(MOD(B46,10000)=0,"UNSPSC a nivel de segmento o familia; ",""),"")&amp;IF(NOT(ISNUMBER(E46)),"Duración vacía o en texto; ","")&amp;IF(NOT(ISNUMBER(G46)),"Valor vacío o en texto; ","")&amp;IF(ISNUMBER(M46),IF(M46&lt;1000000,"Valor inferior a $1.000.000: verificar; ",""),"Valor no interpretable; ")&amp;IF(N46="[PENDIENTE DE VERIFICAR]","Modalidad no identificable; ","")&amp;IF(OR(ISERROR(SEARCH("@itc.edu.co",J46)),SUMPRODUCT(--ISNUMBER(SEARCH({"á","é","í","ó","ú","ñ"},J46)))&gt;0),"Correo vacío o no institucional válido; ","")&amp;IF(LEN(TRIM(D46))=0,"Sin objeto contractual; ","")&amp;IF(AND(ISNUMBER(M46),N46="Mínima cuantía"),IF(M46&gt;39850000,"Mínima cuantía con valor superior al tope citado en el instructivo 2026 ($39.850.000): verificar modalidad; ",""),"")&amp;IF(AND(ISNUMBER(M46),OR(ISNUMBER(SEARCH("prestación de servicios",D46)),ISNUMBER(SEARCH("prestar servicios",D46)),ISNUMBER(SEARCH("prestar los servicios",D46)))),IF(M46&gt;=500000000,"Prestación de servicios por $500 millones o más: posible error de digitación; ",""),""))=0,"Sin observaciones",IF(OR(NOT(ISNUMBER(B46)),LEN(B46)&lt;&gt;8),"UNSPSC vacío, en texto, con varios códigos o sin 8 dígitos; ","")&amp;IF(AND(ISNUMBER(B46),LEN(B46)=8),IF(MOD(B46,10000)=0,"UNSPSC a nivel de segmento o familia; ",""),"")&amp;IF(NOT(ISNUMBER(E46)),"Duración vacía o en texto; ","")&amp;IF(NOT(ISNUMBER(G46)),"Valor vacío o en texto; ","")&amp;IF(ISNUMBER(M46),IF(M46&lt;1000000,"Valor inferior a $1.000.000: verificar; ",""),"Valor no interpretable; ")&amp;IF(N46="[PENDIENTE DE VERIFICAR]","Modalidad no identificable; ","")&amp;IF(OR(ISERROR(SEARCH("@itc.edu.co",J46)),SUMPRODUCT(--ISNUMBER(SEARCH({"á","é","í","ó","ú","ñ"},J46)))&gt;0),"Correo vacío o no institucional válido; ","")&amp;IF(LEN(TRIM(D46))=0,"Sin objeto contractual; ","")&amp;IF(AND(ISNUMBER(M46),N46="Mínima cuantía"),IF(M46&gt;39850000,"Mínima cuantía con valor superior al tope citado en el instructivo 2026 ($39.850.000): verificar modalidad; ",""),"")&amp;IF(AND(ISNUMBER(M46),OR(ISNUMBER(SEARCH("prestación de servicios",D46)),ISNUMBER(SEARCH("prestar servicios",D46)),ISNUMBER(SEARCH("prestar los servicios",D46)))),IF(M46&gt;=500000000,"Prestación de servicios por $500 millones o más: posible error de digitación; ",""),""))</f>
        <v>Sin observaciones</v>
      </c>
    </row>
    <row r="47" spans="1:15" ht="68.400000000000006" x14ac:dyDescent="0.3">
      <c r="A47" s="15" t="s">
        <v>339</v>
      </c>
      <c r="B47" s="15">
        <v>81111600</v>
      </c>
      <c r="C47" s="15" t="s">
        <v>340</v>
      </c>
      <c r="D47" s="15" t="s">
        <v>927</v>
      </c>
      <c r="E47" s="15">
        <v>11</v>
      </c>
      <c r="F47" s="15" t="s">
        <v>802</v>
      </c>
      <c r="G47" s="29">
        <v>48337317</v>
      </c>
      <c r="H47" s="15" t="s">
        <v>928</v>
      </c>
      <c r="I47" s="15"/>
      <c r="J47" s="15"/>
      <c r="K47" s="15">
        <v>42</v>
      </c>
      <c r="L47" s="30" t="s">
        <v>929</v>
      </c>
      <c r="M47" s="31">
        <v>48337317</v>
      </c>
      <c r="N47" s="30" t="s">
        <v>803</v>
      </c>
      <c r="O47" s="30" t="str">
        <f>IF(LEN(IF(OR(NOT(ISNUMBER(B47)),LEN(B47)&lt;&gt;8),"UNSPSC vacío, en texto, con varios códigos o sin 8 dígitos; ","")&amp;IF(AND(ISNUMBER(B47),LEN(B47)=8),IF(MOD(B47,10000)=0,"UNSPSC a nivel de segmento o familia; ",""),"")&amp;IF(NOT(ISNUMBER(E47)),"Duración vacía o en texto; ","")&amp;IF(NOT(ISNUMBER(G47)),"Valor vacío o en texto; ","")&amp;IF(ISNUMBER(M47),IF(M47&lt;1000000,"Valor inferior a $1.000.000: verificar; ",""),"Valor no interpretable; ")&amp;IF(N47="[PENDIENTE DE VERIFICAR]","Modalidad no identificable; ","")&amp;IF(OR(ISERROR(SEARCH("@itc.edu.co",J47)),SUMPRODUCT(--ISNUMBER(SEARCH({"á","é","í","ó","ú","ñ"},J47)))&gt;0),"Correo vacío o no institucional válido; ","")&amp;IF(LEN(TRIM(D47))=0,"Sin objeto contractual; ","")&amp;IF(AND(ISNUMBER(M47),N47="Mínima cuantía"),IF(M47&gt;39850000,"Mínima cuantía con valor superior al tope citado en el instructivo 2026 ($39.850.000): verificar modalidad; ",""),"")&amp;IF(AND(ISNUMBER(M47),OR(ISNUMBER(SEARCH("prestación de servicios",D47)),ISNUMBER(SEARCH("prestar servicios",D47)),ISNUMBER(SEARCH("prestar los servicios",D47)))),IF(M47&gt;=500000000,"Prestación de servicios por $500 millones o más: posible error de digitación; ",""),""))=0,"Sin observaciones",IF(OR(NOT(ISNUMBER(B47)),LEN(B47)&lt;&gt;8),"UNSPSC vacío, en texto, con varios códigos o sin 8 dígitos; ","")&amp;IF(AND(ISNUMBER(B47),LEN(B47)=8),IF(MOD(B47,10000)=0,"UNSPSC a nivel de segmento o familia; ",""),"")&amp;IF(NOT(ISNUMBER(E47)),"Duración vacía o en texto; ","")&amp;IF(NOT(ISNUMBER(G47)),"Valor vacío o en texto; ","")&amp;IF(ISNUMBER(M47),IF(M47&lt;1000000,"Valor inferior a $1.000.000: verificar; ",""),"Valor no interpretable; ")&amp;IF(N47="[PENDIENTE DE VERIFICAR]","Modalidad no identificable; ","")&amp;IF(OR(ISERROR(SEARCH("@itc.edu.co",J47)),SUMPRODUCT(--ISNUMBER(SEARCH({"á","é","í","ó","ú","ñ"},J47)))&gt;0),"Correo vacío o no institucional válido; ","")&amp;IF(LEN(TRIM(D47))=0,"Sin objeto contractual; ","")&amp;IF(AND(ISNUMBER(M47),N47="Mínima cuantía"),IF(M47&gt;39850000,"Mínima cuantía con valor superior al tope citado en el instructivo 2026 ($39.850.000): verificar modalidad; ",""),"")&amp;IF(AND(ISNUMBER(M47),OR(ISNUMBER(SEARCH("prestación de servicios",D47)),ISNUMBER(SEARCH("prestar servicios",D47)),ISNUMBER(SEARCH("prestar los servicios",D47)))),IF(M47&gt;=500000000,"Prestación de servicios por $500 millones o más: posible error de digitación; ",""),""))</f>
        <v xml:space="preserve">Correo vacío o no institucional válido; </v>
      </c>
    </row>
    <row r="48" spans="1:15" ht="68.400000000000006" x14ac:dyDescent="0.3">
      <c r="A48" s="15" t="s">
        <v>930</v>
      </c>
      <c r="B48" s="15">
        <v>81111600</v>
      </c>
      <c r="C48" s="15" t="s">
        <v>931</v>
      </c>
      <c r="D48" s="15" t="s">
        <v>932</v>
      </c>
      <c r="E48" s="15">
        <v>11</v>
      </c>
      <c r="F48" s="15" t="s">
        <v>802</v>
      </c>
      <c r="G48" s="29">
        <v>7150000000</v>
      </c>
      <c r="H48" s="15" t="s">
        <v>928</v>
      </c>
      <c r="I48" s="15"/>
      <c r="J48" s="15"/>
      <c r="K48" s="15">
        <v>43</v>
      </c>
      <c r="L48" s="30" t="s">
        <v>929</v>
      </c>
      <c r="M48" s="31">
        <v>7150000000</v>
      </c>
      <c r="N48" s="30" t="s">
        <v>803</v>
      </c>
      <c r="O48" s="30" t="str">
        <f>IF(LEN(IF(OR(NOT(ISNUMBER(B48)),LEN(B48)&lt;&gt;8),"UNSPSC vacío, en texto, con varios códigos o sin 8 dígitos; ","")&amp;IF(AND(ISNUMBER(B48),LEN(B48)=8),IF(MOD(B48,10000)=0,"UNSPSC a nivel de segmento o familia; ",""),"")&amp;IF(NOT(ISNUMBER(E48)),"Duración vacía o en texto; ","")&amp;IF(NOT(ISNUMBER(G48)),"Valor vacío o en texto; ","")&amp;IF(ISNUMBER(M48),IF(M48&lt;1000000,"Valor inferior a $1.000.000: verificar; ",""),"Valor no interpretable; ")&amp;IF(N48="[PENDIENTE DE VERIFICAR]","Modalidad no identificable; ","")&amp;IF(OR(ISERROR(SEARCH("@itc.edu.co",J48)),SUMPRODUCT(--ISNUMBER(SEARCH({"á","é","í","ó","ú","ñ"},J48)))&gt;0),"Correo vacío o no institucional válido; ","")&amp;IF(LEN(TRIM(D48))=0,"Sin objeto contractual; ","")&amp;IF(AND(ISNUMBER(M48),N48="Mínima cuantía"),IF(M48&gt;39850000,"Mínima cuantía con valor superior al tope citado en el instructivo 2026 ($39.850.000): verificar modalidad; ",""),"")&amp;IF(AND(ISNUMBER(M48),OR(ISNUMBER(SEARCH("prestación de servicios",D48)),ISNUMBER(SEARCH("prestar servicios",D48)),ISNUMBER(SEARCH("prestar los servicios",D48)))),IF(M48&gt;=500000000,"Prestación de servicios por $500 millones o más: posible error de digitación; ",""),""))=0,"Sin observaciones",IF(OR(NOT(ISNUMBER(B48)),LEN(B48)&lt;&gt;8),"UNSPSC vacío, en texto, con varios códigos o sin 8 dígitos; ","")&amp;IF(AND(ISNUMBER(B48),LEN(B48)=8),IF(MOD(B48,10000)=0,"UNSPSC a nivel de segmento o familia; ",""),"")&amp;IF(NOT(ISNUMBER(E48)),"Duración vacía o en texto; ","")&amp;IF(NOT(ISNUMBER(G48)),"Valor vacío o en texto; ","")&amp;IF(ISNUMBER(M48),IF(M48&lt;1000000,"Valor inferior a $1.000.000: verificar; ",""),"Valor no interpretable; ")&amp;IF(N48="[PENDIENTE DE VERIFICAR]","Modalidad no identificable; ","")&amp;IF(OR(ISERROR(SEARCH("@itc.edu.co",J48)),SUMPRODUCT(--ISNUMBER(SEARCH({"á","é","í","ó","ú","ñ"},J48)))&gt;0),"Correo vacío o no institucional válido; ","")&amp;IF(LEN(TRIM(D48))=0,"Sin objeto contractual; ","")&amp;IF(AND(ISNUMBER(M48),N48="Mínima cuantía"),IF(M48&gt;39850000,"Mínima cuantía con valor superior al tope citado en el instructivo 2026 ($39.850.000): verificar modalidad; ",""),"")&amp;IF(AND(ISNUMBER(M48),OR(ISNUMBER(SEARCH("prestación de servicios",D48)),ISNUMBER(SEARCH("prestar servicios",D48)),ISNUMBER(SEARCH("prestar los servicios",D48)))),IF(M48&gt;=500000000,"Prestación de servicios por $500 millones o más: posible error de digitación; ",""),""))</f>
        <v xml:space="preserve">Correo vacío o no institucional válido; Prestación de servicios por $500 millones o más: posible error de digitación; </v>
      </c>
    </row>
    <row r="49" spans="1:15" ht="68.400000000000006" x14ac:dyDescent="0.3">
      <c r="A49" s="15" t="s">
        <v>933</v>
      </c>
      <c r="B49" s="15">
        <v>81111600</v>
      </c>
      <c r="C49" s="15" t="s">
        <v>934</v>
      </c>
      <c r="D49" s="15" t="s">
        <v>935</v>
      </c>
      <c r="E49" s="15">
        <v>11</v>
      </c>
      <c r="F49" s="15" t="s">
        <v>802</v>
      </c>
      <c r="G49" s="29">
        <v>58283333</v>
      </c>
      <c r="H49" s="15" t="s">
        <v>928</v>
      </c>
      <c r="I49" s="15"/>
      <c r="J49" s="15"/>
      <c r="K49" s="15">
        <v>44</v>
      </c>
      <c r="L49" s="30" t="s">
        <v>929</v>
      </c>
      <c r="M49" s="31">
        <v>58283333</v>
      </c>
      <c r="N49" s="30" t="s">
        <v>803</v>
      </c>
      <c r="O49" s="30" t="str">
        <f>IF(LEN(IF(OR(NOT(ISNUMBER(B49)),LEN(B49)&lt;&gt;8),"UNSPSC vacío, en texto, con varios códigos o sin 8 dígitos; ","")&amp;IF(AND(ISNUMBER(B49),LEN(B49)=8),IF(MOD(B49,10000)=0,"UNSPSC a nivel de segmento o familia; ",""),"")&amp;IF(NOT(ISNUMBER(E49)),"Duración vacía o en texto; ","")&amp;IF(NOT(ISNUMBER(G49)),"Valor vacío o en texto; ","")&amp;IF(ISNUMBER(M49),IF(M49&lt;1000000,"Valor inferior a $1.000.000: verificar; ",""),"Valor no interpretable; ")&amp;IF(N49="[PENDIENTE DE VERIFICAR]","Modalidad no identificable; ","")&amp;IF(OR(ISERROR(SEARCH("@itc.edu.co",J49)),SUMPRODUCT(--ISNUMBER(SEARCH({"á","é","í","ó","ú","ñ"},J49)))&gt;0),"Correo vacío o no institucional válido; ","")&amp;IF(LEN(TRIM(D49))=0,"Sin objeto contractual; ","")&amp;IF(AND(ISNUMBER(M49),N49="Mínima cuantía"),IF(M49&gt;39850000,"Mínima cuantía con valor superior al tope citado en el instructivo 2026 ($39.850.000): verificar modalidad; ",""),"")&amp;IF(AND(ISNUMBER(M49),OR(ISNUMBER(SEARCH("prestación de servicios",D49)),ISNUMBER(SEARCH("prestar servicios",D49)),ISNUMBER(SEARCH("prestar los servicios",D49)))),IF(M49&gt;=500000000,"Prestación de servicios por $500 millones o más: posible error de digitación; ",""),""))=0,"Sin observaciones",IF(OR(NOT(ISNUMBER(B49)),LEN(B49)&lt;&gt;8),"UNSPSC vacío, en texto, con varios códigos o sin 8 dígitos; ","")&amp;IF(AND(ISNUMBER(B49),LEN(B49)=8),IF(MOD(B49,10000)=0,"UNSPSC a nivel de segmento o familia; ",""),"")&amp;IF(NOT(ISNUMBER(E49)),"Duración vacía o en texto; ","")&amp;IF(NOT(ISNUMBER(G49)),"Valor vacío o en texto; ","")&amp;IF(ISNUMBER(M49),IF(M49&lt;1000000,"Valor inferior a $1.000.000: verificar; ",""),"Valor no interpretable; ")&amp;IF(N49="[PENDIENTE DE VERIFICAR]","Modalidad no identificable; ","")&amp;IF(OR(ISERROR(SEARCH("@itc.edu.co",J49)),SUMPRODUCT(--ISNUMBER(SEARCH({"á","é","í","ó","ú","ñ"},J49)))&gt;0),"Correo vacío o no institucional válido; ","")&amp;IF(LEN(TRIM(D49))=0,"Sin objeto contractual; ","")&amp;IF(AND(ISNUMBER(M49),N49="Mínima cuantía"),IF(M49&gt;39850000,"Mínima cuantía con valor superior al tope citado en el instructivo 2026 ($39.850.000): verificar modalidad; ",""),"")&amp;IF(AND(ISNUMBER(M49),OR(ISNUMBER(SEARCH("prestación de servicios",D49)),ISNUMBER(SEARCH("prestar servicios",D49)),ISNUMBER(SEARCH("prestar los servicios",D49)))),IF(M49&gt;=500000000,"Prestación de servicios por $500 millones o más: posible error de digitación; ",""),""))</f>
        <v xml:space="preserve">Correo vacío o no institucional válido; </v>
      </c>
    </row>
    <row r="50" spans="1:15" ht="68.400000000000006" x14ac:dyDescent="0.3">
      <c r="A50" s="15" t="s">
        <v>936</v>
      </c>
      <c r="B50" s="15">
        <v>81111600</v>
      </c>
      <c r="C50" s="15" t="s">
        <v>937</v>
      </c>
      <c r="D50" s="15" t="s">
        <v>938</v>
      </c>
      <c r="E50" s="15">
        <v>11</v>
      </c>
      <c r="F50" s="15" t="s">
        <v>802</v>
      </c>
      <c r="G50" s="29">
        <v>40098480</v>
      </c>
      <c r="H50" s="15" t="s">
        <v>928</v>
      </c>
      <c r="I50" s="15"/>
      <c r="J50" s="15"/>
      <c r="K50" s="15">
        <v>45</v>
      </c>
      <c r="L50" s="30" t="s">
        <v>929</v>
      </c>
      <c r="M50" s="31">
        <v>40098480</v>
      </c>
      <c r="N50" s="30" t="s">
        <v>803</v>
      </c>
      <c r="O50" s="30" t="str">
        <f>IF(LEN(IF(OR(NOT(ISNUMBER(B50)),LEN(B50)&lt;&gt;8),"UNSPSC vacío, en texto, con varios códigos o sin 8 dígitos; ","")&amp;IF(AND(ISNUMBER(B50),LEN(B50)=8),IF(MOD(B50,10000)=0,"UNSPSC a nivel de segmento o familia; ",""),"")&amp;IF(NOT(ISNUMBER(E50)),"Duración vacía o en texto; ","")&amp;IF(NOT(ISNUMBER(G50)),"Valor vacío o en texto; ","")&amp;IF(ISNUMBER(M50),IF(M50&lt;1000000,"Valor inferior a $1.000.000: verificar; ",""),"Valor no interpretable; ")&amp;IF(N50="[PENDIENTE DE VERIFICAR]","Modalidad no identificable; ","")&amp;IF(OR(ISERROR(SEARCH("@itc.edu.co",J50)),SUMPRODUCT(--ISNUMBER(SEARCH({"á","é","í","ó","ú","ñ"},J50)))&gt;0),"Correo vacío o no institucional válido; ","")&amp;IF(LEN(TRIM(D50))=0,"Sin objeto contractual; ","")&amp;IF(AND(ISNUMBER(M50),N50="Mínima cuantía"),IF(M50&gt;39850000,"Mínima cuantía con valor superior al tope citado en el instructivo 2026 ($39.850.000): verificar modalidad; ",""),"")&amp;IF(AND(ISNUMBER(M50),OR(ISNUMBER(SEARCH("prestación de servicios",D50)),ISNUMBER(SEARCH("prestar servicios",D50)),ISNUMBER(SEARCH("prestar los servicios",D50)))),IF(M50&gt;=500000000,"Prestación de servicios por $500 millones o más: posible error de digitación; ",""),""))=0,"Sin observaciones",IF(OR(NOT(ISNUMBER(B50)),LEN(B50)&lt;&gt;8),"UNSPSC vacío, en texto, con varios códigos o sin 8 dígitos; ","")&amp;IF(AND(ISNUMBER(B50),LEN(B50)=8),IF(MOD(B50,10000)=0,"UNSPSC a nivel de segmento o familia; ",""),"")&amp;IF(NOT(ISNUMBER(E50)),"Duración vacía o en texto; ","")&amp;IF(NOT(ISNUMBER(G50)),"Valor vacío o en texto; ","")&amp;IF(ISNUMBER(M50),IF(M50&lt;1000000,"Valor inferior a $1.000.000: verificar; ",""),"Valor no interpretable; ")&amp;IF(N50="[PENDIENTE DE VERIFICAR]","Modalidad no identificable; ","")&amp;IF(OR(ISERROR(SEARCH("@itc.edu.co",J50)),SUMPRODUCT(--ISNUMBER(SEARCH({"á","é","í","ó","ú","ñ"},J50)))&gt;0),"Correo vacío o no institucional válido; ","")&amp;IF(LEN(TRIM(D50))=0,"Sin objeto contractual; ","")&amp;IF(AND(ISNUMBER(M50),N50="Mínima cuantía"),IF(M50&gt;39850000,"Mínima cuantía con valor superior al tope citado en el instructivo 2026 ($39.850.000): verificar modalidad; ",""),"")&amp;IF(AND(ISNUMBER(M50),OR(ISNUMBER(SEARCH("prestación de servicios",D50)),ISNUMBER(SEARCH("prestar servicios",D50)),ISNUMBER(SEARCH("prestar los servicios",D50)))),IF(M50&gt;=500000000,"Prestación de servicios por $500 millones o más: posible error de digitación; ",""),""))</f>
        <v xml:space="preserve">Correo vacío o no institucional válido; </v>
      </c>
    </row>
    <row r="51" spans="1:15" ht="68.400000000000006" x14ac:dyDescent="0.3">
      <c r="A51" s="15" t="s">
        <v>939</v>
      </c>
      <c r="B51" s="15">
        <v>81111600</v>
      </c>
      <c r="C51" s="15" t="s">
        <v>940</v>
      </c>
      <c r="D51" s="15" t="s">
        <v>941</v>
      </c>
      <c r="E51" s="15">
        <v>11</v>
      </c>
      <c r="F51" s="15" t="s">
        <v>802</v>
      </c>
      <c r="G51" s="29">
        <v>25514657</v>
      </c>
      <c r="H51" s="15" t="s">
        <v>928</v>
      </c>
      <c r="I51" s="15"/>
      <c r="J51" s="15"/>
      <c r="K51" s="15">
        <v>46</v>
      </c>
      <c r="L51" s="30" t="s">
        <v>929</v>
      </c>
      <c r="M51" s="31">
        <v>25514657</v>
      </c>
      <c r="N51" s="30" t="s">
        <v>803</v>
      </c>
      <c r="O51" s="30" t="str">
        <f>IF(LEN(IF(OR(NOT(ISNUMBER(B51)),LEN(B51)&lt;&gt;8),"UNSPSC vacío, en texto, con varios códigos o sin 8 dígitos; ","")&amp;IF(AND(ISNUMBER(B51),LEN(B51)=8),IF(MOD(B51,10000)=0,"UNSPSC a nivel de segmento o familia; ",""),"")&amp;IF(NOT(ISNUMBER(E51)),"Duración vacía o en texto; ","")&amp;IF(NOT(ISNUMBER(G51)),"Valor vacío o en texto; ","")&amp;IF(ISNUMBER(M51),IF(M51&lt;1000000,"Valor inferior a $1.000.000: verificar; ",""),"Valor no interpretable; ")&amp;IF(N51="[PENDIENTE DE VERIFICAR]","Modalidad no identificable; ","")&amp;IF(OR(ISERROR(SEARCH("@itc.edu.co",J51)),SUMPRODUCT(--ISNUMBER(SEARCH({"á","é","í","ó","ú","ñ"},J51)))&gt;0),"Correo vacío o no institucional válido; ","")&amp;IF(LEN(TRIM(D51))=0,"Sin objeto contractual; ","")&amp;IF(AND(ISNUMBER(M51),N51="Mínima cuantía"),IF(M51&gt;39850000,"Mínima cuantía con valor superior al tope citado en el instructivo 2026 ($39.850.000): verificar modalidad; ",""),"")&amp;IF(AND(ISNUMBER(M51),OR(ISNUMBER(SEARCH("prestación de servicios",D51)),ISNUMBER(SEARCH("prestar servicios",D51)),ISNUMBER(SEARCH("prestar los servicios",D51)))),IF(M51&gt;=500000000,"Prestación de servicios por $500 millones o más: posible error de digitación; ",""),""))=0,"Sin observaciones",IF(OR(NOT(ISNUMBER(B51)),LEN(B51)&lt;&gt;8),"UNSPSC vacío, en texto, con varios códigos o sin 8 dígitos; ","")&amp;IF(AND(ISNUMBER(B51),LEN(B51)=8),IF(MOD(B51,10000)=0,"UNSPSC a nivel de segmento o familia; ",""),"")&amp;IF(NOT(ISNUMBER(E51)),"Duración vacía o en texto; ","")&amp;IF(NOT(ISNUMBER(G51)),"Valor vacío o en texto; ","")&amp;IF(ISNUMBER(M51),IF(M51&lt;1000000,"Valor inferior a $1.000.000: verificar; ",""),"Valor no interpretable; ")&amp;IF(N51="[PENDIENTE DE VERIFICAR]","Modalidad no identificable; ","")&amp;IF(OR(ISERROR(SEARCH("@itc.edu.co",J51)),SUMPRODUCT(--ISNUMBER(SEARCH({"á","é","í","ó","ú","ñ"},J51)))&gt;0),"Correo vacío o no institucional válido; ","")&amp;IF(LEN(TRIM(D51))=0,"Sin objeto contractual; ","")&amp;IF(AND(ISNUMBER(M51),N51="Mínima cuantía"),IF(M51&gt;39850000,"Mínima cuantía con valor superior al tope citado en el instructivo 2026 ($39.850.000): verificar modalidad; ",""),"")&amp;IF(AND(ISNUMBER(M51),OR(ISNUMBER(SEARCH("prestación de servicios",D51)),ISNUMBER(SEARCH("prestar servicios",D51)),ISNUMBER(SEARCH("prestar los servicios",D51)))),IF(M51&gt;=500000000,"Prestación de servicios por $500 millones o más: posible error de digitación; ",""),""))</f>
        <v xml:space="preserve">Correo vacío o no institucional válido; </v>
      </c>
    </row>
    <row r="52" spans="1:15" ht="68.400000000000006" x14ac:dyDescent="0.3">
      <c r="A52" s="15" t="s">
        <v>942</v>
      </c>
      <c r="B52" s="15">
        <v>81111600</v>
      </c>
      <c r="C52" s="15" t="s">
        <v>943</v>
      </c>
      <c r="D52" s="15" t="s">
        <v>944</v>
      </c>
      <c r="E52" s="15">
        <v>11</v>
      </c>
      <c r="F52" s="15" t="s">
        <v>802</v>
      </c>
      <c r="G52" s="29">
        <v>39471936</v>
      </c>
      <c r="H52" s="15" t="s">
        <v>928</v>
      </c>
      <c r="I52" s="15"/>
      <c r="J52" s="15"/>
      <c r="K52" s="15">
        <v>47</v>
      </c>
      <c r="L52" s="30" t="s">
        <v>929</v>
      </c>
      <c r="M52" s="31">
        <v>39471936</v>
      </c>
      <c r="N52" s="30" t="s">
        <v>803</v>
      </c>
      <c r="O52" s="30" t="str">
        <f>IF(LEN(IF(OR(NOT(ISNUMBER(B52)),LEN(B52)&lt;&gt;8),"UNSPSC vacío, en texto, con varios códigos o sin 8 dígitos; ","")&amp;IF(AND(ISNUMBER(B52),LEN(B52)=8),IF(MOD(B52,10000)=0,"UNSPSC a nivel de segmento o familia; ",""),"")&amp;IF(NOT(ISNUMBER(E52)),"Duración vacía o en texto; ","")&amp;IF(NOT(ISNUMBER(G52)),"Valor vacío o en texto; ","")&amp;IF(ISNUMBER(M52),IF(M52&lt;1000000,"Valor inferior a $1.000.000: verificar; ",""),"Valor no interpretable; ")&amp;IF(N52="[PENDIENTE DE VERIFICAR]","Modalidad no identificable; ","")&amp;IF(OR(ISERROR(SEARCH("@itc.edu.co",J52)),SUMPRODUCT(--ISNUMBER(SEARCH({"á","é","í","ó","ú","ñ"},J52)))&gt;0),"Correo vacío o no institucional válido; ","")&amp;IF(LEN(TRIM(D52))=0,"Sin objeto contractual; ","")&amp;IF(AND(ISNUMBER(M52),N52="Mínima cuantía"),IF(M52&gt;39850000,"Mínima cuantía con valor superior al tope citado en el instructivo 2026 ($39.850.000): verificar modalidad; ",""),"")&amp;IF(AND(ISNUMBER(M52),OR(ISNUMBER(SEARCH("prestación de servicios",D52)),ISNUMBER(SEARCH("prestar servicios",D52)),ISNUMBER(SEARCH("prestar los servicios",D52)))),IF(M52&gt;=500000000,"Prestación de servicios por $500 millones o más: posible error de digitación; ",""),""))=0,"Sin observaciones",IF(OR(NOT(ISNUMBER(B52)),LEN(B52)&lt;&gt;8),"UNSPSC vacío, en texto, con varios códigos o sin 8 dígitos; ","")&amp;IF(AND(ISNUMBER(B52),LEN(B52)=8),IF(MOD(B52,10000)=0,"UNSPSC a nivel de segmento o familia; ",""),"")&amp;IF(NOT(ISNUMBER(E52)),"Duración vacía o en texto; ","")&amp;IF(NOT(ISNUMBER(G52)),"Valor vacío o en texto; ","")&amp;IF(ISNUMBER(M52),IF(M52&lt;1000000,"Valor inferior a $1.000.000: verificar; ",""),"Valor no interpretable; ")&amp;IF(N52="[PENDIENTE DE VERIFICAR]","Modalidad no identificable; ","")&amp;IF(OR(ISERROR(SEARCH("@itc.edu.co",J52)),SUMPRODUCT(--ISNUMBER(SEARCH({"á","é","í","ó","ú","ñ"},J52)))&gt;0),"Correo vacío o no institucional válido; ","")&amp;IF(LEN(TRIM(D52))=0,"Sin objeto contractual; ","")&amp;IF(AND(ISNUMBER(M52),N52="Mínima cuantía"),IF(M52&gt;39850000,"Mínima cuantía con valor superior al tope citado en el instructivo 2026 ($39.850.000): verificar modalidad; ",""),"")&amp;IF(AND(ISNUMBER(M52),OR(ISNUMBER(SEARCH("prestación de servicios",D52)),ISNUMBER(SEARCH("prestar servicios",D52)),ISNUMBER(SEARCH("prestar los servicios",D52)))),IF(M52&gt;=500000000,"Prestación de servicios por $500 millones o más: posible error de digitación; ",""),""))</f>
        <v xml:space="preserve">Correo vacío o no institucional válido; </v>
      </c>
    </row>
    <row r="53" spans="1:15" ht="68.400000000000006" x14ac:dyDescent="0.3">
      <c r="A53" s="15" t="s">
        <v>945</v>
      </c>
      <c r="B53" s="15">
        <v>81111600</v>
      </c>
      <c r="C53" s="15" t="s">
        <v>946</v>
      </c>
      <c r="D53" s="15" t="s">
        <v>947</v>
      </c>
      <c r="E53" s="15">
        <v>11</v>
      </c>
      <c r="F53" s="15" t="s">
        <v>802</v>
      </c>
      <c r="G53" s="29">
        <v>7200000</v>
      </c>
      <c r="H53" s="15" t="s">
        <v>928</v>
      </c>
      <c r="I53" s="15"/>
      <c r="J53" s="15"/>
      <c r="K53" s="15">
        <v>48</v>
      </c>
      <c r="L53" s="30" t="s">
        <v>929</v>
      </c>
      <c r="M53" s="31">
        <v>7200000</v>
      </c>
      <c r="N53" s="30" t="s">
        <v>803</v>
      </c>
      <c r="O53" s="30" t="str">
        <f>IF(LEN(IF(OR(NOT(ISNUMBER(B53)),LEN(B53)&lt;&gt;8),"UNSPSC vacío, en texto, con varios códigos o sin 8 dígitos; ","")&amp;IF(AND(ISNUMBER(B53),LEN(B53)=8),IF(MOD(B53,10000)=0,"UNSPSC a nivel de segmento o familia; ",""),"")&amp;IF(NOT(ISNUMBER(E53)),"Duración vacía o en texto; ","")&amp;IF(NOT(ISNUMBER(G53)),"Valor vacío o en texto; ","")&amp;IF(ISNUMBER(M53),IF(M53&lt;1000000,"Valor inferior a $1.000.000: verificar; ",""),"Valor no interpretable; ")&amp;IF(N53="[PENDIENTE DE VERIFICAR]","Modalidad no identificable; ","")&amp;IF(OR(ISERROR(SEARCH("@itc.edu.co",J53)),SUMPRODUCT(--ISNUMBER(SEARCH({"á","é","í","ó","ú","ñ"},J53)))&gt;0),"Correo vacío o no institucional válido; ","")&amp;IF(LEN(TRIM(D53))=0,"Sin objeto contractual; ","")&amp;IF(AND(ISNUMBER(M53),N53="Mínima cuantía"),IF(M53&gt;39850000,"Mínima cuantía con valor superior al tope citado en el instructivo 2026 ($39.850.000): verificar modalidad; ",""),"")&amp;IF(AND(ISNUMBER(M53),OR(ISNUMBER(SEARCH("prestación de servicios",D53)),ISNUMBER(SEARCH("prestar servicios",D53)),ISNUMBER(SEARCH("prestar los servicios",D53)))),IF(M53&gt;=500000000,"Prestación de servicios por $500 millones o más: posible error de digitación; ",""),""))=0,"Sin observaciones",IF(OR(NOT(ISNUMBER(B53)),LEN(B53)&lt;&gt;8),"UNSPSC vacío, en texto, con varios códigos o sin 8 dígitos; ","")&amp;IF(AND(ISNUMBER(B53),LEN(B53)=8),IF(MOD(B53,10000)=0,"UNSPSC a nivel de segmento o familia; ",""),"")&amp;IF(NOT(ISNUMBER(E53)),"Duración vacía o en texto; ","")&amp;IF(NOT(ISNUMBER(G53)),"Valor vacío o en texto; ","")&amp;IF(ISNUMBER(M53),IF(M53&lt;1000000,"Valor inferior a $1.000.000: verificar; ",""),"Valor no interpretable; ")&amp;IF(N53="[PENDIENTE DE VERIFICAR]","Modalidad no identificable; ","")&amp;IF(OR(ISERROR(SEARCH("@itc.edu.co",J53)),SUMPRODUCT(--ISNUMBER(SEARCH({"á","é","í","ó","ú","ñ"},J53)))&gt;0),"Correo vacío o no institucional válido; ","")&amp;IF(LEN(TRIM(D53))=0,"Sin objeto contractual; ","")&amp;IF(AND(ISNUMBER(M53),N53="Mínima cuantía"),IF(M53&gt;39850000,"Mínima cuantía con valor superior al tope citado en el instructivo 2026 ($39.850.000): verificar modalidad; ",""),"")&amp;IF(AND(ISNUMBER(M53),OR(ISNUMBER(SEARCH("prestación de servicios",D53)),ISNUMBER(SEARCH("prestar servicios",D53)),ISNUMBER(SEARCH("prestar los servicios",D53)))),IF(M53&gt;=500000000,"Prestación de servicios por $500 millones o más: posible error de digitación; ",""),""))</f>
        <v xml:space="preserve">Correo vacío o no institucional válido; </v>
      </c>
    </row>
    <row r="54" spans="1:15" ht="68.400000000000006" x14ac:dyDescent="0.3">
      <c r="A54" s="15" t="s">
        <v>948</v>
      </c>
      <c r="B54" s="15">
        <v>81111600</v>
      </c>
      <c r="C54" s="15" t="s">
        <v>949</v>
      </c>
      <c r="D54" s="15" t="s">
        <v>950</v>
      </c>
      <c r="E54" s="15">
        <v>11</v>
      </c>
      <c r="F54" s="15" t="s">
        <v>802</v>
      </c>
      <c r="G54" s="29"/>
      <c r="H54" s="15" t="s">
        <v>928</v>
      </c>
      <c r="I54" s="15"/>
      <c r="J54" s="15"/>
      <c r="K54" s="15">
        <v>49</v>
      </c>
      <c r="L54" s="30" t="s">
        <v>929</v>
      </c>
      <c r="M54" s="31"/>
      <c r="N54" s="30" t="s">
        <v>803</v>
      </c>
      <c r="O54" s="30" t="str">
        <f>IF(LEN(IF(OR(NOT(ISNUMBER(B54)),LEN(B54)&lt;&gt;8),"UNSPSC vacío, en texto, con varios códigos o sin 8 dígitos; ","")&amp;IF(AND(ISNUMBER(B54),LEN(B54)=8),IF(MOD(B54,10000)=0,"UNSPSC a nivel de segmento o familia; ",""),"")&amp;IF(NOT(ISNUMBER(E54)),"Duración vacía o en texto; ","")&amp;IF(NOT(ISNUMBER(G54)),"Valor vacío o en texto; ","")&amp;IF(ISNUMBER(M54),IF(M54&lt;1000000,"Valor inferior a $1.000.000: verificar; ",""),"Valor no interpretable; ")&amp;IF(N54="[PENDIENTE DE VERIFICAR]","Modalidad no identificable; ","")&amp;IF(OR(ISERROR(SEARCH("@itc.edu.co",J54)),SUMPRODUCT(--ISNUMBER(SEARCH({"á","é","í","ó","ú","ñ"},J54)))&gt;0),"Correo vacío o no institucional válido; ","")&amp;IF(LEN(TRIM(D54))=0,"Sin objeto contractual; ","")&amp;IF(AND(ISNUMBER(M54),N54="Mínima cuantía"),IF(M54&gt;39850000,"Mínima cuantía con valor superior al tope citado en el instructivo 2026 ($39.850.000): verificar modalidad; ",""),"")&amp;IF(AND(ISNUMBER(M54),OR(ISNUMBER(SEARCH("prestación de servicios",D54)),ISNUMBER(SEARCH("prestar servicios",D54)),ISNUMBER(SEARCH("prestar los servicios",D54)))),IF(M54&gt;=500000000,"Prestación de servicios por $500 millones o más: posible error de digitación; ",""),""))=0,"Sin observaciones",IF(OR(NOT(ISNUMBER(B54)),LEN(B54)&lt;&gt;8),"UNSPSC vacío, en texto, con varios códigos o sin 8 dígitos; ","")&amp;IF(AND(ISNUMBER(B54),LEN(B54)=8),IF(MOD(B54,10000)=0,"UNSPSC a nivel de segmento o familia; ",""),"")&amp;IF(NOT(ISNUMBER(E54)),"Duración vacía o en texto; ","")&amp;IF(NOT(ISNUMBER(G54)),"Valor vacío o en texto; ","")&amp;IF(ISNUMBER(M54),IF(M54&lt;1000000,"Valor inferior a $1.000.000: verificar; ",""),"Valor no interpretable; ")&amp;IF(N54="[PENDIENTE DE VERIFICAR]","Modalidad no identificable; ","")&amp;IF(OR(ISERROR(SEARCH("@itc.edu.co",J54)),SUMPRODUCT(--ISNUMBER(SEARCH({"á","é","í","ó","ú","ñ"},J54)))&gt;0),"Correo vacío o no institucional válido; ","")&amp;IF(LEN(TRIM(D54))=0,"Sin objeto contractual; ","")&amp;IF(AND(ISNUMBER(M54),N54="Mínima cuantía"),IF(M54&gt;39850000,"Mínima cuantía con valor superior al tope citado en el instructivo 2026 ($39.850.000): verificar modalidad; ",""),"")&amp;IF(AND(ISNUMBER(M54),OR(ISNUMBER(SEARCH("prestación de servicios",D54)),ISNUMBER(SEARCH("prestar servicios",D54)),ISNUMBER(SEARCH("prestar los servicios",D54)))),IF(M54&gt;=500000000,"Prestación de servicios por $500 millones o más: posible error de digitación; ",""),""))</f>
        <v xml:space="preserve">Valor vacío o en texto; Valor no interpretable; Correo vacío o no institucional válido; </v>
      </c>
    </row>
    <row r="55" spans="1:15" ht="34.200000000000003" x14ac:dyDescent="0.3">
      <c r="A55" s="15" t="s">
        <v>951</v>
      </c>
      <c r="B55" s="15">
        <v>81111600</v>
      </c>
      <c r="C55" s="15" t="s">
        <v>952</v>
      </c>
      <c r="D55" s="15" t="s">
        <v>953</v>
      </c>
      <c r="E55" s="15">
        <v>11</v>
      </c>
      <c r="F55" s="15" t="s">
        <v>802</v>
      </c>
      <c r="G55" s="29">
        <v>6000000</v>
      </c>
      <c r="H55" s="15" t="s">
        <v>954</v>
      </c>
      <c r="I55" s="15"/>
      <c r="J55" s="15" t="s">
        <v>955</v>
      </c>
      <c r="K55" s="15">
        <v>50</v>
      </c>
      <c r="L55" s="30" t="s">
        <v>929</v>
      </c>
      <c r="M55" s="31">
        <v>6000000</v>
      </c>
      <c r="N55" s="30" t="s">
        <v>803</v>
      </c>
      <c r="O55" s="30" t="str">
        <f>IF(LEN(IF(OR(NOT(ISNUMBER(B55)),LEN(B55)&lt;&gt;8),"UNSPSC vacío, en texto, con varios códigos o sin 8 dígitos; ","")&amp;IF(AND(ISNUMBER(B55),LEN(B55)=8),IF(MOD(B55,10000)=0,"UNSPSC a nivel de segmento o familia; ",""),"")&amp;IF(NOT(ISNUMBER(E55)),"Duración vacía o en texto; ","")&amp;IF(NOT(ISNUMBER(G55)),"Valor vacío o en texto; ","")&amp;IF(ISNUMBER(M55),IF(M55&lt;1000000,"Valor inferior a $1.000.000: verificar; ",""),"Valor no interpretable; ")&amp;IF(N55="[PENDIENTE DE VERIFICAR]","Modalidad no identificable; ","")&amp;IF(OR(ISERROR(SEARCH("@itc.edu.co",J55)),SUMPRODUCT(--ISNUMBER(SEARCH({"á","é","í","ó","ú","ñ"},J55)))&gt;0),"Correo vacío o no institucional válido; ","")&amp;IF(LEN(TRIM(D55))=0,"Sin objeto contractual; ","")&amp;IF(AND(ISNUMBER(M55),N55="Mínima cuantía"),IF(M55&gt;39850000,"Mínima cuantía con valor superior al tope citado en el instructivo 2026 ($39.850.000): verificar modalidad; ",""),"")&amp;IF(AND(ISNUMBER(M55),OR(ISNUMBER(SEARCH("prestación de servicios",D55)),ISNUMBER(SEARCH("prestar servicios",D55)),ISNUMBER(SEARCH("prestar los servicios",D55)))),IF(M55&gt;=500000000,"Prestación de servicios por $500 millones o más: posible error de digitación; ",""),""))=0,"Sin observaciones",IF(OR(NOT(ISNUMBER(B55)),LEN(B55)&lt;&gt;8),"UNSPSC vacío, en texto, con varios códigos o sin 8 dígitos; ","")&amp;IF(AND(ISNUMBER(B55),LEN(B55)=8),IF(MOD(B55,10000)=0,"UNSPSC a nivel de segmento o familia; ",""),"")&amp;IF(NOT(ISNUMBER(E55)),"Duración vacía o en texto; ","")&amp;IF(NOT(ISNUMBER(G55)),"Valor vacío o en texto; ","")&amp;IF(ISNUMBER(M55),IF(M55&lt;1000000,"Valor inferior a $1.000.000: verificar; ",""),"Valor no interpretable; ")&amp;IF(N55="[PENDIENTE DE VERIFICAR]","Modalidad no identificable; ","")&amp;IF(OR(ISERROR(SEARCH("@itc.edu.co",J55)),SUMPRODUCT(--ISNUMBER(SEARCH({"á","é","í","ó","ú","ñ"},J55)))&gt;0),"Correo vacío o no institucional válido; ","")&amp;IF(LEN(TRIM(D55))=0,"Sin objeto contractual; ","")&amp;IF(AND(ISNUMBER(M55),N55="Mínima cuantía"),IF(M55&gt;39850000,"Mínima cuantía con valor superior al tope citado en el instructivo 2026 ($39.850.000): verificar modalidad; ",""),"")&amp;IF(AND(ISNUMBER(M55),OR(ISNUMBER(SEARCH("prestación de servicios",D55)),ISNUMBER(SEARCH("prestar servicios",D55)),ISNUMBER(SEARCH("prestar los servicios",D55)))),IF(M55&gt;=500000000,"Prestación de servicios por $500 millones o más: posible error de digitación; ",""),""))</f>
        <v>Sin observaciones</v>
      </c>
    </row>
    <row r="56" spans="1:15" ht="34.200000000000003" x14ac:dyDescent="0.3">
      <c r="A56" s="15" t="s">
        <v>956</v>
      </c>
      <c r="B56" s="15">
        <v>81111600</v>
      </c>
      <c r="C56" s="15" t="s">
        <v>957</v>
      </c>
      <c r="D56" s="15" t="s">
        <v>958</v>
      </c>
      <c r="E56" s="15">
        <v>11</v>
      </c>
      <c r="F56" s="15" t="s">
        <v>802</v>
      </c>
      <c r="G56" s="29">
        <v>6000000</v>
      </c>
      <c r="H56" s="15" t="s">
        <v>954</v>
      </c>
      <c r="I56" s="15"/>
      <c r="J56" s="15" t="s">
        <v>955</v>
      </c>
      <c r="K56" s="15">
        <v>51</v>
      </c>
      <c r="L56" s="30" t="s">
        <v>929</v>
      </c>
      <c r="M56" s="31">
        <v>6000000</v>
      </c>
      <c r="N56" s="30" t="s">
        <v>803</v>
      </c>
      <c r="O56" s="30" t="str">
        <f>IF(LEN(IF(OR(NOT(ISNUMBER(B56)),LEN(B56)&lt;&gt;8),"UNSPSC vacío, en texto, con varios códigos o sin 8 dígitos; ","")&amp;IF(AND(ISNUMBER(B56),LEN(B56)=8),IF(MOD(B56,10000)=0,"UNSPSC a nivel de segmento o familia; ",""),"")&amp;IF(NOT(ISNUMBER(E56)),"Duración vacía o en texto; ","")&amp;IF(NOT(ISNUMBER(G56)),"Valor vacío o en texto; ","")&amp;IF(ISNUMBER(M56),IF(M56&lt;1000000,"Valor inferior a $1.000.000: verificar; ",""),"Valor no interpretable; ")&amp;IF(N56="[PENDIENTE DE VERIFICAR]","Modalidad no identificable; ","")&amp;IF(OR(ISERROR(SEARCH("@itc.edu.co",J56)),SUMPRODUCT(--ISNUMBER(SEARCH({"á","é","í","ó","ú","ñ"},J56)))&gt;0),"Correo vacío o no institucional válido; ","")&amp;IF(LEN(TRIM(D56))=0,"Sin objeto contractual; ","")&amp;IF(AND(ISNUMBER(M56),N56="Mínima cuantía"),IF(M56&gt;39850000,"Mínima cuantía con valor superior al tope citado en el instructivo 2026 ($39.850.000): verificar modalidad; ",""),"")&amp;IF(AND(ISNUMBER(M56),OR(ISNUMBER(SEARCH("prestación de servicios",D56)),ISNUMBER(SEARCH("prestar servicios",D56)),ISNUMBER(SEARCH("prestar los servicios",D56)))),IF(M56&gt;=500000000,"Prestación de servicios por $500 millones o más: posible error de digitación; ",""),""))=0,"Sin observaciones",IF(OR(NOT(ISNUMBER(B56)),LEN(B56)&lt;&gt;8),"UNSPSC vacío, en texto, con varios códigos o sin 8 dígitos; ","")&amp;IF(AND(ISNUMBER(B56),LEN(B56)=8),IF(MOD(B56,10000)=0,"UNSPSC a nivel de segmento o familia; ",""),"")&amp;IF(NOT(ISNUMBER(E56)),"Duración vacía o en texto; ","")&amp;IF(NOT(ISNUMBER(G56)),"Valor vacío o en texto; ","")&amp;IF(ISNUMBER(M56),IF(M56&lt;1000000,"Valor inferior a $1.000.000: verificar; ",""),"Valor no interpretable; ")&amp;IF(N56="[PENDIENTE DE VERIFICAR]","Modalidad no identificable; ","")&amp;IF(OR(ISERROR(SEARCH("@itc.edu.co",J56)),SUMPRODUCT(--ISNUMBER(SEARCH({"á","é","í","ó","ú","ñ"},J56)))&gt;0),"Correo vacío o no institucional válido; ","")&amp;IF(LEN(TRIM(D56))=0,"Sin objeto contractual; ","")&amp;IF(AND(ISNUMBER(M56),N56="Mínima cuantía"),IF(M56&gt;39850000,"Mínima cuantía con valor superior al tope citado en el instructivo 2026 ($39.850.000): verificar modalidad; ",""),"")&amp;IF(AND(ISNUMBER(M56),OR(ISNUMBER(SEARCH("prestación de servicios",D56)),ISNUMBER(SEARCH("prestar servicios",D56)),ISNUMBER(SEARCH("prestar los servicios",D56)))),IF(M56&gt;=500000000,"Prestación de servicios por $500 millones o más: posible error de digitación; ",""),""))</f>
        <v>Sin observaciones</v>
      </c>
    </row>
    <row r="57" spans="1:15" ht="34.200000000000003" x14ac:dyDescent="0.3">
      <c r="A57" s="15" t="s">
        <v>959</v>
      </c>
      <c r="B57" s="15">
        <v>81111600</v>
      </c>
      <c r="C57" s="15" t="s">
        <v>960</v>
      </c>
      <c r="D57" s="15" t="s">
        <v>961</v>
      </c>
      <c r="E57" s="15">
        <v>11</v>
      </c>
      <c r="F57" s="15" t="s">
        <v>802</v>
      </c>
      <c r="G57" s="29">
        <v>6000000</v>
      </c>
      <c r="H57" s="15" t="s">
        <v>954</v>
      </c>
      <c r="I57" s="15"/>
      <c r="J57" s="15" t="s">
        <v>955</v>
      </c>
      <c r="K57" s="15">
        <v>52</v>
      </c>
      <c r="L57" s="30" t="s">
        <v>929</v>
      </c>
      <c r="M57" s="31">
        <v>6000000</v>
      </c>
      <c r="N57" s="30" t="s">
        <v>803</v>
      </c>
      <c r="O57" s="30" t="str">
        <f>IF(LEN(IF(OR(NOT(ISNUMBER(B57)),LEN(B57)&lt;&gt;8),"UNSPSC vacío, en texto, con varios códigos o sin 8 dígitos; ","")&amp;IF(AND(ISNUMBER(B57),LEN(B57)=8),IF(MOD(B57,10000)=0,"UNSPSC a nivel de segmento o familia; ",""),"")&amp;IF(NOT(ISNUMBER(E57)),"Duración vacía o en texto; ","")&amp;IF(NOT(ISNUMBER(G57)),"Valor vacío o en texto; ","")&amp;IF(ISNUMBER(M57),IF(M57&lt;1000000,"Valor inferior a $1.000.000: verificar; ",""),"Valor no interpretable; ")&amp;IF(N57="[PENDIENTE DE VERIFICAR]","Modalidad no identificable; ","")&amp;IF(OR(ISERROR(SEARCH("@itc.edu.co",J57)),SUMPRODUCT(--ISNUMBER(SEARCH({"á","é","í","ó","ú","ñ"},J57)))&gt;0),"Correo vacío o no institucional válido; ","")&amp;IF(LEN(TRIM(D57))=0,"Sin objeto contractual; ","")&amp;IF(AND(ISNUMBER(M57),N57="Mínima cuantía"),IF(M57&gt;39850000,"Mínima cuantía con valor superior al tope citado en el instructivo 2026 ($39.850.000): verificar modalidad; ",""),"")&amp;IF(AND(ISNUMBER(M57),OR(ISNUMBER(SEARCH("prestación de servicios",D57)),ISNUMBER(SEARCH("prestar servicios",D57)),ISNUMBER(SEARCH("prestar los servicios",D57)))),IF(M57&gt;=500000000,"Prestación de servicios por $500 millones o más: posible error de digitación; ",""),""))=0,"Sin observaciones",IF(OR(NOT(ISNUMBER(B57)),LEN(B57)&lt;&gt;8),"UNSPSC vacío, en texto, con varios códigos o sin 8 dígitos; ","")&amp;IF(AND(ISNUMBER(B57),LEN(B57)=8),IF(MOD(B57,10000)=0,"UNSPSC a nivel de segmento o familia; ",""),"")&amp;IF(NOT(ISNUMBER(E57)),"Duración vacía o en texto; ","")&amp;IF(NOT(ISNUMBER(G57)),"Valor vacío o en texto; ","")&amp;IF(ISNUMBER(M57),IF(M57&lt;1000000,"Valor inferior a $1.000.000: verificar; ",""),"Valor no interpretable; ")&amp;IF(N57="[PENDIENTE DE VERIFICAR]","Modalidad no identificable; ","")&amp;IF(OR(ISERROR(SEARCH("@itc.edu.co",J57)),SUMPRODUCT(--ISNUMBER(SEARCH({"á","é","í","ó","ú","ñ"},J57)))&gt;0),"Correo vacío o no institucional válido; ","")&amp;IF(LEN(TRIM(D57))=0,"Sin objeto contractual; ","")&amp;IF(AND(ISNUMBER(M57),N57="Mínima cuantía"),IF(M57&gt;39850000,"Mínima cuantía con valor superior al tope citado en el instructivo 2026 ($39.850.000): verificar modalidad; ",""),"")&amp;IF(AND(ISNUMBER(M57),OR(ISNUMBER(SEARCH("prestación de servicios",D57)),ISNUMBER(SEARCH("prestar servicios",D57)),ISNUMBER(SEARCH("prestar los servicios",D57)))),IF(M57&gt;=500000000,"Prestación de servicios por $500 millones o más: posible error de digitación; ",""),""))</f>
        <v>Sin observaciones</v>
      </c>
    </row>
    <row r="58" spans="1:15" ht="34.200000000000003" x14ac:dyDescent="0.3">
      <c r="A58" s="15" t="s">
        <v>962</v>
      </c>
      <c r="B58" s="15">
        <v>81111600</v>
      </c>
      <c r="C58" s="15" t="s">
        <v>963</v>
      </c>
      <c r="D58" s="15" t="s">
        <v>964</v>
      </c>
      <c r="E58" s="15">
        <v>11</v>
      </c>
      <c r="F58" s="15" t="s">
        <v>802</v>
      </c>
      <c r="G58" s="29">
        <v>10750000</v>
      </c>
      <c r="H58" s="15" t="s">
        <v>954</v>
      </c>
      <c r="I58" s="15"/>
      <c r="J58" s="15" t="s">
        <v>955</v>
      </c>
      <c r="K58" s="15">
        <v>53</v>
      </c>
      <c r="L58" s="30" t="s">
        <v>929</v>
      </c>
      <c r="M58" s="31">
        <v>10750000</v>
      </c>
      <c r="N58" s="30" t="s">
        <v>803</v>
      </c>
      <c r="O58" s="30" t="str">
        <f>IF(LEN(IF(OR(NOT(ISNUMBER(B58)),LEN(B58)&lt;&gt;8),"UNSPSC vacío, en texto, con varios códigos o sin 8 dígitos; ","")&amp;IF(AND(ISNUMBER(B58),LEN(B58)=8),IF(MOD(B58,10000)=0,"UNSPSC a nivel de segmento o familia; ",""),"")&amp;IF(NOT(ISNUMBER(E58)),"Duración vacía o en texto; ","")&amp;IF(NOT(ISNUMBER(G58)),"Valor vacío o en texto; ","")&amp;IF(ISNUMBER(M58),IF(M58&lt;1000000,"Valor inferior a $1.000.000: verificar; ",""),"Valor no interpretable; ")&amp;IF(N58="[PENDIENTE DE VERIFICAR]","Modalidad no identificable; ","")&amp;IF(OR(ISERROR(SEARCH("@itc.edu.co",J58)),SUMPRODUCT(--ISNUMBER(SEARCH({"á","é","í","ó","ú","ñ"},J58)))&gt;0),"Correo vacío o no institucional válido; ","")&amp;IF(LEN(TRIM(D58))=0,"Sin objeto contractual; ","")&amp;IF(AND(ISNUMBER(M58),N58="Mínima cuantía"),IF(M58&gt;39850000,"Mínima cuantía con valor superior al tope citado en el instructivo 2026 ($39.850.000): verificar modalidad; ",""),"")&amp;IF(AND(ISNUMBER(M58),OR(ISNUMBER(SEARCH("prestación de servicios",D58)),ISNUMBER(SEARCH("prestar servicios",D58)),ISNUMBER(SEARCH("prestar los servicios",D58)))),IF(M58&gt;=500000000,"Prestación de servicios por $500 millones o más: posible error de digitación; ",""),""))=0,"Sin observaciones",IF(OR(NOT(ISNUMBER(B58)),LEN(B58)&lt;&gt;8),"UNSPSC vacío, en texto, con varios códigos o sin 8 dígitos; ","")&amp;IF(AND(ISNUMBER(B58),LEN(B58)=8),IF(MOD(B58,10000)=0,"UNSPSC a nivel de segmento o familia; ",""),"")&amp;IF(NOT(ISNUMBER(E58)),"Duración vacía o en texto; ","")&amp;IF(NOT(ISNUMBER(G58)),"Valor vacío o en texto; ","")&amp;IF(ISNUMBER(M58),IF(M58&lt;1000000,"Valor inferior a $1.000.000: verificar; ",""),"Valor no interpretable; ")&amp;IF(N58="[PENDIENTE DE VERIFICAR]","Modalidad no identificable; ","")&amp;IF(OR(ISERROR(SEARCH("@itc.edu.co",J58)),SUMPRODUCT(--ISNUMBER(SEARCH({"á","é","í","ó","ú","ñ"},J58)))&gt;0),"Correo vacío o no institucional válido; ","")&amp;IF(LEN(TRIM(D58))=0,"Sin objeto contractual; ","")&amp;IF(AND(ISNUMBER(M58),N58="Mínima cuantía"),IF(M58&gt;39850000,"Mínima cuantía con valor superior al tope citado en el instructivo 2026 ($39.850.000): verificar modalidad; ",""),"")&amp;IF(AND(ISNUMBER(M58),OR(ISNUMBER(SEARCH("prestación de servicios",D58)),ISNUMBER(SEARCH("prestar servicios",D58)),ISNUMBER(SEARCH("prestar los servicios",D58)))),IF(M58&gt;=500000000,"Prestación de servicios por $500 millones o más: posible error de digitación; ",""),""))</f>
        <v>Sin observaciones</v>
      </c>
    </row>
    <row r="59" spans="1:15" ht="34.200000000000003" x14ac:dyDescent="0.3">
      <c r="A59" s="15" t="s">
        <v>965</v>
      </c>
      <c r="B59" s="15">
        <v>81111600</v>
      </c>
      <c r="C59" s="15" t="s">
        <v>966</v>
      </c>
      <c r="D59" s="15" t="s">
        <v>967</v>
      </c>
      <c r="E59" s="15">
        <v>11</v>
      </c>
      <c r="F59" s="15" t="s">
        <v>802</v>
      </c>
      <c r="G59" s="29">
        <v>12000000</v>
      </c>
      <c r="H59" s="15" t="s">
        <v>954</v>
      </c>
      <c r="I59" s="15"/>
      <c r="J59" s="15" t="s">
        <v>955</v>
      </c>
      <c r="K59" s="15">
        <v>54</v>
      </c>
      <c r="L59" s="30" t="s">
        <v>929</v>
      </c>
      <c r="M59" s="31">
        <v>12000000</v>
      </c>
      <c r="N59" s="30" t="s">
        <v>803</v>
      </c>
      <c r="O59" s="30" t="str">
        <f>IF(LEN(IF(OR(NOT(ISNUMBER(B59)),LEN(B59)&lt;&gt;8),"UNSPSC vacío, en texto, con varios códigos o sin 8 dígitos; ","")&amp;IF(AND(ISNUMBER(B59),LEN(B59)=8),IF(MOD(B59,10000)=0,"UNSPSC a nivel de segmento o familia; ",""),"")&amp;IF(NOT(ISNUMBER(E59)),"Duración vacía o en texto; ","")&amp;IF(NOT(ISNUMBER(G59)),"Valor vacío o en texto; ","")&amp;IF(ISNUMBER(M59),IF(M59&lt;1000000,"Valor inferior a $1.000.000: verificar; ",""),"Valor no interpretable; ")&amp;IF(N59="[PENDIENTE DE VERIFICAR]","Modalidad no identificable; ","")&amp;IF(OR(ISERROR(SEARCH("@itc.edu.co",J59)),SUMPRODUCT(--ISNUMBER(SEARCH({"á","é","í","ó","ú","ñ"},J59)))&gt;0),"Correo vacío o no institucional válido; ","")&amp;IF(LEN(TRIM(D59))=0,"Sin objeto contractual; ","")&amp;IF(AND(ISNUMBER(M59),N59="Mínima cuantía"),IF(M59&gt;39850000,"Mínima cuantía con valor superior al tope citado en el instructivo 2026 ($39.850.000): verificar modalidad; ",""),"")&amp;IF(AND(ISNUMBER(M59),OR(ISNUMBER(SEARCH("prestación de servicios",D59)),ISNUMBER(SEARCH("prestar servicios",D59)),ISNUMBER(SEARCH("prestar los servicios",D59)))),IF(M59&gt;=500000000,"Prestación de servicios por $500 millones o más: posible error de digitación; ",""),""))=0,"Sin observaciones",IF(OR(NOT(ISNUMBER(B59)),LEN(B59)&lt;&gt;8),"UNSPSC vacío, en texto, con varios códigos o sin 8 dígitos; ","")&amp;IF(AND(ISNUMBER(B59),LEN(B59)=8),IF(MOD(B59,10000)=0,"UNSPSC a nivel de segmento o familia; ",""),"")&amp;IF(NOT(ISNUMBER(E59)),"Duración vacía o en texto; ","")&amp;IF(NOT(ISNUMBER(G59)),"Valor vacío o en texto; ","")&amp;IF(ISNUMBER(M59),IF(M59&lt;1000000,"Valor inferior a $1.000.000: verificar; ",""),"Valor no interpretable; ")&amp;IF(N59="[PENDIENTE DE VERIFICAR]","Modalidad no identificable; ","")&amp;IF(OR(ISERROR(SEARCH("@itc.edu.co",J59)),SUMPRODUCT(--ISNUMBER(SEARCH({"á","é","í","ó","ú","ñ"},J59)))&gt;0),"Correo vacío o no institucional válido; ","")&amp;IF(LEN(TRIM(D59))=0,"Sin objeto contractual; ","")&amp;IF(AND(ISNUMBER(M59),N59="Mínima cuantía"),IF(M59&gt;39850000,"Mínima cuantía con valor superior al tope citado en el instructivo 2026 ($39.850.000): verificar modalidad; ",""),"")&amp;IF(AND(ISNUMBER(M59),OR(ISNUMBER(SEARCH("prestación de servicios",D59)),ISNUMBER(SEARCH("prestar servicios",D59)),ISNUMBER(SEARCH("prestar los servicios",D59)))),IF(M59&gt;=500000000,"Prestación de servicios por $500 millones o más: posible error de digitación; ",""),""))</f>
        <v>Sin observaciones</v>
      </c>
    </row>
    <row r="60" spans="1:15" ht="68.400000000000006" x14ac:dyDescent="0.3">
      <c r="A60" s="15" t="s">
        <v>968</v>
      </c>
      <c r="B60" s="15">
        <v>81111600</v>
      </c>
      <c r="C60" s="15" t="s">
        <v>969</v>
      </c>
      <c r="D60" s="15" t="s">
        <v>970</v>
      </c>
      <c r="E60" s="15">
        <v>11</v>
      </c>
      <c r="F60" s="15" t="s">
        <v>802</v>
      </c>
      <c r="G60" s="29"/>
      <c r="H60" s="15" t="s">
        <v>928</v>
      </c>
      <c r="I60" s="15"/>
      <c r="J60" s="15"/>
      <c r="K60" s="15">
        <v>55</v>
      </c>
      <c r="L60" s="30" t="s">
        <v>929</v>
      </c>
      <c r="M60" s="31"/>
      <c r="N60" s="30" t="s">
        <v>803</v>
      </c>
      <c r="O60" s="30" t="str">
        <f>IF(LEN(IF(OR(NOT(ISNUMBER(B60)),LEN(B60)&lt;&gt;8),"UNSPSC vacío, en texto, con varios códigos o sin 8 dígitos; ","")&amp;IF(AND(ISNUMBER(B60),LEN(B60)=8),IF(MOD(B60,10000)=0,"UNSPSC a nivel de segmento o familia; ",""),"")&amp;IF(NOT(ISNUMBER(E60)),"Duración vacía o en texto; ","")&amp;IF(NOT(ISNUMBER(G60)),"Valor vacío o en texto; ","")&amp;IF(ISNUMBER(M60),IF(M60&lt;1000000,"Valor inferior a $1.000.000: verificar; ",""),"Valor no interpretable; ")&amp;IF(N60="[PENDIENTE DE VERIFICAR]","Modalidad no identificable; ","")&amp;IF(OR(ISERROR(SEARCH("@itc.edu.co",J60)),SUMPRODUCT(--ISNUMBER(SEARCH({"á","é","í","ó","ú","ñ"},J60)))&gt;0),"Correo vacío o no institucional válido; ","")&amp;IF(LEN(TRIM(D60))=0,"Sin objeto contractual; ","")&amp;IF(AND(ISNUMBER(M60),N60="Mínima cuantía"),IF(M60&gt;39850000,"Mínima cuantía con valor superior al tope citado en el instructivo 2026 ($39.850.000): verificar modalidad; ",""),"")&amp;IF(AND(ISNUMBER(M60),OR(ISNUMBER(SEARCH("prestación de servicios",D60)),ISNUMBER(SEARCH("prestar servicios",D60)),ISNUMBER(SEARCH("prestar los servicios",D60)))),IF(M60&gt;=500000000,"Prestación de servicios por $500 millones o más: posible error de digitación; ",""),""))=0,"Sin observaciones",IF(OR(NOT(ISNUMBER(B60)),LEN(B60)&lt;&gt;8),"UNSPSC vacío, en texto, con varios códigos o sin 8 dígitos; ","")&amp;IF(AND(ISNUMBER(B60),LEN(B60)=8),IF(MOD(B60,10000)=0,"UNSPSC a nivel de segmento o familia; ",""),"")&amp;IF(NOT(ISNUMBER(E60)),"Duración vacía o en texto; ","")&amp;IF(NOT(ISNUMBER(G60)),"Valor vacío o en texto; ","")&amp;IF(ISNUMBER(M60),IF(M60&lt;1000000,"Valor inferior a $1.000.000: verificar; ",""),"Valor no interpretable; ")&amp;IF(N60="[PENDIENTE DE VERIFICAR]","Modalidad no identificable; ","")&amp;IF(OR(ISERROR(SEARCH("@itc.edu.co",J60)),SUMPRODUCT(--ISNUMBER(SEARCH({"á","é","í","ó","ú","ñ"},J60)))&gt;0),"Correo vacío o no institucional válido; ","")&amp;IF(LEN(TRIM(D60))=0,"Sin objeto contractual; ","")&amp;IF(AND(ISNUMBER(M60),N60="Mínima cuantía"),IF(M60&gt;39850000,"Mínima cuantía con valor superior al tope citado en el instructivo 2026 ($39.850.000): verificar modalidad; ",""),"")&amp;IF(AND(ISNUMBER(M60),OR(ISNUMBER(SEARCH("prestación de servicios",D60)),ISNUMBER(SEARCH("prestar servicios",D60)),ISNUMBER(SEARCH("prestar los servicios",D60)))),IF(M60&gt;=500000000,"Prestación de servicios por $500 millones o más: posible error de digitación; ",""),""))</f>
        <v xml:space="preserve">Valor vacío o en texto; Valor no interpretable; Correo vacío o no institucional válido; </v>
      </c>
    </row>
    <row r="61" spans="1:15" ht="34.200000000000003" x14ac:dyDescent="0.3">
      <c r="A61" s="15" t="s">
        <v>971</v>
      </c>
      <c r="B61" s="15">
        <v>81111600</v>
      </c>
      <c r="C61" s="15" t="s">
        <v>972</v>
      </c>
      <c r="D61" s="15" t="s">
        <v>973</v>
      </c>
      <c r="E61" s="15">
        <v>11</v>
      </c>
      <c r="F61" s="15" t="s">
        <v>802</v>
      </c>
      <c r="G61" s="29"/>
      <c r="H61" s="15" t="s">
        <v>954</v>
      </c>
      <c r="I61" s="15"/>
      <c r="J61" s="15" t="s">
        <v>955</v>
      </c>
      <c r="K61" s="15">
        <v>56</v>
      </c>
      <c r="L61" s="30" t="s">
        <v>929</v>
      </c>
      <c r="M61" s="31"/>
      <c r="N61" s="30" t="s">
        <v>803</v>
      </c>
      <c r="O61" s="30" t="str">
        <f>IF(LEN(IF(OR(NOT(ISNUMBER(B61)),LEN(B61)&lt;&gt;8),"UNSPSC vacío, en texto, con varios códigos o sin 8 dígitos; ","")&amp;IF(AND(ISNUMBER(B61),LEN(B61)=8),IF(MOD(B61,10000)=0,"UNSPSC a nivel de segmento o familia; ",""),"")&amp;IF(NOT(ISNUMBER(E61)),"Duración vacía o en texto; ","")&amp;IF(NOT(ISNUMBER(G61)),"Valor vacío o en texto; ","")&amp;IF(ISNUMBER(M61),IF(M61&lt;1000000,"Valor inferior a $1.000.000: verificar; ",""),"Valor no interpretable; ")&amp;IF(N61="[PENDIENTE DE VERIFICAR]","Modalidad no identificable; ","")&amp;IF(OR(ISERROR(SEARCH("@itc.edu.co",J61)),SUMPRODUCT(--ISNUMBER(SEARCH({"á","é","í","ó","ú","ñ"},J61)))&gt;0),"Correo vacío o no institucional válido; ","")&amp;IF(LEN(TRIM(D61))=0,"Sin objeto contractual; ","")&amp;IF(AND(ISNUMBER(M61),N61="Mínima cuantía"),IF(M61&gt;39850000,"Mínima cuantía con valor superior al tope citado en el instructivo 2026 ($39.850.000): verificar modalidad; ",""),"")&amp;IF(AND(ISNUMBER(M61),OR(ISNUMBER(SEARCH("prestación de servicios",D61)),ISNUMBER(SEARCH("prestar servicios",D61)),ISNUMBER(SEARCH("prestar los servicios",D61)))),IF(M61&gt;=500000000,"Prestación de servicios por $500 millones o más: posible error de digitación; ",""),""))=0,"Sin observaciones",IF(OR(NOT(ISNUMBER(B61)),LEN(B61)&lt;&gt;8),"UNSPSC vacío, en texto, con varios códigos o sin 8 dígitos; ","")&amp;IF(AND(ISNUMBER(B61),LEN(B61)=8),IF(MOD(B61,10000)=0,"UNSPSC a nivel de segmento o familia; ",""),"")&amp;IF(NOT(ISNUMBER(E61)),"Duración vacía o en texto; ","")&amp;IF(NOT(ISNUMBER(G61)),"Valor vacío o en texto; ","")&amp;IF(ISNUMBER(M61),IF(M61&lt;1000000,"Valor inferior a $1.000.000: verificar; ",""),"Valor no interpretable; ")&amp;IF(N61="[PENDIENTE DE VERIFICAR]","Modalidad no identificable; ","")&amp;IF(OR(ISERROR(SEARCH("@itc.edu.co",J61)),SUMPRODUCT(--ISNUMBER(SEARCH({"á","é","í","ó","ú","ñ"},J61)))&gt;0),"Correo vacío o no institucional válido; ","")&amp;IF(LEN(TRIM(D61))=0,"Sin objeto contractual; ","")&amp;IF(AND(ISNUMBER(M61),N61="Mínima cuantía"),IF(M61&gt;39850000,"Mínima cuantía con valor superior al tope citado en el instructivo 2026 ($39.850.000): verificar modalidad; ",""),"")&amp;IF(AND(ISNUMBER(M61),OR(ISNUMBER(SEARCH("prestación de servicios",D61)),ISNUMBER(SEARCH("prestar servicios",D61)),ISNUMBER(SEARCH("prestar los servicios",D61)))),IF(M61&gt;=500000000,"Prestación de servicios por $500 millones o más: posible error de digitación; ",""),""))</f>
        <v xml:space="preserve">Valor vacío o en texto; Valor no interpretable; </v>
      </c>
    </row>
    <row r="62" spans="1:15" ht="45.6" x14ac:dyDescent="0.3">
      <c r="A62" s="15" t="s">
        <v>403</v>
      </c>
      <c r="B62" s="15">
        <v>80111614</v>
      </c>
      <c r="C62" s="15" t="s">
        <v>353</v>
      </c>
      <c r="D62" s="15" t="s">
        <v>974</v>
      </c>
      <c r="E62" s="15">
        <v>11</v>
      </c>
      <c r="F62" s="15" t="s">
        <v>802</v>
      </c>
      <c r="G62" s="29"/>
      <c r="H62" s="15" t="s">
        <v>975</v>
      </c>
      <c r="I62" s="15"/>
      <c r="J62" s="15" t="s">
        <v>976</v>
      </c>
      <c r="K62" s="15">
        <v>57</v>
      </c>
      <c r="L62" s="30" t="s">
        <v>977</v>
      </c>
      <c r="M62" s="31"/>
      <c r="N62" s="30" t="s">
        <v>803</v>
      </c>
      <c r="O62" s="30" t="str">
        <f>IF(LEN(IF(OR(NOT(ISNUMBER(B62)),LEN(B62)&lt;&gt;8),"UNSPSC vacío, en texto, con varios códigos o sin 8 dígitos; ","")&amp;IF(AND(ISNUMBER(B62),LEN(B62)=8),IF(MOD(B62,10000)=0,"UNSPSC a nivel de segmento o familia; ",""),"")&amp;IF(NOT(ISNUMBER(E62)),"Duración vacía o en texto; ","")&amp;IF(NOT(ISNUMBER(G62)),"Valor vacío o en texto; ","")&amp;IF(ISNUMBER(M62),IF(M62&lt;1000000,"Valor inferior a $1.000.000: verificar; ",""),"Valor no interpretable; ")&amp;IF(N62="[PENDIENTE DE VERIFICAR]","Modalidad no identificable; ","")&amp;IF(OR(ISERROR(SEARCH("@itc.edu.co",J62)),SUMPRODUCT(--ISNUMBER(SEARCH({"á","é","í","ó","ú","ñ"},J62)))&gt;0),"Correo vacío o no institucional válido; ","")&amp;IF(LEN(TRIM(D62))=0,"Sin objeto contractual; ","")&amp;IF(AND(ISNUMBER(M62),N62="Mínima cuantía"),IF(M62&gt;39850000,"Mínima cuantía con valor superior al tope citado en el instructivo 2026 ($39.850.000): verificar modalidad; ",""),"")&amp;IF(AND(ISNUMBER(M62),OR(ISNUMBER(SEARCH("prestación de servicios",D62)),ISNUMBER(SEARCH("prestar servicios",D62)),ISNUMBER(SEARCH("prestar los servicios",D62)))),IF(M62&gt;=500000000,"Prestación de servicios por $500 millones o más: posible error de digitación; ",""),""))=0,"Sin observaciones",IF(OR(NOT(ISNUMBER(B62)),LEN(B62)&lt;&gt;8),"UNSPSC vacío, en texto, con varios códigos o sin 8 dígitos; ","")&amp;IF(AND(ISNUMBER(B62),LEN(B62)=8),IF(MOD(B62,10000)=0,"UNSPSC a nivel de segmento o familia; ",""),"")&amp;IF(NOT(ISNUMBER(E62)),"Duración vacía o en texto; ","")&amp;IF(NOT(ISNUMBER(G62)),"Valor vacío o en texto; ","")&amp;IF(ISNUMBER(M62),IF(M62&lt;1000000,"Valor inferior a $1.000.000: verificar; ",""),"Valor no interpretable; ")&amp;IF(N62="[PENDIENTE DE VERIFICAR]","Modalidad no identificable; ","")&amp;IF(OR(ISERROR(SEARCH("@itc.edu.co",J62)),SUMPRODUCT(--ISNUMBER(SEARCH({"á","é","í","ó","ú","ñ"},J62)))&gt;0),"Correo vacío o no institucional válido; ","")&amp;IF(LEN(TRIM(D62))=0,"Sin objeto contractual; ","")&amp;IF(AND(ISNUMBER(M62),N62="Mínima cuantía"),IF(M62&gt;39850000,"Mínima cuantía con valor superior al tope citado en el instructivo 2026 ($39.850.000): verificar modalidad; ",""),"")&amp;IF(AND(ISNUMBER(M62),OR(ISNUMBER(SEARCH("prestación de servicios",D62)),ISNUMBER(SEARCH("prestar servicios",D62)),ISNUMBER(SEARCH("prestar los servicios",D62)))),IF(M62&gt;=500000000,"Prestación de servicios por $500 millones o más: posible error de digitación; ",""),""))</f>
        <v xml:space="preserve">Valor vacío o en texto; Valor no interpretable; </v>
      </c>
    </row>
    <row r="63" spans="1:15" ht="45.6" x14ac:dyDescent="0.3">
      <c r="A63" s="15" t="s">
        <v>352</v>
      </c>
      <c r="B63" s="15">
        <v>80111601</v>
      </c>
      <c r="C63" s="15" t="s">
        <v>353</v>
      </c>
      <c r="D63" s="15" t="s">
        <v>978</v>
      </c>
      <c r="E63" s="15">
        <v>11</v>
      </c>
      <c r="F63" s="15" t="s">
        <v>802</v>
      </c>
      <c r="G63" s="29"/>
      <c r="H63" s="15" t="s">
        <v>975</v>
      </c>
      <c r="I63" s="15"/>
      <c r="J63" s="15" t="s">
        <v>976</v>
      </c>
      <c r="K63" s="15">
        <v>58</v>
      </c>
      <c r="L63" s="30" t="s">
        <v>977</v>
      </c>
      <c r="M63" s="31"/>
      <c r="N63" s="30" t="s">
        <v>803</v>
      </c>
      <c r="O63" s="30" t="str">
        <f>IF(LEN(IF(OR(NOT(ISNUMBER(B63)),LEN(B63)&lt;&gt;8),"UNSPSC vacío, en texto, con varios códigos o sin 8 dígitos; ","")&amp;IF(AND(ISNUMBER(B63),LEN(B63)=8),IF(MOD(B63,10000)=0,"UNSPSC a nivel de segmento o familia; ",""),"")&amp;IF(NOT(ISNUMBER(E63)),"Duración vacía o en texto; ","")&amp;IF(NOT(ISNUMBER(G63)),"Valor vacío o en texto; ","")&amp;IF(ISNUMBER(M63),IF(M63&lt;1000000,"Valor inferior a $1.000.000: verificar; ",""),"Valor no interpretable; ")&amp;IF(N63="[PENDIENTE DE VERIFICAR]","Modalidad no identificable; ","")&amp;IF(OR(ISERROR(SEARCH("@itc.edu.co",J63)),SUMPRODUCT(--ISNUMBER(SEARCH({"á","é","í","ó","ú","ñ"},J63)))&gt;0),"Correo vacío o no institucional válido; ","")&amp;IF(LEN(TRIM(D63))=0,"Sin objeto contractual; ","")&amp;IF(AND(ISNUMBER(M63),N63="Mínima cuantía"),IF(M63&gt;39850000,"Mínima cuantía con valor superior al tope citado en el instructivo 2026 ($39.850.000): verificar modalidad; ",""),"")&amp;IF(AND(ISNUMBER(M63),OR(ISNUMBER(SEARCH("prestación de servicios",D63)),ISNUMBER(SEARCH("prestar servicios",D63)),ISNUMBER(SEARCH("prestar los servicios",D63)))),IF(M63&gt;=500000000,"Prestación de servicios por $500 millones o más: posible error de digitación; ",""),""))=0,"Sin observaciones",IF(OR(NOT(ISNUMBER(B63)),LEN(B63)&lt;&gt;8),"UNSPSC vacío, en texto, con varios códigos o sin 8 dígitos; ","")&amp;IF(AND(ISNUMBER(B63),LEN(B63)=8),IF(MOD(B63,10000)=0,"UNSPSC a nivel de segmento o familia; ",""),"")&amp;IF(NOT(ISNUMBER(E63)),"Duración vacía o en texto; ","")&amp;IF(NOT(ISNUMBER(G63)),"Valor vacío o en texto; ","")&amp;IF(ISNUMBER(M63),IF(M63&lt;1000000,"Valor inferior a $1.000.000: verificar; ",""),"Valor no interpretable; ")&amp;IF(N63="[PENDIENTE DE VERIFICAR]","Modalidad no identificable; ","")&amp;IF(OR(ISERROR(SEARCH("@itc.edu.co",J63)),SUMPRODUCT(--ISNUMBER(SEARCH({"á","é","í","ó","ú","ñ"},J63)))&gt;0),"Correo vacío o no institucional válido; ","")&amp;IF(LEN(TRIM(D63))=0,"Sin objeto contractual; ","")&amp;IF(AND(ISNUMBER(M63),N63="Mínima cuantía"),IF(M63&gt;39850000,"Mínima cuantía con valor superior al tope citado en el instructivo 2026 ($39.850.000): verificar modalidad; ",""),"")&amp;IF(AND(ISNUMBER(M63),OR(ISNUMBER(SEARCH("prestación de servicios",D63)),ISNUMBER(SEARCH("prestar servicios",D63)),ISNUMBER(SEARCH("prestar los servicios",D63)))),IF(M63&gt;=500000000,"Prestación de servicios por $500 millones o más: posible error de digitación; ",""),""))</f>
        <v xml:space="preserve">Valor vacío o en texto; Valor no interpretable; </v>
      </c>
    </row>
    <row r="64" spans="1:15" ht="68.400000000000006" x14ac:dyDescent="0.3">
      <c r="A64" s="15" t="s">
        <v>979</v>
      </c>
      <c r="B64" s="15">
        <v>80111600</v>
      </c>
      <c r="C64" s="15" t="s">
        <v>980</v>
      </c>
      <c r="D64" s="15" t="s">
        <v>981</v>
      </c>
      <c r="E64" s="15">
        <v>11</v>
      </c>
      <c r="F64" s="15" t="s">
        <v>802</v>
      </c>
      <c r="G64" s="29"/>
      <c r="H64" s="15" t="s">
        <v>982</v>
      </c>
      <c r="I64" s="15"/>
      <c r="J64" s="15"/>
      <c r="K64" s="15">
        <v>59</v>
      </c>
      <c r="L64" s="30" t="s">
        <v>977</v>
      </c>
      <c r="M64" s="31"/>
      <c r="N64" s="30" t="s">
        <v>803</v>
      </c>
      <c r="O64" s="30" t="str">
        <f>IF(LEN(IF(OR(NOT(ISNUMBER(B64)),LEN(B64)&lt;&gt;8),"UNSPSC vacío, en texto, con varios códigos o sin 8 dígitos; ","")&amp;IF(AND(ISNUMBER(B64),LEN(B64)=8),IF(MOD(B64,10000)=0,"UNSPSC a nivel de segmento o familia; ",""),"")&amp;IF(NOT(ISNUMBER(E64)),"Duración vacía o en texto; ","")&amp;IF(NOT(ISNUMBER(G64)),"Valor vacío o en texto; ","")&amp;IF(ISNUMBER(M64),IF(M64&lt;1000000,"Valor inferior a $1.000.000: verificar; ",""),"Valor no interpretable; ")&amp;IF(N64="[PENDIENTE DE VERIFICAR]","Modalidad no identificable; ","")&amp;IF(OR(ISERROR(SEARCH("@itc.edu.co",J64)),SUMPRODUCT(--ISNUMBER(SEARCH({"á","é","í","ó","ú","ñ"},J64)))&gt;0),"Correo vacío o no institucional válido; ","")&amp;IF(LEN(TRIM(D64))=0,"Sin objeto contractual; ","")&amp;IF(AND(ISNUMBER(M64),N64="Mínima cuantía"),IF(M64&gt;39850000,"Mínima cuantía con valor superior al tope citado en el instructivo 2026 ($39.850.000): verificar modalidad; ",""),"")&amp;IF(AND(ISNUMBER(M64),OR(ISNUMBER(SEARCH("prestación de servicios",D64)),ISNUMBER(SEARCH("prestar servicios",D64)),ISNUMBER(SEARCH("prestar los servicios",D64)))),IF(M64&gt;=500000000,"Prestación de servicios por $500 millones o más: posible error de digitación; ",""),""))=0,"Sin observaciones",IF(OR(NOT(ISNUMBER(B64)),LEN(B64)&lt;&gt;8),"UNSPSC vacío, en texto, con varios códigos o sin 8 dígitos; ","")&amp;IF(AND(ISNUMBER(B64),LEN(B64)=8),IF(MOD(B64,10000)=0,"UNSPSC a nivel de segmento o familia; ",""),"")&amp;IF(NOT(ISNUMBER(E64)),"Duración vacía o en texto; ","")&amp;IF(NOT(ISNUMBER(G64)),"Valor vacío o en texto; ","")&amp;IF(ISNUMBER(M64),IF(M64&lt;1000000,"Valor inferior a $1.000.000: verificar; ",""),"Valor no interpretable; ")&amp;IF(N64="[PENDIENTE DE VERIFICAR]","Modalidad no identificable; ","")&amp;IF(OR(ISERROR(SEARCH("@itc.edu.co",J64)),SUMPRODUCT(--ISNUMBER(SEARCH({"á","é","í","ó","ú","ñ"},J64)))&gt;0),"Correo vacío o no institucional válido; ","")&amp;IF(LEN(TRIM(D64))=0,"Sin objeto contractual; ","")&amp;IF(AND(ISNUMBER(M64),N64="Mínima cuantía"),IF(M64&gt;39850000,"Mínima cuantía con valor superior al tope citado en el instructivo 2026 ($39.850.000): verificar modalidad; ",""),"")&amp;IF(AND(ISNUMBER(M64),OR(ISNUMBER(SEARCH("prestación de servicios",D64)),ISNUMBER(SEARCH("prestar servicios",D64)),ISNUMBER(SEARCH("prestar los servicios",D64)))),IF(M64&gt;=500000000,"Prestación de servicios por $500 millones o más: posible error de digitación; ",""),""))</f>
        <v xml:space="preserve">Valor vacío o en texto; Valor no interpretable; Correo vacío o no institucional válido; </v>
      </c>
    </row>
    <row r="65" spans="1:15" ht="45.6" x14ac:dyDescent="0.3">
      <c r="A65" s="15" t="s">
        <v>983</v>
      </c>
      <c r="B65" s="15">
        <v>80111600</v>
      </c>
      <c r="C65" s="15" t="s">
        <v>984</v>
      </c>
      <c r="D65" s="15" t="s">
        <v>985</v>
      </c>
      <c r="E65" s="15">
        <v>11</v>
      </c>
      <c r="F65" s="15" t="s">
        <v>802</v>
      </c>
      <c r="G65" s="29">
        <v>30729326</v>
      </c>
      <c r="H65" s="15" t="s">
        <v>986</v>
      </c>
      <c r="I65" s="15"/>
      <c r="J65" s="15" t="s">
        <v>987</v>
      </c>
      <c r="K65" s="15">
        <v>60</v>
      </c>
      <c r="L65" s="30" t="s">
        <v>977</v>
      </c>
      <c r="M65" s="31">
        <v>30729326</v>
      </c>
      <c r="N65" s="30" t="s">
        <v>803</v>
      </c>
      <c r="O65" s="30" t="str">
        <f>IF(LEN(IF(OR(NOT(ISNUMBER(B65)),LEN(B65)&lt;&gt;8),"UNSPSC vacío, en texto, con varios códigos o sin 8 dígitos; ","")&amp;IF(AND(ISNUMBER(B65),LEN(B65)=8),IF(MOD(B65,10000)=0,"UNSPSC a nivel de segmento o familia; ",""),"")&amp;IF(NOT(ISNUMBER(E65)),"Duración vacía o en texto; ","")&amp;IF(NOT(ISNUMBER(G65)),"Valor vacío o en texto; ","")&amp;IF(ISNUMBER(M65),IF(M65&lt;1000000,"Valor inferior a $1.000.000: verificar; ",""),"Valor no interpretable; ")&amp;IF(N65="[PENDIENTE DE VERIFICAR]","Modalidad no identificable; ","")&amp;IF(OR(ISERROR(SEARCH("@itc.edu.co",J65)),SUMPRODUCT(--ISNUMBER(SEARCH({"á","é","í","ó","ú","ñ"},J65)))&gt;0),"Correo vacío o no institucional válido; ","")&amp;IF(LEN(TRIM(D65))=0,"Sin objeto contractual; ","")&amp;IF(AND(ISNUMBER(M65),N65="Mínima cuantía"),IF(M65&gt;39850000,"Mínima cuantía con valor superior al tope citado en el instructivo 2026 ($39.850.000): verificar modalidad; ",""),"")&amp;IF(AND(ISNUMBER(M65),OR(ISNUMBER(SEARCH("prestación de servicios",D65)),ISNUMBER(SEARCH("prestar servicios",D65)),ISNUMBER(SEARCH("prestar los servicios",D65)))),IF(M65&gt;=500000000,"Prestación de servicios por $500 millones o más: posible error de digitación; ",""),""))=0,"Sin observaciones",IF(OR(NOT(ISNUMBER(B65)),LEN(B65)&lt;&gt;8),"UNSPSC vacío, en texto, con varios códigos o sin 8 dígitos; ","")&amp;IF(AND(ISNUMBER(B65),LEN(B65)=8),IF(MOD(B65,10000)=0,"UNSPSC a nivel de segmento o familia; ",""),"")&amp;IF(NOT(ISNUMBER(E65)),"Duración vacía o en texto; ","")&amp;IF(NOT(ISNUMBER(G65)),"Valor vacío o en texto; ","")&amp;IF(ISNUMBER(M65),IF(M65&lt;1000000,"Valor inferior a $1.000.000: verificar; ",""),"Valor no interpretable; ")&amp;IF(N65="[PENDIENTE DE VERIFICAR]","Modalidad no identificable; ","")&amp;IF(OR(ISERROR(SEARCH("@itc.edu.co",J65)),SUMPRODUCT(--ISNUMBER(SEARCH({"á","é","í","ó","ú","ñ"},J65)))&gt;0),"Correo vacío o no institucional válido; ","")&amp;IF(LEN(TRIM(D65))=0,"Sin objeto contractual; ","")&amp;IF(AND(ISNUMBER(M65),N65="Mínima cuantía"),IF(M65&gt;39850000,"Mínima cuantía con valor superior al tope citado en el instructivo 2026 ($39.850.000): verificar modalidad; ",""),"")&amp;IF(AND(ISNUMBER(M65),OR(ISNUMBER(SEARCH("prestación de servicios",D65)),ISNUMBER(SEARCH("prestar servicios",D65)),ISNUMBER(SEARCH("prestar los servicios",D65)))),IF(M65&gt;=500000000,"Prestación de servicios por $500 millones o más: posible error de digitación; ",""),""))</f>
        <v>Sin observaciones</v>
      </c>
    </row>
    <row r="66" spans="1:15" ht="45.6" x14ac:dyDescent="0.3">
      <c r="A66" s="15" t="s">
        <v>988</v>
      </c>
      <c r="B66" s="15">
        <v>80111600</v>
      </c>
      <c r="C66" s="15" t="s">
        <v>596</v>
      </c>
      <c r="D66" s="15" t="s">
        <v>989</v>
      </c>
      <c r="E66" s="15">
        <v>11</v>
      </c>
      <c r="F66" s="15" t="s">
        <v>802</v>
      </c>
      <c r="G66" s="29">
        <v>60146667</v>
      </c>
      <c r="H66" s="15" t="s">
        <v>990</v>
      </c>
      <c r="I66" s="15"/>
      <c r="J66" s="15" t="s">
        <v>976</v>
      </c>
      <c r="K66" s="15">
        <v>61</v>
      </c>
      <c r="L66" s="30" t="s">
        <v>977</v>
      </c>
      <c r="M66" s="31">
        <v>60146667</v>
      </c>
      <c r="N66" s="30" t="s">
        <v>803</v>
      </c>
      <c r="O66" s="30" t="str">
        <f>IF(LEN(IF(OR(NOT(ISNUMBER(B66)),LEN(B66)&lt;&gt;8),"UNSPSC vacío, en texto, con varios códigos o sin 8 dígitos; ","")&amp;IF(AND(ISNUMBER(B66),LEN(B66)=8),IF(MOD(B66,10000)=0,"UNSPSC a nivel de segmento o familia; ",""),"")&amp;IF(NOT(ISNUMBER(E66)),"Duración vacía o en texto; ","")&amp;IF(NOT(ISNUMBER(G66)),"Valor vacío o en texto; ","")&amp;IF(ISNUMBER(M66),IF(M66&lt;1000000,"Valor inferior a $1.000.000: verificar; ",""),"Valor no interpretable; ")&amp;IF(N66="[PENDIENTE DE VERIFICAR]","Modalidad no identificable; ","")&amp;IF(OR(ISERROR(SEARCH("@itc.edu.co",J66)),SUMPRODUCT(--ISNUMBER(SEARCH({"á","é","í","ó","ú","ñ"},J66)))&gt;0),"Correo vacío o no institucional válido; ","")&amp;IF(LEN(TRIM(D66))=0,"Sin objeto contractual; ","")&amp;IF(AND(ISNUMBER(M66),N66="Mínima cuantía"),IF(M66&gt;39850000,"Mínima cuantía con valor superior al tope citado en el instructivo 2026 ($39.850.000): verificar modalidad; ",""),"")&amp;IF(AND(ISNUMBER(M66),OR(ISNUMBER(SEARCH("prestación de servicios",D66)),ISNUMBER(SEARCH("prestar servicios",D66)),ISNUMBER(SEARCH("prestar los servicios",D66)))),IF(M66&gt;=500000000,"Prestación de servicios por $500 millones o más: posible error de digitación; ",""),""))=0,"Sin observaciones",IF(OR(NOT(ISNUMBER(B66)),LEN(B66)&lt;&gt;8),"UNSPSC vacío, en texto, con varios códigos o sin 8 dígitos; ","")&amp;IF(AND(ISNUMBER(B66),LEN(B66)=8),IF(MOD(B66,10000)=0,"UNSPSC a nivel de segmento o familia; ",""),"")&amp;IF(NOT(ISNUMBER(E66)),"Duración vacía o en texto; ","")&amp;IF(NOT(ISNUMBER(G66)),"Valor vacío o en texto; ","")&amp;IF(ISNUMBER(M66),IF(M66&lt;1000000,"Valor inferior a $1.000.000: verificar; ",""),"Valor no interpretable; ")&amp;IF(N66="[PENDIENTE DE VERIFICAR]","Modalidad no identificable; ","")&amp;IF(OR(ISERROR(SEARCH("@itc.edu.co",J66)),SUMPRODUCT(--ISNUMBER(SEARCH({"á","é","í","ó","ú","ñ"},J66)))&gt;0),"Correo vacío o no institucional válido; ","")&amp;IF(LEN(TRIM(D66))=0,"Sin objeto contractual; ","")&amp;IF(AND(ISNUMBER(M66),N66="Mínima cuantía"),IF(M66&gt;39850000,"Mínima cuantía con valor superior al tope citado en el instructivo 2026 ($39.850.000): verificar modalidad; ",""),"")&amp;IF(AND(ISNUMBER(M66),OR(ISNUMBER(SEARCH("prestación de servicios",D66)),ISNUMBER(SEARCH("prestar servicios",D66)),ISNUMBER(SEARCH("prestar los servicios",D66)))),IF(M66&gt;=500000000,"Prestación de servicios por $500 millones o más: posible error de digitación; ",""),""))</f>
        <v>Sin observaciones</v>
      </c>
    </row>
    <row r="67" spans="1:15" ht="45.6" x14ac:dyDescent="0.3">
      <c r="A67" s="15" t="s">
        <v>991</v>
      </c>
      <c r="B67" s="15">
        <v>81111600</v>
      </c>
      <c r="C67" s="15" t="s">
        <v>992</v>
      </c>
      <c r="D67" s="15" t="s">
        <v>993</v>
      </c>
      <c r="E67" s="15">
        <v>11</v>
      </c>
      <c r="F67" s="15" t="s">
        <v>802</v>
      </c>
      <c r="G67" s="29"/>
      <c r="H67" s="15" t="s">
        <v>994</v>
      </c>
      <c r="I67" s="15"/>
      <c r="J67" s="15" t="s">
        <v>995</v>
      </c>
      <c r="K67" s="15">
        <v>62</v>
      </c>
      <c r="L67" s="30" t="s">
        <v>977</v>
      </c>
      <c r="M67" s="31"/>
      <c r="N67" s="30" t="s">
        <v>803</v>
      </c>
      <c r="O67" s="30" t="str">
        <f>IF(LEN(IF(OR(NOT(ISNUMBER(B67)),LEN(B67)&lt;&gt;8),"UNSPSC vacío, en texto, con varios códigos o sin 8 dígitos; ","")&amp;IF(AND(ISNUMBER(B67),LEN(B67)=8),IF(MOD(B67,10000)=0,"UNSPSC a nivel de segmento o familia; ",""),"")&amp;IF(NOT(ISNUMBER(E67)),"Duración vacía o en texto; ","")&amp;IF(NOT(ISNUMBER(G67)),"Valor vacío o en texto; ","")&amp;IF(ISNUMBER(M67),IF(M67&lt;1000000,"Valor inferior a $1.000.000: verificar; ",""),"Valor no interpretable; ")&amp;IF(N67="[PENDIENTE DE VERIFICAR]","Modalidad no identificable; ","")&amp;IF(OR(ISERROR(SEARCH("@itc.edu.co",J67)),SUMPRODUCT(--ISNUMBER(SEARCH({"á","é","í","ó","ú","ñ"},J67)))&gt;0),"Correo vacío o no institucional válido; ","")&amp;IF(LEN(TRIM(D67))=0,"Sin objeto contractual; ","")&amp;IF(AND(ISNUMBER(M67),N67="Mínima cuantía"),IF(M67&gt;39850000,"Mínima cuantía con valor superior al tope citado en el instructivo 2026 ($39.850.000): verificar modalidad; ",""),"")&amp;IF(AND(ISNUMBER(M67),OR(ISNUMBER(SEARCH("prestación de servicios",D67)),ISNUMBER(SEARCH("prestar servicios",D67)),ISNUMBER(SEARCH("prestar los servicios",D67)))),IF(M67&gt;=500000000,"Prestación de servicios por $500 millones o más: posible error de digitación; ",""),""))=0,"Sin observaciones",IF(OR(NOT(ISNUMBER(B67)),LEN(B67)&lt;&gt;8),"UNSPSC vacío, en texto, con varios códigos o sin 8 dígitos; ","")&amp;IF(AND(ISNUMBER(B67),LEN(B67)=8),IF(MOD(B67,10000)=0,"UNSPSC a nivel de segmento o familia; ",""),"")&amp;IF(NOT(ISNUMBER(E67)),"Duración vacía o en texto; ","")&amp;IF(NOT(ISNUMBER(G67)),"Valor vacío o en texto; ","")&amp;IF(ISNUMBER(M67),IF(M67&lt;1000000,"Valor inferior a $1.000.000: verificar; ",""),"Valor no interpretable; ")&amp;IF(N67="[PENDIENTE DE VERIFICAR]","Modalidad no identificable; ","")&amp;IF(OR(ISERROR(SEARCH("@itc.edu.co",J67)),SUMPRODUCT(--ISNUMBER(SEARCH({"á","é","í","ó","ú","ñ"},J67)))&gt;0),"Correo vacío o no institucional válido; ","")&amp;IF(LEN(TRIM(D67))=0,"Sin objeto contractual; ","")&amp;IF(AND(ISNUMBER(M67),N67="Mínima cuantía"),IF(M67&gt;39850000,"Mínima cuantía con valor superior al tope citado en el instructivo 2026 ($39.850.000): verificar modalidad; ",""),"")&amp;IF(AND(ISNUMBER(M67),OR(ISNUMBER(SEARCH("prestación de servicios",D67)),ISNUMBER(SEARCH("prestar servicios",D67)),ISNUMBER(SEARCH("prestar los servicios",D67)))),IF(M67&gt;=500000000,"Prestación de servicios por $500 millones o más: posible error de digitación; ",""),""))</f>
        <v xml:space="preserve">Valor vacío o en texto; Valor no interpretable; </v>
      </c>
    </row>
    <row r="68" spans="1:15" ht="45.6" x14ac:dyDescent="0.3">
      <c r="A68" s="15" t="s">
        <v>996</v>
      </c>
      <c r="B68" s="15">
        <v>81111600</v>
      </c>
      <c r="C68" s="15" t="s">
        <v>997</v>
      </c>
      <c r="D68" s="15" t="s">
        <v>998</v>
      </c>
      <c r="E68" s="15">
        <v>11</v>
      </c>
      <c r="F68" s="15" t="s">
        <v>802</v>
      </c>
      <c r="G68" s="29">
        <v>4013333</v>
      </c>
      <c r="H68" s="15" t="s">
        <v>999</v>
      </c>
      <c r="I68" s="15"/>
      <c r="J68" s="15" t="s">
        <v>976</v>
      </c>
      <c r="K68" s="15">
        <v>63</v>
      </c>
      <c r="L68" s="30" t="s">
        <v>977</v>
      </c>
      <c r="M68" s="31">
        <v>4013333</v>
      </c>
      <c r="N68" s="30" t="s">
        <v>803</v>
      </c>
      <c r="O68" s="30" t="str">
        <f>IF(LEN(IF(OR(NOT(ISNUMBER(B68)),LEN(B68)&lt;&gt;8),"UNSPSC vacío, en texto, con varios códigos o sin 8 dígitos; ","")&amp;IF(AND(ISNUMBER(B68),LEN(B68)=8),IF(MOD(B68,10000)=0,"UNSPSC a nivel de segmento o familia; ",""),"")&amp;IF(NOT(ISNUMBER(E68)),"Duración vacía o en texto; ","")&amp;IF(NOT(ISNUMBER(G68)),"Valor vacío o en texto; ","")&amp;IF(ISNUMBER(M68),IF(M68&lt;1000000,"Valor inferior a $1.000.000: verificar; ",""),"Valor no interpretable; ")&amp;IF(N68="[PENDIENTE DE VERIFICAR]","Modalidad no identificable; ","")&amp;IF(OR(ISERROR(SEARCH("@itc.edu.co",J68)),SUMPRODUCT(--ISNUMBER(SEARCH({"á","é","í","ó","ú","ñ"},J68)))&gt;0),"Correo vacío o no institucional válido; ","")&amp;IF(LEN(TRIM(D68))=0,"Sin objeto contractual; ","")&amp;IF(AND(ISNUMBER(M68),N68="Mínima cuantía"),IF(M68&gt;39850000,"Mínima cuantía con valor superior al tope citado en el instructivo 2026 ($39.850.000): verificar modalidad; ",""),"")&amp;IF(AND(ISNUMBER(M68),OR(ISNUMBER(SEARCH("prestación de servicios",D68)),ISNUMBER(SEARCH("prestar servicios",D68)),ISNUMBER(SEARCH("prestar los servicios",D68)))),IF(M68&gt;=500000000,"Prestación de servicios por $500 millones o más: posible error de digitación; ",""),""))=0,"Sin observaciones",IF(OR(NOT(ISNUMBER(B68)),LEN(B68)&lt;&gt;8),"UNSPSC vacío, en texto, con varios códigos o sin 8 dígitos; ","")&amp;IF(AND(ISNUMBER(B68),LEN(B68)=8),IF(MOD(B68,10000)=0,"UNSPSC a nivel de segmento o familia; ",""),"")&amp;IF(NOT(ISNUMBER(E68)),"Duración vacía o en texto; ","")&amp;IF(NOT(ISNUMBER(G68)),"Valor vacío o en texto; ","")&amp;IF(ISNUMBER(M68),IF(M68&lt;1000000,"Valor inferior a $1.000.000: verificar; ",""),"Valor no interpretable; ")&amp;IF(N68="[PENDIENTE DE VERIFICAR]","Modalidad no identificable; ","")&amp;IF(OR(ISERROR(SEARCH("@itc.edu.co",J68)),SUMPRODUCT(--ISNUMBER(SEARCH({"á","é","í","ó","ú","ñ"},J68)))&gt;0),"Correo vacío o no institucional válido; ","")&amp;IF(LEN(TRIM(D68))=0,"Sin objeto contractual; ","")&amp;IF(AND(ISNUMBER(M68),N68="Mínima cuantía"),IF(M68&gt;39850000,"Mínima cuantía con valor superior al tope citado en el instructivo 2026 ($39.850.000): verificar modalidad; ",""),"")&amp;IF(AND(ISNUMBER(M68),OR(ISNUMBER(SEARCH("prestación de servicios",D68)),ISNUMBER(SEARCH("prestar servicios",D68)),ISNUMBER(SEARCH("prestar los servicios",D68)))),IF(M68&gt;=500000000,"Prestación de servicios por $500 millones o más: posible error de digitación; ",""),""))</f>
        <v>Sin observaciones</v>
      </c>
    </row>
    <row r="69" spans="1:15" ht="22.8" x14ac:dyDescent="0.3">
      <c r="A69" s="15" t="s">
        <v>1000</v>
      </c>
      <c r="B69" s="15">
        <v>81111600</v>
      </c>
      <c r="C69" s="15" t="s">
        <v>1001</v>
      </c>
      <c r="D69" s="15" t="s">
        <v>1002</v>
      </c>
      <c r="E69" s="15">
        <v>11</v>
      </c>
      <c r="F69" s="15" t="s">
        <v>802</v>
      </c>
      <c r="G69" s="29">
        <v>21000000</v>
      </c>
      <c r="H69" s="15" t="s">
        <v>1003</v>
      </c>
      <c r="I69" s="15"/>
      <c r="J69" s="15" t="s">
        <v>976</v>
      </c>
      <c r="K69" s="15">
        <v>64</v>
      </c>
      <c r="L69" s="30" t="s">
        <v>977</v>
      </c>
      <c r="M69" s="31">
        <v>21000000</v>
      </c>
      <c r="N69" s="30" t="s">
        <v>803</v>
      </c>
      <c r="O69" s="30" t="str">
        <f>IF(LEN(IF(OR(NOT(ISNUMBER(B69)),LEN(B69)&lt;&gt;8),"UNSPSC vacío, en texto, con varios códigos o sin 8 dígitos; ","")&amp;IF(AND(ISNUMBER(B69),LEN(B69)=8),IF(MOD(B69,10000)=0,"UNSPSC a nivel de segmento o familia; ",""),"")&amp;IF(NOT(ISNUMBER(E69)),"Duración vacía o en texto; ","")&amp;IF(NOT(ISNUMBER(G69)),"Valor vacío o en texto; ","")&amp;IF(ISNUMBER(M69),IF(M69&lt;1000000,"Valor inferior a $1.000.000: verificar; ",""),"Valor no interpretable; ")&amp;IF(N69="[PENDIENTE DE VERIFICAR]","Modalidad no identificable; ","")&amp;IF(OR(ISERROR(SEARCH("@itc.edu.co",J69)),SUMPRODUCT(--ISNUMBER(SEARCH({"á","é","í","ó","ú","ñ"},J69)))&gt;0),"Correo vacío o no institucional válido; ","")&amp;IF(LEN(TRIM(D69))=0,"Sin objeto contractual; ","")&amp;IF(AND(ISNUMBER(M69),N69="Mínima cuantía"),IF(M69&gt;39850000,"Mínima cuantía con valor superior al tope citado en el instructivo 2026 ($39.850.000): verificar modalidad; ",""),"")&amp;IF(AND(ISNUMBER(M69),OR(ISNUMBER(SEARCH("prestación de servicios",D69)),ISNUMBER(SEARCH("prestar servicios",D69)),ISNUMBER(SEARCH("prestar los servicios",D69)))),IF(M69&gt;=500000000,"Prestación de servicios por $500 millones o más: posible error de digitación; ",""),""))=0,"Sin observaciones",IF(OR(NOT(ISNUMBER(B69)),LEN(B69)&lt;&gt;8),"UNSPSC vacío, en texto, con varios códigos o sin 8 dígitos; ","")&amp;IF(AND(ISNUMBER(B69),LEN(B69)=8),IF(MOD(B69,10000)=0,"UNSPSC a nivel de segmento o familia; ",""),"")&amp;IF(NOT(ISNUMBER(E69)),"Duración vacía o en texto; ","")&amp;IF(NOT(ISNUMBER(G69)),"Valor vacío o en texto; ","")&amp;IF(ISNUMBER(M69),IF(M69&lt;1000000,"Valor inferior a $1.000.000: verificar; ",""),"Valor no interpretable; ")&amp;IF(N69="[PENDIENTE DE VERIFICAR]","Modalidad no identificable; ","")&amp;IF(OR(ISERROR(SEARCH("@itc.edu.co",J69)),SUMPRODUCT(--ISNUMBER(SEARCH({"á","é","í","ó","ú","ñ"},J69)))&gt;0),"Correo vacío o no institucional válido; ","")&amp;IF(LEN(TRIM(D69))=0,"Sin objeto contractual; ","")&amp;IF(AND(ISNUMBER(M69),N69="Mínima cuantía"),IF(M69&gt;39850000,"Mínima cuantía con valor superior al tope citado en el instructivo 2026 ($39.850.000): verificar modalidad; ",""),"")&amp;IF(AND(ISNUMBER(M69),OR(ISNUMBER(SEARCH("prestación de servicios",D69)),ISNUMBER(SEARCH("prestar servicios",D69)),ISNUMBER(SEARCH("prestar los servicios",D69)))),IF(M69&gt;=500000000,"Prestación de servicios por $500 millones o más: posible error de digitación; ",""),""))</f>
        <v>Sin observaciones</v>
      </c>
    </row>
    <row r="70" spans="1:15" ht="68.400000000000006" x14ac:dyDescent="0.3">
      <c r="A70" s="15" t="s">
        <v>1004</v>
      </c>
      <c r="B70" s="15">
        <v>81111600</v>
      </c>
      <c r="C70" s="15" t="s">
        <v>1005</v>
      </c>
      <c r="D70" s="15" t="s">
        <v>1006</v>
      </c>
      <c r="E70" s="15">
        <v>11</v>
      </c>
      <c r="F70" s="15" t="s">
        <v>802</v>
      </c>
      <c r="G70" s="29">
        <v>43494594</v>
      </c>
      <c r="H70" s="15" t="s">
        <v>1007</v>
      </c>
      <c r="I70" s="15"/>
      <c r="J70" s="15"/>
      <c r="K70" s="15">
        <v>65</v>
      </c>
      <c r="L70" s="30" t="s">
        <v>791</v>
      </c>
      <c r="M70" s="31">
        <v>43494594</v>
      </c>
      <c r="N70" s="30" t="s">
        <v>803</v>
      </c>
      <c r="O70" s="30" t="str">
        <f>IF(LEN(IF(OR(NOT(ISNUMBER(B70)),LEN(B70)&lt;&gt;8),"UNSPSC vacío, en texto, con varios códigos o sin 8 dígitos; ","")&amp;IF(AND(ISNUMBER(B70),LEN(B70)=8),IF(MOD(B70,10000)=0,"UNSPSC a nivel de segmento o familia; ",""),"")&amp;IF(NOT(ISNUMBER(E70)),"Duración vacía o en texto; ","")&amp;IF(NOT(ISNUMBER(G70)),"Valor vacío o en texto; ","")&amp;IF(ISNUMBER(M70),IF(M70&lt;1000000,"Valor inferior a $1.000.000: verificar; ",""),"Valor no interpretable; ")&amp;IF(N70="[PENDIENTE DE VERIFICAR]","Modalidad no identificable; ","")&amp;IF(OR(ISERROR(SEARCH("@itc.edu.co",J70)),SUMPRODUCT(--ISNUMBER(SEARCH({"á","é","í","ó","ú","ñ"},J70)))&gt;0),"Correo vacío o no institucional válido; ","")&amp;IF(LEN(TRIM(D70))=0,"Sin objeto contractual; ","")&amp;IF(AND(ISNUMBER(M70),N70="Mínima cuantía"),IF(M70&gt;39850000,"Mínima cuantía con valor superior al tope citado en el instructivo 2026 ($39.850.000): verificar modalidad; ",""),"")&amp;IF(AND(ISNUMBER(M70),OR(ISNUMBER(SEARCH("prestación de servicios",D70)),ISNUMBER(SEARCH("prestar servicios",D70)),ISNUMBER(SEARCH("prestar los servicios",D70)))),IF(M70&gt;=500000000,"Prestación de servicios por $500 millones o más: posible error de digitación; ",""),""))=0,"Sin observaciones",IF(OR(NOT(ISNUMBER(B70)),LEN(B70)&lt;&gt;8),"UNSPSC vacío, en texto, con varios códigos o sin 8 dígitos; ","")&amp;IF(AND(ISNUMBER(B70),LEN(B70)=8),IF(MOD(B70,10000)=0,"UNSPSC a nivel de segmento o familia; ",""),"")&amp;IF(NOT(ISNUMBER(E70)),"Duración vacía o en texto; ","")&amp;IF(NOT(ISNUMBER(G70)),"Valor vacío o en texto; ","")&amp;IF(ISNUMBER(M70),IF(M70&lt;1000000,"Valor inferior a $1.000.000: verificar; ",""),"Valor no interpretable; ")&amp;IF(N70="[PENDIENTE DE VERIFICAR]","Modalidad no identificable; ","")&amp;IF(OR(ISERROR(SEARCH("@itc.edu.co",J70)),SUMPRODUCT(--ISNUMBER(SEARCH({"á","é","í","ó","ú","ñ"},J70)))&gt;0),"Correo vacío o no institucional válido; ","")&amp;IF(LEN(TRIM(D70))=0,"Sin objeto contractual; ","")&amp;IF(AND(ISNUMBER(M70),N70="Mínima cuantía"),IF(M70&gt;39850000,"Mínima cuantía con valor superior al tope citado en el instructivo 2026 ($39.850.000): verificar modalidad; ",""),"")&amp;IF(AND(ISNUMBER(M70),OR(ISNUMBER(SEARCH("prestación de servicios",D70)),ISNUMBER(SEARCH("prestar servicios",D70)),ISNUMBER(SEARCH("prestar los servicios",D70)))),IF(M70&gt;=500000000,"Prestación de servicios por $500 millones o más: posible error de digitación; ",""),""))</f>
        <v xml:space="preserve">Correo vacío o no institucional válido; </v>
      </c>
    </row>
    <row r="71" spans="1:15" ht="45.6" x14ac:dyDescent="0.3">
      <c r="A71" s="15" t="s">
        <v>1008</v>
      </c>
      <c r="B71" s="15">
        <v>81111600</v>
      </c>
      <c r="C71" s="15" t="s">
        <v>1009</v>
      </c>
      <c r="D71" s="15" t="s">
        <v>1010</v>
      </c>
      <c r="E71" s="15">
        <v>11</v>
      </c>
      <c r="F71" s="15" t="s">
        <v>802</v>
      </c>
      <c r="G71" s="29">
        <v>36862031</v>
      </c>
      <c r="H71" s="15" t="s">
        <v>1011</v>
      </c>
      <c r="I71" s="15"/>
      <c r="J71" s="15"/>
      <c r="K71" s="15">
        <v>66</v>
      </c>
      <c r="L71" s="30" t="s">
        <v>977</v>
      </c>
      <c r="M71" s="31">
        <v>36862031</v>
      </c>
      <c r="N71" s="30" t="s">
        <v>803</v>
      </c>
      <c r="O71" s="30" t="str">
        <f>IF(LEN(IF(OR(NOT(ISNUMBER(B71)),LEN(B71)&lt;&gt;8),"UNSPSC vacío, en texto, con varios códigos o sin 8 dígitos; ","")&amp;IF(AND(ISNUMBER(B71),LEN(B71)=8),IF(MOD(B71,10000)=0,"UNSPSC a nivel de segmento o familia; ",""),"")&amp;IF(NOT(ISNUMBER(E71)),"Duración vacía o en texto; ","")&amp;IF(NOT(ISNUMBER(G71)),"Valor vacío o en texto; ","")&amp;IF(ISNUMBER(M71),IF(M71&lt;1000000,"Valor inferior a $1.000.000: verificar; ",""),"Valor no interpretable; ")&amp;IF(N71="[PENDIENTE DE VERIFICAR]","Modalidad no identificable; ","")&amp;IF(OR(ISERROR(SEARCH("@itc.edu.co",J71)),SUMPRODUCT(--ISNUMBER(SEARCH({"á","é","í","ó","ú","ñ"},J71)))&gt;0),"Correo vacío o no institucional válido; ","")&amp;IF(LEN(TRIM(D71))=0,"Sin objeto contractual; ","")&amp;IF(AND(ISNUMBER(M71),N71="Mínima cuantía"),IF(M71&gt;39850000,"Mínima cuantía con valor superior al tope citado en el instructivo 2026 ($39.850.000): verificar modalidad; ",""),"")&amp;IF(AND(ISNUMBER(M71),OR(ISNUMBER(SEARCH("prestación de servicios",D71)),ISNUMBER(SEARCH("prestar servicios",D71)),ISNUMBER(SEARCH("prestar los servicios",D71)))),IF(M71&gt;=500000000,"Prestación de servicios por $500 millones o más: posible error de digitación; ",""),""))=0,"Sin observaciones",IF(OR(NOT(ISNUMBER(B71)),LEN(B71)&lt;&gt;8),"UNSPSC vacío, en texto, con varios códigos o sin 8 dígitos; ","")&amp;IF(AND(ISNUMBER(B71),LEN(B71)=8),IF(MOD(B71,10000)=0,"UNSPSC a nivel de segmento o familia; ",""),"")&amp;IF(NOT(ISNUMBER(E71)),"Duración vacía o en texto; ","")&amp;IF(NOT(ISNUMBER(G71)),"Valor vacío o en texto; ","")&amp;IF(ISNUMBER(M71),IF(M71&lt;1000000,"Valor inferior a $1.000.000: verificar; ",""),"Valor no interpretable; ")&amp;IF(N71="[PENDIENTE DE VERIFICAR]","Modalidad no identificable; ","")&amp;IF(OR(ISERROR(SEARCH("@itc.edu.co",J71)),SUMPRODUCT(--ISNUMBER(SEARCH({"á","é","í","ó","ú","ñ"},J71)))&gt;0),"Correo vacío o no institucional válido; ","")&amp;IF(LEN(TRIM(D71))=0,"Sin objeto contractual; ","")&amp;IF(AND(ISNUMBER(M71),N71="Mínima cuantía"),IF(M71&gt;39850000,"Mínima cuantía con valor superior al tope citado en el instructivo 2026 ($39.850.000): verificar modalidad; ",""),"")&amp;IF(AND(ISNUMBER(M71),OR(ISNUMBER(SEARCH("prestación de servicios",D71)),ISNUMBER(SEARCH("prestar servicios",D71)),ISNUMBER(SEARCH("prestar los servicios",D71)))),IF(M71&gt;=500000000,"Prestación de servicios por $500 millones o más: posible error de digitación; ",""),""))</f>
        <v xml:space="preserve">Correo vacío o no institucional válido; </v>
      </c>
    </row>
    <row r="72" spans="1:15" ht="45.6" x14ac:dyDescent="0.3">
      <c r="A72" s="15" t="s">
        <v>1012</v>
      </c>
      <c r="B72" s="15">
        <v>81111600</v>
      </c>
      <c r="C72" s="15" t="s">
        <v>1009</v>
      </c>
      <c r="D72" s="15" t="s">
        <v>1010</v>
      </c>
      <c r="E72" s="15">
        <v>11</v>
      </c>
      <c r="F72" s="15" t="s">
        <v>802</v>
      </c>
      <c r="G72" s="29">
        <v>36862031</v>
      </c>
      <c r="H72" s="15" t="s">
        <v>1011</v>
      </c>
      <c r="I72" s="15"/>
      <c r="J72" s="15"/>
      <c r="K72" s="15">
        <v>67</v>
      </c>
      <c r="L72" s="30" t="s">
        <v>977</v>
      </c>
      <c r="M72" s="31">
        <v>36862031</v>
      </c>
      <c r="N72" s="30" t="s">
        <v>803</v>
      </c>
      <c r="O72" s="30" t="str">
        <f>IF(LEN(IF(OR(NOT(ISNUMBER(B72)),LEN(B72)&lt;&gt;8),"UNSPSC vacío, en texto, con varios códigos o sin 8 dígitos; ","")&amp;IF(AND(ISNUMBER(B72),LEN(B72)=8),IF(MOD(B72,10000)=0,"UNSPSC a nivel de segmento o familia; ",""),"")&amp;IF(NOT(ISNUMBER(E72)),"Duración vacía o en texto; ","")&amp;IF(NOT(ISNUMBER(G72)),"Valor vacío o en texto; ","")&amp;IF(ISNUMBER(M72),IF(M72&lt;1000000,"Valor inferior a $1.000.000: verificar; ",""),"Valor no interpretable; ")&amp;IF(N72="[PENDIENTE DE VERIFICAR]","Modalidad no identificable; ","")&amp;IF(OR(ISERROR(SEARCH("@itc.edu.co",J72)),SUMPRODUCT(--ISNUMBER(SEARCH({"á","é","í","ó","ú","ñ"},J72)))&gt;0),"Correo vacío o no institucional válido; ","")&amp;IF(LEN(TRIM(D72))=0,"Sin objeto contractual; ","")&amp;IF(AND(ISNUMBER(M72),N72="Mínima cuantía"),IF(M72&gt;39850000,"Mínima cuantía con valor superior al tope citado en el instructivo 2026 ($39.850.000): verificar modalidad; ",""),"")&amp;IF(AND(ISNUMBER(M72),OR(ISNUMBER(SEARCH("prestación de servicios",D72)),ISNUMBER(SEARCH("prestar servicios",D72)),ISNUMBER(SEARCH("prestar los servicios",D72)))),IF(M72&gt;=500000000,"Prestación de servicios por $500 millones o más: posible error de digitación; ",""),""))=0,"Sin observaciones",IF(OR(NOT(ISNUMBER(B72)),LEN(B72)&lt;&gt;8),"UNSPSC vacío, en texto, con varios códigos o sin 8 dígitos; ","")&amp;IF(AND(ISNUMBER(B72),LEN(B72)=8),IF(MOD(B72,10000)=0,"UNSPSC a nivel de segmento o familia; ",""),"")&amp;IF(NOT(ISNUMBER(E72)),"Duración vacía o en texto; ","")&amp;IF(NOT(ISNUMBER(G72)),"Valor vacío o en texto; ","")&amp;IF(ISNUMBER(M72),IF(M72&lt;1000000,"Valor inferior a $1.000.000: verificar; ",""),"Valor no interpretable; ")&amp;IF(N72="[PENDIENTE DE VERIFICAR]","Modalidad no identificable; ","")&amp;IF(OR(ISERROR(SEARCH("@itc.edu.co",J72)),SUMPRODUCT(--ISNUMBER(SEARCH({"á","é","í","ó","ú","ñ"},J72)))&gt;0),"Correo vacío o no institucional válido; ","")&amp;IF(LEN(TRIM(D72))=0,"Sin objeto contractual; ","")&amp;IF(AND(ISNUMBER(M72),N72="Mínima cuantía"),IF(M72&gt;39850000,"Mínima cuantía con valor superior al tope citado en el instructivo 2026 ($39.850.000): verificar modalidad; ",""),"")&amp;IF(AND(ISNUMBER(M72),OR(ISNUMBER(SEARCH("prestación de servicios",D72)),ISNUMBER(SEARCH("prestar servicios",D72)),ISNUMBER(SEARCH("prestar los servicios",D72)))),IF(M72&gt;=500000000,"Prestación de servicios por $500 millones o más: posible error de digitación; ",""),""))</f>
        <v xml:space="preserve">Correo vacío o no institucional válido; </v>
      </c>
    </row>
    <row r="73" spans="1:15" ht="45.6" x14ac:dyDescent="0.3">
      <c r="A73" s="15" t="s">
        <v>1013</v>
      </c>
      <c r="B73" s="15">
        <v>81111600</v>
      </c>
      <c r="C73" s="15" t="s">
        <v>1009</v>
      </c>
      <c r="D73" s="15" t="s">
        <v>1010</v>
      </c>
      <c r="E73" s="15">
        <v>11</v>
      </c>
      <c r="F73" s="15" t="s">
        <v>802</v>
      </c>
      <c r="G73" s="29">
        <v>36862031</v>
      </c>
      <c r="H73" s="15" t="s">
        <v>1011</v>
      </c>
      <c r="I73" s="15"/>
      <c r="J73" s="15"/>
      <c r="K73" s="15">
        <v>68</v>
      </c>
      <c r="L73" s="30" t="s">
        <v>977</v>
      </c>
      <c r="M73" s="31">
        <v>36862031</v>
      </c>
      <c r="N73" s="30" t="s">
        <v>803</v>
      </c>
      <c r="O73" s="30" t="str">
        <f>IF(LEN(IF(OR(NOT(ISNUMBER(B73)),LEN(B73)&lt;&gt;8),"UNSPSC vacío, en texto, con varios códigos o sin 8 dígitos; ","")&amp;IF(AND(ISNUMBER(B73),LEN(B73)=8),IF(MOD(B73,10000)=0,"UNSPSC a nivel de segmento o familia; ",""),"")&amp;IF(NOT(ISNUMBER(E73)),"Duración vacía o en texto; ","")&amp;IF(NOT(ISNUMBER(G73)),"Valor vacío o en texto; ","")&amp;IF(ISNUMBER(M73),IF(M73&lt;1000000,"Valor inferior a $1.000.000: verificar; ",""),"Valor no interpretable; ")&amp;IF(N73="[PENDIENTE DE VERIFICAR]","Modalidad no identificable; ","")&amp;IF(OR(ISERROR(SEARCH("@itc.edu.co",J73)),SUMPRODUCT(--ISNUMBER(SEARCH({"á","é","í","ó","ú","ñ"},J73)))&gt;0),"Correo vacío o no institucional válido; ","")&amp;IF(LEN(TRIM(D73))=0,"Sin objeto contractual; ","")&amp;IF(AND(ISNUMBER(M73),N73="Mínima cuantía"),IF(M73&gt;39850000,"Mínima cuantía con valor superior al tope citado en el instructivo 2026 ($39.850.000): verificar modalidad; ",""),"")&amp;IF(AND(ISNUMBER(M73),OR(ISNUMBER(SEARCH("prestación de servicios",D73)),ISNUMBER(SEARCH("prestar servicios",D73)),ISNUMBER(SEARCH("prestar los servicios",D73)))),IF(M73&gt;=500000000,"Prestación de servicios por $500 millones o más: posible error de digitación; ",""),""))=0,"Sin observaciones",IF(OR(NOT(ISNUMBER(B73)),LEN(B73)&lt;&gt;8),"UNSPSC vacío, en texto, con varios códigos o sin 8 dígitos; ","")&amp;IF(AND(ISNUMBER(B73),LEN(B73)=8),IF(MOD(B73,10000)=0,"UNSPSC a nivel de segmento o familia; ",""),"")&amp;IF(NOT(ISNUMBER(E73)),"Duración vacía o en texto; ","")&amp;IF(NOT(ISNUMBER(G73)),"Valor vacío o en texto; ","")&amp;IF(ISNUMBER(M73),IF(M73&lt;1000000,"Valor inferior a $1.000.000: verificar; ",""),"Valor no interpretable; ")&amp;IF(N73="[PENDIENTE DE VERIFICAR]","Modalidad no identificable; ","")&amp;IF(OR(ISERROR(SEARCH("@itc.edu.co",J73)),SUMPRODUCT(--ISNUMBER(SEARCH({"á","é","í","ó","ú","ñ"},J73)))&gt;0),"Correo vacío o no institucional válido; ","")&amp;IF(LEN(TRIM(D73))=0,"Sin objeto contractual; ","")&amp;IF(AND(ISNUMBER(M73),N73="Mínima cuantía"),IF(M73&gt;39850000,"Mínima cuantía con valor superior al tope citado en el instructivo 2026 ($39.850.000): verificar modalidad; ",""),"")&amp;IF(AND(ISNUMBER(M73),OR(ISNUMBER(SEARCH("prestación de servicios",D73)),ISNUMBER(SEARCH("prestar servicios",D73)),ISNUMBER(SEARCH("prestar los servicios",D73)))),IF(M73&gt;=500000000,"Prestación de servicios por $500 millones o más: posible error de digitación; ",""),""))</f>
        <v xml:space="preserve">Correo vacío o no institucional válido; </v>
      </c>
    </row>
    <row r="74" spans="1:15" ht="45.6" x14ac:dyDescent="0.3">
      <c r="A74" s="15" t="s">
        <v>1014</v>
      </c>
      <c r="B74" s="15">
        <v>81111600</v>
      </c>
      <c r="C74" s="15" t="s">
        <v>1009</v>
      </c>
      <c r="D74" s="15" t="s">
        <v>1010</v>
      </c>
      <c r="E74" s="15">
        <v>11</v>
      </c>
      <c r="F74" s="15" t="s">
        <v>802</v>
      </c>
      <c r="G74" s="29">
        <v>29721428</v>
      </c>
      <c r="H74" s="15" t="s">
        <v>1011</v>
      </c>
      <c r="I74" s="15"/>
      <c r="J74" s="15"/>
      <c r="K74" s="15">
        <v>69</v>
      </c>
      <c r="L74" s="30" t="s">
        <v>977</v>
      </c>
      <c r="M74" s="31">
        <v>29721428</v>
      </c>
      <c r="N74" s="30" t="s">
        <v>803</v>
      </c>
      <c r="O74" s="30" t="str">
        <f>IF(LEN(IF(OR(NOT(ISNUMBER(B74)),LEN(B74)&lt;&gt;8),"UNSPSC vacío, en texto, con varios códigos o sin 8 dígitos; ","")&amp;IF(AND(ISNUMBER(B74),LEN(B74)=8),IF(MOD(B74,10000)=0,"UNSPSC a nivel de segmento o familia; ",""),"")&amp;IF(NOT(ISNUMBER(E74)),"Duración vacía o en texto; ","")&amp;IF(NOT(ISNUMBER(G74)),"Valor vacío o en texto; ","")&amp;IF(ISNUMBER(M74),IF(M74&lt;1000000,"Valor inferior a $1.000.000: verificar; ",""),"Valor no interpretable; ")&amp;IF(N74="[PENDIENTE DE VERIFICAR]","Modalidad no identificable; ","")&amp;IF(OR(ISERROR(SEARCH("@itc.edu.co",J74)),SUMPRODUCT(--ISNUMBER(SEARCH({"á","é","í","ó","ú","ñ"},J74)))&gt;0),"Correo vacío o no institucional válido; ","")&amp;IF(LEN(TRIM(D74))=0,"Sin objeto contractual; ","")&amp;IF(AND(ISNUMBER(M74),N74="Mínima cuantía"),IF(M74&gt;39850000,"Mínima cuantía con valor superior al tope citado en el instructivo 2026 ($39.850.000): verificar modalidad; ",""),"")&amp;IF(AND(ISNUMBER(M74),OR(ISNUMBER(SEARCH("prestación de servicios",D74)),ISNUMBER(SEARCH("prestar servicios",D74)),ISNUMBER(SEARCH("prestar los servicios",D74)))),IF(M74&gt;=500000000,"Prestación de servicios por $500 millones o más: posible error de digitación; ",""),""))=0,"Sin observaciones",IF(OR(NOT(ISNUMBER(B74)),LEN(B74)&lt;&gt;8),"UNSPSC vacío, en texto, con varios códigos o sin 8 dígitos; ","")&amp;IF(AND(ISNUMBER(B74),LEN(B74)=8),IF(MOD(B74,10000)=0,"UNSPSC a nivel de segmento o familia; ",""),"")&amp;IF(NOT(ISNUMBER(E74)),"Duración vacía o en texto; ","")&amp;IF(NOT(ISNUMBER(G74)),"Valor vacío o en texto; ","")&amp;IF(ISNUMBER(M74),IF(M74&lt;1000000,"Valor inferior a $1.000.000: verificar; ",""),"Valor no interpretable; ")&amp;IF(N74="[PENDIENTE DE VERIFICAR]","Modalidad no identificable; ","")&amp;IF(OR(ISERROR(SEARCH("@itc.edu.co",J74)),SUMPRODUCT(--ISNUMBER(SEARCH({"á","é","í","ó","ú","ñ"},J74)))&gt;0),"Correo vacío o no institucional válido; ","")&amp;IF(LEN(TRIM(D74))=0,"Sin objeto contractual; ","")&amp;IF(AND(ISNUMBER(M74),N74="Mínima cuantía"),IF(M74&gt;39850000,"Mínima cuantía con valor superior al tope citado en el instructivo 2026 ($39.850.000): verificar modalidad; ",""),"")&amp;IF(AND(ISNUMBER(M74),OR(ISNUMBER(SEARCH("prestación de servicios",D74)),ISNUMBER(SEARCH("prestar servicios",D74)),ISNUMBER(SEARCH("prestar los servicios",D74)))),IF(M74&gt;=500000000,"Prestación de servicios por $500 millones o más: posible error de digitación; ",""),""))</f>
        <v xml:space="preserve">Correo vacío o no institucional válido; </v>
      </c>
    </row>
    <row r="75" spans="1:15" ht="45.6" x14ac:dyDescent="0.3">
      <c r="A75" s="15" t="s">
        <v>1015</v>
      </c>
      <c r="B75" s="15">
        <v>81111600</v>
      </c>
      <c r="C75" s="15" t="s">
        <v>1009</v>
      </c>
      <c r="D75" s="15" t="s">
        <v>1010</v>
      </c>
      <c r="E75" s="15">
        <v>11</v>
      </c>
      <c r="F75" s="15" t="s">
        <v>802</v>
      </c>
      <c r="G75" s="29">
        <v>29721428</v>
      </c>
      <c r="H75" s="15" t="s">
        <v>1011</v>
      </c>
      <c r="I75" s="15"/>
      <c r="J75" s="15"/>
      <c r="K75" s="15">
        <v>70</v>
      </c>
      <c r="L75" s="30" t="s">
        <v>977</v>
      </c>
      <c r="M75" s="31">
        <v>29721428</v>
      </c>
      <c r="N75" s="30" t="s">
        <v>803</v>
      </c>
      <c r="O75" s="30" t="str">
        <f>IF(LEN(IF(OR(NOT(ISNUMBER(B75)),LEN(B75)&lt;&gt;8),"UNSPSC vacío, en texto, con varios códigos o sin 8 dígitos; ","")&amp;IF(AND(ISNUMBER(B75),LEN(B75)=8),IF(MOD(B75,10000)=0,"UNSPSC a nivel de segmento o familia; ",""),"")&amp;IF(NOT(ISNUMBER(E75)),"Duración vacía o en texto; ","")&amp;IF(NOT(ISNUMBER(G75)),"Valor vacío o en texto; ","")&amp;IF(ISNUMBER(M75),IF(M75&lt;1000000,"Valor inferior a $1.000.000: verificar; ",""),"Valor no interpretable; ")&amp;IF(N75="[PENDIENTE DE VERIFICAR]","Modalidad no identificable; ","")&amp;IF(OR(ISERROR(SEARCH("@itc.edu.co",J75)),SUMPRODUCT(--ISNUMBER(SEARCH({"á","é","í","ó","ú","ñ"},J75)))&gt;0),"Correo vacío o no institucional válido; ","")&amp;IF(LEN(TRIM(D75))=0,"Sin objeto contractual; ","")&amp;IF(AND(ISNUMBER(M75),N75="Mínima cuantía"),IF(M75&gt;39850000,"Mínima cuantía con valor superior al tope citado en el instructivo 2026 ($39.850.000): verificar modalidad; ",""),"")&amp;IF(AND(ISNUMBER(M75),OR(ISNUMBER(SEARCH("prestación de servicios",D75)),ISNUMBER(SEARCH("prestar servicios",D75)),ISNUMBER(SEARCH("prestar los servicios",D75)))),IF(M75&gt;=500000000,"Prestación de servicios por $500 millones o más: posible error de digitación; ",""),""))=0,"Sin observaciones",IF(OR(NOT(ISNUMBER(B75)),LEN(B75)&lt;&gt;8),"UNSPSC vacío, en texto, con varios códigos o sin 8 dígitos; ","")&amp;IF(AND(ISNUMBER(B75),LEN(B75)=8),IF(MOD(B75,10000)=0,"UNSPSC a nivel de segmento o familia; ",""),"")&amp;IF(NOT(ISNUMBER(E75)),"Duración vacía o en texto; ","")&amp;IF(NOT(ISNUMBER(G75)),"Valor vacío o en texto; ","")&amp;IF(ISNUMBER(M75),IF(M75&lt;1000000,"Valor inferior a $1.000.000: verificar; ",""),"Valor no interpretable; ")&amp;IF(N75="[PENDIENTE DE VERIFICAR]","Modalidad no identificable; ","")&amp;IF(OR(ISERROR(SEARCH("@itc.edu.co",J75)),SUMPRODUCT(--ISNUMBER(SEARCH({"á","é","í","ó","ú","ñ"},J75)))&gt;0),"Correo vacío o no institucional válido; ","")&amp;IF(LEN(TRIM(D75))=0,"Sin objeto contractual; ","")&amp;IF(AND(ISNUMBER(M75),N75="Mínima cuantía"),IF(M75&gt;39850000,"Mínima cuantía con valor superior al tope citado en el instructivo 2026 ($39.850.000): verificar modalidad; ",""),"")&amp;IF(AND(ISNUMBER(M75),OR(ISNUMBER(SEARCH("prestación de servicios",D75)),ISNUMBER(SEARCH("prestar servicios",D75)),ISNUMBER(SEARCH("prestar los servicios",D75)))),IF(M75&gt;=500000000,"Prestación de servicios por $500 millones o más: posible error de digitación; ",""),""))</f>
        <v xml:space="preserve">Correo vacío o no institucional válido; </v>
      </c>
    </row>
    <row r="76" spans="1:15" ht="57" x14ac:dyDescent="0.3">
      <c r="A76" s="15" t="s">
        <v>1016</v>
      </c>
      <c r="B76" s="15">
        <v>80111614</v>
      </c>
      <c r="C76" s="15" t="s">
        <v>1009</v>
      </c>
      <c r="D76" s="15" t="s">
        <v>1017</v>
      </c>
      <c r="E76" s="15">
        <v>11</v>
      </c>
      <c r="F76" s="15" t="s">
        <v>802</v>
      </c>
      <c r="G76" s="29">
        <v>42668764</v>
      </c>
      <c r="H76" s="15" t="s">
        <v>1011</v>
      </c>
      <c r="I76" s="15"/>
      <c r="J76" s="15"/>
      <c r="K76" s="15">
        <v>71</v>
      </c>
      <c r="L76" s="30" t="s">
        <v>977</v>
      </c>
      <c r="M76" s="31">
        <v>42668764</v>
      </c>
      <c r="N76" s="30" t="s">
        <v>803</v>
      </c>
      <c r="O76" s="30" t="str">
        <f>IF(LEN(IF(OR(NOT(ISNUMBER(B76)),LEN(B76)&lt;&gt;8),"UNSPSC vacío, en texto, con varios códigos o sin 8 dígitos; ","")&amp;IF(AND(ISNUMBER(B76),LEN(B76)=8),IF(MOD(B76,10000)=0,"UNSPSC a nivel de segmento o familia; ",""),"")&amp;IF(NOT(ISNUMBER(E76)),"Duración vacía o en texto; ","")&amp;IF(NOT(ISNUMBER(G76)),"Valor vacío o en texto; ","")&amp;IF(ISNUMBER(M76),IF(M76&lt;1000000,"Valor inferior a $1.000.000: verificar; ",""),"Valor no interpretable; ")&amp;IF(N76="[PENDIENTE DE VERIFICAR]","Modalidad no identificable; ","")&amp;IF(OR(ISERROR(SEARCH("@itc.edu.co",J76)),SUMPRODUCT(--ISNUMBER(SEARCH({"á","é","í","ó","ú","ñ"},J76)))&gt;0),"Correo vacío o no institucional válido; ","")&amp;IF(LEN(TRIM(D76))=0,"Sin objeto contractual; ","")&amp;IF(AND(ISNUMBER(M76),N76="Mínima cuantía"),IF(M76&gt;39850000,"Mínima cuantía con valor superior al tope citado en el instructivo 2026 ($39.850.000): verificar modalidad; ",""),"")&amp;IF(AND(ISNUMBER(M76),OR(ISNUMBER(SEARCH("prestación de servicios",D76)),ISNUMBER(SEARCH("prestar servicios",D76)),ISNUMBER(SEARCH("prestar los servicios",D76)))),IF(M76&gt;=500000000,"Prestación de servicios por $500 millones o más: posible error de digitación; ",""),""))=0,"Sin observaciones",IF(OR(NOT(ISNUMBER(B76)),LEN(B76)&lt;&gt;8),"UNSPSC vacío, en texto, con varios códigos o sin 8 dígitos; ","")&amp;IF(AND(ISNUMBER(B76),LEN(B76)=8),IF(MOD(B76,10000)=0,"UNSPSC a nivel de segmento o familia; ",""),"")&amp;IF(NOT(ISNUMBER(E76)),"Duración vacía o en texto; ","")&amp;IF(NOT(ISNUMBER(G76)),"Valor vacío o en texto; ","")&amp;IF(ISNUMBER(M76),IF(M76&lt;1000000,"Valor inferior a $1.000.000: verificar; ",""),"Valor no interpretable; ")&amp;IF(N76="[PENDIENTE DE VERIFICAR]","Modalidad no identificable; ","")&amp;IF(OR(ISERROR(SEARCH("@itc.edu.co",J76)),SUMPRODUCT(--ISNUMBER(SEARCH({"á","é","í","ó","ú","ñ"},J76)))&gt;0),"Correo vacío o no institucional válido; ","")&amp;IF(LEN(TRIM(D76))=0,"Sin objeto contractual; ","")&amp;IF(AND(ISNUMBER(M76),N76="Mínima cuantía"),IF(M76&gt;39850000,"Mínima cuantía con valor superior al tope citado en el instructivo 2026 ($39.850.000): verificar modalidad; ",""),"")&amp;IF(AND(ISNUMBER(M76),OR(ISNUMBER(SEARCH("prestación de servicios",D76)),ISNUMBER(SEARCH("prestar servicios",D76)),ISNUMBER(SEARCH("prestar los servicios",D76)))),IF(M76&gt;=500000000,"Prestación de servicios por $500 millones o más: posible error de digitación; ",""),""))</f>
        <v xml:space="preserve">Correo vacío o no institucional válido; </v>
      </c>
    </row>
    <row r="77" spans="1:15" ht="45.6" x14ac:dyDescent="0.3">
      <c r="A77" s="15" t="s">
        <v>1018</v>
      </c>
      <c r="B77" s="15">
        <v>81111600</v>
      </c>
      <c r="C77" s="15" t="s">
        <v>1009</v>
      </c>
      <c r="D77" s="15" t="s">
        <v>1010</v>
      </c>
      <c r="E77" s="15">
        <v>11</v>
      </c>
      <c r="F77" s="15" t="s">
        <v>802</v>
      </c>
      <c r="G77" s="29">
        <v>29721428</v>
      </c>
      <c r="H77" s="15" t="s">
        <v>1011</v>
      </c>
      <c r="I77" s="15"/>
      <c r="J77" s="15"/>
      <c r="K77" s="15">
        <v>72</v>
      </c>
      <c r="L77" s="30" t="s">
        <v>977</v>
      </c>
      <c r="M77" s="31">
        <v>29721428</v>
      </c>
      <c r="N77" s="30" t="s">
        <v>803</v>
      </c>
      <c r="O77" s="30" t="str">
        <f>IF(LEN(IF(OR(NOT(ISNUMBER(B77)),LEN(B77)&lt;&gt;8),"UNSPSC vacío, en texto, con varios códigos o sin 8 dígitos; ","")&amp;IF(AND(ISNUMBER(B77),LEN(B77)=8),IF(MOD(B77,10000)=0,"UNSPSC a nivel de segmento o familia; ",""),"")&amp;IF(NOT(ISNUMBER(E77)),"Duración vacía o en texto; ","")&amp;IF(NOT(ISNUMBER(G77)),"Valor vacío o en texto; ","")&amp;IF(ISNUMBER(M77),IF(M77&lt;1000000,"Valor inferior a $1.000.000: verificar; ",""),"Valor no interpretable; ")&amp;IF(N77="[PENDIENTE DE VERIFICAR]","Modalidad no identificable; ","")&amp;IF(OR(ISERROR(SEARCH("@itc.edu.co",J77)),SUMPRODUCT(--ISNUMBER(SEARCH({"á","é","í","ó","ú","ñ"},J77)))&gt;0),"Correo vacío o no institucional válido; ","")&amp;IF(LEN(TRIM(D77))=0,"Sin objeto contractual; ","")&amp;IF(AND(ISNUMBER(M77),N77="Mínima cuantía"),IF(M77&gt;39850000,"Mínima cuantía con valor superior al tope citado en el instructivo 2026 ($39.850.000): verificar modalidad; ",""),"")&amp;IF(AND(ISNUMBER(M77),OR(ISNUMBER(SEARCH("prestación de servicios",D77)),ISNUMBER(SEARCH("prestar servicios",D77)),ISNUMBER(SEARCH("prestar los servicios",D77)))),IF(M77&gt;=500000000,"Prestación de servicios por $500 millones o más: posible error de digitación; ",""),""))=0,"Sin observaciones",IF(OR(NOT(ISNUMBER(B77)),LEN(B77)&lt;&gt;8),"UNSPSC vacío, en texto, con varios códigos o sin 8 dígitos; ","")&amp;IF(AND(ISNUMBER(B77),LEN(B77)=8),IF(MOD(B77,10000)=0,"UNSPSC a nivel de segmento o familia; ",""),"")&amp;IF(NOT(ISNUMBER(E77)),"Duración vacía o en texto; ","")&amp;IF(NOT(ISNUMBER(G77)),"Valor vacío o en texto; ","")&amp;IF(ISNUMBER(M77),IF(M77&lt;1000000,"Valor inferior a $1.000.000: verificar; ",""),"Valor no interpretable; ")&amp;IF(N77="[PENDIENTE DE VERIFICAR]","Modalidad no identificable; ","")&amp;IF(OR(ISERROR(SEARCH("@itc.edu.co",J77)),SUMPRODUCT(--ISNUMBER(SEARCH({"á","é","í","ó","ú","ñ"},J77)))&gt;0),"Correo vacío o no institucional válido; ","")&amp;IF(LEN(TRIM(D77))=0,"Sin objeto contractual; ","")&amp;IF(AND(ISNUMBER(M77),N77="Mínima cuantía"),IF(M77&gt;39850000,"Mínima cuantía con valor superior al tope citado en el instructivo 2026 ($39.850.000): verificar modalidad; ",""),"")&amp;IF(AND(ISNUMBER(M77),OR(ISNUMBER(SEARCH("prestación de servicios",D77)),ISNUMBER(SEARCH("prestar servicios",D77)),ISNUMBER(SEARCH("prestar los servicios",D77)))),IF(M77&gt;=500000000,"Prestación de servicios por $500 millones o más: posible error de digitación; ",""),""))</f>
        <v xml:space="preserve">Correo vacío o no institucional válido; </v>
      </c>
    </row>
    <row r="78" spans="1:15" ht="45.6" x14ac:dyDescent="0.3">
      <c r="A78" s="15" t="s">
        <v>1019</v>
      </c>
      <c r="B78" s="15">
        <v>81111600</v>
      </c>
      <c r="C78" s="15" t="s">
        <v>1009</v>
      </c>
      <c r="D78" s="15" t="s">
        <v>1010</v>
      </c>
      <c r="E78" s="15">
        <v>11</v>
      </c>
      <c r="F78" s="15" t="s">
        <v>802</v>
      </c>
      <c r="G78" s="29">
        <v>29721428</v>
      </c>
      <c r="H78" s="15" t="s">
        <v>1011</v>
      </c>
      <c r="I78" s="15"/>
      <c r="J78" s="15"/>
      <c r="K78" s="15">
        <v>73</v>
      </c>
      <c r="L78" s="30" t="s">
        <v>977</v>
      </c>
      <c r="M78" s="31">
        <v>29721428</v>
      </c>
      <c r="N78" s="30" t="s">
        <v>803</v>
      </c>
      <c r="O78" s="30" t="str">
        <f>IF(LEN(IF(OR(NOT(ISNUMBER(B78)),LEN(B78)&lt;&gt;8),"UNSPSC vacío, en texto, con varios códigos o sin 8 dígitos; ","")&amp;IF(AND(ISNUMBER(B78),LEN(B78)=8),IF(MOD(B78,10000)=0,"UNSPSC a nivel de segmento o familia; ",""),"")&amp;IF(NOT(ISNUMBER(E78)),"Duración vacía o en texto; ","")&amp;IF(NOT(ISNUMBER(G78)),"Valor vacío o en texto; ","")&amp;IF(ISNUMBER(M78),IF(M78&lt;1000000,"Valor inferior a $1.000.000: verificar; ",""),"Valor no interpretable; ")&amp;IF(N78="[PENDIENTE DE VERIFICAR]","Modalidad no identificable; ","")&amp;IF(OR(ISERROR(SEARCH("@itc.edu.co",J78)),SUMPRODUCT(--ISNUMBER(SEARCH({"á","é","í","ó","ú","ñ"},J78)))&gt;0),"Correo vacío o no institucional válido; ","")&amp;IF(LEN(TRIM(D78))=0,"Sin objeto contractual; ","")&amp;IF(AND(ISNUMBER(M78),N78="Mínima cuantía"),IF(M78&gt;39850000,"Mínima cuantía con valor superior al tope citado en el instructivo 2026 ($39.850.000): verificar modalidad; ",""),"")&amp;IF(AND(ISNUMBER(M78),OR(ISNUMBER(SEARCH("prestación de servicios",D78)),ISNUMBER(SEARCH("prestar servicios",D78)),ISNUMBER(SEARCH("prestar los servicios",D78)))),IF(M78&gt;=500000000,"Prestación de servicios por $500 millones o más: posible error de digitación; ",""),""))=0,"Sin observaciones",IF(OR(NOT(ISNUMBER(B78)),LEN(B78)&lt;&gt;8),"UNSPSC vacío, en texto, con varios códigos o sin 8 dígitos; ","")&amp;IF(AND(ISNUMBER(B78),LEN(B78)=8),IF(MOD(B78,10000)=0,"UNSPSC a nivel de segmento o familia; ",""),"")&amp;IF(NOT(ISNUMBER(E78)),"Duración vacía o en texto; ","")&amp;IF(NOT(ISNUMBER(G78)),"Valor vacío o en texto; ","")&amp;IF(ISNUMBER(M78),IF(M78&lt;1000000,"Valor inferior a $1.000.000: verificar; ",""),"Valor no interpretable; ")&amp;IF(N78="[PENDIENTE DE VERIFICAR]","Modalidad no identificable; ","")&amp;IF(OR(ISERROR(SEARCH("@itc.edu.co",J78)),SUMPRODUCT(--ISNUMBER(SEARCH({"á","é","í","ó","ú","ñ"},J78)))&gt;0),"Correo vacío o no institucional válido; ","")&amp;IF(LEN(TRIM(D78))=0,"Sin objeto contractual; ","")&amp;IF(AND(ISNUMBER(M78),N78="Mínima cuantía"),IF(M78&gt;39850000,"Mínima cuantía con valor superior al tope citado en el instructivo 2026 ($39.850.000): verificar modalidad; ",""),"")&amp;IF(AND(ISNUMBER(M78),OR(ISNUMBER(SEARCH("prestación de servicios",D78)),ISNUMBER(SEARCH("prestar servicios",D78)),ISNUMBER(SEARCH("prestar los servicios",D78)))),IF(M78&gt;=500000000,"Prestación de servicios por $500 millones o más: posible error de digitación; ",""),""))</f>
        <v xml:space="preserve">Correo vacío o no institucional válido; </v>
      </c>
    </row>
    <row r="79" spans="1:15" ht="57" x14ac:dyDescent="0.3">
      <c r="A79" s="15" t="s">
        <v>1020</v>
      </c>
      <c r="B79" s="15">
        <v>80111614</v>
      </c>
      <c r="C79" s="15" t="s">
        <v>1009</v>
      </c>
      <c r="D79" s="15" t="s">
        <v>1017</v>
      </c>
      <c r="E79" s="15">
        <v>11</v>
      </c>
      <c r="F79" s="15" t="s">
        <v>802</v>
      </c>
      <c r="G79" s="29">
        <v>42668764</v>
      </c>
      <c r="H79" s="15" t="s">
        <v>1021</v>
      </c>
      <c r="I79" s="15"/>
      <c r="J79" s="15"/>
      <c r="K79" s="15">
        <v>74</v>
      </c>
      <c r="L79" s="30" t="s">
        <v>977</v>
      </c>
      <c r="M79" s="31">
        <v>42668764</v>
      </c>
      <c r="N79" s="30" t="s">
        <v>803</v>
      </c>
      <c r="O79" s="30" t="str">
        <f>IF(LEN(IF(OR(NOT(ISNUMBER(B79)),LEN(B79)&lt;&gt;8),"UNSPSC vacío, en texto, con varios códigos o sin 8 dígitos; ","")&amp;IF(AND(ISNUMBER(B79),LEN(B79)=8),IF(MOD(B79,10000)=0,"UNSPSC a nivel de segmento o familia; ",""),"")&amp;IF(NOT(ISNUMBER(E79)),"Duración vacía o en texto; ","")&amp;IF(NOT(ISNUMBER(G79)),"Valor vacío o en texto; ","")&amp;IF(ISNUMBER(M79),IF(M79&lt;1000000,"Valor inferior a $1.000.000: verificar; ",""),"Valor no interpretable; ")&amp;IF(N79="[PENDIENTE DE VERIFICAR]","Modalidad no identificable; ","")&amp;IF(OR(ISERROR(SEARCH("@itc.edu.co",J79)),SUMPRODUCT(--ISNUMBER(SEARCH({"á","é","í","ó","ú","ñ"},J79)))&gt;0),"Correo vacío o no institucional válido; ","")&amp;IF(LEN(TRIM(D79))=0,"Sin objeto contractual; ","")&amp;IF(AND(ISNUMBER(M79),N79="Mínima cuantía"),IF(M79&gt;39850000,"Mínima cuantía con valor superior al tope citado en el instructivo 2026 ($39.850.000): verificar modalidad; ",""),"")&amp;IF(AND(ISNUMBER(M79),OR(ISNUMBER(SEARCH("prestación de servicios",D79)),ISNUMBER(SEARCH("prestar servicios",D79)),ISNUMBER(SEARCH("prestar los servicios",D79)))),IF(M79&gt;=500000000,"Prestación de servicios por $500 millones o más: posible error de digitación; ",""),""))=0,"Sin observaciones",IF(OR(NOT(ISNUMBER(B79)),LEN(B79)&lt;&gt;8),"UNSPSC vacío, en texto, con varios códigos o sin 8 dígitos; ","")&amp;IF(AND(ISNUMBER(B79),LEN(B79)=8),IF(MOD(B79,10000)=0,"UNSPSC a nivel de segmento o familia; ",""),"")&amp;IF(NOT(ISNUMBER(E79)),"Duración vacía o en texto; ","")&amp;IF(NOT(ISNUMBER(G79)),"Valor vacío o en texto; ","")&amp;IF(ISNUMBER(M79),IF(M79&lt;1000000,"Valor inferior a $1.000.000: verificar; ",""),"Valor no interpretable; ")&amp;IF(N79="[PENDIENTE DE VERIFICAR]","Modalidad no identificable; ","")&amp;IF(OR(ISERROR(SEARCH("@itc.edu.co",J79)),SUMPRODUCT(--ISNUMBER(SEARCH({"á","é","í","ó","ú","ñ"},J79)))&gt;0),"Correo vacío o no institucional válido; ","")&amp;IF(LEN(TRIM(D79))=0,"Sin objeto contractual; ","")&amp;IF(AND(ISNUMBER(M79),N79="Mínima cuantía"),IF(M79&gt;39850000,"Mínima cuantía con valor superior al tope citado en el instructivo 2026 ($39.850.000): verificar modalidad; ",""),"")&amp;IF(AND(ISNUMBER(M79),OR(ISNUMBER(SEARCH("prestación de servicios",D79)),ISNUMBER(SEARCH("prestar servicios",D79)),ISNUMBER(SEARCH("prestar los servicios",D79)))),IF(M79&gt;=500000000,"Prestación de servicios por $500 millones o más: posible error de digitación; ",""),""))</f>
        <v xml:space="preserve">Correo vacío o no institucional válido; </v>
      </c>
    </row>
    <row r="80" spans="1:15" ht="45.6" x14ac:dyDescent="0.3">
      <c r="A80" s="15" t="s">
        <v>1022</v>
      </c>
      <c r="B80" s="15">
        <v>80111600</v>
      </c>
      <c r="C80" s="15" t="s">
        <v>1023</v>
      </c>
      <c r="D80" s="15" t="s">
        <v>1024</v>
      </c>
      <c r="E80" s="15">
        <v>11</v>
      </c>
      <c r="F80" s="15" t="s">
        <v>802</v>
      </c>
      <c r="G80" s="29">
        <v>61944912</v>
      </c>
      <c r="H80" s="15" t="s">
        <v>1025</v>
      </c>
      <c r="I80" s="15"/>
      <c r="J80" s="15" t="s">
        <v>1026</v>
      </c>
      <c r="K80" s="15">
        <v>75</v>
      </c>
      <c r="L80" s="30" t="s">
        <v>841</v>
      </c>
      <c r="M80" s="31">
        <v>61944912</v>
      </c>
      <c r="N80" s="30" t="s">
        <v>803</v>
      </c>
      <c r="O80" s="30" t="str">
        <f>IF(LEN(IF(OR(NOT(ISNUMBER(B80)),LEN(B80)&lt;&gt;8),"UNSPSC vacío, en texto, con varios códigos o sin 8 dígitos; ","")&amp;IF(AND(ISNUMBER(B80),LEN(B80)=8),IF(MOD(B80,10000)=0,"UNSPSC a nivel de segmento o familia; ",""),"")&amp;IF(NOT(ISNUMBER(E80)),"Duración vacía o en texto; ","")&amp;IF(NOT(ISNUMBER(G80)),"Valor vacío o en texto; ","")&amp;IF(ISNUMBER(M80),IF(M80&lt;1000000,"Valor inferior a $1.000.000: verificar; ",""),"Valor no interpretable; ")&amp;IF(N80="[PENDIENTE DE VERIFICAR]","Modalidad no identificable; ","")&amp;IF(OR(ISERROR(SEARCH("@itc.edu.co",J80)),SUMPRODUCT(--ISNUMBER(SEARCH({"á","é","í","ó","ú","ñ"},J80)))&gt;0),"Correo vacío o no institucional válido; ","")&amp;IF(LEN(TRIM(D80))=0,"Sin objeto contractual; ","")&amp;IF(AND(ISNUMBER(M80),N80="Mínima cuantía"),IF(M80&gt;39850000,"Mínima cuantía con valor superior al tope citado en el instructivo 2026 ($39.850.000): verificar modalidad; ",""),"")&amp;IF(AND(ISNUMBER(M80),OR(ISNUMBER(SEARCH("prestación de servicios",D80)),ISNUMBER(SEARCH("prestar servicios",D80)),ISNUMBER(SEARCH("prestar los servicios",D80)))),IF(M80&gt;=500000000,"Prestación de servicios por $500 millones o más: posible error de digitación; ",""),""))=0,"Sin observaciones",IF(OR(NOT(ISNUMBER(B80)),LEN(B80)&lt;&gt;8),"UNSPSC vacío, en texto, con varios códigos o sin 8 dígitos; ","")&amp;IF(AND(ISNUMBER(B80),LEN(B80)=8),IF(MOD(B80,10000)=0,"UNSPSC a nivel de segmento o familia; ",""),"")&amp;IF(NOT(ISNUMBER(E80)),"Duración vacía o en texto; ","")&amp;IF(NOT(ISNUMBER(G80)),"Valor vacío o en texto; ","")&amp;IF(ISNUMBER(M80),IF(M80&lt;1000000,"Valor inferior a $1.000.000: verificar; ",""),"Valor no interpretable; ")&amp;IF(N80="[PENDIENTE DE VERIFICAR]","Modalidad no identificable; ","")&amp;IF(OR(ISERROR(SEARCH("@itc.edu.co",J80)),SUMPRODUCT(--ISNUMBER(SEARCH({"á","é","í","ó","ú","ñ"},J80)))&gt;0),"Correo vacío o no institucional válido; ","")&amp;IF(LEN(TRIM(D80))=0,"Sin objeto contractual; ","")&amp;IF(AND(ISNUMBER(M80),N80="Mínima cuantía"),IF(M80&gt;39850000,"Mínima cuantía con valor superior al tope citado en el instructivo 2026 ($39.850.000): verificar modalidad; ",""),"")&amp;IF(AND(ISNUMBER(M80),OR(ISNUMBER(SEARCH("prestación de servicios",D80)),ISNUMBER(SEARCH("prestar servicios",D80)),ISNUMBER(SEARCH("prestar los servicios",D80)))),IF(M80&gt;=500000000,"Prestación de servicios por $500 millones o más: posible error de digitación; ",""),""))</f>
        <v>Sin observaciones</v>
      </c>
    </row>
    <row r="81" spans="1:15" ht="45.6" x14ac:dyDescent="0.3">
      <c r="A81" s="15" t="s">
        <v>1027</v>
      </c>
      <c r="B81" s="15">
        <v>80111600</v>
      </c>
      <c r="C81" s="15" t="s">
        <v>1028</v>
      </c>
      <c r="D81" s="15" t="s">
        <v>1029</v>
      </c>
      <c r="E81" s="15">
        <v>11</v>
      </c>
      <c r="F81" s="15" t="s">
        <v>802</v>
      </c>
      <c r="G81" s="29">
        <v>28704000</v>
      </c>
      <c r="H81" s="15" t="s">
        <v>1025</v>
      </c>
      <c r="I81" s="15"/>
      <c r="J81" s="15" t="s">
        <v>1026</v>
      </c>
      <c r="K81" s="15">
        <v>76</v>
      </c>
      <c r="L81" s="30" t="s">
        <v>841</v>
      </c>
      <c r="M81" s="31">
        <v>28704000</v>
      </c>
      <c r="N81" s="30" t="s">
        <v>803</v>
      </c>
      <c r="O81" s="30" t="str">
        <f>IF(LEN(IF(OR(NOT(ISNUMBER(B81)),LEN(B81)&lt;&gt;8),"UNSPSC vacío, en texto, con varios códigos o sin 8 dígitos; ","")&amp;IF(AND(ISNUMBER(B81),LEN(B81)=8),IF(MOD(B81,10000)=0,"UNSPSC a nivel de segmento o familia; ",""),"")&amp;IF(NOT(ISNUMBER(E81)),"Duración vacía o en texto; ","")&amp;IF(NOT(ISNUMBER(G81)),"Valor vacío o en texto; ","")&amp;IF(ISNUMBER(M81),IF(M81&lt;1000000,"Valor inferior a $1.000.000: verificar; ",""),"Valor no interpretable; ")&amp;IF(N81="[PENDIENTE DE VERIFICAR]","Modalidad no identificable; ","")&amp;IF(OR(ISERROR(SEARCH("@itc.edu.co",J81)),SUMPRODUCT(--ISNUMBER(SEARCH({"á","é","í","ó","ú","ñ"},J81)))&gt;0),"Correo vacío o no institucional válido; ","")&amp;IF(LEN(TRIM(D81))=0,"Sin objeto contractual; ","")&amp;IF(AND(ISNUMBER(M81),N81="Mínima cuantía"),IF(M81&gt;39850000,"Mínima cuantía con valor superior al tope citado en el instructivo 2026 ($39.850.000): verificar modalidad; ",""),"")&amp;IF(AND(ISNUMBER(M81),OR(ISNUMBER(SEARCH("prestación de servicios",D81)),ISNUMBER(SEARCH("prestar servicios",D81)),ISNUMBER(SEARCH("prestar los servicios",D81)))),IF(M81&gt;=500000000,"Prestación de servicios por $500 millones o más: posible error de digitación; ",""),""))=0,"Sin observaciones",IF(OR(NOT(ISNUMBER(B81)),LEN(B81)&lt;&gt;8),"UNSPSC vacío, en texto, con varios códigos o sin 8 dígitos; ","")&amp;IF(AND(ISNUMBER(B81),LEN(B81)=8),IF(MOD(B81,10000)=0,"UNSPSC a nivel de segmento o familia; ",""),"")&amp;IF(NOT(ISNUMBER(E81)),"Duración vacía o en texto; ","")&amp;IF(NOT(ISNUMBER(G81)),"Valor vacío o en texto; ","")&amp;IF(ISNUMBER(M81),IF(M81&lt;1000000,"Valor inferior a $1.000.000: verificar; ",""),"Valor no interpretable; ")&amp;IF(N81="[PENDIENTE DE VERIFICAR]","Modalidad no identificable; ","")&amp;IF(OR(ISERROR(SEARCH("@itc.edu.co",J81)),SUMPRODUCT(--ISNUMBER(SEARCH({"á","é","í","ó","ú","ñ"},J81)))&gt;0),"Correo vacío o no institucional válido; ","")&amp;IF(LEN(TRIM(D81))=0,"Sin objeto contractual; ","")&amp;IF(AND(ISNUMBER(M81),N81="Mínima cuantía"),IF(M81&gt;39850000,"Mínima cuantía con valor superior al tope citado en el instructivo 2026 ($39.850.000): verificar modalidad; ",""),"")&amp;IF(AND(ISNUMBER(M81),OR(ISNUMBER(SEARCH("prestación de servicios",D81)),ISNUMBER(SEARCH("prestar servicios",D81)),ISNUMBER(SEARCH("prestar los servicios",D81)))),IF(M81&gt;=500000000,"Prestación de servicios por $500 millones o más: posible error de digitación; ",""),""))</f>
        <v>Sin observaciones</v>
      </c>
    </row>
    <row r="82" spans="1:15" ht="45.6" x14ac:dyDescent="0.3">
      <c r="A82" s="15" t="s">
        <v>1030</v>
      </c>
      <c r="B82" s="15">
        <v>80111600</v>
      </c>
      <c r="C82" s="15" t="s">
        <v>1031</v>
      </c>
      <c r="D82" s="15" t="s">
        <v>1032</v>
      </c>
      <c r="E82" s="15">
        <v>11</v>
      </c>
      <c r="F82" s="15" t="s">
        <v>802</v>
      </c>
      <c r="G82" s="29">
        <v>47346876</v>
      </c>
      <c r="H82" s="15" t="s">
        <v>1025</v>
      </c>
      <c r="I82" s="15"/>
      <c r="J82" s="15" t="s">
        <v>1026</v>
      </c>
      <c r="K82" s="15">
        <v>77</v>
      </c>
      <c r="L82" s="30" t="s">
        <v>841</v>
      </c>
      <c r="M82" s="31">
        <v>47346876</v>
      </c>
      <c r="N82" s="30" t="s">
        <v>803</v>
      </c>
      <c r="O82" s="30" t="str">
        <f>IF(LEN(IF(OR(NOT(ISNUMBER(B82)),LEN(B82)&lt;&gt;8),"UNSPSC vacío, en texto, con varios códigos o sin 8 dígitos; ","")&amp;IF(AND(ISNUMBER(B82),LEN(B82)=8),IF(MOD(B82,10000)=0,"UNSPSC a nivel de segmento o familia; ",""),"")&amp;IF(NOT(ISNUMBER(E82)),"Duración vacía o en texto; ","")&amp;IF(NOT(ISNUMBER(G82)),"Valor vacío o en texto; ","")&amp;IF(ISNUMBER(M82),IF(M82&lt;1000000,"Valor inferior a $1.000.000: verificar; ",""),"Valor no interpretable; ")&amp;IF(N82="[PENDIENTE DE VERIFICAR]","Modalidad no identificable; ","")&amp;IF(OR(ISERROR(SEARCH("@itc.edu.co",J82)),SUMPRODUCT(--ISNUMBER(SEARCH({"á","é","í","ó","ú","ñ"},J82)))&gt;0),"Correo vacío o no institucional válido; ","")&amp;IF(LEN(TRIM(D82))=0,"Sin objeto contractual; ","")&amp;IF(AND(ISNUMBER(M82),N82="Mínima cuantía"),IF(M82&gt;39850000,"Mínima cuantía con valor superior al tope citado en el instructivo 2026 ($39.850.000): verificar modalidad; ",""),"")&amp;IF(AND(ISNUMBER(M82),OR(ISNUMBER(SEARCH("prestación de servicios",D82)),ISNUMBER(SEARCH("prestar servicios",D82)),ISNUMBER(SEARCH("prestar los servicios",D82)))),IF(M82&gt;=500000000,"Prestación de servicios por $500 millones o más: posible error de digitación; ",""),""))=0,"Sin observaciones",IF(OR(NOT(ISNUMBER(B82)),LEN(B82)&lt;&gt;8),"UNSPSC vacío, en texto, con varios códigos o sin 8 dígitos; ","")&amp;IF(AND(ISNUMBER(B82),LEN(B82)=8),IF(MOD(B82,10000)=0,"UNSPSC a nivel de segmento o familia; ",""),"")&amp;IF(NOT(ISNUMBER(E82)),"Duración vacía o en texto; ","")&amp;IF(NOT(ISNUMBER(G82)),"Valor vacío o en texto; ","")&amp;IF(ISNUMBER(M82),IF(M82&lt;1000000,"Valor inferior a $1.000.000: verificar; ",""),"Valor no interpretable; ")&amp;IF(N82="[PENDIENTE DE VERIFICAR]","Modalidad no identificable; ","")&amp;IF(OR(ISERROR(SEARCH("@itc.edu.co",J82)),SUMPRODUCT(--ISNUMBER(SEARCH({"á","é","í","ó","ú","ñ"},J82)))&gt;0),"Correo vacío o no institucional válido; ","")&amp;IF(LEN(TRIM(D82))=0,"Sin objeto contractual; ","")&amp;IF(AND(ISNUMBER(M82),N82="Mínima cuantía"),IF(M82&gt;39850000,"Mínima cuantía con valor superior al tope citado en el instructivo 2026 ($39.850.000): verificar modalidad; ",""),"")&amp;IF(AND(ISNUMBER(M82),OR(ISNUMBER(SEARCH("prestación de servicios",D82)),ISNUMBER(SEARCH("prestar servicios",D82)),ISNUMBER(SEARCH("prestar los servicios",D82)))),IF(M82&gt;=500000000,"Prestación de servicios por $500 millones o más: posible error de digitación; ",""),""))</f>
        <v>Sin observaciones</v>
      </c>
    </row>
    <row r="83" spans="1:15" ht="45.6" x14ac:dyDescent="0.3">
      <c r="A83" s="15" t="s">
        <v>1033</v>
      </c>
      <c r="B83" s="15">
        <v>80111600</v>
      </c>
      <c r="C83" s="15" t="s">
        <v>1034</v>
      </c>
      <c r="D83" s="15" t="s">
        <v>1035</v>
      </c>
      <c r="E83" s="15">
        <v>11</v>
      </c>
      <c r="F83" s="15" t="s">
        <v>802</v>
      </c>
      <c r="G83" s="29">
        <v>51029316</v>
      </c>
      <c r="H83" s="15" t="s">
        <v>1025</v>
      </c>
      <c r="I83" s="15"/>
      <c r="J83" s="15" t="s">
        <v>1026</v>
      </c>
      <c r="K83" s="15">
        <v>78</v>
      </c>
      <c r="L83" s="30" t="s">
        <v>841</v>
      </c>
      <c r="M83" s="31">
        <v>51029316</v>
      </c>
      <c r="N83" s="30" t="s">
        <v>803</v>
      </c>
      <c r="O83" s="30" t="str">
        <f>IF(LEN(IF(OR(NOT(ISNUMBER(B83)),LEN(B83)&lt;&gt;8),"UNSPSC vacío, en texto, con varios códigos o sin 8 dígitos; ","")&amp;IF(AND(ISNUMBER(B83),LEN(B83)=8),IF(MOD(B83,10000)=0,"UNSPSC a nivel de segmento o familia; ",""),"")&amp;IF(NOT(ISNUMBER(E83)),"Duración vacía o en texto; ","")&amp;IF(NOT(ISNUMBER(G83)),"Valor vacío o en texto; ","")&amp;IF(ISNUMBER(M83),IF(M83&lt;1000000,"Valor inferior a $1.000.000: verificar; ",""),"Valor no interpretable; ")&amp;IF(N83="[PENDIENTE DE VERIFICAR]","Modalidad no identificable; ","")&amp;IF(OR(ISERROR(SEARCH("@itc.edu.co",J83)),SUMPRODUCT(--ISNUMBER(SEARCH({"á","é","í","ó","ú","ñ"},J83)))&gt;0),"Correo vacío o no institucional válido; ","")&amp;IF(LEN(TRIM(D83))=0,"Sin objeto contractual; ","")&amp;IF(AND(ISNUMBER(M83),N83="Mínima cuantía"),IF(M83&gt;39850000,"Mínima cuantía con valor superior al tope citado en el instructivo 2026 ($39.850.000): verificar modalidad; ",""),"")&amp;IF(AND(ISNUMBER(M83),OR(ISNUMBER(SEARCH("prestación de servicios",D83)),ISNUMBER(SEARCH("prestar servicios",D83)),ISNUMBER(SEARCH("prestar los servicios",D83)))),IF(M83&gt;=500000000,"Prestación de servicios por $500 millones o más: posible error de digitación; ",""),""))=0,"Sin observaciones",IF(OR(NOT(ISNUMBER(B83)),LEN(B83)&lt;&gt;8),"UNSPSC vacío, en texto, con varios códigos o sin 8 dígitos; ","")&amp;IF(AND(ISNUMBER(B83),LEN(B83)=8),IF(MOD(B83,10000)=0,"UNSPSC a nivel de segmento o familia; ",""),"")&amp;IF(NOT(ISNUMBER(E83)),"Duración vacía o en texto; ","")&amp;IF(NOT(ISNUMBER(G83)),"Valor vacío o en texto; ","")&amp;IF(ISNUMBER(M83),IF(M83&lt;1000000,"Valor inferior a $1.000.000: verificar; ",""),"Valor no interpretable; ")&amp;IF(N83="[PENDIENTE DE VERIFICAR]","Modalidad no identificable; ","")&amp;IF(OR(ISERROR(SEARCH("@itc.edu.co",J83)),SUMPRODUCT(--ISNUMBER(SEARCH({"á","é","í","ó","ú","ñ"},J83)))&gt;0),"Correo vacío o no institucional válido; ","")&amp;IF(LEN(TRIM(D83))=0,"Sin objeto contractual; ","")&amp;IF(AND(ISNUMBER(M83),N83="Mínima cuantía"),IF(M83&gt;39850000,"Mínima cuantía con valor superior al tope citado en el instructivo 2026 ($39.850.000): verificar modalidad; ",""),"")&amp;IF(AND(ISNUMBER(M83),OR(ISNUMBER(SEARCH("prestación de servicios",D83)),ISNUMBER(SEARCH("prestar servicios",D83)),ISNUMBER(SEARCH("prestar los servicios",D83)))),IF(M83&gt;=500000000,"Prestación de servicios por $500 millones o más: posible error de digitación; ",""),""))</f>
        <v>Sin observaciones</v>
      </c>
    </row>
    <row r="84" spans="1:15" ht="45.6" x14ac:dyDescent="0.3">
      <c r="A84" s="15" t="s">
        <v>1036</v>
      </c>
      <c r="B84" s="15">
        <v>80111600</v>
      </c>
      <c r="C84" s="15" t="s">
        <v>1037</v>
      </c>
      <c r="D84" s="15" t="s">
        <v>1038</v>
      </c>
      <c r="E84" s="15">
        <v>11</v>
      </c>
      <c r="F84" s="15" t="s">
        <v>802</v>
      </c>
      <c r="G84" s="29">
        <v>33376740</v>
      </c>
      <c r="H84" s="15" t="s">
        <v>1025</v>
      </c>
      <c r="I84" s="15"/>
      <c r="J84" s="15" t="s">
        <v>1026</v>
      </c>
      <c r="K84" s="15">
        <v>79</v>
      </c>
      <c r="L84" s="30" t="s">
        <v>841</v>
      </c>
      <c r="M84" s="31">
        <v>33376740</v>
      </c>
      <c r="N84" s="30" t="s">
        <v>803</v>
      </c>
      <c r="O84" s="30" t="str">
        <f>IF(LEN(IF(OR(NOT(ISNUMBER(B84)),LEN(B84)&lt;&gt;8),"UNSPSC vacío, en texto, con varios códigos o sin 8 dígitos; ","")&amp;IF(AND(ISNUMBER(B84),LEN(B84)=8),IF(MOD(B84,10000)=0,"UNSPSC a nivel de segmento o familia; ",""),"")&amp;IF(NOT(ISNUMBER(E84)),"Duración vacía o en texto; ","")&amp;IF(NOT(ISNUMBER(G84)),"Valor vacío o en texto; ","")&amp;IF(ISNUMBER(M84),IF(M84&lt;1000000,"Valor inferior a $1.000.000: verificar; ",""),"Valor no interpretable; ")&amp;IF(N84="[PENDIENTE DE VERIFICAR]","Modalidad no identificable; ","")&amp;IF(OR(ISERROR(SEARCH("@itc.edu.co",J84)),SUMPRODUCT(--ISNUMBER(SEARCH({"á","é","í","ó","ú","ñ"},J84)))&gt;0),"Correo vacío o no institucional válido; ","")&amp;IF(LEN(TRIM(D84))=0,"Sin objeto contractual; ","")&amp;IF(AND(ISNUMBER(M84),N84="Mínima cuantía"),IF(M84&gt;39850000,"Mínima cuantía con valor superior al tope citado en el instructivo 2026 ($39.850.000): verificar modalidad; ",""),"")&amp;IF(AND(ISNUMBER(M84),OR(ISNUMBER(SEARCH("prestación de servicios",D84)),ISNUMBER(SEARCH("prestar servicios",D84)),ISNUMBER(SEARCH("prestar los servicios",D84)))),IF(M84&gt;=500000000,"Prestación de servicios por $500 millones o más: posible error de digitación; ",""),""))=0,"Sin observaciones",IF(OR(NOT(ISNUMBER(B84)),LEN(B84)&lt;&gt;8),"UNSPSC vacío, en texto, con varios códigos o sin 8 dígitos; ","")&amp;IF(AND(ISNUMBER(B84),LEN(B84)=8),IF(MOD(B84,10000)=0,"UNSPSC a nivel de segmento o familia; ",""),"")&amp;IF(NOT(ISNUMBER(E84)),"Duración vacía o en texto; ","")&amp;IF(NOT(ISNUMBER(G84)),"Valor vacío o en texto; ","")&amp;IF(ISNUMBER(M84),IF(M84&lt;1000000,"Valor inferior a $1.000.000: verificar; ",""),"Valor no interpretable; ")&amp;IF(N84="[PENDIENTE DE VERIFICAR]","Modalidad no identificable; ","")&amp;IF(OR(ISERROR(SEARCH("@itc.edu.co",J84)),SUMPRODUCT(--ISNUMBER(SEARCH({"á","é","í","ó","ú","ñ"},J84)))&gt;0),"Correo vacío o no institucional válido; ","")&amp;IF(LEN(TRIM(D84))=0,"Sin objeto contractual; ","")&amp;IF(AND(ISNUMBER(M84),N84="Mínima cuantía"),IF(M84&gt;39850000,"Mínima cuantía con valor superior al tope citado en el instructivo 2026 ($39.850.000): verificar modalidad; ",""),"")&amp;IF(AND(ISNUMBER(M84),OR(ISNUMBER(SEARCH("prestación de servicios",D84)),ISNUMBER(SEARCH("prestar servicios",D84)),ISNUMBER(SEARCH("prestar los servicios",D84)))),IF(M84&gt;=500000000,"Prestación de servicios por $500 millones o más: posible error de digitación; ",""),""))</f>
        <v>Sin observaciones</v>
      </c>
    </row>
    <row r="85" spans="1:15" ht="34.200000000000003" x14ac:dyDescent="0.3">
      <c r="A85" s="15" t="s">
        <v>1039</v>
      </c>
      <c r="B85" s="15">
        <v>80111600</v>
      </c>
      <c r="C85" s="15" t="s">
        <v>1040</v>
      </c>
      <c r="D85" s="15" t="s">
        <v>1041</v>
      </c>
      <c r="E85" s="15">
        <v>11</v>
      </c>
      <c r="F85" s="15" t="s">
        <v>802</v>
      </c>
      <c r="G85" s="29">
        <v>63437040</v>
      </c>
      <c r="H85" s="15" t="s">
        <v>1025</v>
      </c>
      <c r="I85" s="15"/>
      <c r="J85" s="15" t="s">
        <v>1026</v>
      </c>
      <c r="K85" s="15">
        <v>80</v>
      </c>
      <c r="L85" s="30" t="s">
        <v>841</v>
      </c>
      <c r="M85" s="31">
        <v>63437040</v>
      </c>
      <c r="N85" s="30" t="s">
        <v>803</v>
      </c>
      <c r="O85" s="30" t="str">
        <f>IF(LEN(IF(OR(NOT(ISNUMBER(B85)),LEN(B85)&lt;&gt;8),"UNSPSC vacío, en texto, con varios códigos o sin 8 dígitos; ","")&amp;IF(AND(ISNUMBER(B85),LEN(B85)=8),IF(MOD(B85,10000)=0,"UNSPSC a nivel de segmento o familia; ",""),"")&amp;IF(NOT(ISNUMBER(E85)),"Duración vacía o en texto; ","")&amp;IF(NOT(ISNUMBER(G85)),"Valor vacío o en texto; ","")&amp;IF(ISNUMBER(M85),IF(M85&lt;1000000,"Valor inferior a $1.000.000: verificar; ",""),"Valor no interpretable; ")&amp;IF(N85="[PENDIENTE DE VERIFICAR]","Modalidad no identificable; ","")&amp;IF(OR(ISERROR(SEARCH("@itc.edu.co",J85)),SUMPRODUCT(--ISNUMBER(SEARCH({"á","é","í","ó","ú","ñ"},J85)))&gt;0),"Correo vacío o no institucional válido; ","")&amp;IF(LEN(TRIM(D85))=0,"Sin objeto contractual; ","")&amp;IF(AND(ISNUMBER(M85),N85="Mínima cuantía"),IF(M85&gt;39850000,"Mínima cuantía con valor superior al tope citado en el instructivo 2026 ($39.850.000): verificar modalidad; ",""),"")&amp;IF(AND(ISNUMBER(M85),OR(ISNUMBER(SEARCH("prestación de servicios",D85)),ISNUMBER(SEARCH("prestar servicios",D85)),ISNUMBER(SEARCH("prestar los servicios",D85)))),IF(M85&gt;=500000000,"Prestación de servicios por $500 millones o más: posible error de digitación; ",""),""))=0,"Sin observaciones",IF(OR(NOT(ISNUMBER(B85)),LEN(B85)&lt;&gt;8),"UNSPSC vacío, en texto, con varios códigos o sin 8 dígitos; ","")&amp;IF(AND(ISNUMBER(B85),LEN(B85)=8),IF(MOD(B85,10000)=0,"UNSPSC a nivel de segmento o familia; ",""),"")&amp;IF(NOT(ISNUMBER(E85)),"Duración vacía o en texto; ","")&amp;IF(NOT(ISNUMBER(G85)),"Valor vacío o en texto; ","")&amp;IF(ISNUMBER(M85),IF(M85&lt;1000000,"Valor inferior a $1.000.000: verificar; ",""),"Valor no interpretable; ")&amp;IF(N85="[PENDIENTE DE VERIFICAR]","Modalidad no identificable; ","")&amp;IF(OR(ISERROR(SEARCH("@itc.edu.co",J85)),SUMPRODUCT(--ISNUMBER(SEARCH({"á","é","í","ó","ú","ñ"},J85)))&gt;0),"Correo vacío o no institucional válido; ","")&amp;IF(LEN(TRIM(D85))=0,"Sin objeto contractual; ","")&amp;IF(AND(ISNUMBER(M85),N85="Mínima cuantía"),IF(M85&gt;39850000,"Mínima cuantía con valor superior al tope citado en el instructivo 2026 ($39.850.000): verificar modalidad; ",""),"")&amp;IF(AND(ISNUMBER(M85),OR(ISNUMBER(SEARCH("prestación de servicios",D85)),ISNUMBER(SEARCH("prestar servicios",D85)),ISNUMBER(SEARCH("prestar los servicios",D85)))),IF(M85&gt;=500000000,"Prestación de servicios por $500 millones o más: posible error de digitación; ",""),""))</f>
        <v>Sin observaciones</v>
      </c>
    </row>
    <row r="86" spans="1:15" ht="45.6" x14ac:dyDescent="0.3">
      <c r="A86" s="15" t="s">
        <v>1042</v>
      </c>
      <c r="B86" s="15">
        <v>80111600</v>
      </c>
      <c r="C86" s="15" t="s">
        <v>1043</v>
      </c>
      <c r="D86" s="15" t="s">
        <v>1044</v>
      </c>
      <c r="E86" s="15">
        <v>11</v>
      </c>
      <c r="F86" s="15" t="s">
        <v>802</v>
      </c>
      <c r="G86" s="29">
        <v>32400000</v>
      </c>
      <c r="H86" s="15" t="s">
        <v>1025</v>
      </c>
      <c r="I86" s="15"/>
      <c r="J86" s="15" t="s">
        <v>1026</v>
      </c>
      <c r="K86" s="15">
        <v>81</v>
      </c>
      <c r="L86" s="30" t="s">
        <v>841</v>
      </c>
      <c r="M86" s="31">
        <v>32400000</v>
      </c>
      <c r="N86" s="30" t="s">
        <v>803</v>
      </c>
      <c r="O86" s="30" t="str">
        <f>IF(LEN(IF(OR(NOT(ISNUMBER(B86)),LEN(B86)&lt;&gt;8),"UNSPSC vacío, en texto, con varios códigos o sin 8 dígitos; ","")&amp;IF(AND(ISNUMBER(B86),LEN(B86)=8),IF(MOD(B86,10000)=0,"UNSPSC a nivel de segmento o familia; ",""),"")&amp;IF(NOT(ISNUMBER(E86)),"Duración vacía o en texto; ","")&amp;IF(NOT(ISNUMBER(G86)),"Valor vacío o en texto; ","")&amp;IF(ISNUMBER(M86),IF(M86&lt;1000000,"Valor inferior a $1.000.000: verificar; ",""),"Valor no interpretable; ")&amp;IF(N86="[PENDIENTE DE VERIFICAR]","Modalidad no identificable; ","")&amp;IF(OR(ISERROR(SEARCH("@itc.edu.co",J86)),SUMPRODUCT(--ISNUMBER(SEARCH({"á","é","í","ó","ú","ñ"},J86)))&gt;0),"Correo vacío o no institucional válido; ","")&amp;IF(LEN(TRIM(D86))=0,"Sin objeto contractual; ","")&amp;IF(AND(ISNUMBER(M86),N86="Mínima cuantía"),IF(M86&gt;39850000,"Mínima cuantía con valor superior al tope citado en el instructivo 2026 ($39.850.000): verificar modalidad; ",""),"")&amp;IF(AND(ISNUMBER(M86),OR(ISNUMBER(SEARCH("prestación de servicios",D86)),ISNUMBER(SEARCH("prestar servicios",D86)),ISNUMBER(SEARCH("prestar los servicios",D86)))),IF(M86&gt;=500000000,"Prestación de servicios por $500 millones o más: posible error de digitación; ",""),""))=0,"Sin observaciones",IF(OR(NOT(ISNUMBER(B86)),LEN(B86)&lt;&gt;8),"UNSPSC vacío, en texto, con varios códigos o sin 8 dígitos; ","")&amp;IF(AND(ISNUMBER(B86),LEN(B86)=8),IF(MOD(B86,10000)=0,"UNSPSC a nivel de segmento o familia; ",""),"")&amp;IF(NOT(ISNUMBER(E86)),"Duración vacía o en texto; ","")&amp;IF(NOT(ISNUMBER(G86)),"Valor vacío o en texto; ","")&amp;IF(ISNUMBER(M86),IF(M86&lt;1000000,"Valor inferior a $1.000.000: verificar; ",""),"Valor no interpretable; ")&amp;IF(N86="[PENDIENTE DE VERIFICAR]","Modalidad no identificable; ","")&amp;IF(OR(ISERROR(SEARCH("@itc.edu.co",J86)),SUMPRODUCT(--ISNUMBER(SEARCH({"á","é","í","ó","ú","ñ"},J86)))&gt;0),"Correo vacío o no institucional válido; ","")&amp;IF(LEN(TRIM(D86))=0,"Sin objeto contractual; ","")&amp;IF(AND(ISNUMBER(M86),N86="Mínima cuantía"),IF(M86&gt;39850000,"Mínima cuantía con valor superior al tope citado en el instructivo 2026 ($39.850.000): verificar modalidad; ",""),"")&amp;IF(AND(ISNUMBER(M86),OR(ISNUMBER(SEARCH("prestación de servicios",D86)),ISNUMBER(SEARCH("prestar servicios",D86)),ISNUMBER(SEARCH("prestar los servicios",D86)))),IF(M86&gt;=500000000,"Prestación de servicios por $500 millones o más: posible error de digitación; ",""),""))</f>
        <v>Sin observaciones</v>
      </c>
    </row>
    <row r="87" spans="1:15" ht="34.200000000000003" x14ac:dyDescent="0.3">
      <c r="A87" s="15" t="s">
        <v>1045</v>
      </c>
      <c r="B87" s="15">
        <v>80111600</v>
      </c>
      <c r="C87" s="15" t="s">
        <v>1046</v>
      </c>
      <c r="D87" s="15" t="s">
        <v>1047</v>
      </c>
      <c r="E87" s="15">
        <v>11</v>
      </c>
      <c r="F87" s="15" t="s">
        <v>802</v>
      </c>
      <c r="G87" s="29">
        <v>51029316</v>
      </c>
      <c r="H87" s="15" t="s">
        <v>1025</v>
      </c>
      <c r="I87" s="15"/>
      <c r="J87" s="15" t="s">
        <v>1026</v>
      </c>
      <c r="K87" s="15">
        <v>82</v>
      </c>
      <c r="L87" s="30" t="s">
        <v>841</v>
      </c>
      <c r="M87" s="31">
        <v>51029316</v>
      </c>
      <c r="N87" s="30" t="s">
        <v>803</v>
      </c>
      <c r="O87" s="30" t="str">
        <f>IF(LEN(IF(OR(NOT(ISNUMBER(B87)),LEN(B87)&lt;&gt;8),"UNSPSC vacío, en texto, con varios códigos o sin 8 dígitos; ","")&amp;IF(AND(ISNUMBER(B87),LEN(B87)=8),IF(MOD(B87,10000)=0,"UNSPSC a nivel de segmento o familia; ",""),"")&amp;IF(NOT(ISNUMBER(E87)),"Duración vacía o en texto; ","")&amp;IF(NOT(ISNUMBER(G87)),"Valor vacío o en texto; ","")&amp;IF(ISNUMBER(M87),IF(M87&lt;1000000,"Valor inferior a $1.000.000: verificar; ",""),"Valor no interpretable; ")&amp;IF(N87="[PENDIENTE DE VERIFICAR]","Modalidad no identificable; ","")&amp;IF(OR(ISERROR(SEARCH("@itc.edu.co",J87)),SUMPRODUCT(--ISNUMBER(SEARCH({"á","é","í","ó","ú","ñ"},J87)))&gt;0),"Correo vacío o no institucional válido; ","")&amp;IF(LEN(TRIM(D87))=0,"Sin objeto contractual; ","")&amp;IF(AND(ISNUMBER(M87),N87="Mínima cuantía"),IF(M87&gt;39850000,"Mínima cuantía con valor superior al tope citado en el instructivo 2026 ($39.850.000): verificar modalidad; ",""),"")&amp;IF(AND(ISNUMBER(M87),OR(ISNUMBER(SEARCH("prestación de servicios",D87)),ISNUMBER(SEARCH("prestar servicios",D87)),ISNUMBER(SEARCH("prestar los servicios",D87)))),IF(M87&gt;=500000000,"Prestación de servicios por $500 millones o más: posible error de digitación; ",""),""))=0,"Sin observaciones",IF(OR(NOT(ISNUMBER(B87)),LEN(B87)&lt;&gt;8),"UNSPSC vacío, en texto, con varios códigos o sin 8 dígitos; ","")&amp;IF(AND(ISNUMBER(B87),LEN(B87)=8),IF(MOD(B87,10000)=0,"UNSPSC a nivel de segmento o familia; ",""),"")&amp;IF(NOT(ISNUMBER(E87)),"Duración vacía o en texto; ","")&amp;IF(NOT(ISNUMBER(G87)),"Valor vacío o en texto; ","")&amp;IF(ISNUMBER(M87),IF(M87&lt;1000000,"Valor inferior a $1.000.000: verificar; ",""),"Valor no interpretable; ")&amp;IF(N87="[PENDIENTE DE VERIFICAR]","Modalidad no identificable; ","")&amp;IF(OR(ISERROR(SEARCH("@itc.edu.co",J87)),SUMPRODUCT(--ISNUMBER(SEARCH({"á","é","í","ó","ú","ñ"},J87)))&gt;0),"Correo vacío o no institucional válido; ","")&amp;IF(LEN(TRIM(D87))=0,"Sin objeto contractual; ","")&amp;IF(AND(ISNUMBER(M87),N87="Mínima cuantía"),IF(M87&gt;39850000,"Mínima cuantía con valor superior al tope citado en el instructivo 2026 ($39.850.000): verificar modalidad; ",""),"")&amp;IF(AND(ISNUMBER(M87),OR(ISNUMBER(SEARCH("prestación de servicios",D87)),ISNUMBER(SEARCH("prestar servicios",D87)),ISNUMBER(SEARCH("prestar los servicios",D87)))),IF(M87&gt;=500000000,"Prestación de servicios por $500 millones o más: posible error de digitación; ",""),""))</f>
        <v>Sin observaciones</v>
      </c>
    </row>
    <row r="88" spans="1:15" ht="45.6" x14ac:dyDescent="0.3">
      <c r="A88" s="15" t="s">
        <v>1048</v>
      </c>
      <c r="B88" s="15">
        <v>80111600</v>
      </c>
      <c r="C88" s="15" t="s">
        <v>1049</v>
      </c>
      <c r="D88" s="15" t="s">
        <v>1050</v>
      </c>
      <c r="E88" s="15">
        <v>11</v>
      </c>
      <c r="F88" s="15" t="s">
        <v>802</v>
      </c>
      <c r="G88" s="29">
        <v>47469132</v>
      </c>
      <c r="H88" s="15" t="s">
        <v>1025</v>
      </c>
      <c r="I88" s="15"/>
      <c r="J88" s="15" t="s">
        <v>1026</v>
      </c>
      <c r="K88" s="15">
        <v>83</v>
      </c>
      <c r="L88" s="30" t="s">
        <v>841</v>
      </c>
      <c r="M88" s="31">
        <v>47469132</v>
      </c>
      <c r="N88" s="30" t="s">
        <v>803</v>
      </c>
      <c r="O88" s="30" t="str">
        <f>IF(LEN(IF(OR(NOT(ISNUMBER(B88)),LEN(B88)&lt;&gt;8),"UNSPSC vacío, en texto, con varios códigos o sin 8 dígitos; ","")&amp;IF(AND(ISNUMBER(B88),LEN(B88)=8),IF(MOD(B88,10000)=0,"UNSPSC a nivel de segmento o familia; ",""),"")&amp;IF(NOT(ISNUMBER(E88)),"Duración vacía o en texto; ","")&amp;IF(NOT(ISNUMBER(G88)),"Valor vacío o en texto; ","")&amp;IF(ISNUMBER(M88),IF(M88&lt;1000000,"Valor inferior a $1.000.000: verificar; ",""),"Valor no interpretable; ")&amp;IF(N88="[PENDIENTE DE VERIFICAR]","Modalidad no identificable; ","")&amp;IF(OR(ISERROR(SEARCH("@itc.edu.co",J88)),SUMPRODUCT(--ISNUMBER(SEARCH({"á","é","í","ó","ú","ñ"},J88)))&gt;0),"Correo vacío o no institucional válido; ","")&amp;IF(LEN(TRIM(D88))=0,"Sin objeto contractual; ","")&amp;IF(AND(ISNUMBER(M88),N88="Mínima cuantía"),IF(M88&gt;39850000,"Mínima cuantía con valor superior al tope citado en el instructivo 2026 ($39.850.000): verificar modalidad; ",""),"")&amp;IF(AND(ISNUMBER(M88),OR(ISNUMBER(SEARCH("prestación de servicios",D88)),ISNUMBER(SEARCH("prestar servicios",D88)),ISNUMBER(SEARCH("prestar los servicios",D88)))),IF(M88&gt;=500000000,"Prestación de servicios por $500 millones o más: posible error de digitación; ",""),""))=0,"Sin observaciones",IF(OR(NOT(ISNUMBER(B88)),LEN(B88)&lt;&gt;8),"UNSPSC vacío, en texto, con varios códigos o sin 8 dígitos; ","")&amp;IF(AND(ISNUMBER(B88),LEN(B88)=8),IF(MOD(B88,10000)=0,"UNSPSC a nivel de segmento o familia; ",""),"")&amp;IF(NOT(ISNUMBER(E88)),"Duración vacía o en texto; ","")&amp;IF(NOT(ISNUMBER(G88)),"Valor vacío o en texto; ","")&amp;IF(ISNUMBER(M88),IF(M88&lt;1000000,"Valor inferior a $1.000.000: verificar; ",""),"Valor no interpretable; ")&amp;IF(N88="[PENDIENTE DE VERIFICAR]","Modalidad no identificable; ","")&amp;IF(OR(ISERROR(SEARCH("@itc.edu.co",J88)),SUMPRODUCT(--ISNUMBER(SEARCH({"á","é","í","ó","ú","ñ"},J88)))&gt;0),"Correo vacío o no institucional válido; ","")&amp;IF(LEN(TRIM(D88))=0,"Sin objeto contractual; ","")&amp;IF(AND(ISNUMBER(M88),N88="Mínima cuantía"),IF(M88&gt;39850000,"Mínima cuantía con valor superior al tope citado en el instructivo 2026 ($39.850.000): verificar modalidad; ",""),"")&amp;IF(AND(ISNUMBER(M88),OR(ISNUMBER(SEARCH("prestación de servicios",D88)),ISNUMBER(SEARCH("prestar servicios",D88)),ISNUMBER(SEARCH("prestar los servicios",D88)))),IF(M88&gt;=500000000,"Prestación de servicios por $500 millones o más: posible error de digitación; ",""),""))</f>
        <v>Sin observaciones</v>
      </c>
    </row>
    <row r="89" spans="1:15" ht="45.6" x14ac:dyDescent="0.3">
      <c r="A89" s="15" t="s">
        <v>1051</v>
      </c>
      <c r="B89" s="15">
        <v>80111600</v>
      </c>
      <c r="C89" s="15" t="s">
        <v>1052</v>
      </c>
      <c r="D89" s="15" t="s">
        <v>1053</v>
      </c>
      <c r="E89" s="15">
        <v>11</v>
      </c>
      <c r="F89" s="15" t="s">
        <v>802</v>
      </c>
      <c r="G89" s="29">
        <v>33376740</v>
      </c>
      <c r="H89" s="15" t="s">
        <v>1025</v>
      </c>
      <c r="I89" s="15"/>
      <c r="J89" s="15" t="s">
        <v>1026</v>
      </c>
      <c r="K89" s="15">
        <v>84</v>
      </c>
      <c r="L89" s="30" t="s">
        <v>841</v>
      </c>
      <c r="M89" s="31">
        <v>33376740</v>
      </c>
      <c r="N89" s="30" t="s">
        <v>803</v>
      </c>
      <c r="O89" s="30" t="str">
        <f>IF(LEN(IF(OR(NOT(ISNUMBER(B89)),LEN(B89)&lt;&gt;8),"UNSPSC vacío, en texto, con varios códigos o sin 8 dígitos; ","")&amp;IF(AND(ISNUMBER(B89),LEN(B89)=8),IF(MOD(B89,10000)=0,"UNSPSC a nivel de segmento o familia; ",""),"")&amp;IF(NOT(ISNUMBER(E89)),"Duración vacía o en texto; ","")&amp;IF(NOT(ISNUMBER(G89)),"Valor vacío o en texto; ","")&amp;IF(ISNUMBER(M89),IF(M89&lt;1000000,"Valor inferior a $1.000.000: verificar; ",""),"Valor no interpretable; ")&amp;IF(N89="[PENDIENTE DE VERIFICAR]","Modalidad no identificable; ","")&amp;IF(OR(ISERROR(SEARCH("@itc.edu.co",J89)),SUMPRODUCT(--ISNUMBER(SEARCH({"á","é","í","ó","ú","ñ"},J89)))&gt;0),"Correo vacío o no institucional válido; ","")&amp;IF(LEN(TRIM(D89))=0,"Sin objeto contractual; ","")&amp;IF(AND(ISNUMBER(M89),N89="Mínima cuantía"),IF(M89&gt;39850000,"Mínima cuantía con valor superior al tope citado en el instructivo 2026 ($39.850.000): verificar modalidad; ",""),"")&amp;IF(AND(ISNUMBER(M89),OR(ISNUMBER(SEARCH("prestación de servicios",D89)),ISNUMBER(SEARCH("prestar servicios",D89)),ISNUMBER(SEARCH("prestar los servicios",D89)))),IF(M89&gt;=500000000,"Prestación de servicios por $500 millones o más: posible error de digitación; ",""),""))=0,"Sin observaciones",IF(OR(NOT(ISNUMBER(B89)),LEN(B89)&lt;&gt;8),"UNSPSC vacío, en texto, con varios códigos o sin 8 dígitos; ","")&amp;IF(AND(ISNUMBER(B89),LEN(B89)=8),IF(MOD(B89,10000)=0,"UNSPSC a nivel de segmento o familia; ",""),"")&amp;IF(NOT(ISNUMBER(E89)),"Duración vacía o en texto; ","")&amp;IF(NOT(ISNUMBER(G89)),"Valor vacío o en texto; ","")&amp;IF(ISNUMBER(M89),IF(M89&lt;1000000,"Valor inferior a $1.000.000: verificar; ",""),"Valor no interpretable; ")&amp;IF(N89="[PENDIENTE DE VERIFICAR]","Modalidad no identificable; ","")&amp;IF(OR(ISERROR(SEARCH("@itc.edu.co",J89)),SUMPRODUCT(--ISNUMBER(SEARCH({"á","é","í","ó","ú","ñ"},J89)))&gt;0),"Correo vacío o no institucional válido; ","")&amp;IF(LEN(TRIM(D89))=0,"Sin objeto contractual; ","")&amp;IF(AND(ISNUMBER(M89),N89="Mínima cuantía"),IF(M89&gt;39850000,"Mínima cuantía con valor superior al tope citado en el instructivo 2026 ($39.850.000): verificar modalidad; ",""),"")&amp;IF(AND(ISNUMBER(M89),OR(ISNUMBER(SEARCH("prestación de servicios",D89)),ISNUMBER(SEARCH("prestar servicios",D89)),ISNUMBER(SEARCH("prestar los servicios",D89)))),IF(M89&gt;=500000000,"Prestación de servicios por $500 millones o más: posible error de digitación; ",""),""))</f>
        <v>Sin observaciones</v>
      </c>
    </row>
    <row r="90" spans="1:15" ht="45.6" x14ac:dyDescent="0.3">
      <c r="A90" s="15" t="s">
        <v>1054</v>
      </c>
      <c r="B90" s="15">
        <v>80111600</v>
      </c>
      <c r="C90" s="15" t="s">
        <v>1055</v>
      </c>
      <c r="D90" s="15" t="s">
        <v>1056</v>
      </c>
      <c r="E90" s="15">
        <v>11</v>
      </c>
      <c r="F90" s="15" t="s">
        <v>802</v>
      </c>
      <c r="G90" s="29">
        <v>61944912</v>
      </c>
      <c r="H90" s="15" t="s">
        <v>1025</v>
      </c>
      <c r="I90" s="15"/>
      <c r="J90" s="15" t="s">
        <v>1026</v>
      </c>
      <c r="K90" s="15">
        <v>85</v>
      </c>
      <c r="L90" s="30" t="s">
        <v>841</v>
      </c>
      <c r="M90" s="31">
        <v>61944912</v>
      </c>
      <c r="N90" s="30" t="s">
        <v>803</v>
      </c>
      <c r="O90" s="30" t="str">
        <f>IF(LEN(IF(OR(NOT(ISNUMBER(B90)),LEN(B90)&lt;&gt;8),"UNSPSC vacío, en texto, con varios códigos o sin 8 dígitos; ","")&amp;IF(AND(ISNUMBER(B90),LEN(B90)=8),IF(MOD(B90,10000)=0,"UNSPSC a nivel de segmento o familia; ",""),"")&amp;IF(NOT(ISNUMBER(E90)),"Duración vacía o en texto; ","")&amp;IF(NOT(ISNUMBER(G90)),"Valor vacío o en texto; ","")&amp;IF(ISNUMBER(M90),IF(M90&lt;1000000,"Valor inferior a $1.000.000: verificar; ",""),"Valor no interpretable; ")&amp;IF(N90="[PENDIENTE DE VERIFICAR]","Modalidad no identificable; ","")&amp;IF(OR(ISERROR(SEARCH("@itc.edu.co",J90)),SUMPRODUCT(--ISNUMBER(SEARCH({"á","é","í","ó","ú","ñ"},J90)))&gt;0),"Correo vacío o no institucional válido; ","")&amp;IF(LEN(TRIM(D90))=0,"Sin objeto contractual; ","")&amp;IF(AND(ISNUMBER(M90),N90="Mínima cuantía"),IF(M90&gt;39850000,"Mínima cuantía con valor superior al tope citado en el instructivo 2026 ($39.850.000): verificar modalidad; ",""),"")&amp;IF(AND(ISNUMBER(M90),OR(ISNUMBER(SEARCH("prestación de servicios",D90)),ISNUMBER(SEARCH("prestar servicios",D90)),ISNUMBER(SEARCH("prestar los servicios",D90)))),IF(M90&gt;=500000000,"Prestación de servicios por $500 millones o más: posible error de digitación; ",""),""))=0,"Sin observaciones",IF(OR(NOT(ISNUMBER(B90)),LEN(B90)&lt;&gt;8),"UNSPSC vacío, en texto, con varios códigos o sin 8 dígitos; ","")&amp;IF(AND(ISNUMBER(B90),LEN(B90)=8),IF(MOD(B90,10000)=0,"UNSPSC a nivel de segmento o familia; ",""),"")&amp;IF(NOT(ISNUMBER(E90)),"Duración vacía o en texto; ","")&amp;IF(NOT(ISNUMBER(G90)),"Valor vacío o en texto; ","")&amp;IF(ISNUMBER(M90),IF(M90&lt;1000000,"Valor inferior a $1.000.000: verificar; ",""),"Valor no interpretable; ")&amp;IF(N90="[PENDIENTE DE VERIFICAR]","Modalidad no identificable; ","")&amp;IF(OR(ISERROR(SEARCH("@itc.edu.co",J90)),SUMPRODUCT(--ISNUMBER(SEARCH({"á","é","í","ó","ú","ñ"},J90)))&gt;0),"Correo vacío o no institucional válido; ","")&amp;IF(LEN(TRIM(D90))=0,"Sin objeto contractual; ","")&amp;IF(AND(ISNUMBER(M90),N90="Mínima cuantía"),IF(M90&gt;39850000,"Mínima cuantía con valor superior al tope citado en el instructivo 2026 ($39.850.000): verificar modalidad; ",""),"")&amp;IF(AND(ISNUMBER(M90),OR(ISNUMBER(SEARCH("prestación de servicios",D90)),ISNUMBER(SEARCH("prestar servicios",D90)),ISNUMBER(SEARCH("prestar los servicios",D90)))),IF(M90&gt;=500000000,"Prestación de servicios por $500 millones o más: posible error de digitación; ",""),""))</f>
        <v>Sin observaciones</v>
      </c>
    </row>
    <row r="91" spans="1:15" ht="45.6" x14ac:dyDescent="0.3">
      <c r="A91" s="15" t="s">
        <v>1057</v>
      </c>
      <c r="B91" s="15">
        <v>80111600</v>
      </c>
      <c r="C91" s="15" t="s">
        <v>1058</v>
      </c>
      <c r="D91" s="15" t="s">
        <v>1059</v>
      </c>
      <c r="E91" s="15">
        <v>11</v>
      </c>
      <c r="F91" s="15" t="s">
        <v>802</v>
      </c>
      <c r="G91" s="29">
        <v>28704000</v>
      </c>
      <c r="H91" s="15" t="s">
        <v>1025</v>
      </c>
      <c r="I91" s="15"/>
      <c r="J91" s="15" t="s">
        <v>1026</v>
      </c>
      <c r="K91" s="15">
        <v>86</v>
      </c>
      <c r="L91" s="30" t="s">
        <v>841</v>
      </c>
      <c r="M91" s="31">
        <v>28704000</v>
      </c>
      <c r="N91" s="30" t="s">
        <v>803</v>
      </c>
      <c r="O91" s="30" t="str">
        <f>IF(LEN(IF(OR(NOT(ISNUMBER(B91)),LEN(B91)&lt;&gt;8),"UNSPSC vacío, en texto, con varios códigos o sin 8 dígitos; ","")&amp;IF(AND(ISNUMBER(B91),LEN(B91)=8),IF(MOD(B91,10000)=0,"UNSPSC a nivel de segmento o familia; ",""),"")&amp;IF(NOT(ISNUMBER(E91)),"Duración vacía o en texto; ","")&amp;IF(NOT(ISNUMBER(G91)),"Valor vacío o en texto; ","")&amp;IF(ISNUMBER(M91),IF(M91&lt;1000000,"Valor inferior a $1.000.000: verificar; ",""),"Valor no interpretable; ")&amp;IF(N91="[PENDIENTE DE VERIFICAR]","Modalidad no identificable; ","")&amp;IF(OR(ISERROR(SEARCH("@itc.edu.co",J91)),SUMPRODUCT(--ISNUMBER(SEARCH({"á","é","í","ó","ú","ñ"},J91)))&gt;0),"Correo vacío o no institucional válido; ","")&amp;IF(LEN(TRIM(D91))=0,"Sin objeto contractual; ","")&amp;IF(AND(ISNUMBER(M91),N91="Mínima cuantía"),IF(M91&gt;39850000,"Mínima cuantía con valor superior al tope citado en el instructivo 2026 ($39.850.000): verificar modalidad; ",""),"")&amp;IF(AND(ISNUMBER(M91),OR(ISNUMBER(SEARCH("prestación de servicios",D91)),ISNUMBER(SEARCH("prestar servicios",D91)),ISNUMBER(SEARCH("prestar los servicios",D91)))),IF(M91&gt;=500000000,"Prestación de servicios por $500 millones o más: posible error de digitación; ",""),""))=0,"Sin observaciones",IF(OR(NOT(ISNUMBER(B91)),LEN(B91)&lt;&gt;8),"UNSPSC vacío, en texto, con varios códigos o sin 8 dígitos; ","")&amp;IF(AND(ISNUMBER(B91),LEN(B91)=8),IF(MOD(B91,10000)=0,"UNSPSC a nivel de segmento o familia; ",""),"")&amp;IF(NOT(ISNUMBER(E91)),"Duración vacía o en texto; ","")&amp;IF(NOT(ISNUMBER(G91)),"Valor vacío o en texto; ","")&amp;IF(ISNUMBER(M91),IF(M91&lt;1000000,"Valor inferior a $1.000.000: verificar; ",""),"Valor no interpretable; ")&amp;IF(N91="[PENDIENTE DE VERIFICAR]","Modalidad no identificable; ","")&amp;IF(OR(ISERROR(SEARCH("@itc.edu.co",J91)),SUMPRODUCT(--ISNUMBER(SEARCH({"á","é","í","ó","ú","ñ"},J91)))&gt;0),"Correo vacío o no institucional válido; ","")&amp;IF(LEN(TRIM(D91))=0,"Sin objeto contractual; ","")&amp;IF(AND(ISNUMBER(M91),N91="Mínima cuantía"),IF(M91&gt;39850000,"Mínima cuantía con valor superior al tope citado en el instructivo 2026 ($39.850.000): verificar modalidad; ",""),"")&amp;IF(AND(ISNUMBER(M91),OR(ISNUMBER(SEARCH("prestación de servicios",D91)),ISNUMBER(SEARCH("prestar servicios",D91)),ISNUMBER(SEARCH("prestar los servicios",D91)))),IF(M91&gt;=500000000,"Prestación de servicios por $500 millones o más: posible error de digitación; ",""),""))</f>
        <v>Sin observaciones</v>
      </c>
    </row>
    <row r="92" spans="1:15" ht="34.200000000000003" x14ac:dyDescent="0.3">
      <c r="A92" s="15" t="s">
        <v>1060</v>
      </c>
      <c r="B92" s="15">
        <v>80111600</v>
      </c>
      <c r="C92" s="15" t="s">
        <v>1061</v>
      </c>
      <c r="D92" s="15" t="s">
        <v>1062</v>
      </c>
      <c r="E92" s="15">
        <v>11</v>
      </c>
      <c r="F92" s="15" t="s">
        <v>802</v>
      </c>
      <c r="G92" s="29">
        <v>54254244</v>
      </c>
      <c r="H92" s="15" t="s">
        <v>999</v>
      </c>
      <c r="I92" s="15"/>
      <c r="J92" s="15" t="s">
        <v>976</v>
      </c>
      <c r="K92" s="15">
        <v>87</v>
      </c>
      <c r="L92" s="30" t="s">
        <v>977</v>
      </c>
      <c r="M92" s="31">
        <v>54254244</v>
      </c>
      <c r="N92" s="30" t="s">
        <v>803</v>
      </c>
      <c r="O92" s="30" t="str">
        <f>IF(LEN(IF(OR(NOT(ISNUMBER(B92)),LEN(B92)&lt;&gt;8),"UNSPSC vacío, en texto, con varios códigos o sin 8 dígitos; ","")&amp;IF(AND(ISNUMBER(B92),LEN(B92)=8),IF(MOD(B92,10000)=0,"UNSPSC a nivel de segmento o familia; ",""),"")&amp;IF(NOT(ISNUMBER(E92)),"Duración vacía o en texto; ","")&amp;IF(NOT(ISNUMBER(G92)),"Valor vacío o en texto; ","")&amp;IF(ISNUMBER(M92),IF(M92&lt;1000000,"Valor inferior a $1.000.000: verificar; ",""),"Valor no interpretable; ")&amp;IF(N92="[PENDIENTE DE VERIFICAR]","Modalidad no identificable; ","")&amp;IF(OR(ISERROR(SEARCH("@itc.edu.co",J92)),SUMPRODUCT(--ISNUMBER(SEARCH({"á","é","í","ó","ú","ñ"},J92)))&gt;0),"Correo vacío o no institucional válido; ","")&amp;IF(LEN(TRIM(D92))=0,"Sin objeto contractual; ","")&amp;IF(AND(ISNUMBER(M92),N92="Mínima cuantía"),IF(M92&gt;39850000,"Mínima cuantía con valor superior al tope citado en el instructivo 2026 ($39.850.000): verificar modalidad; ",""),"")&amp;IF(AND(ISNUMBER(M92),OR(ISNUMBER(SEARCH("prestación de servicios",D92)),ISNUMBER(SEARCH("prestar servicios",D92)),ISNUMBER(SEARCH("prestar los servicios",D92)))),IF(M92&gt;=500000000,"Prestación de servicios por $500 millones o más: posible error de digitación; ",""),""))=0,"Sin observaciones",IF(OR(NOT(ISNUMBER(B92)),LEN(B92)&lt;&gt;8),"UNSPSC vacío, en texto, con varios códigos o sin 8 dígitos; ","")&amp;IF(AND(ISNUMBER(B92),LEN(B92)=8),IF(MOD(B92,10000)=0,"UNSPSC a nivel de segmento o familia; ",""),"")&amp;IF(NOT(ISNUMBER(E92)),"Duración vacía o en texto; ","")&amp;IF(NOT(ISNUMBER(G92)),"Valor vacío o en texto; ","")&amp;IF(ISNUMBER(M92),IF(M92&lt;1000000,"Valor inferior a $1.000.000: verificar; ",""),"Valor no interpretable; ")&amp;IF(N92="[PENDIENTE DE VERIFICAR]","Modalidad no identificable; ","")&amp;IF(OR(ISERROR(SEARCH("@itc.edu.co",J92)),SUMPRODUCT(--ISNUMBER(SEARCH({"á","é","í","ó","ú","ñ"},J92)))&gt;0),"Correo vacío o no institucional válido; ","")&amp;IF(LEN(TRIM(D92))=0,"Sin objeto contractual; ","")&amp;IF(AND(ISNUMBER(M92),N92="Mínima cuantía"),IF(M92&gt;39850000,"Mínima cuantía con valor superior al tope citado en el instructivo 2026 ($39.850.000): verificar modalidad; ",""),"")&amp;IF(AND(ISNUMBER(M92),OR(ISNUMBER(SEARCH("prestación de servicios",D92)),ISNUMBER(SEARCH("prestar servicios",D92)),ISNUMBER(SEARCH("prestar los servicios",D92)))),IF(M92&gt;=500000000,"Prestación de servicios por $500 millones o más: posible error de digitación; ",""),""))</f>
        <v>Sin observaciones</v>
      </c>
    </row>
    <row r="93" spans="1:15" ht="34.200000000000003" x14ac:dyDescent="0.3">
      <c r="A93" s="15" t="s">
        <v>1063</v>
      </c>
      <c r="B93" s="15"/>
      <c r="C93" s="15" t="s">
        <v>1064</v>
      </c>
      <c r="D93" s="15" t="s">
        <v>1065</v>
      </c>
      <c r="E93" s="15">
        <v>11</v>
      </c>
      <c r="F93" s="15" t="s">
        <v>802</v>
      </c>
      <c r="G93" s="29">
        <v>54266124</v>
      </c>
      <c r="H93" s="15" t="s">
        <v>999</v>
      </c>
      <c r="I93" s="15"/>
      <c r="J93" s="15" t="s">
        <v>976</v>
      </c>
      <c r="K93" s="15">
        <v>88</v>
      </c>
      <c r="L93" s="30" t="s">
        <v>977</v>
      </c>
      <c r="M93" s="31">
        <v>54266124</v>
      </c>
      <c r="N93" s="30" t="s">
        <v>803</v>
      </c>
      <c r="O93" s="30" t="str">
        <f>IF(LEN(IF(OR(NOT(ISNUMBER(B93)),LEN(B93)&lt;&gt;8),"UNSPSC vacío, en texto, con varios códigos o sin 8 dígitos; ","")&amp;IF(AND(ISNUMBER(B93),LEN(B93)=8),IF(MOD(B93,10000)=0,"UNSPSC a nivel de segmento o familia; ",""),"")&amp;IF(NOT(ISNUMBER(E93)),"Duración vacía o en texto; ","")&amp;IF(NOT(ISNUMBER(G93)),"Valor vacío o en texto; ","")&amp;IF(ISNUMBER(M93),IF(M93&lt;1000000,"Valor inferior a $1.000.000: verificar; ",""),"Valor no interpretable; ")&amp;IF(N93="[PENDIENTE DE VERIFICAR]","Modalidad no identificable; ","")&amp;IF(OR(ISERROR(SEARCH("@itc.edu.co",J93)),SUMPRODUCT(--ISNUMBER(SEARCH({"á","é","í","ó","ú","ñ"},J93)))&gt;0),"Correo vacío o no institucional válido; ","")&amp;IF(LEN(TRIM(D93))=0,"Sin objeto contractual; ","")&amp;IF(AND(ISNUMBER(M93),N93="Mínima cuantía"),IF(M93&gt;39850000,"Mínima cuantía con valor superior al tope citado en el instructivo 2026 ($39.850.000): verificar modalidad; ",""),"")&amp;IF(AND(ISNUMBER(M93),OR(ISNUMBER(SEARCH("prestación de servicios",D93)),ISNUMBER(SEARCH("prestar servicios",D93)),ISNUMBER(SEARCH("prestar los servicios",D93)))),IF(M93&gt;=500000000,"Prestación de servicios por $500 millones o más: posible error de digitación; ",""),""))=0,"Sin observaciones",IF(OR(NOT(ISNUMBER(B93)),LEN(B93)&lt;&gt;8),"UNSPSC vacío, en texto, con varios códigos o sin 8 dígitos; ","")&amp;IF(AND(ISNUMBER(B93),LEN(B93)=8),IF(MOD(B93,10000)=0,"UNSPSC a nivel de segmento o familia; ",""),"")&amp;IF(NOT(ISNUMBER(E93)),"Duración vacía o en texto; ","")&amp;IF(NOT(ISNUMBER(G93)),"Valor vacío o en texto; ","")&amp;IF(ISNUMBER(M93),IF(M93&lt;1000000,"Valor inferior a $1.000.000: verificar; ",""),"Valor no interpretable; ")&amp;IF(N93="[PENDIENTE DE VERIFICAR]","Modalidad no identificable; ","")&amp;IF(OR(ISERROR(SEARCH("@itc.edu.co",J93)),SUMPRODUCT(--ISNUMBER(SEARCH({"á","é","í","ó","ú","ñ"},J93)))&gt;0),"Correo vacío o no institucional válido; ","")&amp;IF(LEN(TRIM(D93))=0,"Sin objeto contractual; ","")&amp;IF(AND(ISNUMBER(M93),N93="Mínima cuantía"),IF(M93&gt;39850000,"Mínima cuantía con valor superior al tope citado en el instructivo 2026 ($39.850.000): verificar modalidad; ",""),"")&amp;IF(AND(ISNUMBER(M93),OR(ISNUMBER(SEARCH("prestación de servicios",D93)),ISNUMBER(SEARCH("prestar servicios",D93)),ISNUMBER(SEARCH("prestar los servicios",D93)))),IF(M93&gt;=500000000,"Prestación de servicios por $500 millones o más: posible error de digitación; ",""),""))</f>
        <v xml:space="preserve">UNSPSC vacío, en texto, con varios códigos o sin 8 dígitos; </v>
      </c>
    </row>
    <row r="94" spans="1:15" ht="34.200000000000003" x14ac:dyDescent="0.3">
      <c r="A94" s="15" t="s">
        <v>1066</v>
      </c>
      <c r="B94" s="15"/>
      <c r="C94" s="15" t="s">
        <v>1067</v>
      </c>
      <c r="D94" s="15" t="s">
        <v>1068</v>
      </c>
      <c r="E94" s="15">
        <v>11</v>
      </c>
      <c r="F94" s="15" t="s">
        <v>802</v>
      </c>
      <c r="G94" s="29">
        <v>27900000</v>
      </c>
      <c r="H94" s="15" t="s">
        <v>999</v>
      </c>
      <c r="I94" s="15"/>
      <c r="J94" s="15" t="s">
        <v>976</v>
      </c>
      <c r="K94" s="15">
        <v>89</v>
      </c>
      <c r="L94" s="30" t="s">
        <v>977</v>
      </c>
      <c r="M94" s="31">
        <v>27900000</v>
      </c>
      <c r="N94" s="30" t="s">
        <v>803</v>
      </c>
      <c r="O94" s="30" t="str">
        <f>IF(LEN(IF(OR(NOT(ISNUMBER(B94)),LEN(B94)&lt;&gt;8),"UNSPSC vacío, en texto, con varios códigos o sin 8 dígitos; ","")&amp;IF(AND(ISNUMBER(B94),LEN(B94)=8),IF(MOD(B94,10000)=0,"UNSPSC a nivel de segmento o familia; ",""),"")&amp;IF(NOT(ISNUMBER(E94)),"Duración vacía o en texto; ","")&amp;IF(NOT(ISNUMBER(G94)),"Valor vacío o en texto; ","")&amp;IF(ISNUMBER(M94),IF(M94&lt;1000000,"Valor inferior a $1.000.000: verificar; ",""),"Valor no interpretable; ")&amp;IF(N94="[PENDIENTE DE VERIFICAR]","Modalidad no identificable; ","")&amp;IF(OR(ISERROR(SEARCH("@itc.edu.co",J94)),SUMPRODUCT(--ISNUMBER(SEARCH({"á","é","í","ó","ú","ñ"},J94)))&gt;0),"Correo vacío o no institucional válido; ","")&amp;IF(LEN(TRIM(D94))=0,"Sin objeto contractual; ","")&amp;IF(AND(ISNUMBER(M94),N94="Mínima cuantía"),IF(M94&gt;39850000,"Mínima cuantía con valor superior al tope citado en el instructivo 2026 ($39.850.000): verificar modalidad; ",""),"")&amp;IF(AND(ISNUMBER(M94),OR(ISNUMBER(SEARCH("prestación de servicios",D94)),ISNUMBER(SEARCH("prestar servicios",D94)),ISNUMBER(SEARCH("prestar los servicios",D94)))),IF(M94&gt;=500000000,"Prestación de servicios por $500 millones o más: posible error de digitación; ",""),""))=0,"Sin observaciones",IF(OR(NOT(ISNUMBER(B94)),LEN(B94)&lt;&gt;8),"UNSPSC vacío, en texto, con varios códigos o sin 8 dígitos; ","")&amp;IF(AND(ISNUMBER(B94),LEN(B94)=8),IF(MOD(B94,10000)=0,"UNSPSC a nivel de segmento o familia; ",""),"")&amp;IF(NOT(ISNUMBER(E94)),"Duración vacía o en texto; ","")&amp;IF(NOT(ISNUMBER(G94)),"Valor vacío o en texto; ","")&amp;IF(ISNUMBER(M94),IF(M94&lt;1000000,"Valor inferior a $1.000.000: verificar; ",""),"Valor no interpretable; ")&amp;IF(N94="[PENDIENTE DE VERIFICAR]","Modalidad no identificable; ","")&amp;IF(OR(ISERROR(SEARCH("@itc.edu.co",J94)),SUMPRODUCT(--ISNUMBER(SEARCH({"á","é","í","ó","ú","ñ"},J94)))&gt;0),"Correo vacío o no institucional válido; ","")&amp;IF(LEN(TRIM(D94))=0,"Sin objeto contractual; ","")&amp;IF(AND(ISNUMBER(M94),N94="Mínima cuantía"),IF(M94&gt;39850000,"Mínima cuantía con valor superior al tope citado en el instructivo 2026 ($39.850.000): verificar modalidad; ",""),"")&amp;IF(AND(ISNUMBER(M94),OR(ISNUMBER(SEARCH("prestación de servicios",D94)),ISNUMBER(SEARCH("prestar servicios",D94)),ISNUMBER(SEARCH("prestar los servicios",D94)))),IF(M94&gt;=500000000,"Prestación de servicios por $500 millones o más: posible error de digitación; ",""),""))</f>
        <v xml:space="preserve">UNSPSC vacío, en texto, con varios códigos o sin 8 dígitos; </v>
      </c>
    </row>
    <row r="95" spans="1:15" ht="34.200000000000003" x14ac:dyDescent="0.3">
      <c r="A95" s="15" t="s">
        <v>1069</v>
      </c>
      <c r="B95" s="15"/>
      <c r="C95" s="15" t="s">
        <v>1070</v>
      </c>
      <c r="D95" s="15" t="s">
        <v>1071</v>
      </c>
      <c r="E95" s="15">
        <v>11</v>
      </c>
      <c r="F95" s="15" t="s">
        <v>802</v>
      </c>
      <c r="G95" s="29">
        <v>32802290</v>
      </c>
      <c r="H95" s="15" t="s">
        <v>999</v>
      </c>
      <c r="I95" s="15"/>
      <c r="J95" s="15" t="s">
        <v>976</v>
      </c>
      <c r="K95" s="15">
        <v>90</v>
      </c>
      <c r="L95" s="30" t="s">
        <v>977</v>
      </c>
      <c r="M95" s="31">
        <v>32802290</v>
      </c>
      <c r="N95" s="30" t="s">
        <v>803</v>
      </c>
      <c r="O95" s="30" t="str">
        <f>IF(LEN(IF(OR(NOT(ISNUMBER(B95)),LEN(B95)&lt;&gt;8),"UNSPSC vacío, en texto, con varios códigos o sin 8 dígitos; ","")&amp;IF(AND(ISNUMBER(B95),LEN(B95)=8),IF(MOD(B95,10000)=0,"UNSPSC a nivel de segmento o familia; ",""),"")&amp;IF(NOT(ISNUMBER(E95)),"Duración vacía o en texto; ","")&amp;IF(NOT(ISNUMBER(G95)),"Valor vacío o en texto; ","")&amp;IF(ISNUMBER(M95),IF(M95&lt;1000000,"Valor inferior a $1.000.000: verificar; ",""),"Valor no interpretable; ")&amp;IF(N95="[PENDIENTE DE VERIFICAR]","Modalidad no identificable; ","")&amp;IF(OR(ISERROR(SEARCH("@itc.edu.co",J95)),SUMPRODUCT(--ISNUMBER(SEARCH({"á","é","í","ó","ú","ñ"},J95)))&gt;0),"Correo vacío o no institucional válido; ","")&amp;IF(LEN(TRIM(D95))=0,"Sin objeto contractual; ","")&amp;IF(AND(ISNUMBER(M95),N95="Mínima cuantía"),IF(M95&gt;39850000,"Mínima cuantía con valor superior al tope citado en el instructivo 2026 ($39.850.000): verificar modalidad; ",""),"")&amp;IF(AND(ISNUMBER(M95),OR(ISNUMBER(SEARCH("prestación de servicios",D95)),ISNUMBER(SEARCH("prestar servicios",D95)),ISNUMBER(SEARCH("prestar los servicios",D95)))),IF(M95&gt;=500000000,"Prestación de servicios por $500 millones o más: posible error de digitación; ",""),""))=0,"Sin observaciones",IF(OR(NOT(ISNUMBER(B95)),LEN(B95)&lt;&gt;8),"UNSPSC vacío, en texto, con varios códigos o sin 8 dígitos; ","")&amp;IF(AND(ISNUMBER(B95),LEN(B95)=8),IF(MOD(B95,10000)=0,"UNSPSC a nivel de segmento o familia; ",""),"")&amp;IF(NOT(ISNUMBER(E95)),"Duración vacía o en texto; ","")&amp;IF(NOT(ISNUMBER(G95)),"Valor vacío o en texto; ","")&amp;IF(ISNUMBER(M95),IF(M95&lt;1000000,"Valor inferior a $1.000.000: verificar; ",""),"Valor no interpretable; ")&amp;IF(N95="[PENDIENTE DE VERIFICAR]","Modalidad no identificable; ","")&amp;IF(OR(ISERROR(SEARCH("@itc.edu.co",J95)),SUMPRODUCT(--ISNUMBER(SEARCH({"á","é","í","ó","ú","ñ"},J95)))&gt;0),"Correo vacío o no institucional válido; ","")&amp;IF(LEN(TRIM(D95))=0,"Sin objeto contractual; ","")&amp;IF(AND(ISNUMBER(M95),N95="Mínima cuantía"),IF(M95&gt;39850000,"Mínima cuantía con valor superior al tope citado en el instructivo 2026 ($39.850.000): verificar modalidad; ",""),"")&amp;IF(AND(ISNUMBER(M95),OR(ISNUMBER(SEARCH("prestación de servicios",D95)),ISNUMBER(SEARCH("prestar servicios",D95)),ISNUMBER(SEARCH("prestar los servicios",D95)))),IF(M95&gt;=500000000,"Prestación de servicios por $500 millones o más: posible error de digitación; ",""),""))</f>
        <v xml:space="preserve">UNSPSC vacío, en texto, con varios códigos o sin 8 dígitos; </v>
      </c>
    </row>
    <row r="96" spans="1:15" ht="34.200000000000003" x14ac:dyDescent="0.3">
      <c r="A96" s="15" t="s">
        <v>1072</v>
      </c>
      <c r="B96" s="15"/>
      <c r="C96" s="15" t="s">
        <v>1073</v>
      </c>
      <c r="D96" s="15" t="s">
        <v>1074</v>
      </c>
      <c r="E96" s="15">
        <v>11</v>
      </c>
      <c r="F96" s="15" t="s">
        <v>802</v>
      </c>
      <c r="G96" s="29">
        <v>32802290</v>
      </c>
      <c r="H96" s="15" t="s">
        <v>999</v>
      </c>
      <c r="I96" s="15"/>
      <c r="J96" s="15" t="s">
        <v>976</v>
      </c>
      <c r="K96" s="15">
        <v>91</v>
      </c>
      <c r="L96" s="30" t="s">
        <v>977</v>
      </c>
      <c r="M96" s="31">
        <v>32802290</v>
      </c>
      <c r="N96" s="30" t="s">
        <v>803</v>
      </c>
      <c r="O96" s="30" t="str">
        <f>IF(LEN(IF(OR(NOT(ISNUMBER(B96)),LEN(B96)&lt;&gt;8),"UNSPSC vacío, en texto, con varios códigos o sin 8 dígitos; ","")&amp;IF(AND(ISNUMBER(B96),LEN(B96)=8),IF(MOD(B96,10000)=0,"UNSPSC a nivel de segmento o familia; ",""),"")&amp;IF(NOT(ISNUMBER(E96)),"Duración vacía o en texto; ","")&amp;IF(NOT(ISNUMBER(G96)),"Valor vacío o en texto; ","")&amp;IF(ISNUMBER(M96),IF(M96&lt;1000000,"Valor inferior a $1.000.000: verificar; ",""),"Valor no interpretable; ")&amp;IF(N96="[PENDIENTE DE VERIFICAR]","Modalidad no identificable; ","")&amp;IF(OR(ISERROR(SEARCH("@itc.edu.co",J96)),SUMPRODUCT(--ISNUMBER(SEARCH({"á","é","í","ó","ú","ñ"},J96)))&gt;0),"Correo vacío o no institucional válido; ","")&amp;IF(LEN(TRIM(D96))=0,"Sin objeto contractual; ","")&amp;IF(AND(ISNUMBER(M96),N96="Mínima cuantía"),IF(M96&gt;39850000,"Mínima cuantía con valor superior al tope citado en el instructivo 2026 ($39.850.000): verificar modalidad; ",""),"")&amp;IF(AND(ISNUMBER(M96),OR(ISNUMBER(SEARCH("prestación de servicios",D96)),ISNUMBER(SEARCH("prestar servicios",D96)),ISNUMBER(SEARCH("prestar los servicios",D96)))),IF(M96&gt;=500000000,"Prestación de servicios por $500 millones o más: posible error de digitación; ",""),""))=0,"Sin observaciones",IF(OR(NOT(ISNUMBER(B96)),LEN(B96)&lt;&gt;8),"UNSPSC vacío, en texto, con varios códigos o sin 8 dígitos; ","")&amp;IF(AND(ISNUMBER(B96),LEN(B96)=8),IF(MOD(B96,10000)=0,"UNSPSC a nivel de segmento o familia; ",""),"")&amp;IF(NOT(ISNUMBER(E96)),"Duración vacía o en texto; ","")&amp;IF(NOT(ISNUMBER(G96)),"Valor vacío o en texto; ","")&amp;IF(ISNUMBER(M96),IF(M96&lt;1000000,"Valor inferior a $1.000.000: verificar; ",""),"Valor no interpretable; ")&amp;IF(N96="[PENDIENTE DE VERIFICAR]","Modalidad no identificable; ","")&amp;IF(OR(ISERROR(SEARCH("@itc.edu.co",J96)),SUMPRODUCT(--ISNUMBER(SEARCH({"á","é","í","ó","ú","ñ"},J96)))&gt;0),"Correo vacío o no institucional válido; ","")&amp;IF(LEN(TRIM(D96))=0,"Sin objeto contractual; ","")&amp;IF(AND(ISNUMBER(M96),N96="Mínima cuantía"),IF(M96&gt;39850000,"Mínima cuantía con valor superior al tope citado en el instructivo 2026 ($39.850.000): verificar modalidad; ",""),"")&amp;IF(AND(ISNUMBER(M96),OR(ISNUMBER(SEARCH("prestación de servicios",D96)),ISNUMBER(SEARCH("prestar servicios",D96)),ISNUMBER(SEARCH("prestar los servicios",D96)))),IF(M96&gt;=500000000,"Prestación de servicios por $500 millones o más: posible error de digitación; ",""),""))</f>
        <v xml:space="preserve">UNSPSC vacío, en texto, con varios códigos o sin 8 dígitos; </v>
      </c>
    </row>
    <row r="97" spans="1:15" ht="34.200000000000003" x14ac:dyDescent="0.3">
      <c r="A97" s="15" t="s">
        <v>1075</v>
      </c>
      <c r="B97" s="15">
        <v>80111600</v>
      </c>
      <c r="C97" s="15" t="s">
        <v>1076</v>
      </c>
      <c r="D97" s="15" t="s">
        <v>1077</v>
      </c>
      <c r="E97" s="15">
        <v>11</v>
      </c>
      <c r="F97" s="15" t="s">
        <v>802</v>
      </c>
      <c r="G97" s="29">
        <v>32802290</v>
      </c>
      <c r="H97" s="15" t="s">
        <v>999</v>
      </c>
      <c r="I97" s="15"/>
      <c r="J97" s="15" t="s">
        <v>976</v>
      </c>
      <c r="K97" s="15">
        <v>92</v>
      </c>
      <c r="L97" s="30" t="s">
        <v>977</v>
      </c>
      <c r="M97" s="31">
        <v>32802290</v>
      </c>
      <c r="N97" s="30" t="s">
        <v>803</v>
      </c>
      <c r="O97" s="30" t="str">
        <f>IF(LEN(IF(OR(NOT(ISNUMBER(B97)),LEN(B97)&lt;&gt;8),"UNSPSC vacío, en texto, con varios códigos o sin 8 dígitos; ","")&amp;IF(AND(ISNUMBER(B97),LEN(B97)=8),IF(MOD(B97,10000)=0,"UNSPSC a nivel de segmento o familia; ",""),"")&amp;IF(NOT(ISNUMBER(E97)),"Duración vacía o en texto; ","")&amp;IF(NOT(ISNUMBER(G97)),"Valor vacío o en texto; ","")&amp;IF(ISNUMBER(M97),IF(M97&lt;1000000,"Valor inferior a $1.000.000: verificar; ",""),"Valor no interpretable; ")&amp;IF(N97="[PENDIENTE DE VERIFICAR]","Modalidad no identificable; ","")&amp;IF(OR(ISERROR(SEARCH("@itc.edu.co",J97)),SUMPRODUCT(--ISNUMBER(SEARCH({"á","é","í","ó","ú","ñ"},J97)))&gt;0),"Correo vacío o no institucional válido; ","")&amp;IF(LEN(TRIM(D97))=0,"Sin objeto contractual; ","")&amp;IF(AND(ISNUMBER(M97),N97="Mínima cuantía"),IF(M97&gt;39850000,"Mínima cuantía con valor superior al tope citado en el instructivo 2026 ($39.850.000): verificar modalidad; ",""),"")&amp;IF(AND(ISNUMBER(M97),OR(ISNUMBER(SEARCH("prestación de servicios",D97)),ISNUMBER(SEARCH("prestar servicios",D97)),ISNUMBER(SEARCH("prestar los servicios",D97)))),IF(M97&gt;=500000000,"Prestación de servicios por $500 millones o más: posible error de digitación; ",""),""))=0,"Sin observaciones",IF(OR(NOT(ISNUMBER(B97)),LEN(B97)&lt;&gt;8),"UNSPSC vacío, en texto, con varios códigos o sin 8 dígitos; ","")&amp;IF(AND(ISNUMBER(B97),LEN(B97)=8),IF(MOD(B97,10000)=0,"UNSPSC a nivel de segmento o familia; ",""),"")&amp;IF(NOT(ISNUMBER(E97)),"Duración vacía o en texto; ","")&amp;IF(NOT(ISNUMBER(G97)),"Valor vacío o en texto; ","")&amp;IF(ISNUMBER(M97),IF(M97&lt;1000000,"Valor inferior a $1.000.000: verificar; ",""),"Valor no interpretable; ")&amp;IF(N97="[PENDIENTE DE VERIFICAR]","Modalidad no identificable; ","")&amp;IF(OR(ISERROR(SEARCH("@itc.edu.co",J97)),SUMPRODUCT(--ISNUMBER(SEARCH({"á","é","í","ó","ú","ñ"},J97)))&gt;0),"Correo vacío o no institucional válido; ","")&amp;IF(LEN(TRIM(D97))=0,"Sin objeto contractual; ","")&amp;IF(AND(ISNUMBER(M97),N97="Mínima cuantía"),IF(M97&gt;39850000,"Mínima cuantía con valor superior al tope citado en el instructivo 2026 ($39.850.000): verificar modalidad; ",""),"")&amp;IF(AND(ISNUMBER(M97),OR(ISNUMBER(SEARCH("prestación de servicios",D97)),ISNUMBER(SEARCH("prestar servicios",D97)),ISNUMBER(SEARCH("prestar los servicios",D97)))),IF(M97&gt;=500000000,"Prestación de servicios por $500 millones o más: posible error de digitación; ",""),""))</f>
        <v>Sin observaciones</v>
      </c>
    </row>
    <row r="98" spans="1:15" ht="34.200000000000003" x14ac:dyDescent="0.3">
      <c r="A98" s="15" t="s">
        <v>1078</v>
      </c>
      <c r="B98" s="15"/>
      <c r="C98" s="15" t="s">
        <v>1079</v>
      </c>
      <c r="D98" s="15" t="s">
        <v>1080</v>
      </c>
      <c r="E98" s="15">
        <v>11</v>
      </c>
      <c r="F98" s="15" t="s">
        <v>802</v>
      </c>
      <c r="G98" s="29">
        <v>32802290</v>
      </c>
      <c r="H98" s="15" t="s">
        <v>999</v>
      </c>
      <c r="I98" s="15"/>
      <c r="J98" s="15" t="s">
        <v>976</v>
      </c>
      <c r="K98" s="15">
        <v>93</v>
      </c>
      <c r="L98" s="30" t="s">
        <v>977</v>
      </c>
      <c r="M98" s="31">
        <v>32802290</v>
      </c>
      <c r="N98" s="30" t="s">
        <v>803</v>
      </c>
      <c r="O98" s="30" t="str">
        <f>IF(LEN(IF(OR(NOT(ISNUMBER(B98)),LEN(B98)&lt;&gt;8),"UNSPSC vacío, en texto, con varios códigos o sin 8 dígitos; ","")&amp;IF(AND(ISNUMBER(B98),LEN(B98)=8),IF(MOD(B98,10000)=0,"UNSPSC a nivel de segmento o familia; ",""),"")&amp;IF(NOT(ISNUMBER(E98)),"Duración vacía o en texto; ","")&amp;IF(NOT(ISNUMBER(G98)),"Valor vacío o en texto; ","")&amp;IF(ISNUMBER(M98),IF(M98&lt;1000000,"Valor inferior a $1.000.000: verificar; ",""),"Valor no interpretable; ")&amp;IF(N98="[PENDIENTE DE VERIFICAR]","Modalidad no identificable; ","")&amp;IF(OR(ISERROR(SEARCH("@itc.edu.co",J98)),SUMPRODUCT(--ISNUMBER(SEARCH({"á","é","í","ó","ú","ñ"},J98)))&gt;0),"Correo vacío o no institucional válido; ","")&amp;IF(LEN(TRIM(D98))=0,"Sin objeto contractual; ","")&amp;IF(AND(ISNUMBER(M98),N98="Mínima cuantía"),IF(M98&gt;39850000,"Mínima cuantía con valor superior al tope citado en el instructivo 2026 ($39.850.000): verificar modalidad; ",""),"")&amp;IF(AND(ISNUMBER(M98),OR(ISNUMBER(SEARCH("prestación de servicios",D98)),ISNUMBER(SEARCH("prestar servicios",D98)),ISNUMBER(SEARCH("prestar los servicios",D98)))),IF(M98&gt;=500000000,"Prestación de servicios por $500 millones o más: posible error de digitación; ",""),""))=0,"Sin observaciones",IF(OR(NOT(ISNUMBER(B98)),LEN(B98)&lt;&gt;8),"UNSPSC vacío, en texto, con varios códigos o sin 8 dígitos; ","")&amp;IF(AND(ISNUMBER(B98),LEN(B98)=8),IF(MOD(B98,10000)=0,"UNSPSC a nivel de segmento o familia; ",""),"")&amp;IF(NOT(ISNUMBER(E98)),"Duración vacía o en texto; ","")&amp;IF(NOT(ISNUMBER(G98)),"Valor vacío o en texto; ","")&amp;IF(ISNUMBER(M98),IF(M98&lt;1000000,"Valor inferior a $1.000.000: verificar; ",""),"Valor no interpretable; ")&amp;IF(N98="[PENDIENTE DE VERIFICAR]","Modalidad no identificable; ","")&amp;IF(OR(ISERROR(SEARCH("@itc.edu.co",J98)),SUMPRODUCT(--ISNUMBER(SEARCH({"á","é","í","ó","ú","ñ"},J98)))&gt;0),"Correo vacío o no institucional válido; ","")&amp;IF(LEN(TRIM(D98))=0,"Sin objeto contractual; ","")&amp;IF(AND(ISNUMBER(M98),N98="Mínima cuantía"),IF(M98&gt;39850000,"Mínima cuantía con valor superior al tope citado en el instructivo 2026 ($39.850.000): verificar modalidad; ",""),"")&amp;IF(AND(ISNUMBER(M98),OR(ISNUMBER(SEARCH("prestación de servicios",D98)),ISNUMBER(SEARCH("prestar servicios",D98)),ISNUMBER(SEARCH("prestar los servicios",D98)))),IF(M98&gt;=500000000,"Prestación de servicios por $500 millones o más: posible error de digitación; ",""),""))</f>
        <v xml:space="preserve">UNSPSC vacío, en texto, con varios códigos o sin 8 dígitos; </v>
      </c>
    </row>
    <row r="99" spans="1:15" ht="34.200000000000003" x14ac:dyDescent="0.3">
      <c r="A99" s="15" t="s">
        <v>1081</v>
      </c>
      <c r="B99" s="15"/>
      <c r="C99" s="15" t="s">
        <v>1082</v>
      </c>
      <c r="D99" s="15" t="s">
        <v>1083</v>
      </c>
      <c r="E99" s="15">
        <v>11</v>
      </c>
      <c r="F99" s="15" t="s">
        <v>802</v>
      </c>
      <c r="G99" s="29">
        <v>32802290</v>
      </c>
      <c r="H99" s="15" t="s">
        <v>999</v>
      </c>
      <c r="I99" s="15"/>
      <c r="J99" s="15" t="s">
        <v>976</v>
      </c>
      <c r="K99" s="15">
        <v>94</v>
      </c>
      <c r="L99" s="30" t="s">
        <v>977</v>
      </c>
      <c r="M99" s="31">
        <v>32802290</v>
      </c>
      <c r="N99" s="30" t="s">
        <v>803</v>
      </c>
      <c r="O99" s="30" t="str">
        <f>IF(LEN(IF(OR(NOT(ISNUMBER(B99)),LEN(B99)&lt;&gt;8),"UNSPSC vacío, en texto, con varios códigos o sin 8 dígitos; ","")&amp;IF(AND(ISNUMBER(B99),LEN(B99)=8),IF(MOD(B99,10000)=0,"UNSPSC a nivel de segmento o familia; ",""),"")&amp;IF(NOT(ISNUMBER(E99)),"Duración vacía o en texto; ","")&amp;IF(NOT(ISNUMBER(G99)),"Valor vacío o en texto; ","")&amp;IF(ISNUMBER(M99),IF(M99&lt;1000000,"Valor inferior a $1.000.000: verificar; ",""),"Valor no interpretable; ")&amp;IF(N99="[PENDIENTE DE VERIFICAR]","Modalidad no identificable; ","")&amp;IF(OR(ISERROR(SEARCH("@itc.edu.co",J99)),SUMPRODUCT(--ISNUMBER(SEARCH({"á","é","í","ó","ú","ñ"},J99)))&gt;0),"Correo vacío o no institucional válido; ","")&amp;IF(LEN(TRIM(D99))=0,"Sin objeto contractual; ","")&amp;IF(AND(ISNUMBER(M99),N99="Mínima cuantía"),IF(M99&gt;39850000,"Mínima cuantía con valor superior al tope citado en el instructivo 2026 ($39.850.000): verificar modalidad; ",""),"")&amp;IF(AND(ISNUMBER(M99),OR(ISNUMBER(SEARCH("prestación de servicios",D99)),ISNUMBER(SEARCH("prestar servicios",D99)),ISNUMBER(SEARCH("prestar los servicios",D99)))),IF(M99&gt;=500000000,"Prestación de servicios por $500 millones o más: posible error de digitación; ",""),""))=0,"Sin observaciones",IF(OR(NOT(ISNUMBER(B99)),LEN(B99)&lt;&gt;8),"UNSPSC vacío, en texto, con varios códigos o sin 8 dígitos; ","")&amp;IF(AND(ISNUMBER(B99),LEN(B99)=8),IF(MOD(B99,10000)=0,"UNSPSC a nivel de segmento o familia; ",""),"")&amp;IF(NOT(ISNUMBER(E99)),"Duración vacía o en texto; ","")&amp;IF(NOT(ISNUMBER(G99)),"Valor vacío o en texto; ","")&amp;IF(ISNUMBER(M99),IF(M99&lt;1000000,"Valor inferior a $1.000.000: verificar; ",""),"Valor no interpretable; ")&amp;IF(N99="[PENDIENTE DE VERIFICAR]","Modalidad no identificable; ","")&amp;IF(OR(ISERROR(SEARCH("@itc.edu.co",J99)),SUMPRODUCT(--ISNUMBER(SEARCH({"á","é","í","ó","ú","ñ"},J99)))&gt;0),"Correo vacío o no institucional válido; ","")&amp;IF(LEN(TRIM(D99))=0,"Sin objeto contractual; ","")&amp;IF(AND(ISNUMBER(M99),N99="Mínima cuantía"),IF(M99&gt;39850000,"Mínima cuantía con valor superior al tope citado en el instructivo 2026 ($39.850.000): verificar modalidad; ",""),"")&amp;IF(AND(ISNUMBER(M99),OR(ISNUMBER(SEARCH("prestación de servicios",D99)),ISNUMBER(SEARCH("prestar servicios",D99)),ISNUMBER(SEARCH("prestar los servicios",D99)))),IF(M99&gt;=500000000,"Prestación de servicios por $500 millones o más: posible error de digitación; ",""),""))</f>
        <v xml:space="preserve">UNSPSC vacío, en texto, con varios códigos o sin 8 dígitos; </v>
      </c>
    </row>
    <row r="100" spans="1:15" ht="34.200000000000003" x14ac:dyDescent="0.3">
      <c r="A100" s="15" t="s">
        <v>1084</v>
      </c>
      <c r="B100" s="15"/>
      <c r="C100" s="15" t="s">
        <v>1085</v>
      </c>
      <c r="D100" s="15" t="s">
        <v>1086</v>
      </c>
      <c r="E100" s="15">
        <v>11</v>
      </c>
      <c r="F100" s="15" t="s">
        <v>802</v>
      </c>
      <c r="G100" s="29">
        <v>32802290</v>
      </c>
      <c r="H100" s="15" t="s">
        <v>999</v>
      </c>
      <c r="I100" s="15"/>
      <c r="J100" s="15" t="s">
        <v>976</v>
      </c>
      <c r="K100" s="15">
        <v>95</v>
      </c>
      <c r="L100" s="30" t="s">
        <v>977</v>
      </c>
      <c r="M100" s="31">
        <v>32802290</v>
      </c>
      <c r="N100" s="30" t="s">
        <v>803</v>
      </c>
      <c r="O100" s="30" t="str">
        <f>IF(LEN(IF(OR(NOT(ISNUMBER(B100)),LEN(B100)&lt;&gt;8),"UNSPSC vacío, en texto, con varios códigos o sin 8 dígitos; ","")&amp;IF(AND(ISNUMBER(B100),LEN(B100)=8),IF(MOD(B100,10000)=0,"UNSPSC a nivel de segmento o familia; ",""),"")&amp;IF(NOT(ISNUMBER(E100)),"Duración vacía o en texto; ","")&amp;IF(NOT(ISNUMBER(G100)),"Valor vacío o en texto; ","")&amp;IF(ISNUMBER(M100),IF(M100&lt;1000000,"Valor inferior a $1.000.000: verificar; ",""),"Valor no interpretable; ")&amp;IF(N100="[PENDIENTE DE VERIFICAR]","Modalidad no identificable; ","")&amp;IF(OR(ISERROR(SEARCH("@itc.edu.co",J100)),SUMPRODUCT(--ISNUMBER(SEARCH({"á","é","í","ó","ú","ñ"},J100)))&gt;0),"Correo vacío o no institucional válido; ","")&amp;IF(LEN(TRIM(D100))=0,"Sin objeto contractual; ","")&amp;IF(AND(ISNUMBER(M100),N100="Mínima cuantía"),IF(M100&gt;39850000,"Mínima cuantía con valor superior al tope citado en el instructivo 2026 ($39.850.000): verificar modalidad; ",""),"")&amp;IF(AND(ISNUMBER(M100),OR(ISNUMBER(SEARCH("prestación de servicios",D100)),ISNUMBER(SEARCH("prestar servicios",D100)),ISNUMBER(SEARCH("prestar los servicios",D100)))),IF(M100&gt;=500000000,"Prestación de servicios por $500 millones o más: posible error de digitación; ",""),""))=0,"Sin observaciones",IF(OR(NOT(ISNUMBER(B100)),LEN(B100)&lt;&gt;8),"UNSPSC vacío, en texto, con varios códigos o sin 8 dígitos; ","")&amp;IF(AND(ISNUMBER(B100),LEN(B100)=8),IF(MOD(B100,10000)=0,"UNSPSC a nivel de segmento o familia; ",""),"")&amp;IF(NOT(ISNUMBER(E100)),"Duración vacía o en texto; ","")&amp;IF(NOT(ISNUMBER(G100)),"Valor vacío o en texto; ","")&amp;IF(ISNUMBER(M100),IF(M100&lt;1000000,"Valor inferior a $1.000.000: verificar; ",""),"Valor no interpretable; ")&amp;IF(N100="[PENDIENTE DE VERIFICAR]","Modalidad no identificable; ","")&amp;IF(OR(ISERROR(SEARCH("@itc.edu.co",J100)),SUMPRODUCT(--ISNUMBER(SEARCH({"á","é","í","ó","ú","ñ"},J100)))&gt;0),"Correo vacío o no institucional válido; ","")&amp;IF(LEN(TRIM(D100))=0,"Sin objeto contractual; ","")&amp;IF(AND(ISNUMBER(M100),N100="Mínima cuantía"),IF(M100&gt;39850000,"Mínima cuantía con valor superior al tope citado en el instructivo 2026 ($39.850.000): verificar modalidad; ",""),"")&amp;IF(AND(ISNUMBER(M100),OR(ISNUMBER(SEARCH("prestación de servicios",D100)),ISNUMBER(SEARCH("prestar servicios",D100)),ISNUMBER(SEARCH("prestar los servicios",D100)))),IF(M100&gt;=500000000,"Prestación de servicios por $500 millones o más: posible error de digitación; ",""),""))</f>
        <v xml:space="preserve">UNSPSC vacío, en texto, con varios códigos o sin 8 dígitos; </v>
      </c>
    </row>
    <row r="101" spans="1:15" ht="34.200000000000003" x14ac:dyDescent="0.3">
      <c r="A101" s="15" t="s">
        <v>1087</v>
      </c>
      <c r="B101" s="15"/>
      <c r="C101" s="15" t="s">
        <v>1088</v>
      </c>
      <c r="D101" s="15" t="s">
        <v>1089</v>
      </c>
      <c r="E101" s="15">
        <v>11</v>
      </c>
      <c r="F101" s="15" t="s">
        <v>802</v>
      </c>
      <c r="G101" s="29">
        <v>32802290</v>
      </c>
      <c r="H101" s="15" t="s">
        <v>999</v>
      </c>
      <c r="I101" s="15"/>
      <c r="J101" s="15" t="s">
        <v>976</v>
      </c>
      <c r="K101" s="15">
        <v>96</v>
      </c>
      <c r="L101" s="30" t="s">
        <v>977</v>
      </c>
      <c r="M101" s="31">
        <v>32802290</v>
      </c>
      <c r="N101" s="30" t="s">
        <v>803</v>
      </c>
      <c r="O101" s="30" t="str">
        <f>IF(LEN(IF(OR(NOT(ISNUMBER(B101)),LEN(B101)&lt;&gt;8),"UNSPSC vacío, en texto, con varios códigos o sin 8 dígitos; ","")&amp;IF(AND(ISNUMBER(B101),LEN(B101)=8),IF(MOD(B101,10000)=0,"UNSPSC a nivel de segmento o familia; ",""),"")&amp;IF(NOT(ISNUMBER(E101)),"Duración vacía o en texto; ","")&amp;IF(NOT(ISNUMBER(G101)),"Valor vacío o en texto; ","")&amp;IF(ISNUMBER(M101),IF(M101&lt;1000000,"Valor inferior a $1.000.000: verificar; ",""),"Valor no interpretable; ")&amp;IF(N101="[PENDIENTE DE VERIFICAR]","Modalidad no identificable; ","")&amp;IF(OR(ISERROR(SEARCH("@itc.edu.co",J101)),SUMPRODUCT(--ISNUMBER(SEARCH({"á","é","í","ó","ú","ñ"},J101)))&gt;0),"Correo vacío o no institucional válido; ","")&amp;IF(LEN(TRIM(D101))=0,"Sin objeto contractual; ","")&amp;IF(AND(ISNUMBER(M101),N101="Mínima cuantía"),IF(M101&gt;39850000,"Mínima cuantía con valor superior al tope citado en el instructivo 2026 ($39.850.000): verificar modalidad; ",""),"")&amp;IF(AND(ISNUMBER(M101),OR(ISNUMBER(SEARCH("prestación de servicios",D101)),ISNUMBER(SEARCH("prestar servicios",D101)),ISNUMBER(SEARCH("prestar los servicios",D101)))),IF(M101&gt;=500000000,"Prestación de servicios por $500 millones o más: posible error de digitación; ",""),""))=0,"Sin observaciones",IF(OR(NOT(ISNUMBER(B101)),LEN(B101)&lt;&gt;8),"UNSPSC vacío, en texto, con varios códigos o sin 8 dígitos; ","")&amp;IF(AND(ISNUMBER(B101),LEN(B101)=8),IF(MOD(B101,10000)=0,"UNSPSC a nivel de segmento o familia; ",""),"")&amp;IF(NOT(ISNUMBER(E101)),"Duración vacía o en texto; ","")&amp;IF(NOT(ISNUMBER(G101)),"Valor vacío o en texto; ","")&amp;IF(ISNUMBER(M101),IF(M101&lt;1000000,"Valor inferior a $1.000.000: verificar; ",""),"Valor no interpretable; ")&amp;IF(N101="[PENDIENTE DE VERIFICAR]","Modalidad no identificable; ","")&amp;IF(OR(ISERROR(SEARCH("@itc.edu.co",J101)),SUMPRODUCT(--ISNUMBER(SEARCH({"á","é","í","ó","ú","ñ"},J101)))&gt;0),"Correo vacío o no institucional válido; ","")&amp;IF(LEN(TRIM(D101))=0,"Sin objeto contractual; ","")&amp;IF(AND(ISNUMBER(M101),N101="Mínima cuantía"),IF(M101&gt;39850000,"Mínima cuantía con valor superior al tope citado en el instructivo 2026 ($39.850.000): verificar modalidad; ",""),"")&amp;IF(AND(ISNUMBER(M101),OR(ISNUMBER(SEARCH("prestación de servicios",D101)),ISNUMBER(SEARCH("prestar servicios",D101)),ISNUMBER(SEARCH("prestar los servicios",D101)))),IF(M101&gt;=500000000,"Prestación de servicios por $500 millones o más: posible error de digitación; ",""),""))</f>
        <v xml:space="preserve">UNSPSC vacío, en texto, con varios códigos o sin 8 dígitos; </v>
      </c>
    </row>
    <row r="102" spans="1:15" ht="34.200000000000003" x14ac:dyDescent="0.3">
      <c r="A102" s="15" t="s">
        <v>1090</v>
      </c>
      <c r="B102" s="15"/>
      <c r="C102" s="15" t="s">
        <v>1091</v>
      </c>
      <c r="D102" s="15" t="s">
        <v>1092</v>
      </c>
      <c r="E102" s="15">
        <v>11</v>
      </c>
      <c r="F102" s="15" t="s">
        <v>802</v>
      </c>
      <c r="G102" s="29">
        <v>32802290</v>
      </c>
      <c r="H102" s="15" t="s">
        <v>999</v>
      </c>
      <c r="I102" s="15"/>
      <c r="J102" s="15" t="s">
        <v>976</v>
      </c>
      <c r="K102" s="15">
        <v>97</v>
      </c>
      <c r="L102" s="30" t="s">
        <v>977</v>
      </c>
      <c r="M102" s="31">
        <v>32802290</v>
      </c>
      <c r="N102" s="30" t="s">
        <v>803</v>
      </c>
      <c r="O102" s="30" t="str">
        <f>IF(LEN(IF(OR(NOT(ISNUMBER(B102)),LEN(B102)&lt;&gt;8),"UNSPSC vacío, en texto, con varios códigos o sin 8 dígitos; ","")&amp;IF(AND(ISNUMBER(B102),LEN(B102)=8),IF(MOD(B102,10000)=0,"UNSPSC a nivel de segmento o familia; ",""),"")&amp;IF(NOT(ISNUMBER(E102)),"Duración vacía o en texto; ","")&amp;IF(NOT(ISNUMBER(G102)),"Valor vacío o en texto; ","")&amp;IF(ISNUMBER(M102),IF(M102&lt;1000000,"Valor inferior a $1.000.000: verificar; ",""),"Valor no interpretable; ")&amp;IF(N102="[PENDIENTE DE VERIFICAR]","Modalidad no identificable; ","")&amp;IF(OR(ISERROR(SEARCH("@itc.edu.co",J102)),SUMPRODUCT(--ISNUMBER(SEARCH({"á","é","í","ó","ú","ñ"},J102)))&gt;0),"Correo vacío o no institucional válido; ","")&amp;IF(LEN(TRIM(D102))=0,"Sin objeto contractual; ","")&amp;IF(AND(ISNUMBER(M102),N102="Mínima cuantía"),IF(M102&gt;39850000,"Mínima cuantía con valor superior al tope citado en el instructivo 2026 ($39.850.000): verificar modalidad; ",""),"")&amp;IF(AND(ISNUMBER(M102),OR(ISNUMBER(SEARCH("prestación de servicios",D102)),ISNUMBER(SEARCH("prestar servicios",D102)),ISNUMBER(SEARCH("prestar los servicios",D102)))),IF(M102&gt;=500000000,"Prestación de servicios por $500 millones o más: posible error de digitación; ",""),""))=0,"Sin observaciones",IF(OR(NOT(ISNUMBER(B102)),LEN(B102)&lt;&gt;8),"UNSPSC vacío, en texto, con varios códigos o sin 8 dígitos; ","")&amp;IF(AND(ISNUMBER(B102),LEN(B102)=8),IF(MOD(B102,10000)=0,"UNSPSC a nivel de segmento o familia; ",""),"")&amp;IF(NOT(ISNUMBER(E102)),"Duración vacía o en texto; ","")&amp;IF(NOT(ISNUMBER(G102)),"Valor vacío o en texto; ","")&amp;IF(ISNUMBER(M102),IF(M102&lt;1000000,"Valor inferior a $1.000.000: verificar; ",""),"Valor no interpretable; ")&amp;IF(N102="[PENDIENTE DE VERIFICAR]","Modalidad no identificable; ","")&amp;IF(OR(ISERROR(SEARCH("@itc.edu.co",J102)),SUMPRODUCT(--ISNUMBER(SEARCH({"á","é","í","ó","ú","ñ"},J102)))&gt;0),"Correo vacío o no institucional válido; ","")&amp;IF(LEN(TRIM(D102))=0,"Sin objeto contractual; ","")&amp;IF(AND(ISNUMBER(M102),N102="Mínima cuantía"),IF(M102&gt;39850000,"Mínima cuantía con valor superior al tope citado en el instructivo 2026 ($39.850.000): verificar modalidad; ",""),"")&amp;IF(AND(ISNUMBER(M102),OR(ISNUMBER(SEARCH("prestación de servicios",D102)),ISNUMBER(SEARCH("prestar servicios",D102)),ISNUMBER(SEARCH("prestar los servicios",D102)))),IF(M102&gt;=500000000,"Prestación de servicios por $500 millones o más: posible error de digitación; ",""),""))</f>
        <v xml:space="preserve">UNSPSC vacío, en texto, con varios códigos o sin 8 dígitos; </v>
      </c>
    </row>
    <row r="103" spans="1:15" ht="34.200000000000003" x14ac:dyDescent="0.3">
      <c r="A103" s="15" t="s">
        <v>1093</v>
      </c>
      <c r="B103" s="15"/>
      <c r="C103" s="15" t="s">
        <v>1094</v>
      </c>
      <c r="D103" s="15" t="s">
        <v>1095</v>
      </c>
      <c r="E103" s="15">
        <v>11</v>
      </c>
      <c r="F103" s="15" t="s">
        <v>802</v>
      </c>
      <c r="G103" s="29">
        <v>32802290</v>
      </c>
      <c r="H103" s="15" t="s">
        <v>999</v>
      </c>
      <c r="I103" s="15"/>
      <c r="J103" s="15" t="s">
        <v>976</v>
      </c>
      <c r="K103" s="15">
        <v>98</v>
      </c>
      <c r="L103" s="30" t="s">
        <v>977</v>
      </c>
      <c r="M103" s="31">
        <v>32802290</v>
      </c>
      <c r="N103" s="30" t="s">
        <v>803</v>
      </c>
      <c r="O103" s="30" t="str">
        <f>IF(LEN(IF(OR(NOT(ISNUMBER(B103)),LEN(B103)&lt;&gt;8),"UNSPSC vacío, en texto, con varios códigos o sin 8 dígitos; ","")&amp;IF(AND(ISNUMBER(B103),LEN(B103)=8),IF(MOD(B103,10000)=0,"UNSPSC a nivel de segmento o familia; ",""),"")&amp;IF(NOT(ISNUMBER(E103)),"Duración vacía o en texto; ","")&amp;IF(NOT(ISNUMBER(G103)),"Valor vacío o en texto; ","")&amp;IF(ISNUMBER(M103),IF(M103&lt;1000000,"Valor inferior a $1.000.000: verificar; ",""),"Valor no interpretable; ")&amp;IF(N103="[PENDIENTE DE VERIFICAR]","Modalidad no identificable; ","")&amp;IF(OR(ISERROR(SEARCH("@itc.edu.co",J103)),SUMPRODUCT(--ISNUMBER(SEARCH({"á","é","í","ó","ú","ñ"},J103)))&gt;0),"Correo vacío o no institucional válido; ","")&amp;IF(LEN(TRIM(D103))=0,"Sin objeto contractual; ","")&amp;IF(AND(ISNUMBER(M103),N103="Mínima cuantía"),IF(M103&gt;39850000,"Mínima cuantía con valor superior al tope citado en el instructivo 2026 ($39.850.000): verificar modalidad; ",""),"")&amp;IF(AND(ISNUMBER(M103),OR(ISNUMBER(SEARCH("prestación de servicios",D103)),ISNUMBER(SEARCH("prestar servicios",D103)),ISNUMBER(SEARCH("prestar los servicios",D103)))),IF(M103&gt;=500000000,"Prestación de servicios por $500 millones o más: posible error de digitación; ",""),""))=0,"Sin observaciones",IF(OR(NOT(ISNUMBER(B103)),LEN(B103)&lt;&gt;8),"UNSPSC vacío, en texto, con varios códigos o sin 8 dígitos; ","")&amp;IF(AND(ISNUMBER(B103),LEN(B103)=8),IF(MOD(B103,10000)=0,"UNSPSC a nivel de segmento o familia; ",""),"")&amp;IF(NOT(ISNUMBER(E103)),"Duración vacía o en texto; ","")&amp;IF(NOT(ISNUMBER(G103)),"Valor vacío o en texto; ","")&amp;IF(ISNUMBER(M103),IF(M103&lt;1000000,"Valor inferior a $1.000.000: verificar; ",""),"Valor no interpretable; ")&amp;IF(N103="[PENDIENTE DE VERIFICAR]","Modalidad no identificable; ","")&amp;IF(OR(ISERROR(SEARCH("@itc.edu.co",J103)),SUMPRODUCT(--ISNUMBER(SEARCH({"á","é","í","ó","ú","ñ"},J103)))&gt;0),"Correo vacío o no institucional válido; ","")&amp;IF(LEN(TRIM(D103))=0,"Sin objeto contractual; ","")&amp;IF(AND(ISNUMBER(M103),N103="Mínima cuantía"),IF(M103&gt;39850000,"Mínima cuantía con valor superior al tope citado en el instructivo 2026 ($39.850.000): verificar modalidad; ",""),"")&amp;IF(AND(ISNUMBER(M103),OR(ISNUMBER(SEARCH("prestación de servicios",D103)),ISNUMBER(SEARCH("prestar servicios",D103)),ISNUMBER(SEARCH("prestar los servicios",D103)))),IF(M103&gt;=500000000,"Prestación de servicios por $500 millones o más: posible error de digitación; ",""),""))</f>
        <v xml:space="preserve">UNSPSC vacío, en texto, con varios códigos o sin 8 dígitos; </v>
      </c>
    </row>
    <row r="104" spans="1:15" ht="34.200000000000003" x14ac:dyDescent="0.3">
      <c r="A104" s="15" t="s">
        <v>1096</v>
      </c>
      <c r="B104" s="15"/>
      <c r="C104" s="15" t="s">
        <v>1097</v>
      </c>
      <c r="D104" s="15" t="s">
        <v>1098</v>
      </c>
      <c r="E104" s="15">
        <v>11</v>
      </c>
      <c r="F104" s="15" t="s">
        <v>802</v>
      </c>
      <c r="G104" s="29">
        <v>32802290</v>
      </c>
      <c r="H104" s="15" t="s">
        <v>999</v>
      </c>
      <c r="I104" s="15"/>
      <c r="J104" s="15" t="s">
        <v>976</v>
      </c>
      <c r="K104" s="15">
        <v>99</v>
      </c>
      <c r="L104" s="30" t="s">
        <v>977</v>
      </c>
      <c r="M104" s="31">
        <v>32802290</v>
      </c>
      <c r="N104" s="30" t="s">
        <v>803</v>
      </c>
      <c r="O104" s="30" t="str">
        <f>IF(LEN(IF(OR(NOT(ISNUMBER(B104)),LEN(B104)&lt;&gt;8),"UNSPSC vacío, en texto, con varios códigos o sin 8 dígitos; ","")&amp;IF(AND(ISNUMBER(B104),LEN(B104)=8),IF(MOD(B104,10000)=0,"UNSPSC a nivel de segmento o familia; ",""),"")&amp;IF(NOT(ISNUMBER(E104)),"Duración vacía o en texto; ","")&amp;IF(NOT(ISNUMBER(G104)),"Valor vacío o en texto; ","")&amp;IF(ISNUMBER(M104),IF(M104&lt;1000000,"Valor inferior a $1.000.000: verificar; ",""),"Valor no interpretable; ")&amp;IF(N104="[PENDIENTE DE VERIFICAR]","Modalidad no identificable; ","")&amp;IF(OR(ISERROR(SEARCH("@itc.edu.co",J104)),SUMPRODUCT(--ISNUMBER(SEARCH({"á","é","í","ó","ú","ñ"},J104)))&gt;0),"Correo vacío o no institucional válido; ","")&amp;IF(LEN(TRIM(D104))=0,"Sin objeto contractual; ","")&amp;IF(AND(ISNUMBER(M104),N104="Mínima cuantía"),IF(M104&gt;39850000,"Mínima cuantía con valor superior al tope citado en el instructivo 2026 ($39.850.000): verificar modalidad; ",""),"")&amp;IF(AND(ISNUMBER(M104),OR(ISNUMBER(SEARCH("prestación de servicios",D104)),ISNUMBER(SEARCH("prestar servicios",D104)),ISNUMBER(SEARCH("prestar los servicios",D104)))),IF(M104&gt;=500000000,"Prestación de servicios por $500 millones o más: posible error de digitación; ",""),""))=0,"Sin observaciones",IF(OR(NOT(ISNUMBER(B104)),LEN(B104)&lt;&gt;8),"UNSPSC vacío, en texto, con varios códigos o sin 8 dígitos; ","")&amp;IF(AND(ISNUMBER(B104),LEN(B104)=8),IF(MOD(B104,10000)=0,"UNSPSC a nivel de segmento o familia; ",""),"")&amp;IF(NOT(ISNUMBER(E104)),"Duración vacía o en texto; ","")&amp;IF(NOT(ISNUMBER(G104)),"Valor vacío o en texto; ","")&amp;IF(ISNUMBER(M104),IF(M104&lt;1000000,"Valor inferior a $1.000.000: verificar; ",""),"Valor no interpretable; ")&amp;IF(N104="[PENDIENTE DE VERIFICAR]","Modalidad no identificable; ","")&amp;IF(OR(ISERROR(SEARCH("@itc.edu.co",J104)),SUMPRODUCT(--ISNUMBER(SEARCH({"á","é","í","ó","ú","ñ"},J104)))&gt;0),"Correo vacío o no institucional válido; ","")&amp;IF(LEN(TRIM(D104))=0,"Sin objeto contractual; ","")&amp;IF(AND(ISNUMBER(M104),N104="Mínima cuantía"),IF(M104&gt;39850000,"Mínima cuantía con valor superior al tope citado en el instructivo 2026 ($39.850.000): verificar modalidad; ",""),"")&amp;IF(AND(ISNUMBER(M104),OR(ISNUMBER(SEARCH("prestación de servicios",D104)),ISNUMBER(SEARCH("prestar servicios",D104)),ISNUMBER(SEARCH("prestar los servicios",D104)))),IF(M104&gt;=500000000,"Prestación de servicios por $500 millones o más: posible error de digitación; ",""),""))</f>
        <v xml:space="preserve">UNSPSC vacío, en texto, con varios códigos o sin 8 dígitos; </v>
      </c>
    </row>
    <row r="105" spans="1:15" ht="79.8" x14ac:dyDescent="0.3">
      <c r="A105" s="15" t="s">
        <v>1099</v>
      </c>
      <c r="B105" s="15">
        <v>80111600</v>
      </c>
      <c r="C105" s="15" t="s">
        <v>1100</v>
      </c>
      <c r="D105" s="15" t="s">
        <v>1101</v>
      </c>
      <c r="E105" s="15">
        <v>11</v>
      </c>
      <c r="F105" s="15" t="s">
        <v>802</v>
      </c>
      <c r="G105" s="29">
        <v>3023221000</v>
      </c>
      <c r="H105" s="15" t="s">
        <v>1102</v>
      </c>
      <c r="I105" s="15"/>
      <c r="J105" s="15"/>
      <c r="K105" s="15">
        <v>100</v>
      </c>
      <c r="L105" s="30" t="s">
        <v>1103</v>
      </c>
      <c r="M105" s="31">
        <v>3023221000</v>
      </c>
      <c r="N105" s="30" t="s">
        <v>803</v>
      </c>
      <c r="O105" s="30" t="str">
        <f>IF(LEN(IF(OR(NOT(ISNUMBER(B105)),LEN(B105)&lt;&gt;8),"UNSPSC vacío, en texto, con varios códigos o sin 8 dígitos; ","")&amp;IF(AND(ISNUMBER(B105),LEN(B105)=8),IF(MOD(B105,10000)=0,"UNSPSC a nivel de segmento o familia; ",""),"")&amp;IF(NOT(ISNUMBER(E105)),"Duración vacía o en texto; ","")&amp;IF(NOT(ISNUMBER(G105)),"Valor vacío o en texto; ","")&amp;IF(ISNUMBER(M105),IF(M105&lt;1000000,"Valor inferior a $1.000.000: verificar; ",""),"Valor no interpretable; ")&amp;IF(N105="[PENDIENTE DE VERIFICAR]","Modalidad no identificable; ","")&amp;IF(OR(ISERROR(SEARCH("@itc.edu.co",J105)),SUMPRODUCT(--ISNUMBER(SEARCH({"á","é","í","ó","ú","ñ"},J105)))&gt;0),"Correo vacío o no institucional válido; ","")&amp;IF(LEN(TRIM(D105))=0,"Sin objeto contractual; ","")&amp;IF(AND(ISNUMBER(M105),N105="Mínima cuantía"),IF(M105&gt;39850000,"Mínima cuantía con valor superior al tope citado en el instructivo 2026 ($39.850.000): verificar modalidad; ",""),"")&amp;IF(AND(ISNUMBER(M105),OR(ISNUMBER(SEARCH("prestación de servicios",D105)),ISNUMBER(SEARCH("prestar servicios",D105)),ISNUMBER(SEARCH("prestar los servicios",D105)))),IF(M105&gt;=500000000,"Prestación de servicios por $500 millones o más: posible error de digitación; ",""),""))=0,"Sin observaciones",IF(OR(NOT(ISNUMBER(B105)),LEN(B105)&lt;&gt;8),"UNSPSC vacío, en texto, con varios códigos o sin 8 dígitos; ","")&amp;IF(AND(ISNUMBER(B105),LEN(B105)=8),IF(MOD(B105,10000)=0,"UNSPSC a nivel de segmento o familia; ",""),"")&amp;IF(NOT(ISNUMBER(E105)),"Duración vacía o en texto; ","")&amp;IF(NOT(ISNUMBER(G105)),"Valor vacío o en texto; ","")&amp;IF(ISNUMBER(M105),IF(M105&lt;1000000,"Valor inferior a $1.000.000: verificar; ",""),"Valor no interpretable; ")&amp;IF(N105="[PENDIENTE DE VERIFICAR]","Modalidad no identificable; ","")&amp;IF(OR(ISERROR(SEARCH("@itc.edu.co",J105)),SUMPRODUCT(--ISNUMBER(SEARCH({"á","é","í","ó","ú","ñ"},J105)))&gt;0),"Correo vacío o no institucional válido; ","")&amp;IF(LEN(TRIM(D105))=0,"Sin objeto contractual; ","")&amp;IF(AND(ISNUMBER(M105),N105="Mínima cuantía"),IF(M105&gt;39850000,"Mínima cuantía con valor superior al tope citado en el instructivo 2026 ($39.850.000): verificar modalidad; ",""),"")&amp;IF(AND(ISNUMBER(M105),OR(ISNUMBER(SEARCH("prestación de servicios",D105)),ISNUMBER(SEARCH("prestar servicios",D105)),ISNUMBER(SEARCH("prestar los servicios",D105)))),IF(M105&gt;=500000000,"Prestación de servicios por $500 millones o más: posible error de digitación; ",""),""))</f>
        <v xml:space="preserve">Correo vacío o no institucional válido; Prestación de servicios por $500 millones o más: posible error de digitación; </v>
      </c>
    </row>
    <row r="106" spans="1:15" ht="68.400000000000006" x14ac:dyDescent="0.3">
      <c r="A106" s="15" t="s">
        <v>1104</v>
      </c>
      <c r="B106" s="15">
        <v>80111600</v>
      </c>
      <c r="C106" s="15" t="s">
        <v>1105</v>
      </c>
      <c r="D106" s="15" t="s">
        <v>1106</v>
      </c>
      <c r="E106" s="15">
        <v>11</v>
      </c>
      <c r="F106" s="15" t="s">
        <v>802</v>
      </c>
      <c r="G106" s="29"/>
      <c r="H106" s="15" t="s">
        <v>1102</v>
      </c>
      <c r="I106" s="15"/>
      <c r="J106" s="15"/>
      <c r="K106" s="15">
        <v>101</v>
      </c>
      <c r="L106" s="30" t="s">
        <v>1103</v>
      </c>
      <c r="M106" s="31"/>
      <c r="N106" s="30" t="s">
        <v>803</v>
      </c>
      <c r="O106" s="30" t="str">
        <f>IF(LEN(IF(OR(NOT(ISNUMBER(B106)),LEN(B106)&lt;&gt;8),"UNSPSC vacío, en texto, con varios códigos o sin 8 dígitos; ","")&amp;IF(AND(ISNUMBER(B106),LEN(B106)=8),IF(MOD(B106,10000)=0,"UNSPSC a nivel de segmento o familia; ",""),"")&amp;IF(NOT(ISNUMBER(E106)),"Duración vacía o en texto; ","")&amp;IF(NOT(ISNUMBER(G106)),"Valor vacío o en texto; ","")&amp;IF(ISNUMBER(M106),IF(M106&lt;1000000,"Valor inferior a $1.000.000: verificar; ",""),"Valor no interpretable; ")&amp;IF(N106="[PENDIENTE DE VERIFICAR]","Modalidad no identificable; ","")&amp;IF(OR(ISERROR(SEARCH("@itc.edu.co",J106)),SUMPRODUCT(--ISNUMBER(SEARCH({"á","é","í","ó","ú","ñ"},J106)))&gt;0),"Correo vacío o no institucional válido; ","")&amp;IF(LEN(TRIM(D106))=0,"Sin objeto contractual; ","")&amp;IF(AND(ISNUMBER(M106),N106="Mínima cuantía"),IF(M106&gt;39850000,"Mínima cuantía con valor superior al tope citado en el instructivo 2026 ($39.850.000): verificar modalidad; ",""),"")&amp;IF(AND(ISNUMBER(M106),OR(ISNUMBER(SEARCH("prestación de servicios",D106)),ISNUMBER(SEARCH("prestar servicios",D106)),ISNUMBER(SEARCH("prestar los servicios",D106)))),IF(M106&gt;=500000000,"Prestación de servicios por $500 millones o más: posible error de digitación; ",""),""))=0,"Sin observaciones",IF(OR(NOT(ISNUMBER(B106)),LEN(B106)&lt;&gt;8),"UNSPSC vacío, en texto, con varios códigos o sin 8 dígitos; ","")&amp;IF(AND(ISNUMBER(B106),LEN(B106)=8),IF(MOD(B106,10000)=0,"UNSPSC a nivel de segmento o familia; ",""),"")&amp;IF(NOT(ISNUMBER(E106)),"Duración vacía o en texto; ","")&amp;IF(NOT(ISNUMBER(G106)),"Valor vacío o en texto; ","")&amp;IF(ISNUMBER(M106),IF(M106&lt;1000000,"Valor inferior a $1.000.000: verificar; ",""),"Valor no interpretable; ")&amp;IF(N106="[PENDIENTE DE VERIFICAR]","Modalidad no identificable; ","")&amp;IF(OR(ISERROR(SEARCH("@itc.edu.co",J106)),SUMPRODUCT(--ISNUMBER(SEARCH({"á","é","í","ó","ú","ñ"},J106)))&gt;0),"Correo vacío o no institucional válido; ","")&amp;IF(LEN(TRIM(D106))=0,"Sin objeto contractual; ","")&amp;IF(AND(ISNUMBER(M106),N106="Mínima cuantía"),IF(M106&gt;39850000,"Mínima cuantía con valor superior al tope citado en el instructivo 2026 ($39.850.000): verificar modalidad; ",""),"")&amp;IF(AND(ISNUMBER(M106),OR(ISNUMBER(SEARCH("prestación de servicios",D106)),ISNUMBER(SEARCH("prestar servicios",D106)),ISNUMBER(SEARCH("prestar los servicios",D106)))),IF(M106&gt;=500000000,"Prestación de servicios por $500 millones o más: posible error de digitación; ",""),""))</f>
        <v xml:space="preserve">Valor vacío o en texto; Valor no interpretable; Correo vacío o no institucional válido; </v>
      </c>
    </row>
    <row r="107" spans="1:15" ht="57" x14ac:dyDescent="0.3">
      <c r="A107" s="15" t="s">
        <v>1107</v>
      </c>
      <c r="B107" s="15">
        <v>80111600</v>
      </c>
      <c r="C107" s="15" t="s">
        <v>1108</v>
      </c>
      <c r="D107" s="15" t="s">
        <v>1109</v>
      </c>
      <c r="E107" s="15">
        <v>11</v>
      </c>
      <c r="F107" s="15" t="s">
        <v>802</v>
      </c>
      <c r="G107" s="29">
        <v>2410606400</v>
      </c>
      <c r="H107" s="15" t="s">
        <v>1102</v>
      </c>
      <c r="I107" s="15"/>
      <c r="J107" s="15"/>
      <c r="K107" s="15">
        <v>102</v>
      </c>
      <c r="L107" s="30" t="s">
        <v>1103</v>
      </c>
      <c r="M107" s="31">
        <v>2410606400</v>
      </c>
      <c r="N107" s="30" t="s">
        <v>803</v>
      </c>
      <c r="O107" s="30" t="str">
        <f>IF(LEN(IF(OR(NOT(ISNUMBER(B107)),LEN(B107)&lt;&gt;8),"UNSPSC vacío, en texto, con varios códigos o sin 8 dígitos; ","")&amp;IF(AND(ISNUMBER(B107),LEN(B107)=8),IF(MOD(B107,10000)=0,"UNSPSC a nivel de segmento o familia; ",""),"")&amp;IF(NOT(ISNUMBER(E107)),"Duración vacía o en texto; ","")&amp;IF(NOT(ISNUMBER(G107)),"Valor vacío o en texto; ","")&amp;IF(ISNUMBER(M107),IF(M107&lt;1000000,"Valor inferior a $1.000.000: verificar; ",""),"Valor no interpretable; ")&amp;IF(N107="[PENDIENTE DE VERIFICAR]","Modalidad no identificable; ","")&amp;IF(OR(ISERROR(SEARCH("@itc.edu.co",J107)),SUMPRODUCT(--ISNUMBER(SEARCH({"á","é","í","ó","ú","ñ"},J107)))&gt;0),"Correo vacío o no institucional válido; ","")&amp;IF(LEN(TRIM(D107))=0,"Sin objeto contractual; ","")&amp;IF(AND(ISNUMBER(M107),N107="Mínima cuantía"),IF(M107&gt;39850000,"Mínima cuantía con valor superior al tope citado en el instructivo 2026 ($39.850.000): verificar modalidad; ",""),"")&amp;IF(AND(ISNUMBER(M107),OR(ISNUMBER(SEARCH("prestación de servicios",D107)),ISNUMBER(SEARCH("prestar servicios",D107)),ISNUMBER(SEARCH("prestar los servicios",D107)))),IF(M107&gt;=500000000,"Prestación de servicios por $500 millones o más: posible error de digitación; ",""),""))=0,"Sin observaciones",IF(OR(NOT(ISNUMBER(B107)),LEN(B107)&lt;&gt;8),"UNSPSC vacío, en texto, con varios códigos o sin 8 dígitos; ","")&amp;IF(AND(ISNUMBER(B107),LEN(B107)=8),IF(MOD(B107,10000)=0,"UNSPSC a nivel de segmento o familia; ",""),"")&amp;IF(NOT(ISNUMBER(E107)),"Duración vacía o en texto; ","")&amp;IF(NOT(ISNUMBER(G107)),"Valor vacío o en texto; ","")&amp;IF(ISNUMBER(M107),IF(M107&lt;1000000,"Valor inferior a $1.000.000: verificar; ",""),"Valor no interpretable; ")&amp;IF(N107="[PENDIENTE DE VERIFICAR]","Modalidad no identificable; ","")&amp;IF(OR(ISERROR(SEARCH("@itc.edu.co",J107)),SUMPRODUCT(--ISNUMBER(SEARCH({"á","é","í","ó","ú","ñ"},J107)))&gt;0),"Correo vacío o no institucional válido; ","")&amp;IF(LEN(TRIM(D107))=0,"Sin objeto contractual; ","")&amp;IF(AND(ISNUMBER(M107),N107="Mínima cuantía"),IF(M107&gt;39850000,"Mínima cuantía con valor superior al tope citado en el instructivo 2026 ($39.850.000): verificar modalidad; ",""),"")&amp;IF(AND(ISNUMBER(M107),OR(ISNUMBER(SEARCH("prestación de servicios",D107)),ISNUMBER(SEARCH("prestar servicios",D107)),ISNUMBER(SEARCH("prestar los servicios",D107)))),IF(M107&gt;=500000000,"Prestación de servicios por $500 millones o más: posible error de digitación; ",""),""))</f>
        <v xml:space="preserve">Correo vacío o no institucional válido; Prestación de servicios por $500 millones o más: posible error de digitación; </v>
      </c>
    </row>
    <row r="108" spans="1:15" ht="34.200000000000003" x14ac:dyDescent="0.3">
      <c r="A108" s="15" t="s">
        <v>458</v>
      </c>
      <c r="B108" s="15">
        <v>81111801</v>
      </c>
      <c r="C108" s="15" t="s">
        <v>347</v>
      </c>
      <c r="D108" s="15" t="s">
        <v>457</v>
      </c>
      <c r="E108" s="15">
        <v>11</v>
      </c>
      <c r="F108" s="15" t="s">
        <v>1110</v>
      </c>
      <c r="G108" s="29">
        <v>195000000</v>
      </c>
      <c r="H108" s="15" t="s">
        <v>839</v>
      </c>
      <c r="I108" s="15"/>
      <c r="J108" s="15" t="s">
        <v>840</v>
      </c>
      <c r="K108" s="15">
        <v>104</v>
      </c>
      <c r="L108" s="30" t="s">
        <v>841</v>
      </c>
      <c r="M108" s="31">
        <v>195000000</v>
      </c>
      <c r="N108" s="30" t="s">
        <v>1111</v>
      </c>
      <c r="O108" s="30" t="str">
        <f>IF(LEN(IF(OR(NOT(ISNUMBER(B108)),LEN(B108)&lt;&gt;8),"UNSPSC vacío, en texto, con varios códigos o sin 8 dígitos; ","")&amp;IF(AND(ISNUMBER(B108),LEN(B108)=8),IF(MOD(B108,10000)=0,"UNSPSC a nivel de segmento o familia; ",""),"")&amp;IF(NOT(ISNUMBER(E108)),"Duración vacía o en texto; ","")&amp;IF(NOT(ISNUMBER(G108)),"Valor vacío o en texto; ","")&amp;IF(ISNUMBER(M108),IF(M108&lt;1000000,"Valor inferior a $1.000.000: verificar; ",""),"Valor no interpretable; ")&amp;IF(N108="[PENDIENTE DE VERIFICAR]","Modalidad no identificable; ","")&amp;IF(OR(ISERROR(SEARCH("@itc.edu.co",J108)),SUMPRODUCT(--ISNUMBER(SEARCH({"á","é","í","ó","ú","ñ"},J108)))&gt;0),"Correo vacío o no institucional válido; ","")&amp;IF(LEN(TRIM(D108))=0,"Sin objeto contractual; ","")&amp;IF(AND(ISNUMBER(M108),N108="Mínima cuantía"),IF(M108&gt;39850000,"Mínima cuantía con valor superior al tope citado en el instructivo 2026 ($39.850.000): verificar modalidad; ",""),"")&amp;IF(AND(ISNUMBER(M108),OR(ISNUMBER(SEARCH("prestación de servicios",D108)),ISNUMBER(SEARCH("prestar servicios",D108)),ISNUMBER(SEARCH("prestar los servicios",D108)))),IF(M108&gt;=500000000,"Prestación de servicios por $500 millones o más: posible error de digitación; ",""),""))=0,"Sin observaciones",IF(OR(NOT(ISNUMBER(B108)),LEN(B108)&lt;&gt;8),"UNSPSC vacío, en texto, con varios códigos o sin 8 dígitos; ","")&amp;IF(AND(ISNUMBER(B108),LEN(B108)=8),IF(MOD(B108,10000)=0,"UNSPSC a nivel de segmento o familia; ",""),"")&amp;IF(NOT(ISNUMBER(E108)),"Duración vacía o en texto; ","")&amp;IF(NOT(ISNUMBER(G108)),"Valor vacío o en texto; ","")&amp;IF(ISNUMBER(M108),IF(M108&lt;1000000,"Valor inferior a $1.000.000: verificar; ",""),"Valor no interpretable; ")&amp;IF(N108="[PENDIENTE DE VERIFICAR]","Modalidad no identificable; ","")&amp;IF(OR(ISERROR(SEARCH("@itc.edu.co",J108)),SUMPRODUCT(--ISNUMBER(SEARCH({"á","é","í","ó","ú","ñ"},J108)))&gt;0),"Correo vacío o no institucional válido; ","")&amp;IF(LEN(TRIM(D108))=0,"Sin objeto contractual; ","")&amp;IF(AND(ISNUMBER(M108),N108="Mínima cuantía"),IF(M108&gt;39850000,"Mínima cuantía con valor superior al tope citado en el instructivo 2026 ($39.850.000): verificar modalidad; ",""),"")&amp;IF(AND(ISNUMBER(M108),OR(ISNUMBER(SEARCH("prestación de servicios",D108)),ISNUMBER(SEARCH("prestar servicios",D108)),ISNUMBER(SEARCH("prestar los servicios",D108)))),IF(M108&gt;=500000000,"Prestación de servicios por $500 millones o más: posible error de digitación; ",""),""))</f>
        <v>Sin observaciones</v>
      </c>
    </row>
    <row r="109" spans="1:15" ht="45.6" x14ac:dyDescent="0.3">
      <c r="A109" s="15" t="s">
        <v>346</v>
      </c>
      <c r="B109" s="15">
        <v>81112501</v>
      </c>
      <c r="C109" s="15" t="s">
        <v>347</v>
      </c>
      <c r="D109" s="15" t="s">
        <v>1112</v>
      </c>
      <c r="E109" s="15">
        <v>12</v>
      </c>
      <c r="F109" s="15" t="s">
        <v>1110</v>
      </c>
      <c r="G109" s="29">
        <v>81620000</v>
      </c>
      <c r="H109" s="15" t="s">
        <v>839</v>
      </c>
      <c r="I109" s="15"/>
      <c r="J109" s="15" t="s">
        <v>840</v>
      </c>
      <c r="K109" s="15">
        <v>105</v>
      </c>
      <c r="L109" s="30" t="s">
        <v>841</v>
      </c>
      <c r="M109" s="31">
        <v>81620000</v>
      </c>
      <c r="N109" s="30" t="s">
        <v>1111</v>
      </c>
      <c r="O109" s="30" t="str">
        <f>IF(LEN(IF(OR(NOT(ISNUMBER(B109)),LEN(B109)&lt;&gt;8),"UNSPSC vacío, en texto, con varios códigos o sin 8 dígitos; ","")&amp;IF(AND(ISNUMBER(B109),LEN(B109)=8),IF(MOD(B109,10000)=0,"UNSPSC a nivel de segmento o familia; ",""),"")&amp;IF(NOT(ISNUMBER(E109)),"Duración vacía o en texto; ","")&amp;IF(NOT(ISNUMBER(G109)),"Valor vacío o en texto; ","")&amp;IF(ISNUMBER(M109),IF(M109&lt;1000000,"Valor inferior a $1.000.000: verificar; ",""),"Valor no interpretable; ")&amp;IF(N109="[PENDIENTE DE VERIFICAR]","Modalidad no identificable; ","")&amp;IF(OR(ISERROR(SEARCH("@itc.edu.co",J109)),SUMPRODUCT(--ISNUMBER(SEARCH({"á","é","í","ó","ú","ñ"},J109)))&gt;0),"Correo vacío o no institucional válido; ","")&amp;IF(LEN(TRIM(D109))=0,"Sin objeto contractual; ","")&amp;IF(AND(ISNUMBER(M109),N109="Mínima cuantía"),IF(M109&gt;39850000,"Mínima cuantía con valor superior al tope citado en el instructivo 2026 ($39.850.000): verificar modalidad; ",""),"")&amp;IF(AND(ISNUMBER(M109),OR(ISNUMBER(SEARCH("prestación de servicios",D109)),ISNUMBER(SEARCH("prestar servicios",D109)),ISNUMBER(SEARCH("prestar los servicios",D109)))),IF(M109&gt;=500000000,"Prestación de servicios por $500 millones o más: posible error de digitación; ",""),""))=0,"Sin observaciones",IF(OR(NOT(ISNUMBER(B109)),LEN(B109)&lt;&gt;8),"UNSPSC vacío, en texto, con varios códigos o sin 8 dígitos; ","")&amp;IF(AND(ISNUMBER(B109),LEN(B109)=8),IF(MOD(B109,10000)=0,"UNSPSC a nivel de segmento o familia; ",""),"")&amp;IF(NOT(ISNUMBER(E109)),"Duración vacía o en texto; ","")&amp;IF(NOT(ISNUMBER(G109)),"Valor vacío o en texto; ","")&amp;IF(ISNUMBER(M109),IF(M109&lt;1000000,"Valor inferior a $1.000.000: verificar; ",""),"Valor no interpretable; ")&amp;IF(N109="[PENDIENTE DE VERIFICAR]","Modalidad no identificable; ","")&amp;IF(OR(ISERROR(SEARCH("@itc.edu.co",J109)),SUMPRODUCT(--ISNUMBER(SEARCH({"á","é","í","ó","ú","ñ"},J109)))&gt;0),"Correo vacío o no institucional válido; ","")&amp;IF(LEN(TRIM(D109))=0,"Sin objeto contractual; ","")&amp;IF(AND(ISNUMBER(M109),N109="Mínima cuantía"),IF(M109&gt;39850000,"Mínima cuantía con valor superior al tope citado en el instructivo 2026 ($39.850.000): verificar modalidad; ",""),"")&amp;IF(AND(ISNUMBER(M109),OR(ISNUMBER(SEARCH("prestación de servicios",D109)),ISNUMBER(SEARCH("prestar servicios",D109)),ISNUMBER(SEARCH("prestar los servicios",D109)))),IF(M109&gt;=500000000,"Prestación de servicios por $500 millones o más: posible error de digitación; ",""),""))</f>
        <v>Sin observaciones</v>
      </c>
    </row>
    <row r="110" spans="1:15" ht="34.200000000000003" x14ac:dyDescent="0.3">
      <c r="A110" s="15" t="s">
        <v>1113</v>
      </c>
      <c r="B110" s="15">
        <v>81112501</v>
      </c>
      <c r="C110" s="15" t="s">
        <v>347</v>
      </c>
      <c r="D110" s="15" t="s">
        <v>1114</v>
      </c>
      <c r="E110" s="15">
        <v>12</v>
      </c>
      <c r="F110" s="15" t="s">
        <v>1110</v>
      </c>
      <c r="G110" s="29">
        <v>35000000</v>
      </c>
      <c r="H110" s="15" t="s">
        <v>839</v>
      </c>
      <c r="I110" s="15"/>
      <c r="J110" s="15" t="s">
        <v>840</v>
      </c>
      <c r="K110" s="15">
        <v>106</v>
      </c>
      <c r="L110" s="30" t="s">
        <v>841</v>
      </c>
      <c r="M110" s="31">
        <v>35000000</v>
      </c>
      <c r="N110" s="30" t="s">
        <v>1111</v>
      </c>
      <c r="O110" s="30" t="str">
        <f>IF(LEN(IF(OR(NOT(ISNUMBER(B110)),LEN(B110)&lt;&gt;8),"UNSPSC vacío, en texto, con varios códigos o sin 8 dígitos; ","")&amp;IF(AND(ISNUMBER(B110),LEN(B110)=8),IF(MOD(B110,10000)=0,"UNSPSC a nivel de segmento o familia; ",""),"")&amp;IF(NOT(ISNUMBER(E110)),"Duración vacía o en texto; ","")&amp;IF(NOT(ISNUMBER(G110)),"Valor vacío o en texto; ","")&amp;IF(ISNUMBER(M110),IF(M110&lt;1000000,"Valor inferior a $1.000.000: verificar; ",""),"Valor no interpretable; ")&amp;IF(N110="[PENDIENTE DE VERIFICAR]","Modalidad no identificable; ","")&amp;IF(OR(ISERROR(SEARCH("@itc.edu.co",J110)),SUMPRODUCT(--ISNUMBER(SEARCH({"á","é","í","ó","ú","ñ"},J110)))&gt;0),"Correo vacío o no institucional válido; ","")&amp;IF(LEN(TRIM(D110))=0,"Sin objeto contractual; ","")&amp;IF(AND(ISNUMBER(M110),N110="Mínima cuantía"),IF(M110&gt;39850000,"Mínima cuantía con valor superior al tope citado en el instructivo 2026 ($39.850.000): verificar modalidad; ",""),"")&amp;IF(AND(ISNUMBER(M110),OR(ISNUMBER(SEARCH("prestación de servicios",D110)),ISNUMBER(SEARCH("prestar servicios",D110)),ISNUMBER(SEARCH("prestar los servicios",D110)))),IF(M110&gt;=500000000,"Prestación de servicios por $500 millones o más: posible error de digitación; ",""),""))=0,"Sin observaciones",IF(OR(NOT(ISNUMBER(B110)),LEN(B110)&lt;&gt;8),"UNSPSC vacío, en texto, con varios códigos o sin 8 dígitos; ","")&amp;IF(AND(ISNUMBER(B110),LEN(B110)=8),IF(MOD(B110,10000)=0,"UNSPSC a nivel de segmento o familia; ",""),"")&amp;IF(NOT(ISNUMBER(E110)),"Duración vacía o en texto; ","")&amp;IF(NOT(ISNUMBER(G110)),"Valor vacío o en texto; ","")&amp;IF(ISNUMBER(M110),IF(M110&lt;1000000,"Valor inferior a $1.000.000: verificar; ",""),"Valor no interpretable; ")&amp;IF(N110="[PENDIENTE DE VERIFICAR]","Modalidad no identificable; ","")&amp;IF(OR(ISERROR(SEARCH("@itc.edu.co",J110)),SUMPRODUCT(--ISNUMBER(SEARCH({"á","é","í","ó","ú","ñ"},J110)))&gt;0),"Correo vacío o no institucional válido; ","")&amp;IF(LEN(TRIM(D110))=0,"Sin objeto contractual; ","")&amp;IF(AND(ISNUMBER(M110),N110="Mínima cuantía"),IF(M110&gt;39850000,"Mínima cuantía con valor superior al tope citado en el instructivo 2026 ($39.850.000): verificar modalidad; ",""),"")&amp;IF(AND(ISNUMBER(M110),OR(ISNUMBER(SEARCH("prestación de servicios",D110)),ISNUMBER(SEARCH("prestar servicios",D110)),ISNUMBER(SEARCH("prestar los servicios",D110)))),IF(M110&gt;=500000000,"Prestación de servicios por $500 millones o más: posible error de digitación; ",""),""))</f>
        <v>Sin observaciones</v>
      </c>
    </row>
    <row r="111" spans="1:15" ht="34.200000000000003" x14ac:dyDescent="0.3">
      <c r="A111" s="15" t="s">
        <v>1115</v>
      </c>
      <c r="B111" s="15">
        <v>81111801</v>
      </c>
      <c r="C111" s="15" t="s">
        <v>347</v>
      </c>
      <c r="D111" s="15" t="s">
        <v>1116</v>
      </c>
      <c r="E111" s="15">
        <v>2</v>
      </c>
      <c r="F111" s="15" t="s">
        <v>1110</v>
      </c>
      <c r="G111" s="29">
        <v>28000000</v>
      </c>
      <c r="H111" s="15" t="s">
        <v>839</v>
      </c>
      <c r="I111" s="15"/>
      <c r="J111" s="15" t="s">
        <v>840</v>
      </c>
      <c r="K111" s="15">
        <v>107</v>
      </c>
      <c r="L111" s="30" t="s">
        <v>841</v>
      </c>
      <c r="M111" s="31">
        <v>28000000</v>
      </c>
      <c r="N111" s="30" t="s">
        <v>1111</v>
      </c>
      <c r="O111" s="30" t="str">
        <f>IF(LEN(IF(OR(NOT(ISNUMBER(B111)),LEN(B111)&lt;&gt;8),"UNSPSC vacío, en texto, con varios códigos o sin 8 dígitos; ","")&amp;IF(AND(ISNUMBER(B111),LEN(B111)=8),IF(MOD(B111,10000)=0,"UNSPSC a nivel de segmento o familia; ",""),"")&amp;IF(NOT(ISNUMBER(E111)),"Duración vacía o en texto; ","")&amp;IF(NOT(ISNUMBER(G111)),"Valor vacío o en texto; ","")&amp;IF(ISNUMBER(M111),IF(M111&lt;1000000,"Valor inferior a $1.000.000: verificar; ",""),"Valor no interpretable; ")&amp;IF(N111="[PENDIENTE DE VERIFICAR]","Modalidad no identificable; ","")&amp;IF(OR(ISERROR(SEARCH("@itc.edu.co",J111)),SUMPRODUCT(--ISNUMBER(SEARCH({"á","é","í","ó","ú","ñ"},J111)))&gt;0),"Correo vacío o no institucional válido; ","")&amp;IF(LEN(TRIM(D111))=0,"Sin objeto contractual; ","")&amp;IF(AND(ISNUMBER(M111),N111="Mínima cuantía"),IF(M111&gt;39850000,"Mínima cuantía con valor superior al tope citado en el instructivo 2026 ($39.850.000): verificar modalidad; ",""),"")&amp;IF(AND(ISNUMBER(M111),OR(ISNUMBER(SEARCH("prestación de servicios",D111)),ISNUMBER(SEARCH("prestar servicios",D111)),ISNUMBER(SEARCH("prestar los servicios",D111)))),IF(M111&gt;=500000000,"Prestación de servicios por $500 millones o más: posible error de digitación; ",""),""))=0,"Sin observaciones",IF(OR(NOT(ISNUMBER(B111)),LEN(B111)&lt;&gt;8),"UNSPSC vacío, en texto, con varios códigos o sin 8 dígitos; ","")&amp;IF(AND(ISNUMBER(B111),LEN(B111)=8),IF(MOD(B111,10000)=0,"UNSPSC a nivel de segmento o familia; ",""),"")&amp;IF(NOT(ISNUMBER(E111)),"Duración vacía o en texto; ","")&amp;IF(NOT(ISNUMBER(G111)),"Valor vacío o en texto; ","")&amp;IF(ISNUMBER(M111),IF(M111&lt;1000000,"Valor inferior a $1.000.000: verificar; ",""),"Valor no interpretable; ")&amp;IF(N111="[PENDIENTE DE VERIFICAR]","Modalidad no identificable; ","")&amp;IF(OR(ISERROR(SEARCH("@itc.edu.co",J111)),SUMPRODUCT(--ISNUMBER(SEARCH({"á","é","í","ó","ú","ñ"},J111)))&gt;0),"Correo vacío o no institucional válido; ","")&amp;IF(LEN(TRIM(D111))=0,"Sin objeto contractual; ","")&amp;IF(AND(ISNUMBER(M111),N111="Mínima cuantía"),IF(M111&gt;39850000,"Mínima cuantía con valor superior al tope citado en el instructivo 2026 ($39.850.000): verificar modalidad; ",""),"")&amp;IF(AND(ISNUMBER(M111),OR(ISNUMBER(SEARCH("prestación de servicios",D111)),ISNUMBER(SEARCH("prestar servicios",D111)),ISNUMBER(SEARCH("prestar los servicios",D111)))),IF(M111&gt;=500000000,"Prestación de servicios por $500 millones o más: posible error de digitación; ",""),""))</f>
        <v>Sin observaciones</v>
      </c>
    </row>
    <row r="112" spans="1:15" ht="68.400000000000006" x14ac:dyDescent="0.3">
      <c r="A112" s="15" t="s">
        <v>442</v>
      </c>
      <c r="B112" s="15" t="s">
        <v>1117</v>
      </c>
      <c r="C112" s="15" t="s">
        <v>1009</v>
      </c>
      <c r="D112" s="15" t="s">
        <v>1118</v>
      </c>
      <c r="E112" s="15">
        <v>7</v>
      </c>
      <c r="F112" s="15" t="s">
        <v>1110</v>
      </c>
      <c r="G112" s="29">
        <v>200000000</v>
      </c>
      <c r="H112" s="15" t="s">
        <v>1119</v>
      </c>
      <c r="I112" s="15"/>
      <c r="J112" s="15" t="s">
        <v>1120</v>
      </c>
      <c r="K112" s="15">
        <v>108</v>
      </c>
      <c r="L112" s="30" t="s">
        <v>977</v>
      </c>
      <c r="M112" s="31">
        <v>200000000</v>
      </c>
      <c r="N112" s="30" t="s">
        <v>1111</v>
      </c>
      <c r="O112" s="30" t="str">
        <f>IF(LEN(IF(OR(NOT(ISNUMBER(B112)),LEN(B112)&lt;&gt;8),"UNSPSC vacío, en texto, con varios códigos o sin 8 dígitos; ","")&amp;IF(AND(ISNUMBER(B112),LEN(B112)=8),IF(MOD(B112,10000)=0,"UNSPSC a nivel de segmento o familia; ",""),"")&amp;IF(NOT(ISNUMBER(E112)),"Duración vacía o en texto; ","")&amp;IF(NOT(ISNUMBER(G112)),"Valor vacío o en texto; ","")&amp;IF(ISNUMBER(M112),IF(M112&lt;1000000,"Valor inferior a $1.000.000: verificar; ",""),"Valor no interpretable; ")&amp;IF(N112="[PENDIENTE DE VERIFICAR]","Modalidad no identificable; ","")&amp;IF(OR(ISERROR(SEARCH("@itc.edu.co",J112)),SUMPRODUCT(--ISNUMBER(SEARCH({"á","é","í","ó","ú","ñ"},J112)))&gt;0),"Correo vacío o no institucional válido; ","")&amp;IF(LEN(TRIM(D112))=0,"Sin objeto contractual; ","")&amp;IF(AND(ISNUMBER(M112),N112="Mínima cuantía"),IF(M112&gt;39850000,"Mínima cuantía con valor superior al tope citado en el instructivo 2026 ($39.850.000): verificar modalidad; ",""),"")&amp;IF(AND(ISNUMBER(M112),OR(ISNUMBER(SEARCH("prestación de servicios",D112)),ISNUMBER(SEARCH("prestar servicios",D112)),ISNUMBER(SEARCH("prestar los servicios",D112)))),IF(M112&gt;=500000000,"Prestación de servicios por $500 millones o más: posible error de digitación; ",""),""))=0,"Sin observaciones",IF(OR(NOT(ISNUMBER(B112)),LEN(B112)&lt;&gt;8),"UNSPSC vacío, en texto, con varios códigos o sin 8 dígitos; ","")&amp;IF(AND(ISNUMBER(B112),LEN(B112)=8),IF(MOD(B112,10000)=0,"UNSPSC a nivel de segmento o familia; ",""),"")&amp;IF(NOT(ISNUMBER(E112)),"Duración vacía o en texto; ","")&amp;IF(NOT(ISNUMBER(G112)),"Valor vacío o en texto; ","")&amp;IF(ISNUMBER(M112),IF(M112&lt;1000000,"Valor inferior a $1.000.000: verificar; ",""),"Valor no interpretable; ")&amp;IF(N112="[PENDIENTE DE VERIFICAR]","Modalidad no identificable; ","")&amp;IF(OR(ISERROR(SEARCH("@itc.edu.co",J112)),SUMPRODUCT(--ISNUMBER(SEARCH({"á","é","í","ó","ú","ñ"},J112)))&gt;0),"Correo vacío o no institucional válido; ","")&amp;IF(LEN(TRIM(D112))=0,"Sin objeto contractual; ","")&amp;IF(AND(ISNUMBER(M112),N112="Mínima cuantía"),IF(M112&gt;39850000,"Mínima cuantía con valor superior al tope citado en el instructivo 2026 ($39.850.000): verificar modalidad; ",""),"")&amp;IF(AND(ISNUMBER(M112),OR(ISNUMBER(SEARCH("prestación de servicios",D112)),ISNUMBER(SEARCH("prestar servicios",D112)),ISNUMBER(SEARCH("prestar los servicios",D112)))),IF(M112&gt;=500000000,"Prestación de servicios por $500 millones o más: posible error de digitación; ",""),""))</f>
        <v xml:space="preserve">UNSPSC vacío, en texto, con varios códigos o sin 8 dígitos; </v>
      </c>
    </row>
    <row r="113" spans="1:15" ht="45.6" x14ac:dyDescent="0.3">
      <c r="A113" s="15" t="s">
        <v>531</v>
      </c>
      <c r="B113" s="15">
        <v>39121300</v>
      </c>
      <c r="C113" s="15" t="s">
        <v>1009</v>
      </c>
      <c r="D113" s="15" t="s">
        <v>1121</v>
      </c>
      <c r="E113" s="15">
        <v>4</v>
      </c>
      <c r="F113" s="15" t="s">
        <v>788</v>
      </c>
      <c r="G113" s="29">
        <v>40000000</v>
      </c>
      <c r="H113" s="15" t="s">
        <v>1119</v>
      </c>
      <c r="I113" s="15"/>
      <c r="J113" s="15" t="s">
        <v>1120</v>
      </c>
      <c r="K113" s="15">
        <v>109</v>
      </c>
      <c r="L113" s="30" t="s">
        <v>977</v>
      </c>
      <c r="M113" s="31">
        <v>40000000</v>
      </c>
      <c r="N113" s="30" t="s">
        <v>792</v>
      </c>
      <c r="O113" s="30" t="str">
        <f>IF(LEN(IF(OR(NOT(ISNUMBER(B113)),LEN(B113)&lt;&gt;8),"UNSPSC vacío, en texto, con varios códigos o sin 8 dígitos; ","")&amp;IF(AND(ISNUMBER(B113),LEN(B113)=8),IF(MOD(B113,10000)=0,"UNSPSC a nivel de segmento o familia; ",""),"")&amp;IF(NOT(ISNUMBER(E113)),"Duración vacía o en texto; ","")&amp;IF(NOT(ISNUMBER(G113)),"Valor vacío o en texto; ","")&amp;IF(ISNUMBER(M113),IF(M113&lt;1000000,"Valor inferior a $1.000.000: verificar; ",""),"Valor no interpretable; ")&amp;IF(N113="[PENDIENTE DE VERIFICAR]","Modalidad no identificable; ","")&amp;IF(OR(ISERROR(SEARCH("@itc.edu.co",J113)),SUMPRODUCT(--ISNUMBER(SEARCH({"á","é","í","ó","ú","ñ"},J113)))&gt;0),"Correo vacío o no institucional válido; ","")&amp;IF(LEN(TRIM(D113))=0,"Sin objeto contractual; ","")&amp;IF(AND(ISNUMBER(M113),N113="Mínima cuantía"),IF(M113&gt;39850000,"Mínima cuantía con valor superior al tope citado en el instructivo 2026 ($39.850.000): verificar modalidad; ",""),"")&amp;IF(AND(ISNUMBER(M113),OR(ISNUMBER(SEARCH("prestación de servicios",D113)),ISNUMBER(SEARCH("prestar servicios",D113)),ISNUMBER(SEARCH("prestar los servicios",D113)))),IF(M113&gt;=500000000,"Prestación de servicios por $500 millones o más: posible error de digitación; ",""),""))=0,"Sin observaciones",IF(OR(NOT(ISNUMBER(B113)),LEN(B113)&lt;&gt;8),"UNSPSC vacío, en texto, con varios códigos o sin 8 dígitos; ","")&amp;IF(AND(ISNUMBER(B113),LEN(B113)=8),IF(MOD(B113,10000)=0,"UNSPSC a nivel de segmento o familia; ",""),"")&amp;IF(NOT(ISNUMBER(E113)),"Duración vacía o en texto; ","")&amp;IF(NOT(ISNUMBER(G113)),"Valor vacío o en texto; ","")&amp;IF(ISNUMBER(M113),IF(M113&lt;1000000,"Valor inferior a $1.000.000: verificar; ",""),"Valor no interpretable; ")&amp;IF(N113="[PENDIENTE DE VERIFICAR]","Modalidad no identificable; ","")&amp;IF(OR(ISERROR(SEARCH("@itc.edu.co",J113)),SUMPRODUCT(--ISNUMBER(SEARCH({"á","é","í","ó","ú","ñ"},J113)))&gt;0),"Correo vacío o no institucional válido; ","")&amp;IF(LEN(TRIM(D113))=0,"Sin objeto contractual; ","")&amp;IF(AND(ISNUMBER(M113),N113="Mínima cuantía"),IF(M113&gt;39850000,"Mínima cuantía con valor superior al tope citado en el instructivo 2026 ($39.850.000): verificar modalidad; ",""),"")&amp;IF(AND(ISNUMBER(M113),OR(ISNUMBER(SEARCH("prestación de servicios",D113)),ISNUMBER(SEARCH("prestar servicios",D113)),ISNUMBER(SEARCH("prestar los servicios",D113)))),IF(M113&gt;=500000000,"Prestación de servicios por $500 millones o más: posible error de digitación; ",""),""))</f>
        <v xml:space="preserve">Mínima cuantía con valor superior al tope citado en el instructivo 2026 ($39.850.000): verificar modalidad; </v>
      </c>
    </row>
    <row r="114" spans="1:15" ht="57" x14ac:dyDescent="0.3">
      <c r="A114" s="15" t="s">
        <v>647</v>
      </c>
      <c r="B114" s="15">
        <v>72101511</v>
      </c>
      <c r="C114" s="15" t="s">
        <v>1009</v>
      </c>
      <c r="D114" s="15" t="s">
        <v>1122</v>
      </c>
      <c r="E114" s="15">
        <v>4</v>
      </c>
      <c r="F114" s="15" t="s">
        <v>1110</v>
      </c>
      <c r="G114" s="29">
        <v>70000000</v>
      </c>
      <c r="H114" s="15" t="s">
        <v>1119</v>
      </c>
      <c r="I114" s="15"/>
      <c r="J114" s="15" t="s">
        <v>1120</v>
      </c>
      <c r="K114" s="15">
        <v>110</v>
      </c>
      <c r="L114" s="30" t="s">
        <v>977</v>
      </c>
      <c r="M114" s="31">
        <v>70000000</v>
      </c>
      <c r="N114" s="30" t="s">
        <v>1111</v>
      </c>
      <c r="O114" s="30" t="str">
        <f>IF(LEN(IF(OR(NOT(ISNUMBER(B114)),LEN(B114)&lt;&gt;8),"UNSPSC vacío, en texto, con varios códigos o sin 8 dígitos; ","")&amp;IF(AND(ISNUMBER(B114),LEN(B114)=8),IF(MOD(B114,10000)=0,"UNSPSC a nivel de segmento o familia; ",""),"")&amp;IF(NOT(ISNUMBER(E114)),"Duración vacía o en texto; ","")&amp;IF(NOT(ISNUMBER(G114)),"Valor vacío o en texto; ","")&amp;IF(ISNUMBER(M114),IF(M114&lt;1000000,"Valor inferior a $1.000.000: verificar; ",""),"Valor no interpretable; ")&amp;IF(N114="[PENDIENTE DE VERIFICAR]","Modalidad no identificable; ","")&amp;IF(OR(ISERROR(SEARCH("@itc.edu.co",J114)),SUMPRODUCT(--ISNUMBER(SEARCH({"á","é","í","ó","ú","ñ"},J114)))&gt;0),"Correo vacío o no institucional válido; ","")&amp;IF(LEN(TRIM(D114))=0,"Sin objeto contractual; ","")&amp;IF(AND(ISNUMBER(M114),N114="Mínima cuantía"),IF(M114&gt;39850000,"Mínima cuantía con valor superior al tope citado en el instructivo 2026 ($39.850.000): verificar modalidad; ",""),"")&amp;IF(AND(ISNUMBER(M114),OR(ISNUMBER(SEARCH("prestación de servicios",D114)),ISNUMBER(SEARCH("prestar servicios",D114)),ISNUMBER(SEARCH("prestar los servicios",D114)))),IF(M114&gt;=500000000,"Prestación de servicios por $500 millones o más: posible error de digitación; ",""),""))=0,"Sin observaciones",IF(OR(NOT(ISNUMBER(B114)),LEN(B114)&lt;&gt;8),"UNSPSC vacío, en texto, con varios códigos o sin 8 dígitos; ","")&amp;IF(AND(ISNUMBER(B114),LEN(B114)=8),IF(MOD(B114,10000)=0,"UNSPSC a nivel de segmento o familia; ",""),"")&amp;IF(NOT(ISNUMBER(E114)),"Duración vacía o en texto; ","")&amp;IF(NOT(ISNUMBER(G114)),"Valor vacío o en texto; ","")&amp;IF(ISNUMBER(M114),IF(M114&lt;1000000,"Valor inferior a $1.000.000: verificar; ",""),"Valor no interpretable; ")&amp;IF(N114="[PENDIENTE DE VERIFICAR]","Modalidad no identificable; ","")&amp;IF(OR(ISERROR(SEARCH("@itc.edu.co",J114)),SUMPRODUCT(--ISNUMBER(SEARCH({"á","é","í","ó","ú","ñ"},J114)))&gt;0),"Correo vacío o no institucional válido; ","")&amp;IF(LEN(TRIM(D114))=0,"Sin objeto contractual; ","")&amp;IF(AND(ISNUMBER(M114),N114="Mínima cuantía"),IF(M114&gt;39850000,"Mínima cuantía con valor superior al tope citado en el instructivo 2026 ($39.850.000): verificar modalidad; ",""),"")&amp;IF(AND(ISNUMBER(M114),OR(ISNUMBER(SEARCH("prestación de servicios",D114)),ISNUMBER(SEARCH("prestar servicios",D114)),ISNUMBER(SEARCH("prestar los servicios",D114)))),IF(M114&gt;=500000000,"Prestación de servicios por $500 millones o más: posible error de digitación; ",""),""))</f>
        <v>Sin observaciones</v>
      </c>
    </row>
    <row r="115" spans="1:15" ht="68.400000000000006" x14ac:dyDescent="0.3">
      <c r="A115" s="15" t="s">
        <v>398</v>
      </c>
      <c r="B115" s="15">
        <v>72151500</v>
      </c>
      <c r="C115" s="15" t="s">
        <v>1009</v>
      </c>
      <c r="D115" s="15" t="s">
        <v>1123</v>
      </c>
      <c r="E115" s="15">
        <v>3</v>
      </c>
      <c r="F115" s="15" t="s">
        <v>788</v>
      </c>
      <c r="G115" s="29">
        <v>25000000</v>
      </c>
      <c r="H115" s="15" t="s">
        <v>1119</v>
      </c>
      <c r="I115" s="15"/>
      <c r="J115" s="15" t="s">
        <v>1120</v>
      </c>
      <c r="K115" s="15">
        <v>111</v>
      </c>
      <c r="L115" s="30" t="s">
        <v>977</v>
      </c>
      <c r="M115" s="31">
        <v>25000000</v>
      </c>
      <c r="N115" s="30" t="s">
        <v>792</v>
      </c>
      <c r="O115" s="30" t="str">
        <f>IF(LEN(IF(OR(NOT(ISNUMBER(B115)),LEN(B115)&lt;&gt;8),"UNSPSC vacío, en texto, con varios códigos o sin 8 dígitos; ","")&amp;IF(AND(ISNUMBER(B115),LEN(B115)=8),IF(MOD(B115,10000)=0,"UNSPSC a nivel de segmento o familia; ",""),"")&amp;IF(NOT(ISNUMBER(E115)),"Duración vacía o en texto; ","")&amp;IF(NOT(ISNUMBER(G115)),"Valor vacío o en texto; ","")&amp;IF(ISNUMBER(M115),IF(M115&lt;1000000,"Valor inferior a $1.000.000: verificar; ",""),"Valor no interpretable; ")&amp;IF(N115="[PENDIENTE DE VERIFICAR]","Modalidad no identificable; ","")&amp;IF(OR(ISERROR(SEARCH("@itc.edu.co",J115)),SUMPRODUCT(--ISNUMBER(SEARCH({"á","é","í","ó","ú","ñ"},J115)))&gt;0),"Correo vacío o no institucional válido; ","")&amp;IF(LEN(TRIM(D115))=0,"Sin objeto contractual; ","")&amp;IF(AND(ISNUMBER(M115),N115="Mínima cuantía"),IF(M115&gt;39850000,"Mínima cuantía con valor superior al tope citado en el instructivo 2026 ($39.850.000): verificar modalidad; ",""),"")&amp;IF(AND(ISNUMBER(M115),OR(ISNUMBER(SEARCH("prestación de servicios",D115)),ISNUMBER(SEARCH("prestar servicios",D115)),ISNUMBER(SEARCH("prestar los servicios",D115)))),IF(M115&gt;=500000000,"Prestación de servicios por $500 millones o más: posible error de digitación; ",""),""))=0,"Sin observaciones",IF(OR(NOT(ISNUMBER(B115)),LEN(B115)&lt;&gt;8),"UNSPSC vacío, en texto, con varios códigos o sin 8 dígitos; ","")&amp;IF(AND(ISNUMBER(B115),LEN(B115)=8),IF(MOD(B115,10000)=0,"UNSPSC a nivel de segmento o familia; ",""),"")&amp;IF(NOT(ISNUMBER(E115)),"Duración vacía o en texto; ","")&amp;IF(NOT(ISNUMBER(G115)),"Valor vacío o en texto; ","")&amp;IF(ISNUMBER(M115),IF(M115&lt;1000000,"Valor inferior a $1.000.000: verificar; ",""),"Valor no interpretable; ")&amp;IF(N115="[PENDIENTE DE VERIFICAR]","Modalidad no identificable; ","")&amp;IF(OR(ISERROR(SEARCH("@itc.edu.co",J115)),SUMPRODUCT(--ISNUMBER(SEARCH({"á","é","í","ó","ú","ñ"},J115)))&gt;0),"Correo vacío o no institucional válido; ","")&amp;IF(LEN(TRIM(D115))=0,"Sin objeto contractual; ","")&amp;IF(AND(ISNUMBER(M115),N115="Mínima cuantía"),IF(M115&gt;39850000,"Mínima cuantía con valor superior al tope citado en el instructivo 2026 ($39.850.000): verificar modalidad; ",""),"")&amp;IF(AND(ISNUMBER(M115),OR(ISNUMBER(SEARCH("prestación de servicios",D115)),ISNUMBER(SEARCH("prestar servicios",D115)),ISNUMBER(SEARCH("prestar los servicios",D115)))),IF(M115&gt;=500000000,"Prestación de servicios por $500 millones o más: posible error de digitación; ",""),""))</f>
        <v>Sin observaciones</v>
      </c>
    </row>
    <row r="116" spans="1:15" ht="45.6" x14ac:dyDescent="0.3">
      <c r="A116" s="15" t="s">
        <v>1124</v>
      </c>
      <c r="B116" s="15">
        <v>72151500</v>
      </c>
      <c r="C116" s="15" t="s">
        <v>1009</v>
      </c>
      <c r="D116" s="15" t="s">
        <v>1125</v>
      </c>
      <c r="E116" s="15">
        <v>6</v>
      </c>
      <c r="F116" s="15" t="s">
        <v>788</v>
      </c>
      <c r="G116" s="29">
        <v>15000000</v>
      </c>
      <c r="H116" s="15" t="s">
        <v>1119</v>
      </c>
      <c r="I116" s="15"/>
      <c r="J116" s="15" t="s">
        <v>1120</v>
      </c>
      <c r="K116" s="15">
        <v>112</v>
      </c>
      <c r="L116" s="30" t="s">
        <v>977</v>
      </c>
      <c r="M116" s="31">
        <v>15000000</v>
      </c>
      <c r="N116" s="30" t="s">
        <v>792</v>
      </c>
      <c r="O116" s="30" t="str">
        <f>IF(LEN(IF(OR(NOT(ISNUMBER(B116)),LEN(B116)&lt;&gt;8),"UNSPSC vacío, en texto, con varios códigos o sin 8 dígitos; ","")&amp;IF(AND(ISNUMBER(B116),LEN(B116)=8),IF(MOD(B116,10000)=0,"UNSPSC a nivel de segmento o familia; ",""),"")&amp;IF(NOT(ISNUMBER(E116)),"Duración vacía o en texto; ","")&amp;IF(NOT(ISNUMBER(G116)),"Valor vacío o en texto; ","")&amp;IF(ISNUMBER(M116),IF(M116&lt;1000000,"Valor inferior a $1.000.000: verificar; ",""),"Valor no interpretable; ")&amp;IF(N116="[PENDIENTE DE VERIFICAR]","Modalidad no identificable; ","")&amp;IF(OR(ISERROR(SEARCH("@itc.edu.co",J116)),SUMPRODUCT(--ISNUMBER(SEARCH({"á","é","í","ó","ú","ñ"},J116)))&gt;0),"Correo vacío o no institucional válido; ","")&amp;IF(LEN(TRIM(D116))=0,"Sin objeto contractual; ","")&amp;IF(AND(ISNUMBER(M116),N116="Mínima cuantía"),IF(M116&gt;39850000,"Mínima cuantía con valor superior al tope citado en el instructivo 2026 ($39.850.000): verificar modalidad; ",""),"")&amp;IF(AND(ISNUMBER(M116),OR(ISNUMBER(SEARCH("prestación de servicios",D116)),ISNUMBER(SEARCH("prestar servicios",D116)),ISNUMBER(SEARCH("prestar los servicios",D116)))),IF(M116&gt;=500000000,"Prestación de servicios por $500 millones o más: posible error de digitación; ",""),""))=0,"Sin observaciones",IF(OR(NOT(ISNUMBER(B116)),LEN(B116)&lt;&gt;8),"UNSPSC vacío, en texto, con varios códigos o sin 8 dígitos; ","")&amp;IF(AND(ISNUMBER(B116),LEN(B116)=8),IF(MOD(B116,10000)=0,"UNSPSC a nivel de segmento o familia; ",""),"")&amp;IF(NOT(ISNUMBER(E116)),"Duración vacía o en texto; ","")&amp;IF(NOT(ISNUMBER(G116)),"Valor vacío o en texto; ","")&amp;IF(ISNUMBER(M116),IF(M116&lt;1000000,"Valor inferior a $1.000.000: verificar; ",""),"Valor no interpretable; ")&amp;IF(N116="[PENDIENTE DE VERIFICAR]","Modalidad no identificable; ","")&amp;IF(OR(ISERROR(SEARCH("@itc.edu.co",J116)),SUMPRODUCT(--ISNUMBER(SEARCH({"á","é","í","ó","ú","ñ"},J116)))&gt;0),"Correo vacío o no institucional válido; ","")&amp;IF(LEN(TRIM(D116))=0,"Sin objeto contractual; ","")&amp;IF(AND(ISNUMBER(M116),N116="Mínima cuantía"),IF(M116&gt;39850000,"Mínima cuantía con valor superior al tope citado en el instructivo 2026 ($39.850.000): verificar modalidad; ",""),"")&amp;IF(AND(ISNUMBER(M116),OR(ISNUMBER(SEARCH("prestación de servicios",D116)),ISNUMBER(SEARCH("prestar servicios",D116)),ISNUMBER(SEARCH("prestar los servicios",D116)))),IF(M116&gt;=500000000,"Prestación de servicios por $500 millones o más: posible error de digitación; ",""),""))</f>
        <v>Sin observaciones</v>
      </c>
    </row>
    <row r="117" spans="1:15" ht="34.200000000000003" x14ac:dyDescent="0.3">
      <c r="A117" s="15" t="s">
        <v>367</v>
      </c>
      <c r="B117" s="15" t="s">
        <v>1126</v>
      </c>
      <c r="C117" s="15" t="s">
        <v>1009</v>
      </c>
      <c r="D117" s="15" t="s">
        <v>366</v>
      </c>
      <c r="E117" s="15">
        <v>4</v>
      </c>
      <c r="F117" s="15" t="s">
        <v>1110</v>
      </c>
      <c r="G117" s="29">
        <v>220000000</v>
      </c>
      <c r="H117" s="15" t="s">
        <v>1119</v>
      </c>
      <c r="I117" s="15"/>
      <c r="J117" s="15" t="s">
        <v>1120</v>
      </c>
      <c r="K117" s="15">
        <v>113</v>
      </c>
      <c r="L117" s="30" t="s">
        <v>977</v>
      </c>
      <c r="M117" s="31">
        <v>220000000</v>
      </c>
      <c r="N117" s="30" t="s">
        <v>1111</v>
      </c>
      <c r="O117" s="30" t="str">
        <f>IF(LEN(IF(OR(NOT(ISNUMBER(B117)),LEN(B117)&lt;&gt;8),"UNSPSC vacío, en texto, con varios códigos o sin 8 dígitos; ","")&amp;IF(AND(ISNUMBER(B117),LEN(B117)=8),IF(MOD(B117,10000)=0,"UNSPSC a nivel de segmento o familia; ",""),"")&amp;IF(NOT(ISNUMBER(E117)),"Duración vacía o en texto; ","")&amp;IF(NOT(ISNUMBER(G117)),"Valor vacío o en texto; ","")&amp;IF(ISNUMBER(M117),IF(M117&lt;1000000,"Valor inferior a $1.000.000: verificar; ",""),"Valor no interpretable; ")&amp;IF(N117="[PENDIENTE DE VERIFICAR]","Modalidad no identificable; ","")&amp;IF(OR(ISERROR(SEARCH("@itc.edu.co",J117)),SUMPRODUCT(--ISNUMBER(SEARCH({"á","é","í","ó","ú","ñ"},J117)))&gt;0),"Correo vacío o no institucional válido; ","")&amp;IF(LEN(TRIM(D117))=0,"Sin objeto contractual; ","")&amp;IF(AND(ISNUMBER(M117),N117="Mínima cuantía"),IF(M117&gt;39850000,"Mínima cuantía con valor superior al tope citado en el instructivo 2026 ($39.850.000): verificar modalidad; ",""),"")&amp;IF(AND(ISNUMBER(M117),OR(ISNUMBER(SEARCH("prestación de servicios",D117)),ISNUMBER(SEARCH("prestar servicios",D117)),ISNUMBER(SEARCH("prestar los servicios",D117)))),IF(M117&gt;=500000000,"Prestación de servicios por $500 millones o más: posible error de digitación; ",""),""))=0,"Sin observaciones",IF(OR(NOT(ISNUMBER(B117)),LEN(B117)&lt;&gt;8),"UNSPSC vacío, en texto, con varios códigos o sin 8 dígitos; ","")&amp;IF(AND(ISNUMBER(B117),LEN(B117)=8),IF(MOD(B117,10000)=0,"UNSPSC a nivel de segmento o familia; ",""),"")&amp;IF(NOT(ISNUMBER(E117)),"Duración vacía o en texto; ","")&amp;IF(NOT(ISNUMBER(G117)),"Valor vacío o en texto; ","")&amp;IF(ISNUMBER(M117),IF(M117&lt;1000000,"Valor inferior a $1.000.000: verificar; ",""),"Valor no interpretable; ")&amp;IF(N117="[PENDIENTE DE VERIFICAR]","Modalidad no identificable; ","")&amp;IF(OR(ISERROR(SEARCH("@itc.edu.co",J117)),SUMPRODUCT(--ISNUMBER(SEARCH({"á","é","í","ó","ú","ñ"},J117)))&gt;0),"Correo vacío o no institucional válido; ","")&amp;IF(LEN(TRIM(D117))=0,"Sin objeto contractual; ","")&amp;IF(AND(ISNUMBER(M117),N117="Mínima cuantía"),IF(M117&gt;39850000,"Mínima cuantía con valor superior al tope citado en el instructivo 2026 ($39.850.000): verificar modalidad; ",""),"")&amp;IF(AND(ISNUMBER(M117),OR(ISNUMBER(SEARCH("prestación de servicios",D117)),ISNUMBER(SEARCH("prestar servicios",D117)),ISNUMBER(SEARCH("prestar los servicios",D117)))),IF(M117&gt;=500000000,"Prestación de servicios por $500 millones o más: posible error de digitación; ",""),""))</f>
        <v xml:space="preserve">UNSPSC vacío, en texto, con varios códigos o sin 8 dígitos; </v>
      </c>
    </row>
    <row r="118" spans="1:15" ht="57" x14ac:dyDescent="0.3">
      <c r="A118" s="15" t="s">
        <v>1127</v>
      </c>
      <c r="B118" s="15" t="s">
        <v>1126</v>
      </c>
      <c r="C118" s="15" t="s">
        <v>1009</v>
      </c>
      <c r="D118" s="15" t="s">
        <v>1128</v>
      </c>
      <c r="E118" s="15">
        <v>3</v>
      </c>
      <c r="F118" s="15" t="s">
        <v>1110</v>
      </c>
      <c r="G118" s="29">
        <v>300000000</v>
      </c>
      <c r="H118" s="15" t="s">
        <v>1119</v>
      </c>
      <c r="I118" s="15"/>
      <c r="J118" s="15" t="s">
        <v>1120</v>
      </c>
      <c r="K118" s="15">
        <v>114</v>
      </c>
      <c r="L118" s="30" t="s">
        <v>977</v>
      </c>
      <c r="M118" s="31">
        <v>300000000</v>
      </c>
      <c r="N118" s="30" t="s">
        <v>1111</v>
      </c>
      <c r="O118" s="30" t="str">
        <f>IF(LEN(IF(OR(NOT(ISNUMBER(B118)),LEN(B118)&lt;&gt;8),"UNSPSC vacío, en texto, con varios códigos o sin 8 dígitos; ","")&amp;IF(AND(ISNUMBER(B118),LEN(B118)=8),IF(MOD(B118,10000)=0,"UNSPSC a nivel de segmento o familia; ",""),"")&amp;IF(NOT(ISNUMBER(E118)),"Duración vacía o en texto; ","")&amp;IF(NOT(ISNUMBER(G118)),"Valor vacío o en texto; ","")&amp;IF(ISNUMBER(M118),IF(M118&lt;1000000,"Valor inferior a $1.000.000: verificar; ",""),"Valor no interpretable; ")&amp;IF(N118="[PENDIENTE DE VERIFICAR]","Modalidad no identificable; ","")&amp;IF(OR(ISERROR(SEARCH("@itc.edu.co",J118)),SUMPRODUCT(--ISNUMBER(SEARCH({"á","é","í","ó","ú","ñ"},J118)))&gt;0),"Correo vacío o no institucional válido; ","")&amp;IF(LEN(TRIM(D118))=0,"Sin objeto contractual; ","")&amp;IF(AND(ISNUMBER(M118),N118="Mínima cuantía"),IF(M118&gt;39850000,"Mínima cuantía con valor superior al tope citado en el instructivo 2026 ($39.850.000): verificar modalidad; ",""),"")&amp;IF(AND(ISNUMBER(M118),OR(ISNUMBER(SEARCH("prestación de servicios",D118)),ISNUMBER(SEARCH("prestar servicios",D118)),ISNUMBER(SEARCH("prestar los servicios",D118)))),IF(M118&gt;=500000000,"Prestación de servicios por $500 millones o más: posible error de digitación; ",""),""))=0,"Sin observaciones",IF(OR(NOT(ISNUMBER(B118)),LEN(B118)&lt;&gt;8),"UNSPSC vacío, en texto, con varios códigos o sin 8 dígitos; ","")&amp;IF(AND(ISNUMBER(B118),LEN(B118)=8),IF(MOD(B118,10000)=0,"UNSPSC a nivel de segmento o familia; ",""),"")&amp;IF(NOT(ISNUMBER(E118)),"Duración vacía o en texto; ","")&amp;IF(NOT(ISNUMBER(G118)),"Valor vacío o en texto; ","")&amp;IF(ISNUMBER(M118),IF(M118&lt;1000000,"Valor inferior a $1.000.000: verificar; ",""),"Valor no interpretable; ")&amp;IF(N118="[PENDIENTE DE VERIFICAR]","Modalidad no identificable; ","")&amp;IF(OR(ISERROR(SEARCH("@itc.edu.co",J118)),SUMPRODUCT(--ISNUMBER(SEARCH({"á","é","í","ó","ú","ñ"},J118)))&gt;0),"Correo vacío o no institucional válido; ","")&amp;IF(LEN(TRIM(D118))=0,"Sin objeto contractual; ","")&amp;IF(AND(ISNUMBER(M118),N118="Mínima cuantía"),IF(M118&gt;39850000,"Mínima cuantía con valor superior al tope citado en el instructivo 2026 ($39.850.000): verificar modalidad; ",""),"")&amp;IF(AND(ISNUMBER(M118),OR(ISNUMBER(SEARCH("prestación de servicios",D118)),ISNUMBER(SEARCH("prestar servicios",D118)),ISNUMBER(SEARCH("prestar los servicios",D118)))),IF(M118&gt;=500000000,"Prestación de servicios por $500 millones o más: posible error de digitación; ",""),""))</f>
        <v xml:space="preserve">UNSPSC vacío, en texto, con varios códigos o sin 8 dígitos; </v>
      </c>
    </row>
    <row r="119" spans="1:15" ht="45.6" x14ac:dyDescent="0.3">
      <c r="A119" s="15" t="s">
        <v>1129</v>
      </c>
      <c r="B119" s="15" t="s">
        <v>1126</v>
      </c>
      <c r="C119" s="15" t="s">
        <v>1009</v>
      </c>
      <c r="D119" s="15" t="s">
        <v>1130</v>
      </c>
      <c r="E119" s="15">
        <v>4</v>
      </c>
      <c r="F119" s="15" t="s">
        <v>1110</v>
      </c>
      <c r="G119" s="29">
        <v>450000000</v>
      </c>
      <c r="H119" s="15" t="s">
        <v>1119</v>
      </c>
      <c r="I119" s="15"/>
      <c r="J119" s="15" t="s">
        <v>1120</v>
      </c>
      <c r="K119" s="15">
        <v>115</v>
      </c>
      <c r="L119" s="30" t="s">
        <v>977</v>
      </c>
      <c r="M119" s="31">
        <v>450000000</v>
      </c>
      <c r="N119" s="30" t="s">
        <v>1111</v>
      </c>
      <c r="O119" s="30" t="str">
        <f>IF(LEN(IF(OR(NOT(ISNUMBER(B119)),LEN(B119)&lt;&gt;8),"UNSPSC vacío, en texto, con varios códigos o sin 8 dígitos; ","")&amp;IF(AND(ISNUMBER(B119),LEN(B119)=8),IF(MOD(B119,10000)=0,"UNSPSC a nivel de segmento o familia; ",""),"")&amp;IF(NOT(ISNUMBER(E119)),"Duración vacía o en texto; ","")&amp;IF(NOT(ISNUMBER(G119)),"Valor vacío o en texto; ","")&amp;IF(ISNUMBER(M119),IF(M119&lt;1000000,"Valor inferior a $1.000.000: verificar; ",""),"Valor no interpretable; ")&amp;IF(N119="[PENDIENTE DE VERIFICAR]","Modalidad no identificable; ","")&amp;IF(OR(ISERROR(SEARCH("@itc.edu.co",J119)),SUMPRODUCT(--ISNUMBER(SEARCH({"á","é","í","ó","ú","ñ"},J119)))&gt;0),"Correo vacío o no institucional válido; ","")&amp;IF(LEN(TRIM(D119))=0,"Sin objeto contractual; ","")&amp;IF(AND(ISNUMBER(M119),N119="Mínima cuantía"),IF(M119&gt;39850000,"Mínima cuantía con valor superior al tope citado en el instructivo 2026 ($39.850.000): verificar modalidad; ",""),"")&amp;IF(AND(ISNUMBER(M119),OR(ISNUMBER(SEARCH("prestación de servicios",D119)),ISNUMBER(SEARCH("prestar servicios",D119)),ISNUMBER(SEARCH("prestar los servicios",D119)))),IF(M119&gt;=500000000,"Prestación de servicios por $500 millones o más: posible error de digitación; ",""),""))=0,"Sin observaciones",IF(OR(NOT(ISNUMBER(B119)),LEN(B119)&lt;&gt;8),"UNSPSC vacío, en texto, con varios códigos o sin 8 dígitos; ","")&amp;IF(AND(ISNUMBER(B119),LEN(B119)=8),IF(MOD(B119,10000)=0,"UNSPSC a nivel de segmento o familia; ",""),"")&amp;IF(NOT(ISNUMBER(E119)),"Duración vacía o en texto; ","")&amp;IF(NOT(ISNUMBER(G119)),"Valor vacío o en texto; ","")&amp;IF(ISNUMBER(M119),IF(M119&lt;1000000,"Valor inferior a $1.000.000: verificar; ",""),"Valor no interpretable; ")&amp;IF(N119="[PENDIENTE DE VERIFICAR]","Modalidad no identificable; ","")&amp;IF(OR(ISERROR(SEARCH("@itc.edu.co",J119)),SUMPRODUCT(--ISNUMBER(SEARCH({"á","é","í","ó","ú","ñ"},J119)))&gt;0),"Correo vacío o no institucional válido; ","")&amp;IF(LEN(TRIM(D119))=0,"Sin objeto contractual; ","")&amp;IF(AND(ISNUMBER(M119),N119="Mínima cuantía"),IF(M119&gt;39850000,"Mínima cuantía con valor superior al tope citado en el instructivo 2026 ($39.850.000): verificar modalidad; ",""),"")&amp;IF(AND(ISNUMBER(M119),OR(ISNUMBER(SEARCH("prestación de servicios",D119)),ISNUMBER(SEARCH("prestar servicios",D119)),ISNUMBER(SEARCH("prestar los servicios",D119)))),IF(M119&gt;=500000000,"Prestación de servicios por $500 millones o más: posible error de digitación; ",""),""))</f>
        <v xml:space="preserve">UNSPSC vacío, en texto, con varios códigos o sin 8 dígitos; </v>
      </c>
    </row>
    <row r="120" spans="1:15" ht="45.6" x14ac:dyDescent="0.3">
      <c r="A120" s="15" t="s">
        <v>1131</v>
      </c>
      <c r="B120" s="15" t="s">
        <v>1126</v>
      </c>
      <c r="C120" s="15" t="s">
        <v>1009</v>
      </c>
      <c r="D120" s="15" t="s">
        <v>1132</v>
      </c>
      <c r="E120" s="15">
        <v>4</v>
      </c>
      <c r="F120" s="15" t="s">
        <v>1110</v>
      </c>
      <c r="G120" s="29">
        <v>50000000</v>
      </c>
      <c r="H120" s="15" t="s">
        <v>1119</v>
      </c>
      <c r="I120" s="15"/>
      <c r="J120" s="15" t="s">
        <v>1120</v>
      </c>
      <c r="K120" s="15">
        <v>116</v>
      </c>
      <c r="L120" s="30" t="s">
        <v>977</v>
      </c>
      <c r="M120" s="31">
        <v>50000000</v>
      </c>
      <c r="N120" s="30" t="s">
        <v>1111</v>
      </c>
      <c r="O120" s="30" t="str">
        <f>IF(LEN(IF(OR(NOT(ISNUMBER(B120)),LEN(B120)&lt;&gt;8),"UNSPSC vacío, en texto, con varios códigos o sin 8 dígitos; ","")&amp;IF(AND(ISNUMBER(B120),LEN(B120)=8),IF(MOD(B120,10000)=0,"UNSPSC a nivel de segmento o familia; ",""),"")&amp;IF(NOT(ISNUMBER(E120)),"Duración vacía o en texto; ","")&amp;IF(NOT(ISNUMBER(G120)),"Valor vacío o en texto; ","")&amp;IF(ISNUMBER(M120),IF(M120&lt;1000000,"Valor inferior a $1.000.000: verificar; ",""),"Valor no interpretable; ")&amp;IF(N120="[PENDIENTE DE VERIFICAR]","Modalidad no identificable; ","")&amp;IF(OR(ISERROR(SEARCH("@itc.edu.co",J120)),SUMPRODUCT(--ISNUMBER(SEARCH({"á","é","í","ó","ú","ñ"},J120)))&gt;0),"Correo vacío o no institucional válido; ","")&amp;IF(LEN(TRIM(D120))=0,"Sin objeto contractual; ","")&amp;IF(AND(ISNUMBER(M120),N120="Mínima cuantía"),IF(M120&gt;39850000,"Mínima cuantía con valor superior al tope citado en el instructivo 2026 ($39.850.000): verificar modalidad; ",""),"")&amp;IF(AND(ISNUMBER(M120),OR(ISNUMBER(SEARCH("prestación de servicios",D120)),ISNUMBER(SEARCH("prestar servicios",D120)),ISNUMBER(SEARCH("prestar los servicios",D120)))),IF(M120&gt;=500000000,"Prestación de servicios por $500 millones o más: posible error de digitación; ",""),""))=0,"Sin observaciones",IF(OR(NOT(ISNUMBER(B120)),LEN(B120)&lt;&gt;8),"UNSPSC vacío, en texto, con varios códigos o sin 8 dígitos; ","")&amp;IF(AND(ISNUMBER(B120),LEN(B120)=8),IF(MOD(B120,10000)=0,"UNSPSC a nivel de segmento o familia; ",""),"")&amp;IF(NOT(ISNUMBER(E120)),"Duración vacía o en texto; ","")&amp;IF(NOT(ISNUMBER(G120)),"Valor vacío o en texto; ","")&amp;IF(ISNUMBER(M120),IF(M120&lt;1000000,"Valor inferior a $1.000.000: verificar; ",""),"Valor no interpretable; ")&amp;IF(N120="[PENDIENTE DE VERIFICAR]","Modalidad no identificable; ","")&amp;IF(OR(ISERROR(SEARCH("@itc.edu.co",J120)),SUMPRODUCT(--ISNUMBER(SEARCH({"á","é","í","ó","ú","ñ"},J120)))&gt;0),"Correo vacío o no institucional válido; ","")&amp;IF(LEN(TRIM(D120))=0,"Sin objeto contractual; ","")&amp;IF(AND(ISNUMBER(M120),N120="Mínima cuantía"),IF(M120&gt;39850000,"Mínima cuantía con valor superior al tope citado en el instructivo 2026 ($39.850.000): verificar modalidad; ",""),"")&amp;IF(AND(ISNUMBER(M120),OR(ISNUMBER(SEARCH("prestación de servicios",D120)),ISNUMBER(SEARCH("prestar servicios",D120)),ISNUMBER(SEARCH("prestar los servicios",D120)))),IF(M120&gt;=500000000,"Prestación de servicios por $500 millones o más: posible error de digitación; ",""),""))</f>
        <v xml:space="preserve">UNSPSC vacío, en texto, con varios códigos o sin 8 dígitos; </v>
      </c>
    </row>
    <row r="121" spans="1:15" ht="45.6" x14ac:dyDescent="0.3">
      <c r="A121" s="15" t="s">
        <v>407</v>
      </c>
      <c r="B121" s="15">
        <v>95122306</v>
      </c>
      <c r="C121" s="15" t="s">
        <v>364</v>
      </c>
      <c r="D121" s="15" t="s">
        <v>1133</v>
      </c>
      <c r="E121" s="15">
        <v>6</v>
      </c>
      <c r="F121" s="15" t="s">
        <v>1110</v>
      </c>
      <c r="G121" s="29"/>
      <c r="H121" s="15" t="s">
        <v>1134</v>
      </c>
      <c r="I121" s="15"/>
      <c r="J121" s="15"/>
      <c r="K121" s="15"/>
      <c r="L121" s="30" t="s">
        <v>1135</v>
      </c>
      <c r="M121" s="31"/>
      <c r="N121" s="30" t="s">
        <v>1111</v>
      </c>
      <c r="O121" s="30" t="str">
        <f>IF(LEN(IF(OR(NOT(ISNUMBER(B121)),LEN(B121)&lt;&gt;8),"UNSPSC vacío, en texto, con varios códigos o sin 8 dígitos; ","")&amp;IF(AND(ISNUMBER(B121),LEN(B121)=8),IF(MOD(B121,10000)=0,"UNSPSC a nivel de segmento o familia; ",""),"")&amp;IF(NOT(ISNUMBER(E121)),"Duración vacía o en texto; ","")&amp;IF(NOT(ISNUMBER(G121)),"Valor vacío o en texto; ","")&amp;IF(ISNUMBER(M121),IF(M121&lt;1000000,"Valor inferior a $1.000.000: verificar; ",""),"Valor no interpretable; ")&amp;IF(N121="[PENDIENTE DE VERIFICAR]","Modalidad no identificable; ","")&amp;IF(OR(ISERROR(SEARCH("@itc.edu.co",J121)),SUMPRODUCT(--ISNUMBER(SEARCH({"á","é","í","ó","ú","ñ"},J121)))&gt;0),"Correo vacío o no institucional válido; ","")&amp;IF(LEN(TRIM(D121))=0,"Sin objeto contractual; ","")&amp;IF(AND(ISNUMBER(M121),N121="Mínima cuantía"),IF(M121&gt;39850000,"Mínima cuantía con valor superior al tope citado en el instructivo 2026 ($39.850.000): verificar modalidad; ",""),"")&amp;IF(AND(ISNUMBER(M121),OR(ISNUMBER(SEARCH("prestación de servicios",D121)),ISNUMBER(SEARCH("prestar servicios",D121)),ISNUMBER(SEARCH("prestar los servicios",D121)))),IF(M121&gt;=500000000,"Prestación de servicios por $500 millones o más: posible error de digitación; ",""),""))=0,"Sin observaciones",IF(OR(NOT(ISNUMBER(B121)),LEN(B121)&lt;&gt;8),"UNSPSC vacío, en texto, con varios códigos o sin 8 dígitos; ","")&amp;IF(AND(ISNUMBER(B121),LEN(B121)=8),IF(MOD(B121,10000)=0,"UNSPSC a nivel de segmento o familia; ",""),"")&amp;IF(NOT(ISNUMBER(E121)),"Duración vacía o en texto; ","")&amp;IF(NOT(ISNUMBER(G121)),"Valor vacío o en texto; ","")&amp;IF(ISNUMBER(M121),IF(M121&lt;1000000,"Valor inferior a $1.000.000: verificar; ",""),"Valor no interpretable; ")&amp;IF(N121="[PENDIENTE DE VERIFICAR]","Modalidad no identificable; ","")&amp;IF(OR(ISERROR(SEARCH("@itc.edu.co",J121)),SUMPRODUCT(--ISNUMBER(SEARCH({"á","é","í","ó","ú","ñ"},J121)))&gt;0),"Correo vacío o no institucional válido; ","")&amp;IF(LEN(TRIM(D121))=0,"Sin objeto contractual; ","")&amp;IF(AND(ISNUMBER(M121),N121="Mínima cuantía"),IF(M121&gt;39850000,"Mínima cuantía con valor superior al tope citado en el instructivo 2026 ($39.850.000): verificar modalidad; ",""),"")&amp;IF(AND(ISNUMBER(M121),OR(ISNUMBER(SEARCH("prestación de servicios",D121)),ISNUMBER(SEARCH("prestar servicios",D121)),ISNUMBER(SEARCH("prestar los servicios",D121)))),IF(M121&gt;=500000000,"Prestación de servicios por $500 millones o más: posible error de digitación; ",""),""))</f>
        <v xml:space="preserve">Valor vacío o en texto; Valor no interpretable; Correo vacío o no institucional válido; </v>
      </c>
    </row>
    <row r="122" spans="1:15" ht="22.8" x14ac:dyDescent="0.3">
      <c r="A122" s="15" t="s">
        <v>675</v>
      </c>
      <c r="B122" s="15">
        <v>80122001</v>
      </c>
      <c r="C122" s="15" t="s">
        <v>364</v>
      </c>
      <c r="D122" s="15" t="s">
        <v>1136</v>
      </c>
      <c r="E122" s="15">
        <v>6</v>
      </c>
      <c r="F122" s="15" t="s">
        <v>1110</v>
      </c>
      <c r="G122" s="29"/>
      <c r="H122" s="15" t="s">
        <v>1134</v>
      </c>
      <c r="I122" s="15"/>
      <c r="J122" s="15"/>
      <c r="K122" s="15"/>
      <c r="L122" s="30" t="s">
        <v>1135</v>
      </c>
      <c r="M122" s="31"/>
      <c r="N122" s="30" t="s">
        <v>1111</v>
      </c>
      <c r="O122" s="30" t="str">
        <f>IF(LEN(IF(OR(NOT(ISNUMBER(B122)),LEN(B122)&lt;&gt;8),"UNSPSC vacío, en texto, con varios códigos o sin 8 dígitos; ","")&amp;IF(AND(ISNUMBER(B122),LEN(B122)=8),IF(MOD(B122,10000)=0,"UNSPSC a nivel de segmento o familia; ",""),"")&amp;IF(NOT(ISNUMBER(E122)),"Duración vacía o en texto; ","")&amp;IF(NOT(ISNUMBER(G122)),"Valor vacío o en texto; ","")&amp;IF(ISNUMBER(M122),IF(M122&lt;1000000,"Valor inferior a $1.000.000: verificar; ",""),"Valor no interpretable; ")&amp;IF(N122="[PENDIENTE DE VERIFICAR]","Modalidad no identificable; ","")&amp;IF(OR(ISERROR(SEARCH("@itc.edu.co",J122)),SUMPRODUCT(--ISNUMBER(SEARCH({"á","é","í","ó","ú","ñ"},J122)))&gt;0),"Correo vacío o no institucional válido; ","")&amp;IF(LEN(TRIM(D122))=0,"Sin objeto contractual; ","")&amp;IF(AND(ISNUMBER(M122),N122="Mínima cuantía"),IF(M122&gt;39850000,"Mínima cuantía con valor superior al tope citado en el instructivo 2026 ($39.850.000): verificar modalidad; ",""),"")&amp;IF(AND(ISNUMBER(M122),OR(ISNUMBER(SEARCH("prestación de servicios",D122)),ISNUMBER(SEARCH("prestar servicios",D122)),ISNUMBER(SEARCH("prestar los servicios",D122)))),IF(M122&gt;=500000000,"Prestación de servicios por $500 millones o más: posible error de digitación; ",""),""))=0,"Sin observaciones",IF(OR(NOT(ISNUMBER(B122)),LEN(B122)&lt;&gt;8),"UNSPSC vacío, en texto, con varios códigos o sin 8 dígitos; ","")&amp;IF(AND(ISNUMBER(B122),LEN(B122)=8),IF(MOD(B122,10000)=0,"UNSPSC a nivel de segmento o familia; ",""),"")&amp;IF(NOT(ISNUMBER(E122)),"Duración vacía o en texto; ","")&amp;IF(NOT(ISNUMBER(G122)),"Valor vacío o en texto; ","")&amp;IF(ISNUMBER(M122),IF(M122&lt;1000000,"Valor inferior a $1.000.000: verificar; ",""),"Valor no interpretable; ")&amp;IF(N122="[PENDIENTE DE VERIFICAR]","Modalidad no identificable; ","")&amp;IF(OR(ISERROR(SEARCH("@itc.edu.co",J122)),SUMPRODUCT(--ISNUMBER(SEARCH({"á","é","í","ó","ú","ñ"},J122)))&gt;0),"Correo vacío o no institucional válido; ","")&amp;IF(LEN(TRIM(D122))=0,"Sin objeto contractual; ","")&amp;IF(AND(ISNUMBER(M122),N122="Mínima cuantía"),IF(M122&gt;39850000,"Mínima cuantía con valor superior al tope citado en el instructivo 2026 ($39.850.000): verificar modalidad; ",""),"")&amp;IF(AND(ISNUMBER(M122),OR(ISNUMBER(SEARCH("prestación de servicios",D122)),ISNUMBER(SEARCH("prestar servicios",D122)),ISNUMBER(SEARCH("prestar los servicios",D122)))),IF(M122&gt;=500000000,"Prestación de servicios por $500 millones o más: posible error de digitación; ",""),""))</f>
        <v xml:space="preserve">Valor vacío o en texto; Valor no interpretable; Correo vacío o no institucional válido; </v>
      </c>
    </row>
    <row r="123" spans="1:15" ht="22.8" x14ac:dyDescent="0.3">
      <c r="A123" s="15" t="s">
        <v>727</v>
      </c>
      <c r="B123" s="15">
        <v>94121510</v>
      </c>
      <c r="C123" s="15" t="s">
        <v>364</v>
      </c>
      <c r="D123" s="15" t="s">
        <v>1137</v>
      </c>
      <c r="E123" s="15">
        <v>4</v>
      </c>
      <c r="F123" s="15" t="s">
        <v>1110</v>
      </c>
      <c r="G123" s="29" t="s">
        <v>1138</v>
      </c>
      <c r="H123" s="15" t="s">
        <v>1134</v>
      </c>
      <c r="I123" s="15"/>
      <c r="J123" s="15" t="s">
        <v>1139</v>
      </c>
      <c r="K123" s="15"/>
      <c r="L123" s="30" t="s">
        <v>1140</v>
      </c>
      <c r="M123" s="31">
        <v>50000000</v>
      </c>
      <c r="N123" s="30" t="s">
        <v>1111</v>
      </c>
      <c r="O123" s="30" t="str">
        <f>IF(LEN(IF(OR(NOT(ISNUMBER(B123)),LEN(B123)&lt;&gt;8),"UNSPSC vacío, en texto, con varios códigos o sin 8 dígitos; ","")&amp;IF(AND(ISNUMBER(B123),LEN(B123)=8),IF(MOD(B123,10000)=0,"UNSPSC a nivel de segmento o familia; ",""),"")&amp;IF(NOT(ISNUMBER(E123)),"Duración vacía o en texto; ","")&amp;IF(NOT(ISNUMBER(G123)),"Valor vacío o en texto; ","")&amp;IF(ISNUMBER(M123),IF(M123&lt;1000000,"Valor inferior a $1.000.000: verificar; ",""),"Valor no interpretable; ")&amp;IF(N123="[PENDIENTE DE VERIFICAR]","Modalidad no identificable; ","")&amp;IF(OR(ISERROR(SEARCH("@itc.edu.co",J123)),SUMPRODUCT(--ISNUMBER(SEARCH({"á","é","í","ó","ú","ñ"},J123)))&gt;0),"Correo vacío o no institucional válido; ","")&amp;IF(LEN(TRIM(D123))=0,"Sin objeto contractual; ","")&amp;IF(AND(ISNUMBER(M123),N123="Mínima cuantía"),IF(M123&gt;39850000,"Mínima cuantía con valor superior al tope citado en el instructivo 2026 ($39.850.000): verificar modalidad; ",""),"")&amp;IF(AND(ISNUMBER(M123),OR(ISNUMBER(SEARCH("prestación de servicios",D123)),ISNUMBER(SEARCH("prestar servicios",D123)),ISNUMBER(SEARCH("prestar los servicios",D123)))),IF(M123&gt;=500000000,"Prestación de servicios por $500 millones o más: posible error de digitación; ",""),""))=0,"Sin observaciones",IF(OR(NOT(ISNUMBER(B123)),LEN(B123)&lt;&gt;8),"UNSPSC vacío, en texto, con varios códigos o sin 8 dígitos; ","")&amp;IF(AND(ISNUMBER(B123),LEN(B123)=8),IF(MOD(B123,10000)=0,"UNSPSC a nivel de segmento o familia; ",""),"")&amp;IF(NOT(ISNUMBER(E123)),"Duración vacía o en texto; ","")&amp;IF(NOT(ISNUMBER(G123)),"Valor vacío o en texto; ","")&amp;IF(ISNUMBER(M123),IF(M123&lt;1000000,"Valor inferior a $1.000.000: verificar; ",""),"Valor no interpretable; ")&amp;IF(N123="[PENDIENTE DE VERIFICAR]","Modalidad no identificable; ","")&amp;IF(OR(ISERROR(SEARCH("@itc.edu.co",J123)),SUMPRODUCT(--ISNUMBER(SEARCH({"á","é","í","ó","ú","ñ"},J123)))&gt;0),"Correo vacío o no institucional válido; ","")&amp;IF(LEN(TRIM(D123))=0,"Sin objeto contractual; ","")&amp;IF(AND(ISNUMBER(M123),N123="Mínima cuantía"),IF(M123&gt;39850000,"Mínima cuantía con valor superior al tope citado en el instructivo 2026 ($39.850.000): verificar modalidad; ",""),"")&amp;IF(AND(ISNUMBER(M123),OR(ISNUMBER(SEARCH("prestación de servicios",D123)),ISNUMBER(SEARCH("prestar servicios",D123)),ISNUMBER(SEARCH("prestar los servicios",D123)))),IF(M123&gt;=500000000,"Prestación de servicios por $500 millones o más: posible error de digitación; ",""),""))</f>
        <v xml:space="preserve">Valor vacío o en texto; </v>
      </c>
    </row>
    <row r="124" spans="1:15" ht="22.8" x14ac:dyDescent="0.3">
      <c r="A124" s="15" t="s">
        <v>1141</v>
      </c>
      <c r="B124" s="15">
        <v>95122306</v>
      </c>
      <c r="C124" s="15" t="s">
        <v>364</v>
      </c>
      <c r="D124" s="15" t="s">
        <v>1142</v>
      </c>
      <c r="E124" s="15">
        <v>6</v>
      </c>
      <c r="F124" s="15" t="s">
        <v>1110</v>
      </c>
      <c r="G124" s="29" t="s">
        <v>1143</v>
      </c>
      <c r="H124" s="15" t="s">
        <v>1134</v>
      </c>
      <c r="I124" s="15"/>
      <c r="J124" s="15" t="s">
        <v>1139</v>
      </c>
      <c r="K124" s="15"/>
      <c r="L124" s="30" t="s">
        <v>1140</v>
      </c>
      <c r="M124" s="31">
        <v>15000000</v>
      </c>
      <c r="N124" s="30" t="s">
        <v>1111</v>
      </c>
      <c r="O124" s="30" t="str">
        <f>IF(LEN(IF(OR(NOT(ISNUMBER(B124)),LEN(B124)&lt;&gt;8),"UNSPSC vacío, en texto, con varios códigos o sin 8 dígitos; ","")&amp;IF(AND(ISNUMBER(B124),LEN(B124)=8),IF(MOD(B124,10000)=0,"UNSPSC a nivel de segmento o familia; ",""),"")&amp;IF(NOT(ISNUMBER(E124)),"Duración vacía o en texto; ","")&amp;IF(NOT(ISNUMBER(G124)),"Valor vacío o en texto; ","")&amp;IF(ISNUMBER(M124),IF(M124&lt;1000000,"Valor inferior a $1.000.000: verificar; ",""),"Valor no interpretable; ")&amp;IF(N124="[PENDIENTE DE VERIFICAR]","Modalidad no identificable; ","")&amp;IF(OR(ISERROR(SEARCH("@itc.edu.co",J124)),SUMPRODUCT(--ISNUMBER(SEARCH({"á","é","í","ó","ú","ñ"},J124)))&gt;0),"Correo vacío o no institucional válido; ","")&amp;IF(LEN(TRIM(D124))=0,"Sin objeto contractual; ","")&amp;IF(AND(ISNUMBER(M124),N124="Mínima cuantía"),IF(M124&gt;39850000,"Mínima cuantía con valor superior al tope citado en el instructivo 2026 ($39.850.000): verificar modalidad; ",""),"")&amp;IF(AND(ISNUMBER(M124),OR(ISNUMBER(SEARCH("prestación de servicios",D124)),ISNUMBER(SEARCH("prestar servicios",D124)),ISNUMBER(SEARCH("prestar los servicios",D124)))),IF(M124&gt;=500000000,"Prestación de servicios por $500 millones o más: posible error de digitación; ",""),""))=0,"Sin observaciones",IF(OR(NOT(ISNUMBER(B124)),LEN(B124)&lt;&gt;8),"UNSPSC vacío, en texto, con varios códigos o sin 8 dígitos; ","")&amp;IF(AND(ISNUMBER(B124),LEN(B124)=8),IF(MOD(B124,10000)=0,"UNSPSC a nivel de segmento o familia; ",""),"")&amp;IF(NOT(ISNUMBER(E124)),"Duración vacía o en texto; ","")&amp;IF(NOT(ISNUMBER(G124)),"Valor vacío o en texto; ","")&amp;IF(ISNUMBER(M124),IF(M124&lt;1000000,"Valor inferior a $1.000.000: verificar; ",""),"Valor no interpretable; ")&amp;IF(N124="[PENDIENTE DE VERIFICAR]","Modalidad no identificable; ","")&amp;IF(OR(ISERROR(SEARCH("@itc.edu.co",J124)),SUMPRODUCT(--ISNUMBER(SEARCH({"á","é","í","ó","ú","ñ"},J124)))&gt;0),"Correo vacío o no institucional válido; ","")&amp;IF(LEN(TRIM(D124))=0,"Sin objeto contractual; ","")&amp;IF(AND(ISNUMBER(M124),N124="Mínima cuantía"),IF(M124&gt;39850000,"Mínima cuantía con valor superior al tope citado en el instructivo 2026 ($39.850.000): verificar modalidad; ",""),"")&amp;IF(AND(ISNUMBER(M124),OR(ISNUMBER(SEARCH("prestación de servicios",D124)),ISNUMBER(SEARCH("prestar servicios",D124)),ISNUMBER(SEARCH("prestar los servicios",D124)))),IF(M124&gt;=500000000,"Prestación de servicios por $500 millones o más: posible error de digitación; ",""),""))</f>
        <v xml:space="preserve">Valor vacío o en texto; </v>
      </c>
    </row>
    <row r="125" spans="1:15" ht="22.8" x14ac:dyDescent="0.3">
      <c r="A125" s="15" t="s">
        <v>1144</v>
      </c>
      <c r="B125" s="15">
        <v>95122306</v>
      </c>
      <c r="C125" s="15" t="s">
        <v>364</v>
      </c>
      <c r="D125" s="15" t="s">
        <v>1145</v>
      </c>
      <c r="E125" s="15">
        <v>6</v>
      </c>
      <c r="F125" s="15" t="s">
        <v>1110</v>
      </c>
      <c r="G125" s="29" t="s">
        <v>1146</v>
      </c>
      <c r="H125" s="15" t="s">
        <v>1134</v>
      </c>
      <c r="I125" s="15"/>
      <c r="J125" s="15" t="s">
        <v>1139</v>
      </c>
      <c r="K125" s="15"/>
      <c r="L125" s="30" t="s">
        <v>1140</v>
      </c>
      <c r="M125" s="31">
        <v>15000000</v>
      </c>
      <c r="N125" s="30" t="s">
        <v>1111</v>
      </c>
      <c r="O125" s="30" t="str">
        <f>IF(LEN(IF(OR(NOT(ISNUMBER(B125)),LEN(B125)&lt;&gt;8),"UNSPSC vacío, en texto, con varios códigos o sin 8 dígitos; ","")&amp;IF(AND(ISNUMBER(B125),LEN(B125)=8),IF(MOD(B125,10000)=0,"UNSPSC a nivel de segmento o familia; ",""),"")&amp;IF(NOT(ISNUMBER(E125)),"Duración vacía o en texto; ","")&amp;IF(NOT(ISNUMBER(G125)),"Valor vacío o en texto; ","")&amp;IF(ISNUMBER(M125),IF(M125&lt;1000000,"Valor inferior a $1.000.000: verificar; ",""),"Valor no interpretable; ")&amp;IF(N125="[PENDIENTE DE VERIFICAR]","Modalidad no identificable; ","")&amp;IF(OR(ISERROR(SEARCH("@itc.edu.co",J125)),SUMPRODUCT(--ISNUMBER(SEARCH({"á","é","í","ó","ú","ñ"},J125)))&gt;0),"Correo vacío o no institucional válido; ","")&amp;IF(LEN(TRIM(D125))=0,"Sin objeto contractual; ","")&amp;IF(AND(ISNUMBER(M125),N125="Mínima cuantía"),IF(M125&gt;39850000,"Mínima cuantía con valor superior al tope citado en el instructivo 2026 ($39.850.000): verificar modalidad; ",""),"")&amp;IF(AND(ISNUMBER(M125),OR(ISNUMBER(SEARCH("prestación de servicios",D125)),ISNUMBER(SEARCH("prestar servicios",D125)),ISNUMBER(SEARCH("prestar los servicios",D125)))),IF(M125&gt;=500000000,"Prestación de servicios por $500 millones o más: posible error de digitación; ",""),""))=0,"Sin observaciones",IF(OR(NOT(ISNUMBER(B125)),LEN(B125)&lt;&gt;8),"UNSPSC vacío, en texto, con varios códigos o sin 8 dígitos; ","")&amp;IF(AND(ISNUMBER(B125),LEN(B125)=8),IF(MOD(B125,10000)=0,"UNSPSC a nivel de segmento o familia; ",""),"")&amp;IF(NOT(ISNUMBER(E125)),"Duración vacía o en texto; ","")&amp;IF(NOT(ISNUMBER(G125)),"Valor vacío o en texto; ","")&amp;IF(ISNUMBER(M125),IF(M125&lt;1000000,"Valor inferior a $1.000.000: verificar; ",""),"Valor no interpretable; ")&amp;IF(N125="[PENDIENTE DE VERIFICAR]","Modalidad no identificable; ","")&amp;IF(OR(ISERROR(SEARCH("@itc.edu.co",J125)),SUMPRODUCT(--ISNUMBER(SEARCH({"á","é","í","ó","ú","ñ"},J125)))&gt;0),"Correo vacío o no institucional válido; ","")&amp;IF(LEN(TRIM(D125))=0,"Sin objeto contractual; ","")&amp;IF(AND(ISNUMBER(M125),N125="Mínima cuantía"),IF(M125&gt;39850000,"Mínima cuantía con valor superior al tope citado en el instructivo 2026 ($39.850.000): verificar modalidad; ",""),"")&amp;IF(AND(ISNUMBER(M125),OR(ISNUMBER(SEARCH("prestación de servicios",D125)),ISNUMBER(SEARCH("prestar servicios",D125)),ISNUMBER(SEARCH("prestar los servicios",D125)))),IF(M125&gt;=500000000,"Prestación de servicios por $500 millones o más: posible error de digitación; ",""),""))</f>
        <v xml:space="preserve">Valor vacío o en texto; </v>
      </c>
    </row>
    <row r="126" spans="1:15" ht="57" x14ac:dyDescent="0.3">
      <c r="A126" s="15" t="s">
        <v>729</v>
      </c>
      <c r="B126" s="15">
        <v>95101807</v>
      </c>
      <c r="C126" s="15" t="s">
        <v>364</v>
      </c>
      <c r="D126" s="15" t="s">
        <v>1147</v>
      </c>
      <c r="E126" s="15">
        <v>11</v>
      </c>
      <c r="F126" s="15" t="s">
        <v>1110</v>
      </c>
      <c r="G126" s="29" t="s">
        <v>1148</v>
      </c>
      <c r="H126" s="15" t="s">
        <v>1134</v>
      </c>
      <c r="I126" s="15"/>
      <c r="J126" s="15" t="s">
        <v>1139</v>
      </c>
      <c r="K126" s="15"/>
      <c r="L126" s="30" t="s">
        <v>1140</v>
      </c>
      <c r="M126" s="31">
        <v>30000000</v>
      </c>
      <c r="N126" s="30" t="s">
        <v>1111</v>
      </c>
      <c r="O126" s="30" t="str">
        <f>IF(LEN(IF(OR(NOT(ISNUMBER(B126)),LEN(B126)&lt;&gt;8),"UNSPSC vacío, en texto, con varios códigos o sin 8 dígitos; ","")&amp;IF(AND(ISNUMBER(B126),LEN(B126)=8),IF(MOD(B126,10000)=0,"UNSPSC a nivel de segmento o familia; ",""),"")&amp;IF(NOT(ISNUMBER(E126)),"Duración vacía o en texto; ","")&amp;IF(NOT(ISNUMBER(G126)),"Valor vacío o en texto; ","")&amp;IF(ISNUMBER(M126),IF(M126&lt;1000000,"Valor inferior a $1.000.000: verificar; ",""),"Valor no interpretable; ")&amp;IF(N126="[PENDIENTE DE VERIFICAR]","Modalidad no identificable; ","")&amp;IF(OR(ISERROR(SEARCH("@itc.edu.co",J126)),SUMPRODUCT(--ISNUMBER(SEARCH({"á","é","í","ó","ú","ñ"},J126)))&gt;0),"Correo vacío o no institucional válido; ","")&amp;IF(LEN(TRIM(D126))=0,"Sin objeto contractual; ","")&amp;IF(AND(ISNUMBER(M126),N126="Mínima cuantía"),IF(M126&gt;39850000,"Mínima cuantía con valor superior al tope citado en el instructivo 2026 ($39.850.000): verificar modalidad; ",""),"")&amp;IF(AND(ISNUMBER(M126),OR(ISNUMBER(SEARCH("prestación de servicios",D126)),ISNUMBER(SEARCH("prestar servicios",D126)),ISNUMBER(SEARCH("prestar los servicios",D126)))),IF(M126&gt;=500000000,"Prestación de servicios por $500 millones o más: posible error de digitación; ",""),""))=0,"Sin observaciones",IF(OR(NOT(ISNUMBER(B126)),LEN(B126)&lt;&gt;8),"UNSPSC vacío, en texto, con varios códigos o sin 8 dígitos; ","")&amp;IF(AND(ISNUMBER(B126),LEN(B126)=8),IF(MOD(B126,10000)=0,"UNSPSC a nivel de segmento o familia; ",""),"")&amp;IF(NOT(ISNUMBER(E126)),"Duración vacía o en texto; ","")&amp;IF(NOT(ISNUMBER(G126)),"Valor vacío o en texto; ","")&amp;IF(ISNUMBER(M126),IF(M126&lt;1000000,"Valor inferior a $1.000.000: verificar; ",""),"Valor no interpretable; ")&amp;IF(N126="[PENDIENTE DE VERIFICAR]","Modalidad no identificable; ","")&amp;IF(OR(ISERROR(SEARCH("@itc.edu.co",J126)),SUMPRODUCT(--ISNUMBER(SEARCH({"á","é","í","ó","ú","ñ"},J126)))&gt;0),"Correo vacío o no institucional válido; ","")&amp;IF(LEN(TRIM(D126))=0,"Sin objeto contractual; ","")&amp;IF(AND(ISNUMBER(M126),N126="Mínima cuantía"),IF(M126&gt;39850000,"Mínima cuantía con valor superior al tope citado en el instructivo 2026 ($39.850.000): verificar modalidad; ",""),"")&amp;IF(AND(ISNUMBER(M126),OR(ISNUMBER(SEARCH("prestación de servicios",D126)),ISNUMBER(SEARCH("prestar servicios",D126)),ISNUMBER(SEARCH("prestar los servicios",D126)))),IF(M126&gt;=500000000,"Prestación de servicios por $500 millones o más: posible error de digitación; ",""),""))</f>
        <v xml:space="preserve">Valor vacío o en texto; </v>
      </c>
    </row>
    <row r="127" spans="1:15" ht="22.8" x14ac:dyDescent="0.3">
      <c r="A127" s="15" t="s">
        <v>720</v>
      </c>
      <c r="B127" s="15">
        <v>90141500</v>
      </c>
      <c r="C127" s="15" t="s">
        <v>364</v>
      </c>
      <c r="D127" s="15" t="s">
        <v>719</v>
      </c>
      <c r="E127" s="15">
        <v>6</v>
      </c>
      <c r="F127" s="15" t="s">
        <v>1110</v>
      </c>
      <c r="G127" s="29" t="s">
        <v>1149</v>
      </c>
      <c r="H127" s="15" t="s">
        <v>1134</v>
      </c>
      <c r="I127" s="15"/>
      <c r="J127" s="15" t="s">
        <v>1139</v>
      </c>
      <c r="K127" s="15"/>
      <c r="L127" s="30" t="s">
        <v>1140</v>
      </c>
      <c r="M127" s="31">
        <v>30000000</v>
      </c>
      <c r="N127" s="30" t="s">
        <v>1111</v>
      </c>
      <c r="O127" s="30" t="str">
        <f>IF(LEN(IF(OR(NOT(ISNUMBER(B127)),LEN(B127)&lt;&gt;8),"UNSPSC vacío, en texto, con varios códigos o sin 8 dígitos; ","")&amp;IF(AND(ISNUMBER(B127),LEN(B127)=8),IF(MOD(B127,10000)=0,"UNSPSC a nivel de segmento o familia; ",""),"")&amp;IF(NOT(ISNUMBER(E127)),"Duración vacía o en texto; ","")&amp;IF(NOT(ISNUMBER(G127)),"Valor vacío o en texto; ","")&amp;IF(ISNUMBER(M127),IF(M127&lt;1000000,"Valor inferior a $1.000.000: verificar; ",""),"Valor no interpretable; ")&amp;IF(N127="[PENDIENTE DE VERIFICAR]","Modalidad no identificable; ","")&amp;IF(OR(ISERROR(SEARCH("@itc.edu.co",J127)),SUMPRODUCT(--ISNUMBER(SEARCH({"á","é","í","ó","ú","ñ"},J127)))&gt;0),"Correo vacío o no institucional válido; ","")&amp;IF(LEN(TRIM(D127))=0,"Sin objeto contractual; ","")&amp;IF(AND(ISNUMBER(M127),N127="Mínima cuantía"),IF(M127&gt;39850000,"Mínima cuantía con valor superior al tope citado en el instructivo 2026 ($39.850.000): verificar modalidad; ",""),"")&amp;IF(AND(ISNUMBER(M127),OR(ISNUMBER(SEARCH("prestación de servicios",D127)),ISNUMBER(SEARCH("prestar servicios",D127)),ISNUMBER(SEARCH("prestar los servicios",D127)))),IF(M127&gt;=500000000,"Prestación de servicios por $500 millones o más: posible error de digitación; ",""),""))=0,"Sin observaciones",IF(OR(NOT(ISNUMBER(B127)),LEN(B127)&lt;&gt;8),"UNSPSC vacío, en texto, con varios códigos o sin 8 dígitos; ","")&amp;IF(AND(ISNUMBER(B127),LEN(B127)=8),IF(MOD(B127,10000)=0,"UNSPSC a nivel de segmento o familia; ",""),"")&amp;IF(NOT(ISNUMBER(E127)),"Duración vacía o en texto; ","")&amp;IF(NOT(ISNUMBER(G127)),"Valor vacío o en texto; ","")&amp;IF(ISNUMBER(M127),IF(M127&lt;1000000,"Valor inferior a $1.000.000: verificar; ",""),"Valor no interpretable; ")&amp;IF(N127="[PENDIENTE DE VERIFICAR]","Modalidad no identificable; ","")&amp;IF(OR(ISERROR(SEARCH("@itc.edu.co",J127)),SUMPRODUCT(--ISNUMBER(SEARCH({"á","é","í","ó","ú","ñ"},J127)))&gt;0),"Correo vacío o no institucional válido; ","")&amp;IF(LEN(TRIM(D127))=0,"Sin objeto contractual; ","")&amp;IF(AND(ISNUMBER(M127),N127="Mínima cuantía"),IF(M127&gt;39850000,"Mínima cuantía con valor superior al tope citado en el instructivo 2026 ($39.850.000): verificar modalidad; ",""),"")&amp;IF(AND(ISNUMBER(M127),OR(ISNUMBER(SEARCH("prestación de servicios",D127)),ISNUMBER(SEARCH("prestar servicios",D127)),ISNUMBER(SEARCH("prestar los servicios",D127)))),IF(M127&gt;=500000000,"Prestación de servicios por $500 millones o más: posible error de digitación; ",""),""))</f>
        <v xml:space="preserve">Valor vacío o en texto; </v>
      </c>
    </row>
    <row r="128" spans="1:15" ht="22.8" x14ac:dyDescent="0.3">
      <c r="A128" s="15" t="s">
        <v>618</v>
      </c>
      <c r="B128" s="15">
        <v>49101701</v>
      </c>
      <c r="C128" s="15" t="s">
        <v>364</v>
      </c>
      <c r="D128" s="15" t="s">
        <v>617</v>
      </c>
      <c r="E128" s="15">
        <v>4</v>
      </c>
      <c r="F128" s="15" t="s">
        <v>1110</v>
      </c>
      <c r="G128" s="29" t="s">
        <v>1150</v>
      </c>
      <c r="H128" s="15" t="s">
        <v>1134</v>
      </c>
      <c r="I128" s="15"/>
      <c r="J128" s="15" t="s">
        <v>1139</v>
      </c>
      <c r="K128" s="15"/>
      <c r="L128" s="30" t="s">
        <v>1140</v>
      </c>
      <c r="M128" s="31">
        <v>200000000</v>
      </c>
      <c r="N128" s="30" t="s">
        <v>1111</v>
      </c>
      <c r="O128" s="30" t="str">
        <f>IF(LEN(IF(OR(NOT(ISNUMBER(B128)),LEN(B128)&lt;&gt;8),"UNSPSC vacío, en texto, con varios códigos o sin 8 dígitos; ","")&amp;IF(AND(ISNUMBER(B128),LEN(B128)=8),IF(MOD(B128,10000)=0,"UNSPSC a nivel de segmento o familia; ",""),"")&amp;IF(NOT(ISNUMBER(E128)),"Duración vacía o en texto; ","")&amp;IF(NOT(ISNUMBER(G128)),"Valor vacío o en texto; ","")&amp;IF(ISNUMBER(M128),IF(M128&lt;1000000,"Valor inferior a $1.000.000: verificar; ",""),"Valor no interpretable; ")&amp;IF(N128="[PENDIENTE DE VERIFICAR]","Modalidad no identificable; ","")&amp;IF(OR(ISERROR(SEARCH("@itc.edu.co",J128)),SUMPRODUCT(--ISNUMBER(SEARCH({"á","é","í","ó","ú","ñ"},J128)))&gt;0),"Correo vacío o no institucional válido; ","")&amp;IF(LEN(TRIM(D128))=0,"Sin objeto contractual; ","")&amp;IF(AND(ISNUMBER(M128),N128="Mínima cuantía"),IF(M128&gt;39850000,"Mínima cuantía con valor superior al tope citado en el instructivo 2026 ($39.850.000): verificar modalidad; ",""),"")&amp;IF(AND(ISNUMBER(M128),OR(ISNUMBER(SEARCH("prestación de servicios",D128)),ISNUMBER(SEARCH("prestar servicios",D128)),ISNUMBER(SEARCH("prestar los servicios",D128)))),IF(M128&gt;=500000000,"Prestación de servicios por $500 millones o más: posible error de digitación; ",""),""))=0,"Sin observaciones",IF(OR(NOT(ISNUMBER(B128)),LEN(B128)&lt;&gt;8),"UNSPSC vacío, en texto, con varios códigos o sin 8 dígitos; ","")&amp;IF(AND(ISNUMBER(B128),LEN(B128)=8),IF(MOD(B128,10000)=0,"UNSPSC a nivel de segmento o familia; ",""),"")&amp;IF(NOT(ISNUMBER(E128)),"Duración vacía o en texto; ","")&amp;IF(NOT(ISNUMBER(G128)),"Valor vacío o en texto; ","")&amp;IF(ISNUMBER(M128),IF(M128&lt;1000000,"Valor inferior a $1.000.000: verificar; ",""),"Valor no interpretable; ")&amp;IF(N128="[PENDIENTE DE VERIFICAR]","Modalidad no identificable; ","")&amp;IF(OR(ISERROR(SEARCH("@itc.edu.co",J128)),SUMPRODUCT(--ISNUMBER(SEARCH({"á","é","í","ó","ú","ñ"},J128)))&gt;0),"Correo vacío o no institucional válido; ","")&amp;IF(LEN(TRIM(D128))=0,"Sin objeto contractual; ","")&amp;IF(AND(ISNUMBER(M128),N128="Mínima cuantía"),IF(M128&gt;39850000,"Mínima cuantía con valor superior al tope citado en el instructivo 2026 ($39.850.000): verificar modalidad; ",""),"")&amp;IF(AND(ISNUMBER(M128),OR(ISNUMBER(SEARCH("prestación de servicios",D128)),ISNUMBER(SEARCH("prestar servicios",D128)),ISNUMBER(SEARCH("prestar los servicios",D128)))),IF(M128&gt;=500000000,"Prestación de servicios por $500 millones o más: posible error de digitación; ",""),""))</f>
        <v xml:space="preserve">Valor vacío o en texto; </v>
      </c>
    </row>
    <row r="129" spans="1:15" ht="22.8" x14ac:dyDescent="0.3">
      <c r="A129" s="15" t="s">
        <v>438</v>
      </c>
      <c r="B129" s="15">
        <v>53102700</v>
      </c>
      <c r="C129" s="15" t="s">
        <v>364</v>
      </c>
      <c r="D129" s="15" t="s">
        <v>437</v>
      </c>
      <c r="E129" s="15">
        <v>4</v>
      </c>
      <c r="F129" s="15" t="s">
        <v>1110</v>
      </c>
      <c r="G129" s="29">
        <v>62000000</v>
      </c>
      <c r="H129" s="15" t="s">
        <v>1134</v>
      </c>
      <c r="I129" s="15"/>
      <c r="J129" s="15" t="s">
        <v>1139</v>
      </c>
      <c r="K129" s="15"/>
      <c r="L129" s="30" t="s">
        <v>1140</v>
      </c>
      <c r="M129" s="31">
        <v>62000000</v>
      </c>
      <c r="N129" s="30" t="s">
        <v>1111</v>
      </c>
      <c r="O129" s="30" t="str">
        <f>IF(LEN(IF(OR(NOT(ISNUMBER(B129)),LEN(B129)&lt;&gt;8),"UNSPSC vacío, en texto, con varios códigos o sin 8 dígitos; ","")&amp;IF(AND(ISNUMBER(B129),LEN(B129)=8),IF(MOD(B129,10000)=0,"UNSPSC a nivel de segmento o familia; ",""),"")&amp;IF(NOT(ISNUMBER(E129)),"Duración vacía o en texto; ","")&amp;IF(NOT(ISNUMBER(G129)),"Valor vacío o en texto; ","")&amp;IF(ISNUMBER(M129),IF(M129&lt;1000000,"Valor inferior a $1.000.000: verificar; ",""),"Valor no interpretable; ")&amp;IF(N129="[PENDIENTE DE VERIFICAR]","Modalidad no identificable; ","")&amp;IF(OR(ISERROR(SEARCH("@itc.edu.co",J129)),SUMPRODUCT(--ISNUMBER(SEARCH({"á","é","í","ó","ú","ñ"},J129)))&gt;0),"Correo vacío o no institucional válido; ","")&amp;IF(LEN(TRIM(D129))=0,"Sin objeto contractual; ","")&amp;IF(AND(ISNUMBER(M129),N129="Mínima cuantía"),IF(M129&gt;39850000,"Mínima cuantía con valor superior al tope citado en el instructivo 2026 ($39.850.000): verificar modalidad; ",""),"")&amp;IF(AND(ISNUMBER(M129),OR(ISNUMBER(SEARCH("prestación de servicios",D129)),ISNUMBER(SEARCH("prestar servicios",D129)),ISNUMBER(SEARCH("prestar los servicios",D129)))),IF(M129&gt;=500000000,"Prestación de servicios por $500 millones o más: posible error de digitación; ",""),""))=0,"Sin observaciones",IF(OR(NOT(ISNUMBER(B129)),LEN(B129)&lt;&gt;8),"UNSPSC vacío, en texto, con varios códigos o sin 8 dígitos; ","")&amp;IF(AND(ISNUMBER(B129),LEN(B129)=8),IF(MOD(B129,10000)=0,"UNSPSC a nivel de segmento o familia; ",""),"")&amp;IF(NOT(ISNUMBER(E129)),"Duración vacía o en texto; ","")&amp;IF(NOT(ISNUMBER(G129)),"Valor vacío o en texto; ","")&amp;IF(ISNUMBER(M129),IF(M129&lt;1000000,"Valor inferior a $1.000.000: verificar; ",""),"Valor no interpretable; ")&amp;IF(N129="[PENDIENTE DE VERIFICAR]","Modalidad no identificable; ","")&amp;IF(OR(ISERROR(SEARCH("@itc.edu.co",J129)),SUMPRODUCT(--ISNUMBER(SEARCH({"á","é","í","ó","ú","ñ"},J129)))&gt;0),"Correo vacío o no institucional válido; ","")&amp;IF(LEN(TRIM(D129))=0,"Sin objeto contractual; ","")&amp;IF(AND(ISNUMBER(M129),N129="Mínima cuantía"),IF(M129&gt;39850000,"Mínima cuantía con valor superior al tope citado en el instructivo 2026 ($39.850.000): verificar modalidad; ",""),"")&amp;IF(AND(ISNUMBER(M129),OR(ISNUMBER(SEARCH("prestación de servicios",D129)),ISNUMBER(SEARCH("prestar servicios",D129)),ISNUMBER(SEARCH("prestar los servicios",D129)))),IF(M129&gt;=500000000,"Prestación de servicios por $500 millones o más: posible error de digitación; ",""),""))</f>
        <v>Sin observaciones</v>
      </c>
    </row>
    <row r="130" spans="1:15" ht="22.8" x14ac:dyDescent="0.3">
      <c r="A130" s="15" t="s">
        <v>440</v>
      </c>
      <c r="B130" s="15">
        <v>53102717</v>
      </c>
      <c r="C130" s="15" t="s">
        <v>364</v>
      </c>
      <c r="D130" s="15" t="s">
        <v>439</v>
      </c>
      <c r="E130" s="15">
        <v>4</v>
      </c>
      <c r="F130" s="15" t="s">
        <v>1110</v>
      </c>
      <c r="G130" s="29" t="s">
        <v>1151</v>
      </c>
      <c r="H130" s="15" t="s">
        <v>1134</v>
      </c>
      <c r="I130" s="15"/>
      <c r="J130" s="15" t="s">
        <v>1139</v>
      </c>
      <c r="K130" s="15"/>
      <c r="L130" s="30" t="s">
        <v>1140</v>
      </c>
      <c r="M130" s="31">
        <v>40000000</v>
      </c>
      <c r="N130" s="30" t="s">
        <v>1111</v>
      </c>
      <c r="O130" s="30" t="str">
        <f>IF(LEN(IF(OR(NOT(ISNUMBER(B130)),LEN(B130)&lt;&gt;8),"UNSPSC vacío, en texto, con varios códigos o sin 8 dígitos; ","")&amp;IF(AND(ISNUMBER(B130),LEN(B130)=8),IF(MOD(B130,10000)=0,"UNSPSC a nivel de segmento o familia; ",""),"")&amp;IF(NOT(ISNUMBER(E130)),"Duración vacía o en texto; ","")&amp;IF(NOT(ISNUMBER(G130)),"Valor vacío o en texto; ","")&amp;IF(ISNUMBER(M130),IF(M130&lt;1000000,"Valor inferior a $1.000.000: verificar; ",""),"Valor no interpretable; ")&amp;IF(N130="[PENDIENTE DE VERIFICAR]","Modalidad no identificable; ","")&amp;IF(OR(ISERROR(SEARCH("@itc.edu.co",J130)),SUMPRODUCT(--ISNUMBER(SEARCH({"á","é","í","ó","ú","ñ"},J130)))&gt;0),"Correo vacío o no institucional válido; ","")&amp;IF(LEN(TRIM(D130))=0,"Sin objeto contractual; ","")&amp;IF(AND(ISNUMBER(M130),N130="Mínima cuantía"),IF(M130&gt;39850000,"Mínima cuantía con valor superior al tope citado en el instructivo 2026 ($39.850.000): verificar modalidad; ",""),"")&amp;IF(AND(ISNUMBER(M130),OR(ISNUMBER(SEARCH("prestación de servicios",D130)),ISNUMBER(SEARCH("prestar servicios",D130)),ISNUMBER(SEARCH("prestar los servicios",D130)))),IF(M130&gt;=500000000,"Prestación de servicios por $500 millones o más: posible error de digitación; ",""),""))=0,"Sin observaciones",IF(OR(NOT(ISNUMBER(B130)),LEN(B130)&lt;&gt;8),"UNSPSC vacío, en texto, con varios códigos o sin 8 dígitos; ","")&amp;IF(AND(ISNUMBER(B130),LEN(B130)=8),IF(MOD(B130,10000)=0,"UNSPSC a nivel de segmento o familia; ",""),"")&amp;IF(NOT(ISNUMBER(E130)),"Duración vacía o en texto; ","")&amp;IF(NOT(ISNUMBER(G130)),"Valor vacío o en texto; ","")&amp;IF(ISNUMBER(M130),IF(M130&lt;1000000,"Valor inferior a $1.000.000: verificar; ",""),"Valor no interpretable; ")&amp;IF(N130="[PENDIENTE DE VERIFICAR]","Modalidad no identificable; ","")&amp;IF(OR(ISERROR(SEARCH("@itc.edu.co",J130)),SUMPRODUCT(--ISNUMBER(SEARCH({"á","é","í","ó","ú","ñ"},J130)))&gt;0),"Correo vacío o no institucional válido; ","")&amp;IF(LEN(TRIM(D130))=0,"Sin objeto contractual; ","")&amp;IF(AND(ISNUMBER(M130),N130="Mínima cuantía"),IF(M130&gt;39850000,"Mínima cuantía con valor superior al tope citado en el instructivo 2026 ($39.850.000): verificar modalidad; ",""),"")&amp;IF(AND(ISNUMBER(M130),OR(ISNUMBER(SEARCH("prestación de servicios",D130)),ISNUMBER(SEARCH("prestar servicios",D130)),ISNUMBER(SEARCH("prestar los servicios",D130)))),IF(M130&gt;=500000000,"Prestación de servicios por $500 millones o más: posible error de digitación; ",""),""))</f>
        <v xml:space="preserve">Valor vacío o en texto; </v>
      </c>
    </row>
    <row r="131" spans="1:15" ht="159.6" x14ac:dyDescent="0.3">
      <c r="A131" s="15" t="s">
        <v>430</v>
      </c>
      <c r="B131" s="15">
        <v>44121600</v>
      </c>
      <c r="C131" s="15" t="s">
        <v>1152</v>
      </c>
      <c r="D131" s="15" t="s">
        <v>1153</v>
      </c>
      <c r="E131" s="15">
        <v>6</v>
      </c>
      <c r="F131" s="15" t="s">
        <v>1110</v>
      </c>
      <c r="G131" s="29">
        <v>9000000</v>
      </c>
      <c r="H131" s="15" t="s">
        <v>1134</v>
      </c>
      <c r="I131" s="15"/>
      <c r="J131" s="15" t="s">
        <v>1139</v>
      </c>
      <c r="K131" s="15"/>
      <c r="L131" s="30" t="s">
        <v>1140</v>
      </c>
      <c r="M131" s="31">
        <v>9000000</v>
      </c>
      <c r="N131" s="30" t="s">
        <v>1111</v>
      </c>
      <c r="O131" s="30" t="str">
        <f>IF(LEN(IF(OR(NOT(ISNUMBER(B131)),LEN(B131)&lt;&gt;8),"UNSPSC vacío, en texto, con varios códigos o sin 8 dígitos; ","")&amp;IF(AND(ISNUMBER(B131),LEN(B131)=8),IF(MOD(B131,10000)=0,"UNSPSC a nivel de segmento o familia; ",""),"")&amp;IF(NOT(ISNUMBER(E131)),"Duración vacía o en texto; ","")&amp;IF(NOT(ISNUMBER(G131)),"Valor vacío o en texto; ","")&amp;IF(ISNUMBER(M131),IF(M131&lt;1000000,"Valor inferior a $1.000.000: verificar; ",""),"Valor no interpretable; ")&amp;IF(N131="[PENDIENTE DE VERIFICAR]","Modalidad no identificable; ","")&amp;IF(OR(ISERROR(SEARCH("@itc.edu.co",J131)),SUMPRODUCT(--ISNUMBER(SEARCH({"á","é","í","ó","ú","ñ"},J131)))&gt;0),"Correo vacío o no institucional válido; ","")&amp;IF(LEN(TRIM(D131))=0,"Sin objeto contractual; ","")&amp;IF(AND(ISNUMBER(M131),N131="Mínima cuantía"),IF(M131&gt;39850000,"Mínima cuantía con valor superior al tope citado en el instructivo 2026 ($39.850.000): verificar modalidad; ",""),"")&amp;IF(AND(ISNUMBER(M131),OR(ISNUMBER(SEARCH("prestación de servicios",D131)),ISNUMBER(SEARCH("prestar servicios",D131)),ISNUMBER(SEARCH("prestar los servicios",D131)))),IF(M131&gt;=500000000,"Prestación de servicios por $500 millones o más: posible error de digitación; ",""),""))=0,"Sin observaciones",IF(OR(NOT(ISNUMBER(B131)),LEN(B131)&lt;&gt;8),"UNSPSC vacío, en texto, con varios códigos o sin 8 dígitos; ","")&amp;IF(AND(ISNUMBER(B131),LEN(B131)=8),IF(MOD(B131,10000)=0,"UNSPSC a nivel de segmento o familia; ",""),"")&amp;IF(NOT(ISNUMBER(E131)),"Duración vacía o en texto; ","")&amp;IF(NOT(ISNUMBER(G131)),"Valor vacío o en texto; ","")&amp;IF(ISNUMBER(M131),IF(M131&lt;1000000,"Valor inferior a $1.000.000: verificar; ",""),"Valor no interpretable; ")&amp;IF(N131="[PENDIENTE DE VERIFICAR]","Modalidad no identificable; ","")&amp;IF(OR(ISERROR(SEARCH("@itc.edu.co",J131)),SUMPRODUCT(--ISNUMBER(SEARCH({"á","é","í","ó","ú","ñ"},J131)))&gt;0),"Correo vacío o no institucional válido; ","")&amp;IF(LEN(TRIM(D131))=0,"Sin objeto contractual; ","")&amp;IF(AND(ISNUMBER(M131),N131="Mínima cuantía"),IF(M131&gt;39850000,"Mínima cuantía con valor superior al tope citado en el instructivo 2026 ($39.850.000): verificar modalidad; ",""),"")&amp;IF(AND(ISNUMBER(M131),OR(ISNUMBER(SEARCH("prestación de servicios",D131)),ISNUMBER(SEARCH("prestar servicios",D131)),ISNUMBER(SEARCH("prestar los servicios",D131)))),IF(M131&gt;=500000000,"Prestación de servicios por $500 millones o más: posible error de digitación; ",""),""))</f>
        <v>Sin observaciones</v>
      </c>
    </row>
    <row r="132" spans="1:15" ht="34.200000000000003" x14ac:dyDescent="0.3">
      <c r="A132" s="15" t="s">
        <v>1154</v>
      </c>
      <c r="B132" s="15"/>
      <c r="C132" s="15"/>
      <c r="D132" s="15" t="s">
        <v>1155</v>
      </c>
      <c r="E132" s="15"/>
      <c r="F132" s="15"/>
      <c r="G132" s="29" t="s">
        <v>1156</v>
      </c>
      <c r="H132" s="15" t="s">
        <v>1134</v>
      </c>
      <c r="I132" s="15"/>
      <c r="J132" s="15" t="s">
        <v>1139</v>
      </c>
      <c r="K132" s="15"/>
      <c r="L132" s="30" t="s">
        <v>1140</v>
      </c>
      <c r="M132" s="31">
        <v>4000000</v>
      </c>
      <c r="N132" s="30" t="s">
        <v>1157</v>
      </c>
      <c r="O132" s="30" t="str">
        <f>IF(LEN(IF(OR(NOT(ISNUMBER(B132)),LEN(B132)&lt;&gt;8),"UNSPSC vacío, en texto, con varios códigos o sin 8 dígitos; ","")&amp;IF(AND(ISNUMBER(B132),LEN(B132)=8),IF(MOD(B132,10000)=0,"UNSPSC a nivel de segmento o familia; ",""),"")&amp;IF(NOT(ISNUMBER(E132)),"Duración vacía o en texto; ","")&amp;IF(NOT(ISNUMBER(G132)),"Valor vacío o en texto; ","")&amp;IF(ISNUMBER(M132),IF(M132&lt;1000000,"Valor inferior a $1.000.000: verificar; ",""),"Valor no interpretable; ")&amp;IF(N132="[PENDIENTE DE VERIFICAR]","Modalidad no identificable; ","")&amp;IF(OR(ISERROR(SEARCH("@itc.edu.co",J132)),SUMPRODUCT(--ISNUMBER(SEARCH({"á","é","í","ó","ú","ñ"},J132)))&gt;0),"Correo vacío o no institucional válido; ","")&amp;IF(LEN(TRIM(D132))=0,"Sin objeto contractual; ","")&amp;IF(AND(ISNUMBER(M132),N132="Mínima cuantía"),IF(M132&gt;39850000,"Mínima cuantía con valor superior al tope citado en el instructivo 2026 ($39.850.000): verificar modalidad; ",""),"")&amp;IF(AND(ISNUMBER(M132),OR(ISNUMBER(SEARCH("prestación de servicios",D132)),ISNUMBER(SEARCH("prestar servicios",D132)),ISNUMBER(SEARCH("prestar los servicios",D132)))),IF(M132&gt;=500000000,"Prestación de servicios por $500 millones o más: posible error de digitación; ",""),""))=0,"Sin observaciones",IF(OR(NOT(ISNUMBER(B132)),LEN(B132)&lt;&gt;8),"UNSPSC vacío, en texto, con varios códigos o sin 8 dígitos; ","")&amp;IF(AND(ISNUMBER(B132),LEN(B132)=8),IF(MOD(B132,10000)=0,"UNSPSC a nivel de segmento o familia; ",""),"")&amp;IF(NOT(ISNUMBER(E132)),"Duración vacía o en texto; ","")&amp;IF(NOT(ISNUMBER(G132)),"Valor vacío o en texto; ","")&amp;IF(ISNUMBER(M132),IF(M132&lt;1000000,"Valor inferior a $1.000.000: verificar; ",""),"Valor no interpretable; ")&amp;IF(N132="[PENDIENTE DE VERIFICAR]","Modalidad no identificable; ","")&amp;IF(OR(ISERROR(SEARCH("@itc.edu.co",J132)),SUMPRODUCT(--ISNUMBER(SEARCH({"á","é","í","ó","ú","ñ"},J132)))&gt;0),"Correo vacío o no institucional válido; ","")&amp;IF(LEN(TRIM(D132))=0,"Sin objeto contractual; ","")&amp;IF(AND(ISNUMBER(M132),N132="Mínima cuantía"),IF(M132&gt;39850000,"Mínima cuantía con valor superior al tope citado en el instructivo 2026 ($39.850.000): verificar modalidad; ",""),"")&amp;IF(AND(ISNUMBER(M132),OR(ISNUMBER(SEARCH("prestación de servicios",D132)),ISNUMBER(SEARCH("prestar servicios",D132)),ISNUMBER(SEARCH("prestar los servicios",D132)))),IF(M132&gt;=500000000,"Prestación de servicios por $500 millones o más: posible error de digitación; ",""),""))</f>
        <v xml:space="preserve">UNSPSC vacío, en texto, con varios códigos o sin 8 dígitos; Duración vacía o en texto; Valor vacío o en texto; Modalidad no identificable; </v>
      </c>
    </row>
    <row r="133" spans="1:15" ht="22.8" x14ac:dyDescent="0.3">
      <c r="A133" s="15" t="s">
        <v>428</v>
      </c>
      <c r="B133" s="15">
        <v>44103103</v>
      </c>
      <c r="C133" s="15" t="s">
        <v>1152</v>
      </c>
      <c r="D133" s="15" t="s">
        <v>1158</v>
      </c>
      <c r="E133" s="15">
        <v>4</v>
      </c>
      <c r="F133" s="15" t="s">
        <v>1110</v>
      </c>
      <c r="G133" s="29" t="s">
        <v>1159</v>
      </c>
      <c r="H133" s="15" t="s">
        <v>1134</v>
      </c>
      <c r="I133" s="15"/>
      <c r="J133" s="15" t="s">
        <v>1139</v>
      </c>
      <c r="K133" s="15"/>
      <c r="L133" s="30" t="s">
        <v>1140</v>
      </c>
      <c r="M133" s="31">
        <v>2250000</v>
      </c>
      <c r="N133" s="30" t="s">
        <v>1111</v>
      </c>
      <c r="O133" s="30" t="str">
        <f>IF(LEN(IF(OR(NOT(ISNUMBER(B133)),LEN(B133)&lt;&gt;8),"UNSPSC vacío, en texto, con varios códigos o sin 8 dígitos; ","")&amp;IF(AND(ISNUMBER(B133),LEN(B133)=8),IF(MOD(B133,10000)=0,"UNSPSC a nivel de segmento o familia; ",""),"")&amp;IF(NOT(ISNUMBER(E133)),"Duración vacía o en texto; ","")&amp;IF(NOT(ISNUMBER(G133)),"Valor vacío o en texto; ","")&amp;IF(ISNUMBER(M133),IF(M133&lt;1000000,"Valor inferior a $1.000.000: verificar; ",""),"Valor no interpretable; ")&amp;IF(N133="[PENDIENTE DE VERIFICAR]","Modalidad no identificable; ","")&amp;IF(OR(ISERROR(SEARCH("@itc.edu.co",J133)),SUMPRODUCT(--ISNUMBER(SEARCH({"á","é","í","ó","ú","ñ"},J133)))&gt;0),"Correo vacío o no institucional válido; ","")&amp;IF(LEN(TRIM(D133))=0,"Sin objeto contractual; ","")&amp;IF(AND(ISNUMBER(M133),N133="Mínima cuantía"),IF(M133&gt;39850000,"Mínima cuantía con valor superior al tope citado en el instructivo 2026 ($39.850.000): verificar modalidad; ",""),"")&amp;IF(AND(ISNUMBER(M133),OR(ISNUMBER(SEARCH("prestación de servicios",D133)),ISNUMBER(SEARCH("prestar servicios",D133)),ISNUMBER(SEARCH("prestar los servicios",D133)))),IF(M133&gt;=500000000,"Prestación de servicios por $500 millones o más: posible error de digitación; ",""),""))=0,"Sin observaciones",IF(OR(NOT(ISNUMBER(B133)),LEN(B133)&lt;&gt;8),"UNSPSC vacío, en texto, con varios códigos o sin 8 dígitos; ","")&amp;IF(AND(ISNUMBER(B133),LEN(B133)=8),IF(MOD(B133,10000)=0,"UNSPSC a nivel de segmento o familia; ",""),"")&amp;IF(NOT(ISNUMBER(E133)),"Duración vacía o en texto; ","")&amp;IF(NOT(ISNUMBER(G133)),"Valor vacío o en texto; ","")&amp;IF(ISNUMBER(M133),IF(M133&lt;1000000,"Valor inferior a $1.000.000: verificar; ",""),"Valor no interpretable; ")&amp;IF(N133="[PENDIENTE DE VERIFICAR]","Modalidad no identificable; ","")&amp;IF(OR(ISERROR(SEARCH("@itc.edu.co",J133)),SUMPRODUCT(--ISNUMBER(SEARCH({"á","é","í","ó","ú","ñ"},J133)))&gt;0),"Correo vacío o no institucional válido; ","")&amp;IF(LEN(TRIM(D133))=0,"Sin objeto contractual; ","")&amp;IF(AND(ISNUMBER(M133),N133="Mínima cuantía"),IF(M133&gt;39850000,"Mínima cuantía con valor superior al tope citado en el instructivo 2026 ($39.850.000): verificar modalidad; ",""),"")&amp;IF(AND(ISNUMBER(M133),OR(ISNUMBER(SEARCH("prestación de servicios",D133)),ISNUMBER(SEARCH("prestar servicios",D133)),ISNUMBER(SEARCH("prestar los servicios",D133)))),IF(M133&gt;=500000000,"Prestación de servicios por $500 millones o más: posible error de digitación; ",""),""))</f>
        <v xml:space="preserve">Valor vacío o en texto; </v>
      </c>
    </row>
    <row r="134" spans="1:15" ht="22.8" x14ac:dyDescent="0.3">
      <c r="A134" s="15" t="s">
        <v>1160</v>
      </c>
      <c r="B134" s="15">
        <v>44103103</v>
      </c>
      <c r="C134" s="15" t="s">
        <v>1152</v>
      </c>
      <c r="D134" s="15" t="s">
        <v>1161</v>
      </c>
      <c r="E134" s="15">
        <v>4</v>
      </c>
      <c r="F134" s="15" t="s">
        <v>1110</v>
      </c>
      <c r="G134" s="29">
        <v>7000000</v>
      </c>
      <c r="H134" s="15" t="s">
        <v>1134</v>
      </c>
      <c r="I134" s="15"/>
      <c r="J134" s="15" t="s">
        <v>1139</v>
      </c>
      <c r="K134" s="15"/>
      <c r="L134" s="30" t="s">
        <v>1140</v>
      </c>
      <c r="M134" s="31">
        <v>7000000</v>
      </c>
      <c r="N134" s="30" t="s">
        <v>1111</v>
      </c>
      <c r="O134" s="30" t="str">
        <f>IF(LEN(IF(OR(NOT(ISNUMBER(B134)),LEN(B134)&lt;&gt;8),"UNSPSC vacío, en texto, con varios códigos o sin 8 dígitos; ","")&amp;IF(AND(ISNUMBER(B134),LEN(B134)=8),IF(MOD(B134,10000)=0,"UNSPSC a nivel de segmento o familia; ",""),"")&amp;IF(NOT(ISNUMBER(E134)),"Duración vacía o en texto; ","")&amp;IF(NOT(ISNUMBER(G134)),"Valor vacío o en texto; ","")&amp;IF(ISNUMBER(M134),IF(M134&lt;1000000,"Valor inferior a $1.000.000: verificar; ",""),"Valor no interpretable; ")&amp;IF(N134="[PENDIENTE DE VERIFICAR]","Modalidad no identificable; ","")&amp;IF(OR(ISERROR(SEARCH("@itc.edu.co",J134)),SUMPRODUCT(--ISNUMBER(SEARCH({"á","é","í","ó","ú","ñ"},J134)))&gt;0),"Correo vacío o no institucional válido; ","")&amp;IF(LEN(TRIM(D134))=0,"Sin objeto contractual; ","")&amp;IF(AND(ISNUMBER(M134),N134="Mínima cuantía"),IF(M134&gt;39850000,"Mínima cuantía con valor superior al tope citado en el instructivo 2026 ($39.850.000): verificar modalidad; ",""),"")&amp;IF(AND(ISNUMBER(M134),OR(ISNUMBER(SEARCH("prestación de servicios",D134)),ISNUMBER(SEARCH("prestar servicios",D134)),ISNUMBER(SEARCH("prestar los servicios",D134)))),IF(M134&gt;=500000000,"Prestación de servicios por $500 millones o más: posible error de digitación; ",""),""))=0,"Sin observaciones",IF(OR(NOT(ISNUMBER(B134)),LEN(B134)&lt;&gt;8),"UNSPSC vacío, en texto, con varios códigos o sin 8 dígitos; ","")&amp;IF(AND(ISNUMBER(B134),LEN(B134)=8),IF(MOD(B134,10000)=0,"UNSPSC a nivel de segmento o familia; ",""),"")&amp;IF(NOT(ISNUMBER(E134)),"Duración vacía o en texto; ","")&amp;IF(NOT(ISNUMBER(G134)),"Valor vacío o en texto; ","")&amp;IF(ISNUMBER(M134),IF(M134&lt;1000000,"Valor inferior a $1.000.000: verificar; ",""),"Valor no interpretable; ")&amp;IF(N134="[PENDIENTE DE VERIFICAR]","Modalidad no identificable; ","")&amp;IF(OR(ISERROR(SEARCH("@itc.edu.co",J134)),SUMPRODUCT(--ISNUMBER(SEARCH({"á","é","í","ó","ú","ñ"},J134)))&gt;0),"Correo vacío o no institucional válido; ","")&amp;IF(LEN(TRIM(D134))=0,"Sin objeto contractual; ","")&amp;IF(AND(ISNUMBER(M134),N134="Mínima cuantía"),IF(M134&gt;39850000,"Mínima cuantía con valor superior al tope citado en el instructivo 2026 ($39.850.000): verificar modalidad; ",""),"")&amp;IF(AND(ISNUMBER(M134),OR(ISNUMBER(SEARCH("prestación de servicios",D134)),ISNUMBER(SEARCH("prestar servicios",D134)),ISNUMBER(SEARCH("prestar los servicios",D134)))),IF(M134&gt;=500000000,"Prestación de servicios por $500 millones o más: posible error de digitación; ",""),""))</f>
        <v>Sin observaciones</v>
      </c>
    </row>
    <row r="135" spans="1:15" ht="125.4" x14ac:dyDescent="0.3">
      <c r="A135" s="15" t="s">
        <v>409</v>
      </c>
      <c r="B135" s="15">
        <v>14111509</v>
      </c>
      <c r="C135" s="15" t="s">
        <v>1152</v>
      </c>
      <c r="D135" s="15" t="s">
        <v>1162</v>
      </c>
      <c r="E135" s="15">
        <v>6</v>
      </c>
      <c r="F135" s="15" t="s">
        <v>1110</v>
      </c>
      <c r="G135" s="29">
        <v>47000000</v>
      </c>
      <c r="H135" s="15" t="s">
        <v>1134</v>
      </c>
      <c r="I135" s="15"/>
      <c r="J135" s="15" t="s">
        <v>1139</v>
      </c>
      <c r="K135" s="15"/>
      <c r="L135" s="30" t="s">
        <v>1140</v>
      </c>
      <c r="M135" s="31">
        <v>47000000</v>
      </c>
      <c r="N135" s="30" t="s">
        <v>1111</v>
      </c>
      <c r="O135" s="30" t="str">
        <f>IF(LEN(IF(OR(NOT(ISNUMBER(B135)),LEN(B135)&lt;&gt;8),"UNSPSC vacío, en texto, con varios códigos o sin 8 dígitos; ","")&amp;IF(AND(ISNUMBER(B135),LEN(B135)=8),IF(MOD(B135,10000)=0,"UNSPSC a nivel de segmento o familia; ",""),"")&amp;IF(NOT(ISNUMBER(E135)),"Duración vacía o en texto; ","")&amp;IF(NOT(ISNUMBER(G135)),"Valor vacío o en texto; ","")&amp;IF(ISNUMBER(M135),IF(M135&lt;1000000,"Valor inferior a $1.000.000: verificar; ",""),"Valor no interpretable; ")&amp;IF(N135="[PENDIENTE DE VERIFICAR]","Modalidad no identificable; ","")&amp;IF(OR(ISERROR(SEARCH("@itc.edu.co",J135)),SUMPRODUCT(--ISNUMBER(SEARCH({"á","é","í","ó","ú","ñ"},J135)))&gt;0),"Correo vacío o no institucional válido; ","")&amp;IF(LEN(TRIM(D135))=0,"Sin objeto contractual; ","")&amp;IF(AND(ISNUMBER(M135),N135="Mínima cuantía"),IF(M135&gt;39850000,"Mínima cuantía con valor superior al tope citado en el instructivo 2026 ($39.850.000): verificar modalidad; ",""),"")&amp;IF(AND(ISNUMBER(M135),OR(ISNUMBER(SEARCH("prestación de servicios",D135)),ISNUMBER(SEARCH("prestar servicios",D135)),ISNUMBER(SEARCH("prestar los servicios",D135)))),IF(M135&gt;=500000000,"Prestación de servicios por $500 millones o más: posible error de digitación; ",""),""))=0,"Sin observaciones",IF(OR(NOT(ISNUMBER(B135)),LEN(B135)&lt;&gt;8),"UNSPSC vacío, en texto, con varios códigos o sin 8 dígitos; ","")&amp;IF(AND(ISNUMBER(B135),LEN(B135)=8),IF(MOD(B135,10000)=0,"UNSPSC a nivel de segmento o familia; ",""),"")&amp;IF(NOT(ISNUMBER(E135)),"Duración vacía o en texto; ","")&amp;IF(NOT(ISNUMBER(G135)),"Valor vacío o en texto; ","")&amp;IF(ISNUMBER(M135),IF(M135&lt;1000000,"Valor inferior a $1.000.000: verificar; ",""),"Valor no interpretable; ")&amp;IF(N135="[PENDIENTE DE VERIFICAR]","Modalidad no identificable; ","")&amp;IF(OR(ISERROR(SEARCH("@itc.edu.co",J135)),SUMPRODUCT(--ISNUMBER(SEARCH({"á","é","í","ó","ú","ñ"},J135)))&gt;0),"Correo vacío o no institucional válido; ","")&amp;IF(LEN(TRIM(D135))=0,"Sin objeto contractual; ","")&amp;IF(AND(ISNUMBER(M135),N135="Mínima cuantía"),IF(M135&gt;39850000,"Mínima cuantía con valor superior al tope citado en el instructivo 2026 ($39.850.000): verificar modalidad; ",""),"")&amp;IF(AND(ISNUMBER(M135),OR(ISNUMBER(SEARCH("prestación de servicios",D135)),ISNUMBER(SEARCH("prestar servicios",D135)),ISNUMBER(SEARCH("prestar los servicios",D135)))),IF(M135&gt;=500000000,"Prestación de servicios por $500 millones o más: posible error de digitación; ",""),""))</f>
        <v>Sin observaciones</v>
      </c>
    </row>
    <row r="136" spans="1:15" ht="45.6" x14ac:dyDescent="0.3">
      <c r="A136" s="15" t="s">
        <v>512</v>
      </c>
      <c r="B136" s="15">
        <v>25174405</v>
      </c>
      <c r="C136" s="15" t="s">
        <v>1152</v>
      </c>
      <c r="D136" s="15" t="s">
        <v>1163</v>
      </c>
      <c r="E136" s="15">
        <v>6</v>
      </c>
      <c r="F136" s="15" t="s">
        <v>1110</v>
      </c>
      <c r="G136" s="29" t="s">
        <v>1164</v>
      </c>
      <c r="H136" s="15"/>
      <c r="I136" s="15"/>
      <c r="J136" s="15" t="s">
        <v>1139</v>
      </c>
      <c r="K136" s="15"/>
      <c r="L136" s="30" t="s">
        <v>1140</v>
      </c>
      <c r="M136" s="31">
        <v>40000000</v>
      </c>
      <c r="N136" s="30" t="s">
        <v>1111</v>
      </c>
      <c r="O136" s="30" t="str">
        <f>IF(LEN(IF(OR(NOT(ISNUMBER(B136)),LEN(B136)&lt;&gt;8),"UNSPSC vacío, en texto, con varios códigos o sin 8 dígitos; ","")&amp;IF(AND(ISNUMBER(B136),LEN(B136)=8),IF(MOD(B136,10000)=0,"UNSPSC a nivel de segmento o familia; ",""),"")&amp;IF(NOT(ISNUMBER(E136)),"Duración vacía o en texto; ","")&amp;IF(NOT(ISNUMBER(G136)),"Valor vacío o en texto; ","")&amp;IF(ISNUMBER(M136),IF(M136&lt;1000000,"Valor inferior a $1.000.000: verificar; ",""),"Valor no interpretable; ")&amp;IF(N136="[PENDIENTE DE VERIFICAR]","Modalidad no identificable; ","")&amp;IF(OR(ISERROR(SEARCH("@itc.edu.co",J136)),SUMPRODUCT(--ISNUMBER(SEARCH({"á","é","í","ó","ú","ñ"},J136)))&gt;0),"Correo vacío o no institucional válido; ","")&amp;IF(LEN(TRIM(D136))=0,"Sin objeto contractual; ","")&amp;IF(AND(ISNUMBER(M136),N136="Mínima cuantía"),IF(M136&gt;39850000,"Mínima cuantía con valor superior al tope citado en el instructivo 2026 ($39.850.000): verificar modalidad; ",""),"")&amp;IF(AND(ISNUMBER(M136),OR(ISNUMBER(SEARCH("prestación de servicios",D136)),ISNUMBER(SEARCH("prestar servicios",D136)),ISNUMBER(SEARCH("prestar los servicios",D136)))),IF(M136&gt;=500000000,"Prestación de servicios por $500 millones o más: posible error de digitación; ",""),""))=0,"Sin observaciones",IF(OR(NOT(ISNUMBER(B136)),LEN(B136)&lt;&gt;8),"UNSPSC vacío, en texto, con varios códigos o sin 8 dígitos; ","")&amp;IF(AND(ISNUMBER(B136),LEN(B136)=8),IF(MOD(B136,10000)=0,"UNSPSC a nivel de segmento o familia; ",""),"")&amp;IF(NOT(ISNUMBER(E136)),"Duración vacía o en texto; ","")&amp;IF(NOT(ISNUMBER(G136)),"Valor vacío o en texto; ","")&amp;IF(ISNUMBER(M136),IF(M136&lt;1000000,"Valor inferior a $1.000.000: verificar; ",""),"Valor no interpretable; ")&amp;IF(N136="[PENDIENTE DE VERIFICAR]","Modalidad no identificable; ","")&amp;IF(OR(ISERROR(SEARCH("@itc.edu.co",J136)),SUMPRODUCT(--ISNUMBER(SEARCH({"á","é","í","ó","ú","ñ"},J136)))&gt;0),"Correo vacío o no institucional válido; ","")&amp;IF(LEN(TRIM(D136))=0,"Sin objeto contractual; ","")&amp;IF(AND(ISNUMBER(M136),N136="Mínima cuantía"),IF(M136&gt;39850000,"Mínima cuantía con valor superior al tope citado en el instructivo 2026 ($39.850.000): verificar modalidad; ",""),"")&amp;IF(AND(ISNUMBER(M136),OR(ISNUMBER(SEARCH("prestación de servicios",D136)),ISNUMBER(SEARCH("prestar servicios",D136)),ISNUMBER(SEARCH("prestar los servicios",D136)))),IF(M136&gt;=500000000,"Prestación de servicios por $500 millones o más: posible error de digitación; ",""),""))</f>
        <v xml:space="preserve">Valor vacío o en texto; </v>
      </c>
    </row>
    <row r="137" spans="1:15" ht="34.200000000000003" x14ac:dyDescent="0.3">
      <c r="A137" s="15" t="s">
        <v>641</v>
      </c>
      <c r="B137" s="15">
        <v>60131000</v>
      </c>
      <c r="C137" s="15" t="s">
        <v>1152</v>
      </c>
      <c r="D137" s="15" t="s">
        <v>640</v>
      </c>
      <c r="E137" s="15">
        <v>6</v>
      </c>
      <c r="F137" s="15" t="s">
        <v>1110</v>
      </c>
      <c r="G137" s="29" t="s">
        <v>1165</v>
      </c>
      <c r="H137" s="15"/>
      <c r="I137" s="15"/>
      <c r="J137" s="15" t="s">
        <v>1139</v>
      </c>
      <c r="K137" s="15"/>
      <c r="L137" s="30" t="s">
        <v>1140</v>
      </c>
      <c r="M137" s="31">
        <v>20000000</v>
      </c>
      <c r="N137" s="30" t="s">
        <v>1111</v>
      </c>
      <c r="O137" s="30" t="str">
        <f>IF(LEN(IF(OR(NOT(ISNUMBER(B137)),LEN(B137)&lt;&gt;8),"UNSPSC vacío, en texto, con varios códigos o sin 8 dígitos; ","")&amp;IF(AND(ISNUMBER(B137),LEN(B137)=8),IF(MOD(B137,10000)=0,"UNSPSC a nivel de segmento o familia; ",""),"")&amp;IF(NOT(ISNUMBER(E137)),"Duración vacía o en texto; ","")&amp;IF(NOT(ISNUMBER(G137)),"Valor vacío o en texto; ","")&amp;IF(ISNUMBER(M137),IF(M137&lt;1000000,"Valor inferior a $1.000.000: verificar; ",""),"Valor no interpretable; ")&amp;IF(N137="[PENDIENTE DE VERIFICAR]","Modalidad no identificable; ","")&amp;IF(OR(ISERROR(SEARCH("@itc.edu.co",J137)),SUMPRODUCT(--ISNUMBER(SEARCH({"á","é","í","ó","ú","ñ"},J137)))&gt;0),"Correo vacío o no institucional válido; ","")&amp;IF(LEN(TRIM(D137))=0,"Sin objeto contractual; ","")&amp;IF(AND(ISNUMBER(M137),N137="Mínima cuantía"),IF(M137&gt;39850000,"Mínima cuantía con valor superior al tope citado en el instructivo 2026 ($39.850.000): verificar modalidad; ",""),"")&amp;IF(AND(ISNUMBER(M137),OR(ISNUMBER(SEARCH("prestación de servicios",D137)),ISNUMBER(SEARCH("prestar servicios",D137)),ISNUMBER(SEARCH("prestar los servicios",D137)))),IF(M137&gt;=500000000,"Prestación de servicios por $500 millones o más: posible error de digitación; ",""),""))=0,"Sin observaciones",IF(OR(NOT(ISNUMBER(B137)),LEN(B137)&lt;&gt;8),"UNSPSC vacío, en texto, con varios códigos o sin 8 dígitos; ","")&amp;IF(AND(ISNUMBER(B137),LEN(B137)=8),IF(MOD(B137,10000)=0,"UNSPSC a nivel de segmento o familia; ",""),"")&amp;IF(NOT(ISNUMBER(E137)),"Duración vacía o en texto; ","")&amp;IF(NOT(ISNUMBER(G137)),"Valor vacío o en texto; ","")&amp;IF(ISNUMBER(M137),IF(M137&lt;1000000,"Valor inferior a $1.000.000: verificar; ",""),"Valor no interpretable; ")&amp;IF(N137="[PENDIENTE DE VERIFICAR]","Modalidad no identificable; ","")&amp;IF(OR(ISERROR(SEARCH("@itc.edu.co",J137)),SUMPRODUCT(--ISNUMBER(SEARCH({"á","é","í","ó","ú","ñ"},J137)))&gt;0),"Correo vacío o no institucional válido; ","")&amp;IF(LEN(TRIM(D137))=0,"Sin objeto contractual; ","")&amp;IF(AND(ISNUMBER(M137),N137="Mínima cuantía"),IF(M137&gt;39850000,"Mínima cuantía con valor superior al tope citado en el instructivo 2026 ($39.850.000): verificar modalidad; ",""),"")&amp;IF(AND(ISNUMBER(M137),OR(ISNUMBER(SEARCH("prestación de servicios",D137)),ISNUMBER(SEARCH("prestar servicios",D137)),ISNUMBER(SEARCH("prestar los servicios",D137)))),IF(M137&gt;=500000000,"Prestación de servicios por $500 millones o más: posible error de digitación; ",""),""))</f>
        <v xml:space="preserve">Valor vacío o en texto; </v>
      </c>
    </row>
    <row r="138" spans="1:15" ht="34.200000000000003" x14ac:dyDescent="0.3">
      <c r="A138" s="15" t="s">
        <v>643</v>
      </c>
      <c r="B138" s="15">
        <v>60131303</v>
      </c>
      <c r="C138" s="15" t="s">
        <v>1152</v>
      </c>
      <c r="D138" s="15" t="s">
        <v>642</v>
      </c>
      <c r="E138" s="15">
        <v>6</v>
      </c>
      <c r="F138" s="15" t="s">
        <v>1110</v>
      </c>
      <c r="G138" s="29" t="s">
        <v>1165</v>
      </c>
      <c r="H138" s="15"/>
      <c r="I138" s="15"/>
      <c r="J138" s="15" t="s">
        <v>1139</v>
      </c>
      <c r="K138" s="15"/>
      <c r="L138" s="30" t="s">
        <v>1140</v>
      </c>
      <c r="M138" s="31">
        <v>20000000</v>
      </c>
      <c r="N138" s="30" t="s">
        <v>1111</v>
      </c>
      <c r="O138" s="30" t="str">
        <f>IF(LEN(IF(OR(NOT(ISNUMBER(B138)),LEN(B138)&lt;&gt;8),"UNSPSC vacío, en texto, con varios códigos o sin 8 dígitos; ","")&amp;IF(AND(ISNUMBER(B138),LEN(B138)=8),IF(MOD(B138,10000)=0,"UNSPSC a nivel de segmento o familia; ",""),"")&amp;IF(NOT(ISNUMBER(E138)),"Duración vacía o en texto; ","")&amp;IF(NOT(ISNUMBER(G138)),"Valor vacío o en texto; ","")&amp;IF(ISNUMBER(M138),IF(M138&lt;1000000,"Valor inferior a $1.000.000: verificar; ",""),"Valor no interpretable; ")&amp;IF(N138="[PENDIENTE DE VERIFICAR]","Modalidad no identificable; ","")&amp;IF(OR(ISERROR(SEARCH("@itc.edu.co",J138)),SUMPRODUCT(--ISNUMBER(SEARCH({"á","é","í","ó","ú","ñ"},J138)))&gt;0),"Correo vacío o no institucional válido; ","")&amp;IF(LEN(TRIM(D138))=0,"Sin objeto contractual; ","")&amp;IF(AND(ISNUMBER(M138),N138="Mínima cuantía"),IF(M138&gt;39850000,"Mínima cuantía con valor superior al tope citado en el instructivo 2026 ($39.850.000): verificar modalidad; ",""),"")&amp;IF(AND(ISNUMBER(M138),OR(ISNUMBER(SEARCH("prestación de servicios",D138)),ISNUMBER(SEARCH("prestar servicios",D138)),ISNUMBER(SEARCH("prestar los servicios",D138)))),IF(M138&gt;=500000000,"Prestación de servicios por $500 millones o más: posible error de digitación; ",""),""))=0,"Sin observaciones",IF(OR(NOT(ISNUMBER(B138)),LEN(B138)&lt;&gt;8),"UNSPSC vacío, en texto, con varios códigos o sin 8 dígitos; ","")&amp;IF(AND(ISNUMBER(B138),LEN(B138)=8),IF(MOD(B138,10000)=0,"UNSPSC a nivel de segmento o familia; ",""),"")&amp;IF(NOT(ISNUMBER(E138)),"Duración vacía o en texto; ","")&amp;IF(NOT(ISNUMBER(G138)),"Valor vacío o en texto; ","")&amp;IF(ISNUMBER(M138),IF(M138&lt;1000000,"Valor inferior a $1.000.000: verificar; ",""),"Valor no interpretable; ")&amp;IF(N138="[PENDIENTE DE VERIFICAR]","Modalidad no identificable; ","")&amp;IF(OR(ISERROR(SEARCH("@itc.edu.co",J138)),SUMPRODUCT(--ISNUMBER(SEARCH({"á","é","í","ó","ú","ñ"},J138)))&gt;0),"Correo vacío o no institucional válido; ","")&amp;IF(LEN(TRIM(D138))=0,"Sin objeto contractual; ","")&amp;IF(AND(ISNUMBER(M138),N138="Mínima cuantía"),IF(M138&gt;39850000,"Mínima cuantía con valor superior al tope citado en el instructivo 2026 ($39.850.000): verificar modalidad; ",""),"")&amp;IF(AND(ISNUMBER(M138),OR(ISNUMBER(SEARCH("prestación de servicios",D138)),ISNUMBER(SEARCH("prestar servicios",D138)),ISNUMBER(SEARCH("prestar los servicios",D138)))),IF(M138&gt;=500000000,"Prestación de servicios por $500 millones o más: posible error de digitación; ",""),""))</f>
        <v xml:space="preserve">Valor vacío o en texto; </v>
      </c>
    </row>
    <row r="139" spans="1:15" ht="45.6" x14ac:dyDescent="0.3">
      <c r="A139" s="15" t="s">
        <v>419</v>
      </c>
      <c r="B139" s="15">
        <v>42191611</v>
      </c>
      <c r="C139" s="15" t="s">
        <v>1152</v>
      </c>
      <c r="D139" s="15" t="s">
        <v>1166</v>
      </c>
      <c r="E139" s="15">
        <v>6</v>
      </c>
      <c r="F139" s="15" t="s">
        <v>1110</v>
      </c>
      <c r="G139" s="29">
        <v>60000000</v>
      </c>
      <c r="H139" s="15"/>
      <c r="I139" s="15"/>
      <c r="J139" s="15" t="s">
        <v>1139</v>
      </c>
      <c r="K139" s="15"/>
      <c r="L139" s="30" t="s">
        <v>1140</v>
      </c>
      <c r="M139" s="31">
        <v>60000000</v>
      </c>
      <c r="N139" s="30" t="s">
        <v>1111</v>
      </c>
      <c r="O139" s="30" t="str">
        <f>IF(LEN(IF(OR(NOT(ISNUMBER(B139)),LEN(B139)&lt;&gt;8),"UNSPSC vacío, en texto, con varios códigos o sin 8 dígitos; ","")&amp;IF(AND(ISNUMBER(B139),LEN(B139)=8),IF(MOD(B139,10000)=0,"UNSPSC a nivel de segmento o familia; ",""),"")&amp;IF(NOT(ISNUMBER(E139)),"Duración vacía o en texto; ","")&amp;IF(NOT(ISNUMBER(G139)),"Valor vacío o en texto; ","")&amp;IF(ISNUMBER(M139),IF(M139&lt;1000000,"Valor inferior a $1.000.000: verificar; ",""),"Valor no interpretable; ")&amp;IF(N139="[PENDIENTE DE VERIFICAR]","Modalidad no identificable; ","")&amp;IF(OR(ISERROR(SEARCH("@itc.edu.co",J139)),SUMPRODUCT(--ISNUMBER(SEARCH({"á","é","í","ó","ú","ñ"},J139)))&gt;0),"Correo vacío o no institucional válido; ","")&amp;IF(LEN(TRIM(D139))=0,"Sin objeto contractual; ","")&amp;IF(AND(ISNUMBER(M139),N139="Mínima cuantía"),IF(M139&gt;39850000,"Mínima cuantía con valor superior al tope citado en el instructivo 2026 ($39.850.000): verificar modalidad; ",""),"")&amp;IF(AND(ISNUMBER(M139),OR(ISNUMBER(SEARCH("prestación de servicios",D139)),ISNUMBER(SEARCH("prestar servicios",D139)),ISNUMBER(SEARCH("prestar los servicios",D139)))),IF(M139&gt;=500000000,"Prestación de servicios por $500 millones o más: posible error de digitación; ",""),""))=0,"Sin observaciones",IF(OR(NOT(ISNUMBER(B139)),LEN(B139)&lt;&gt;8),"UNSPSC vacío, en texto, con varios códigos o sin 8 dígitos; ","")&amp;IF(AND(ISNUMBER(B139),LEN(B139)=8),IF(MOD(B139,10000)=0,"UNSPSC a nivel de segmento o familia; ",""),"")&amp;IF(NOT(ISNUMBER(E139)),"Duración vacía o en texto; ","")&amp;IF(NOT(ISNUMBER(G139)),"Valor vacío o en texto; ","")&amp;IF(ISNUMBER(M139),IF(M139&lt;1000000,"Valor inferior a $1.000.000: verificar; ",""),"Valor no interpretable; ")&amp;IF(N139="[PENDIENTE DE VERIFICAR]","Modalidad no identificable; ","")&amp;IF(OR(ISERROR(SEARCH("@itc.edu.co",J139)),SUMPRODUCT(--ISNUMBER(SEARCH({"á","é","í","ó","ú","ñ"},J139)))&gt;0),"Correo vacío o no institucional válido; ","")&amp;IF(LEN(TRIM(D139))=0,"Sin objeto contractual; ","")&amp;IF(AND(ISNUMBER(M139),N139="Mínima cuantía"),IF(M139&gt;39850000,"Mínima cuantía con valor superior al tope citado en el instructivo 2026 ($39.850.000): verificar modalidad; ",""),"")&amp;IF(AND(ISNUMBER(M139),OR(ISNUMBER(SEARCH("prestación de servicios",D139)),ISNUMBER(SEARCH("prestar servicios",D139)),ISNUMBER(SEARCH("prestar los servicios",D139)))),IF(M139&gt;=500000000,"Prestación de servicios por $500 millones o más: posible error de digitación; ",""),""))</f>
        <v>Sin observaciones</v>
      </c>
    </row>
    <row r="140" spans="1:15" ht="45.6" x14ac:dyDescent="0.3">
      <c r="A140" s="15" t="s">
        <v>713</v>
      </c>
      <c r="B140" s="15">
        <v>85161500</v>
      </c>
      <c r="C140" s="15" t="s">
        <v>1152</v>
      </c>
      <c r="D140" s="15" t="s">
        <v>1167</v>
      </c>
      <c r="E140" s="15">
        <v>6</v>
      </c>
      <c r="F140" s="15" t="s">
        <v>1110</v>
      </c>
      <c r="G140" s="29" t="s">
        <v>1168</v>
      </c>
      <c r="H140" s="15"/>
      <c r="I140" s="15"/>
      <c r="J140" s="15" t="s">
        <v>1139</v>
      </c>
      <c r="K140" s="15"/>
      <c r="L140" s="30" t="s">
        <v>1140</v>
      </c>
      <c r="M140" s="31">
        <v>10000000</v>
      </c>
      <c r="N140" s="30" t="s">
        <v>1111</v>
      </c>
      <c r="O140" s="30" t="str">
        <f>IF(LEN(IF(OR(NOT(ISNUMBER(B140)),LEN(B140)&lt;&gt;8),"UNSPSC vacío, en texto, con varios códigos o sin 8 dígitos; ","")&amp;IF(AND(ISNUMBER(B140),LEN(B140)=8),IF(MOD(B140,10000)=0,"UNSPSC a nivel de segmento o familia; ",""),"")&amp;IF(NOT(ISNUMBER(E140)),"Duración vacía o en texto; ","")&amp;IF(NOT(ISNUMBER(G140)),"Valor vacío o en texto; ","")&amp;IF(ISNUMBER(M140),IF(M140&lt;1000000,"Valor inferior a $1.000.000: verificar; ",""),"Valor no interpretable; ")&amp;IF(N140="[PENDIENTE DE VERIFICAR]","Modalidad no identificable; ","")&amp;IF(OR(ISERROR(SEARCH("@itc.edu.co",J140)),SUMPRODUCT(--ISNUMBER(SEARCH({"á","é","í","ó","ú","ñ"},J140)))&gt;0),"Correo vacío o no institucional válido; ","")&amp;IF(LEN(TRIM(D140))=0,"Sin objeto contractual; ","")&amp;IF(AND(ISNUMBER(M140),N140="Mínima cuantía"),IF(M140&gt;39850000,"Mínima cuantía con valor superior al tope citado en el instructivo 2026 ($39.850.000): verificar modalidad; ",""),"")&amp;IF(AND(ISNUMBER(M140),OR(ISNUMBER(SEARCH("prestación de servicios",D140)),ISNUMBER(SEARCH("prestar servicios",D140)),ISNUMBER(SEARCH("prestar los servicios",D140)))),IF(M140&gt;=500000000,"Prestación de servicios por $500 millones o más: posible error de digitación; ",""),""))=0,"Sin observaciones",IF(OR(NOT(ISNUMBER(B140)),LEN(B140)&lt;&gt;8),"UNSPSC vacío, en texto, con varios códigos o sin 8 dígitos; ","")&amp;IF(AND(ISNUMBER(B140),LEN(B140)=8),IF(MOD(B140,10000)=0,"UNSPSC a nivel de segmento o familia; ",""),"")&amp;IF(NOT(ISNUMBER(E140)),"Duración vacía o en texto; ","")&amp;IF(NOT(ISNUMBER(G140)),"Valor vacío o en texto; ","")&amp;IF(ISNUMBER(M140),IF(M140&lt;1000000,"Valor inferior a $1.000.000: verificar; ",""),"Valor no interpretable; ")&amp;IF(N140="[PENDIENTE DE VERIFICAR]","Modalidad no identificable; ","")&amp;IF(OR(ISERROR(SEARCH("@itc.edu.co",J140)),SUMPRODUCT(--ISNUMBER(SEARCH({"á","é","í","ó","ú","ñ"},J140)))&gt;0),"Correo vacío o no institucional válido; ","")&amp;IF(LEN(TRIM(D140))=0,"Sin objeto contractual; ","")&amp;IF(AND(ISNUMBER(M140),N140="Mínima cuantía"),IF(M140&gt;39850000,"Mínima cuantía con valor superior al tope citado en el instructivo 2026 ($39.850.000): verificar modalidad; ",""),"")&amp;IF(AND(ISNUMBER(M140),OR(ISNUMBER(SEARCH("prestación de servicios",D140)),ISNUMBER(SEARCH("prestar servicios",D140)),ISNUMBER(SEARCH("prestar los servicios",D140)))),IF(M140&gt;=500000000,"Prestación de servicios por $500 millones o más: posible error de digitación; ",""),""))</f>
        <v xml:space="preserve">Valor vacío o en texto; </v>
      </c>
    </row>
    <row r="141" spans="1:15" ht="45.6" x14ac:dyDescent="0.3">
      <c r="A141" s="15" t="s">
        <v>1169</v>
      </c>
      <c r="B141" s="15">
        <v>42191611</v>
      </c>
      <c r="C141" s="15" t="s">
        <v>1152</v>
      </c>
      <c r="D141" s="15" t="s">
        <v>1170</v>
      </c>
      <c r="E141" s="15">
        <v>4</v>
      </c>
      <c r="F141" s="15" t="s">
        <v>1110</v>
      </c>
      <c r="G141" s="29" t="s">
        <v>1171</v>
      </c>
      <c r="H141" s="15" t="s">
        <v>1134</v>
      </c>
      <c r="I141" s="15"/>
      <c r="J141" s="15" t="s">
        <v>1139</v>
      </c>
      <c r="K141" s="15"/>
      <c r="L141" s="30" t="s">
        <v>1140</v>
      </c>
      <c r="M141" s="31">
        <v>18000000</v>
      </c>
      <c r="N141" s="30" t="s">
        <v>1111</v>
      </c>
      <c r="O141" s="30" t="str">
        <f>IF(LEN(IF(OR(NOT(ISNUMBER(B141)),LEN(B141)&lt;&gt;8),"UNSPSC vacío, en texto, con varios códigos o sin 8 dígitos; ","")&amp;IF(AND(ISNUMBER(B141),LEN(B141)=8),IF(MOD(B141,10000)=0,"UNSPSC a nivel de segmento o familia; ",""),"")&amp;IF(NOT(ISNUMBER(E141)),"Duración vacía o en texto; ","")&amp;IF(NOT(ISNUMBER(G141)),"Valor vacío o en texto; ","")&amp;IF(ISNUMBER(M141),IF(M141&lt;1000000,"Valor inferior a $1.000.000: verificar; ",""),"Valor no interpretable; ")&amp;IF(N141="[PENDIENTE DE VERIFICAR]","Modalidad no identificable; ","")&amp;IF(OR(ISERROR(SEARCH("@itc.edu.co",J141)),SUMPRODUCT(--ISNUMBER(SEARCH({"á","é","í","ó","ú","ñ"},J141)))&gt;0),"Correo vacío o no institucional válido; ","")&amp;IF(LEN(TRIM(D141))=0,"Sin objeto contractual; ","")&amp;IF(AND(ISNUMBER(M141),N141="Mínima cuantía"),IF(M141&gt;39850000,"Mínima cuantía con valor superior al tope citado en el instructivo 2026 ($39.850.000): verificar modalidad; ",""),"")&amp;IF(AND(ISNUMBER(M141),OR(ISNUMBER(SEARCH("prestación de servicios",D141)),ISNUMBER(SEARCH("prestar servicios",D141)),ISNUMBER(SEARCH("prestar los servicios",D141)))),IF(M141&gt;=500000000,"Prestación de servicios por $500 millones o más: posible error de digitación; ",""),""))=0,"Sin observaciones",IF(OR(NOT(ISNUMBER(B141)),LEN(B141)&lt;&gt;8),"UNSPSC vacío, en texto, con varios códigos o sin 8 dígitos; ","")&amp;IF(AND(ISNUMBER(B141),LEN(B141)=8),IF(MOD(B141,10000)=0,"UNSPSC a nivel de segmento o familia; ",""),"")&amp;IF(NOT(ISNUMBER(E141)),"Duración vacía o en texto; ","")&amp;IF(NOT(ISNUMBER(G141)),"Valor vacío o en texto; ","")&amp;IF(ISNUMBER(M141),IF(M141&lt;1000000,"Valor inferior a $1.000.000: verificar; ",""),"Valor no interpretable; ")&amp;IF(N141="[PENDIENTE DE VERIFICAR]","Modalidad no identificable; ","")&amp;IF(OR(ISERROR(SEARCH("@itc.edu.co",J141)),SUMPRODUCT(--ISNUMBER(SEARCH({"á","é","í","ó","ú","ñ"},J141)))&gt;0),"Correo vacío o no institucional válido; ","")&amp;IF(LEN(TRIM(D141))=0,"Sin objeto contractual; ","")&amp;IF(AND(ISNUMBER(M141),N141="Mínima cuantía"),IF(M141&gt;39850000,"Mínima cuantía con valor superior al tope citado en el instructivo 2026 ($39.850.000): verificar modalidad; ",""),"")&amp;IF(AND(ISNUMBER(M141),OR(ISNUMBER(SEARCH("prestación de servicios",D141)),ISNUMBER(SEARCH("prestar servicios",D141)),ISNUMBER(SEARCH("prestar los servicios",D141)))),IF(M141&gt;=500000000,"Prestación de servicios por $500 millones o más: posible error de digitación; ",""),""))</f>
        <v xml:space="preserve">Valor vacío o en texto; </v>
      </c>
    </row>
    <row r="142" spans="1:15" ht="34.200000000000003" x14ac:dyDescent="0.3">
      <c r="A142" s="15" t="s">
        <v>709</v>
      </c>
      <c r="B142" s="15">
        <v>85121608</v>
      </c>
      <c r="C142" s="15" t="s">
        <v>1152</v>
      </c>
      <c r="D142" s="15" t="s">
        <v>1172</v>
      </c>
      <c r="E142" s="15">
        <v>4</v>
      </c>
      <c r="F142" s="15" t="s">
        <v>1110</v>
      </c>
      <c r="G142" s="29" t="s">
        <v>1173</v>
      </c>
      <c r="H142" s="15" t="s">
        <v>1134</v>
      </c>
      <c r="I142" s="15"/>
      <c r="J142" s="15" t="s">
        <v>1139</v>
      </c>
      <c r="K142" s="15"/>
      <c r="L142" s="30" t="s">
        <v>1140</v>
      </c>
      <c r="M142" s="31">
        <v>100000000</v>
      </c>
      <c r="N142" s="30" t="s">
        <v>1111</v>
      </c>
      <c r="O142" s="30" t="str">
        <f>IF(LEN(IF(OR(NOT(ISNUMBER(B142)),LEN(B142)&lt;&gt;8),"UNSPSC vacío, en texto, con varios códigos o sin 8 dígitos; ","")&amp;IF(AND(ISNUMBER(B142),LEN(B142)=8),IF(MOD(B142,10000)=0,"UNSPSC a nivel de segmento o familia; ",""),"")&amp;IF(NOT(ISNUMBER(E142)),"Duración vacía o en texto; ","")&amp;IF(NOT(ISNUMBER(G142)),"Valor vacío o en texto; ","")&amp;IF(ISNUMBER(M142),IF(M142&lt;1000000,"Valor inferior a $1.000.000: verificar; ",""),"Valor no interpretable; ")&amp;IF(N142="[PENDIENTE DE VERIFICAR]","Modalidad no identificable; ","")&amp;IF(OR(ISERROR(SEARCH("@itc.edu.co",J142)),SUMPRODUCT(--ISNUMBER(SEARCH({"á","é","í","ó","ú","ñ"},J142)))&gt;0),"Correo vacío o no institucional válido; ","")&amp;IF(LEN(TRIM(D142))=0,"Sin objeto contractual; ","")&amp;IF(AND(ISNUMBER(M142),N142="Mínima cuantía"),IF(M142&gt;39850000,"Mínima cuantía con valor superior al tope citado en el instructivo 2026 ($39.850.000): verificar modalidad; ",""),"")&amp;IF(AND(ISNUMBER(M142),OR(ISNUMBER(SEARCH("prestación de servicios",D142)),ISNUMBER(SEARCH("prestar servicios",D142)),ISNUMBER(SEARCH("prestar los servicios",D142)))),IF(M142&gt;=500000000,"Prestación de servicios por $500 millones o más: posible error de digitación; ",""),""))=0,"Sin observaciones",IF(OR(NOT(ISNUMBER(B142)),LEN(B142)&lt;&gt;8),"UNSPSC vacío, en texto, con varios códigos o sin 8 dígitos; ","")&amp;IF(AND(ISNUMBER(B142),LEN(B142)=8),IF(MOD(B142,10000)=0,"UNSPSC a nivel de segmento o familia; ",""),"")&amp;IF(NOT(ISNUMBER(E142)),"Duración vacía o en texto; ","")&amp;IF(NOT(ISNUMBER(G142)),"Valor vacío o en texto; ","")&amp;IF(ISNUMBER(M142),IF(M142&lt;1000000,"Valor inferior a $1.000.000: verificar; ",""),"Valor no interpretable; ")&amp;IF(N142="[PENDIENTE DE VERIFICAR]","Modalidad no identificable; ","")&amp;IF(OR(ISERROR(SEARCH("@itc.edu.co",J142)),SUMPRODUCT(--ISNUMBER(SEARCH({"á","é","í","ó","ú","ñ"},J142)))&gt;0),"Correo vacío o no institucional válido; ","")&amp;IF(LEN(TRIM(D142))=0,"Sin objeto contractual; ","")&amp;IF(AND(ISNUMBER(M142),N142="Mínima cuantía"),IF(M142&gt;39850000,"Mínima cuantía con valor superior al tope citado en el instructivo 2026 ($39.850.000): verificar modalidad; ",""),"")&amp;IF(AND(ISNUMBER(M142),OR(ISNUMBER(SEARCH("prestación de servicios",D142)),ISNUMBER(SEARCH("prestar servicios",D142)),ISNUMBER(SEARCH("prestar los servicios",D142)))),IF(M142&gt;=500000000,"Prestación de servicios por $500 millones o más: posible error de digitación; ",""),""))</f>
        <v xml:space="preserve">Valor vacío o en texto; </v>
      </c>
    </row>
    <row r="143" spans="1:15" ht="57" x14ac:dyDescent="0.3">
      <c r="A143" s="15" t="s">
        <v>1174</v>
      </c>
      <c r="B143" s="15">
        <v>14111509</v>
      </c>
      <c r="C143" s="15" t="s">
        <v>1152</v>
      </c>
      <c r="D143" s="15" t="s">
        <v>1175</v>
      </c>
      <c r="E143" s="15">
        <v>6</v>
      </c>
      <c r="F143" s="15" t="s">
        <v>1110</v>
      </c>
      <c r="G143" s="29">
        <v>3000000</v>
      </c>
      <c r="H143" s="15" t="s">
        <v>1134</v>
      </c>
      <c r="I143" s="15"/>
      <c r="J143" s="15" t="s">
        <v>1139</v>
      </c>
      <c r="K143" s="15"/>
      <c r="L143" s="30" t="s">
        <v>1140</v>
      </c>
      <c r="M143" s="31">
        <v>3000000</v>
      </c>
      <c r="N143" s="30" t="s">
        <v>1111</v>
      </c>
      <c r="O143" s="30" t="str">
        <f>IF(LEN(IF(OR(NOT(ISNUMBER(B143)),LEN(B143)&lt;&gt;8),"UNSPSC vacío, en texto, con varios códigos o sin 8 dígitos; ","")&amp;IF(AND(ISNUMBER(B143),LEN(B143)=8),IF(MOD(B143,10000)=0,"UNSPSC a nivel de segmento o familia; ",""),"")&amp;IF(NOT(ISNUMBER(E143)),"Duración vacía o en texto; ","")&amp;IF(NOT(ISNUMBER(G143)),"Valor vacío o en texto; ","")&amp;IF(ISNUMBER(M143),IF(M143&lt;1000000,"Valor inferior a $1.000.000: verificar; ",""),"Valor no interpretable; ")&amp;IF(N143="[PENDIENTE DE VERIFICAR]","Modalidad no identificable; ","")&amp;IF(OR(ISERROR(SEARCH("@itc.edu.co",J143)),SUMPRODUCT(--ISNUMBER(SEARCH({"á","é","í","ó","ú","ñ"},J143)))&gt;0),"Correo vacío o no institucional válido; ","")&amp;IF(LEN(TRIM(D143))=0,"Sin objeto contractual; ","")&amp;IF(AND(ISNUMBER(M143),N143="Mínima cuantía"),IF(M143&gt;39850000,"Mínima cuantía con valor superior al tope citado en el instructivo 2026 ($39.850.000): verificar modalidad; ",""),"")&amp;IF(AND(ISNUMBER(M143),OR(ISNUMBER(SEARCH("prestación de servicios",D143)),ISNUMBER(SEARCH("prestar servicios",D143)),ISNUMBER(SEARCH("prestar los servicios",D143)))),IF(M143&gt;=500000000,"Prestación de servicios por $500 millones o más: posible error de digitación; ",""),""))=0,"Sin observaciones",IF(OR(NOT(ISNUMBER(B143)),LEN(B143)&lt;&gt;8),"UNSPSC vacío, en texto, con varios códigos o sin 8 dígitos; ","")&amp;IF(AND(ISNUMBER(B143),LEN(B143)=8),IF(MOD(B143,10000)=0,"UNSPSC a nivel de segmento o familia; ",""),"")&amp;IF(NOT(ISNUMBER(E143)),"Duración vacía o en texto; ","")&amp;IF(NOT(ISNUMBER(G143)),"Valor vacío o en texto; ","")&amp;IF(ISNUMBER(M143),IF(M143&lt;1000000,"Valor inferior a $1.000.000: verificar; ",""),"Valor no interpretable; ")&amp;IF(N143="[PENDIENTE DE VERIFICAR]","Modalidad no identificable; ","")&amp;IF(OR(ISERROR(SEARCH("@itc.edu.co",J143)),SUMPRODUCT(--ISNUMBER(SEARCH({"á","é","í","ó","ú","ñ"},J143)))&gt;0),"Correo vacío o no institucional válido; ","")&amp;IF(LEN(TRIM(D143))=0,"Sin objeto contractual; ","")&amp;IF(AND(ISNUMBER(M143),N143="Mínima cuantía"),IF(M143&gt;39850000,"Mínima cuantía con valor superior al tope citado en el instructivo 2026 ($39.850.000): verificar modalidad; ",""),"")&amp;IF(AND(ISNUMBER(M143),OR(ISNUMBER(SEARCH("prestación de servicios",D143)),ISNUMBER(SEARCH("prestar servicios",D143)),ISNUMBER(SEARCH("prestar los servicios",D143)))),IF(M143&gt;=500000000,"Prestación de servicios por $500 millones o más: posible error de digitación; ",""),""))</f>
        <v>Sin observaciones</v>
      </c>
    </row>
    <row r="144" spans="1:15" ht="45.6" x14ac:dyDescent="0.3">
      <c r="A144" s="15" t="s">
        <v>426</v>
      </c>
      <c r="B144" s="15">
        <v>43231512</v>
      </c>
      <c r="C144" s="15" t="s">
        <v>1152</v>
      </c>
      <c r="D144" s="15" t="s">
        <v>1176</v>
      </c>
      <c r="E144" s="15">
        <v>4</v>
      </c>
      <c r="F144" s="15" t="s">
        <v>1110</v>
      </c>
      <c r="G144" s="29" t="s">
        <v>1177</v>
      </c>
      <c r="H144" s="15" t="s">
        <v>1134</v>
      </c>
      <c r="I144" s="15"/>
      <c r="J144" s="15" t="s">
        <v>1139</v>
      </c>
      <c r="K144" s="15"/>
      <c r="L144" s="30" t="s">
        <v>1140</v>
      </c>
      <c r="M144" s="31">
        <v>41800000</v>
      </c>
      <c r="N144" s="30" t="s">
        <v>1111</v>
      </c>
      <c r="O144" s="30" t="str">
        <f>IF(LEN(IF(OR(NOT(ISNUMBER(B144)),LEN(B144)&lt;&gt;8),"UNSPSC vacío, en texto, con varios códigos o sin 8 dígitos; ","")&amp;IF(AND(ISNUMBER(B144),LEN(B144)=8),IF(MOD(B144,10000)=0,"UNSPSC a nivel de segmento o familia; ",""),"")&amp;IF(NOT(ISNUMBER(E144)),"Duración vacía o en texto; ","")&amp;IF(NOT(ISNUMBER(G144)),"Valor vacío o en texto; ","")&amp;IF(ISNUMBER(M144),IF(M144&lt;1000000,"Valor inferior a $1.000.000: verificar; ",""),"Valor no interpretable; ")&amp;IF(N144="[PENDIENTE DE VERIFICAR]","Modalidad no identificable; ","")&amp;IF(OR(ISERROR(SEARCH("@itc.edu.co",J144)),SUMPRODUCT(--ISNUMBER(SEARCH({"á","é","í","ó","ú","ñ"},J144)))&gt;0),"Correo vacío o no institucional válido; ","")&amp;IF(LEN(TRIM(D144))=0,"Sin objeto contractual; ","")&amp;IF(AND(ISNUMBER(M144),N144="Mínima cuantía"),IF(M144&gt;39850000,"Mínima cuantía con valor superior al tope citado en el instructivo 2026 ($39.850.000): verificar modalidad; ",""),"")&amp;IF(AND(ISNUMBER(M144),OR(ISNUMBER(SEARCH("prestación de servicios",D144)),ISNUMBER(SEARCH("prestar servicios",D144)),ISNUMBER(SEARCH("prestar los servicios",D144)))),IF(M144&gt;=500000000,"Prestación de servicios por $500 millones o más: posible error de digitación; ",""),""))=0,"Sin observaciones",IF(OR(NOT(ISNUMBER(B144)),LEN(B144)&lt;&gt;8),"UNSPSC vacío, en texto, con varios códigos o sin 8 dígitos; ","")&amp;IF(AND(ISNUMBER(B144),LEN(B144)=8),IF(MOD(B144,10000)=0,"UNSPSC a nivel de segmento o familia; ",""),"")&amp;IF(NOT(ISNUMBER(E144)),"Duración vacía o en texto; ","")&amp;IF(NOT(ISNUMBER(G144)),"Valor vacío o en texto; ","")&amp;IF(ISNUMBER(M144),IF(M144&lt;1000000,"Valor inferior a $1.000.000: verificar; ",""),"Valor no interpretable; ")&amp;IF(N144="[PENDIENTE DE VERIFICAR]","Modalidad no identificable; ","")&amp;IF(OR(ISERROR(SEARCH("@itc.edu.co",J144)),SUMPRODUCT(--ISNUMBER(SEARCH({"á","é","í","ó","ú","ñ"},J144)))&gt;0),"Correo vacío o no institucional válido; ","")&amp;IF(LEN(TRIM(D144))=0,"Sin objeto contractual; ","")&amp;IF(AND(ISNUMBER(M144),N144="Mínima cuantía"),IF(M144&gt;39850000,"Mínima cuantía con valor superior al tope citado en el instructivo 2026 ($39.850.000): verificar modalidad; ",""),"")&amp;IF(AND(ISNUMBER(M144),OR(ISNUMBER(SEARCH("prestación de servicios",D144)),ISNUMBER(SEARCH("prestar servicios",D144)),ISNUMBER(SEARCH("prestar los servicios",D144)))),IF(M144&gt;=500000000,"Prestación de servicios por $500 millones o más: posible error de digitación; ",""),""))</f>
        <v xml:space="preserve">Valor vacío o en texto; </v>
      </c>
    </row>
    <row r="145" spans="1:15" ht="22.8" x14ac:dyDescent="0.3">
      <c r="A145" s="15" t="s">
        <v>363</v>
      </c>
      <c r="B145" s="15">
        <v>43211503</v>
      </c>
      <c r="C145" s="15" t="s">
        <v>1152</v>
      </c>
      <c r="D145" s="15" t="s">
        <v>1178</v>
      </c>
      <c r="E145" s="15">
        <v>4</v>
      </c>
      <c r="F145" s="15" t="s">
        <v>1110</v>
      </c>
      <c r="G145" s="29">
        <v>20000000</v>
      </c>
      <c r="H145" s="15" t="s">
        <v>1134</v>
      </c>
      <c r="I145" s="15"/>
      <c r="J145" s="15" t="s">
        <v>1139</v>
      </c>
      <c r="K145" s="15"/>
      <c r="L145" s="30" t="s">
        <v>1140</v>
      </c>
      <c r="M145" s="31">
        <v>20000000</v>
      </c>
      <c r="N145" s="30" t="s">
        <v>1111</v>
      </c>
      <c r="O145" s="30" t="str">
        <f>IF(LEN(IF(OR(NOT(ISNUMBER(B145)),LEN(B145)&lt;&gt;8),"UNSPSC vacío, en texto, con varios códigos o sin 8 dígitos; ","")&amp;IF(AND(ISNUMBER(B145),LEN(B145)=8),IF(MOD(B145,10000)=0,"UNSPSC a nivel de segmento o familia; ",""),"")&amp;IF(NOT(ISNUMBER(E145)),"Duración vacía o en texto; ","")&amp;IF(NOT(ISNUMBER(G145)),"Valor vacío o en texto; ","")&amp;IF(ISNUMBER(M145),IF(M145&lt;1000000,"Valor inferior a $1.000.000: verificar; ",""),"Valor no interpretable; ")&amp;IF(N145="[PENDIENTE DE VERIFICAR]","Modalidad no identificable; ","")&amp;IF(OR(ISERROR(SEARCH("@itc.edu.co",J145)),SUMPRODUCT(--ISNUMBER(SEARCH({"á","é","í","ó","ú","ñ"},J145)))&gt;0),"Correo vacío o no institucional válido; ","")&amp;IF(LEN(TRIM(D145))=0,"Sin objeto contractual; ","")&amp;IF(AND(ISNUMBER(M145),N145="Mínima cuantía"),IF(M145&gt;39850000,"Mínima cuantía con valor superior al tope citado en el instructivo 2026 ($39.850.000): verificar modalidad; ",""),"")&amp;IF(AND(ISNUMBER(M145),OR(ISNUMBER(SEARCH("prestación de servicios",D145)),ISNUMBER(SEARCH("prestar servicios",D145)),ISNUMBER(SEARCH("prestar los servicios",D145)))),IF(M145&gt;=500000000,"Prestación de servicios por $500 millones o más: posible error de digitación; ",""),""))=0,"Sin observaciones",IF(OR(NOT(ISNUMBER(B145)),LEN(B145)&lt;&gt;8),"UNSPSC vacío, en texto, con varios códigos o sin 8 dígitos; ","")&amp;IF(AND(ISNUMBER(B145),LEN(B145)=8),IF(MOD(B145,10000)=0,"UNSPSC a nivel de segmento o familia; ",""),"")&amp;IF(NOT(ISNUMBER(E145)),"Duración vacía o en texto; ","")&amp;IF(NOT(ISNUMBER(G145)),"Valor vacío o en texto; ","")&amp;IF(ISNUMBER(M145),IF(M145&lt;1000000,"Valor inferior a $1.000.000: verificar; ",""),"Valor no interpretable; ")&amp;IF(N145="[PENDIENTE DE VERIFICAR]","Modalidad no identificable; ","")&amp;IF(OR(ISERROR(SEARCH("@itc.edu.co",J145)),SUMPRODUCT(--ISNUMBER(SEARCH({"á","é","í","ó","ú","ñ"},J145)))&gt;0),"Correo vacío o no institucional válido; ","")&amp;IF(LEN(TRIM(D145))=0,"Sin objeto contractual; ","")&amp;IF(AND(ISNUMBER(M145),N145="Mínima cuantía"),IF(M145&gt;39850000,"Mínima cuantía con valor superior al tope citado en el instructivo 2026 ($39.850.000): verificar modalidad; ",""),"")&amp;IF(AND(ISNUMBER(M145),OR(ISNUMBER(SEARCH("prestación de servicios",D145)),ISNUMBER(SEARCH("prestar servicios",D145)),ISNUMBER(SEARCH("prestar los servicios",D145)))),IF(M145&gt;=500000000,"Prestación de servicios por $500 millones o más: posible error de digitación; ",""),""))</f>
        <v>Sin observaciones</v>
      </c>
    </row>
    <row r="146" spans="1:15" ht="22.8" x14ac:dyDescent="0.3">
      <c r="A146" s="15" t="s">
        <v>620</v>
      </c>
      <c r="B146" s="15">
        <v>52152000</v>
      </c>
      <c r="C146" s="15" t="s">
        <v>1152</v>
      </c>
      <c r="D146" s="15" t="s">
        <v>1179</v>
      </c>
      <c r="E146" s="15">
        <v>6</v>
      </c>
      <c r="F146" s="15" t="s">
        <v>1110</v>
      </c>
      <c r="G146" s="29" t="s">
        <v>1180</v>
      </c>
      <c r="H146" s="15" t="s">
        <v>1134</v>
      </c>
      <c r="I146" s="15"/>
      <c r="J146" s="15" t="s">
        <v>1139</v>
      </c>
      <c r="K146" s="15"/>
      <c r="L146" s="30" t="s">
        <v>1140</v>
      </c>
      <c r="M146" s="31">
        <v>20000000</v>
      </c>
      <c r="N146" s="30" t="s">
        <v>1111</v>
      </c>
      <c r="O146" s="30" t="str">
        <f>IF(LEN(IF(OR(NOT(ISNUMBER(B146)),LEN(B146)&lt;&gt;8),"UNSPSC vacío, en texto, con varios códigos o sin 8 dígitos; ","")&amp;IF(AND(ISNUMBER(B146),LEN(B146)=8),IF(MOD(B146,10000)=0,"UNSPSC a nivel de segmento o familia; ",""),"")&amp;IF(NOT(ISNUMBER(E146)),"Duración vacía o en texto; ","")&amp;IF(NOT(ISNUMBER(G146)),"Valor vacío o en texto; ","")&amp;IF(ISNUMBER(M146),IF(M146&lt;1000000,"Valor inferior a $1.000.000: verificar; ",""),"Valor no interpretable; ")&amp;IF(N146="[PENDIENTE DE VERIFICAR]","Modalidad no identificable; ","")&amp;IF(OR(ISERROR(SEARCH("@itc.edu.co",J146)),SUMPRODUCT(--ISNUMBER(SEARCH({"á","é","í","ó","ú","ñ"},J146)))&gt;0),"Correo vacío o no institucional válido; ","")&amp;IF(LEN(TRIM(D146))=0,"Sin objeto contractual; ","")&amp;IF(AND(ISNUMBER(M146),N146="Mínima cuantía"),IF(M146&gt;39850000,"Mínima cuantía con valor superior al tope citado en el instructivo 2026 ($39.850.000): verificar modalidad; ",""),"")&amp;IF(AND(ISNUMBER(M146),OR(ISNUMBER(SEARCH("prestación de servicios",D146)),ISNUMBER(SEARCH("prestar servicios",D146)),ISNUMBER(SEARCH("prestar los servicios",D146)))),IF(M146&gt;=500000000,"Prestación de servicios por $500 millones o más: posible error de digitación; ",""),""))=0,"Sin observaciones",IF(OR(NOT(ISNUMBER(B146)),LEN(B146)&lt;&gt;8),"UNSPSC vacío, en texto, con varios códigos o sin 8 dígitos; ","")&amp;IF(AND(ISNUMBER(B146),LEN(B146)=8),IF(MOD(B146,10000)=0,"UNSPSC a nivel de segmento o familia; ",""),"")&amp;IF(NOT(ISNUMBER(E146)),"Duración vacía o en texto; ","")&amp;IF(NOT(ISNUMBER(G146)),"Valor vacío o en texto; ","")&amp;IF(ISNUMBER(M146),IF(M146&lt;1000000,"Valor inferior a $1.000.000: verificar; ",""),"Valor no interpretable; ")&amp;IF(N146="[PENDIENTE DE VERIFICAR]","Modalidad no identificable; ","")&amp;IF(OR(ISERROR(SEARCH("@itc.edu.co",J146)),SUMPRODUCT(--ISNUMBER(SEARCH({"á","é","í","ó","ú","ñ"},J146)))&gt;0),"Correo vacío o no institucional válido; ","")&amp;IF(LEN(TRIM(D146))=0,"Sin objeto contractual; ","")&amp;IF(AND(ISNUMBER(M146),N146="Mínima cuantía"),IF(M146&gt;39850000,"Mínima cuantía con valor superior al tope citado en el instructivo 2026 ($39.850.000): verificar modalidad; ",""),"")&amp;IF(AND(ISNUMBER(M146),OR(ISNUMBER(SEARCH("prestación de servicios",D146)),ISNUMBER(SEARCH("prestar servicios",D146)),ISNUMBER(SEARCH("prestar los servicios",D146)))),IF(M146&gt;=500000000,"Prestación de servicios por $500 millones o más: posible error de digitación; ",""),""))</f>
        <v xml:space="preserve">Valor vacío o en texto; </v>
      </c>
    </row>
    <row r="147" spans="1:15" ht="22.8" x14ac:dyDescent="0.3">
      <c r="A147" s="15" t="s">
        <v>671</v>
      </c>
      <c r="B147" s="15">
        <v>78101500</v>
      </c>
      <c r="C147" s="15" t="s">
        <v>1152</v>
      </c>
      <c r="D147" s="15" t="s">
        <v>1181</v>
      </c>
      <c r="E147" s="15">
        <v>10</v>
      </c>
      <c r="F147" s="15" t="s">
        <v>1110</v>
      </c>
      <c r="G147" s="29">
        <v>31000000</v>
      </c>
      <c r="H147" s="15" t="s">
        <v>1134</v>
      </c>
      <c r="I147" s="15"/>
      <c r="J147" s="15" t="s">
        <v>1139</v>
      </c>
      <c r="K147" s="15"/>
      <c r="L147" s="30" t="s">
        <v>1140</v>
      </c>
      <c r="M147" s="31">
        <v>31000000</v>
      </c>
      <c r="N147" s="30" t="s">
        <v>1111</v>
      </c>
      <c r="O147" s="30" t="str">
        <f>IF(LEN(IF(OR(NOT(ISNUMBER(B147)),LEN(B147)&lt;&gt;8),"UNSPSC vacío, en texto, con varios códigos o sin 8 dígitos; ","")&amp;IF(AND(ISNUMBER(B147),LEN(B147)=8),IF(MOD(B147,10000)=0,"UNSPSC a nivel de segmento o familia; ",""),"")&amp;IF(NOT(ISNUMBER(E147)),"Duración vacía o en texto; ","")&amp;IF(NOT(ISNUMBER(G147)),"Valor vacío o en texto; ","")&amp;IF(ISNUMBER(M147),IF(M147&lt;1000000,"Valor inferior a $1.000.000: verificar; ",""),"Valor no interpretable; ")&amp;IF(N147="[PENDIENTE DE VERIFICAR]","Modalidad no identificable; ","")&amp;IF(OR(ISERROR(SEARCH("@itc.edu.co",J147)),SUMPRODUCT(--ISNUMBER(SEARCH({"á","é","í","ó","ú","ñ"},J147)))&gt;0),"Correo vacío o no institucional válido; ","")&amp;IF(LEN(TRIM(D147))=0,"Sin objeto contractual; ","")&amp;IF(AND(ISNUMBER(M147),N147="Mínima cuantía"),IF(M147&gt;39850000,"Mínima cuantía con valor superior al tope citado en el instructivo 2026 ($39.850.000): verificar modalidad; ",""),"")&amp;IF(AND(ISNUMBER(M147),OR(ISNUMBER(SEARCH("prestación de servicios",D147)),ISNUMBER(SEARCH("prestar servicios",D147)),ISNUMBER(SEARCH("prestar los servicios",D147)))),IF(M147&gt;=500000000,"Prestación de servicios por $500 millones o más: posible error de digitación; ",""),""))=0,"Sin observaciones",IF(OR(NOT(ISNUMBER(B147)),LEN(B147)&lt;&gt;8),"UNSPSC vacío, en texto, con varios códigos o sin 8 dígitos; ","")&amp;IF(AND(ISNUMBER(B147),LEN(B147)=8),IF(MOD(B147,10000)=0,"UNSPSC a nivel de segmento o familia; ",""),"")&amp;IF(NOT(ISNUMBER(E147)),"Duración vacía o en texto; ","")&amp;IF(NOT(ISNUMBER(G147)),"Valor vacío o en texto; ","")&amp;IF(ISNUMBER(M147),IF(M147&lt;1000000,"Valor inferior a $1.000.000: verificar; ",""),"Valor no interpretable; ")&amp;IF(N147="[PENDIENTE DE VERIFICAR]","Modalidad no identificable; ","")&amp;IF(OR(ISERROR(SEARCH("@itc.edu.co",J147)),SUMPRODUCT(--ISNUMBER(SEARCH({"á","é","í","ó","ú","ñ"},J147)))&gt;0),"Correo vacío o no institucional válido; ","")&amp;IF(LEN(TRIM(D147))=0,"Sin objeto contractual; ","")&amp;IF(AND(ISNUMBER(M147),N147="Mínima cuantía"),IF(M147&gt;39850000,"Mínima cuantía con valor superior al tope citado en el instructivo 2026 ($39.850.000): verificar modalidad; ",""),"")&amp;IF(AND(ISNUMBER(M147),OR(ISNUMBER(SEARCH("prestación de servicios",D147)),ISNUMBER(SEARCH("prestar servicios",D147)),ISNUMBER(SEARCH("prestar los servicios",D147)))),IF(M147&gt;=500000000,"Prestación de servicios por $500 millones o más: posible error de digitación; ",""),""))</f>
        <v>Sin observaciones</v>
      </c>
    </row>
    <row r="148" spans="1:15" ht="45.6" x14ac:dyDescent="0.3">
      <c r="A148" s="15" t="s">
        <v>448</v>
      </c>
      <c r="B148" s="15">
        <v>80101507</v>
      </c>
      <c r="C148" s="15" t="s">
        <v>1152</v>
      </c>
      <c r="D148" s="15" t="s">
        <v>1182</v>
      </c>
      <c r="E148" s="15">
        <v>5</v>
      </c>
      <c r="F148" s="15" t="s">
        <v>1110</v>
      </c>
      <c r="G148" s="29">
        <v>250000000</v>
      </c>
      <c r="H148" s="15" t="s">
        <v>1134</v>
      </c>
      <c r="I148" s="15"/>
      <c r="J148" s="15" t="s">
        <v>1139</v>
      </c>
      <c r="K148" s="15"/>
      <c r="L148" s="30" t="s">
        <v>1140</v>
      </c>
      <c r="M148" s="31">
        <v>250000000</v>
      </c>
      <c r="N148" s="30" t="s">
        <v>1111</v>
      </c>
      <c r="O148" s="30" t="str">
        <f>IF(LEN(IF(OR(NOT(ISNUMBER(B148)),LEN(B148)&lt;&gt;8),"UNSPSC vacío, en texto, con varios códigos o sin 8 dígitos; ","")&amp;IF(AND(ISNUMBER(B148),LEN(B148)=8),IF(MOD(B148,10000)=0,"UNSPSC a nivel de segmento o familia; ",""),"")&amp;IF(NOT(ISNUMBER(E148)),"Duración vacía o en texto; ","")&amp;IF(NOT(ISNUMBER(G148)),"Valor vacío o en texto; ","")&amp;IF(ISNUMBER(M148),IF(M148&lt;1000000,"Valor inferior a $1.000.000: verificar; ",""),"Valor no interpretable; ")&amp;IF(N148="[PENDIENTE DE VERIFICAR]","Modalidad no identificable; ","")&amp;IF(OR(ISERROR(SEARCH("@itc.edu.co",J148)),SUMPRODUCT(--ISNUMBER(SEARCH({"á","é","í","ó","ú","ñ"},J148)))&gt;0),"Correo vacío o no institucional válido; ","")&amp;IF(LEN(TRIM(D148))=0,"Sin objeto contractual; ","")&amp;IF(AND(ISNUMBER(M148),N148="Mínima cuantía"),IF(M148&gt;39850000,"Mínima cuantía con valor superior al tope citado en el instructivo 2026 ($39.850.000): verificar modalidad; ",""),"")&amp;IF(AND(ISNUMBER(M148),OR(ISNUMBER(SEARCH("prestación de servicios",D148)),ISNUMBER(SEARCH("prestar servicios",D148)),ISNUMBER(SEARCH("prestar los servicios",D148)))),IF(M148&gt;=500000000,"Prestación de servicios por $500 millones o más: posible error de digitación; ",""),""))=0,"Sin observaciones",IF(OR(NOT(ISNUMBER(B148)),LEN(B148)&lt;&gt;8),"UNSPSC vacío, en texto, con varios códigos o sin 8 dígitos; ","")&amp;IF(AND(ISNUMBER(B148),LEN(B148)=8),IF(MOD(B148,10000)=0,"UNSPSC a nivel de segmento o familia; ",""),"")&amp;IF(NOT(ISNUMBER(E148)),"Duración vacía o en texto; ","")&amp;IF(NOT(ISNUMBER(G148)),"Valor vacío o en texto; ","")&amp;IF(ISNUMBER(M148),IF(M148&lt;1000000,"Valor inferior a $1.000.000: verificar; ",""),"Valor no interpretable; ")&amp;IF(N148="[PENDIENTE DE VERIFICAR]","Modalidad no identificable; ","")&amp;IF(OR(ISERROR(SEARCH("@itc.edu.co",J148)),SUMPRODUCT(--ISNUMBER(SEARCH({"á","é","í","ó","ú","ñ"},J148)))&gt;0),"Correo vacío o no institucional válido; ","")&amp;IF(LEN(TRIM(D148))=0,"Sin objeto contractual; ","")&amp;IF(AND(ISNUMBER(M148),N148="Mínima cuantía"),IF(M148&gt;39850000,"Mínima cuantía con valor superior al tope citado en el instructivo 2026 ($39.850.000): verificar modalidad; ",""),"")&amp;IF(AND(ISNUMBER(M148),OR(ISNUMBER(SEARCH("prestación de servicios",D148)),ISNUMBER(SEARCH("prestar servicios",D148)),ISNUMBER(SEARCH("prestar los servicios",D148)))),IF(M148&gt;=500000000,"Prestación de servicios por $500 millones o más: posible error de digitación; ",""),""))</f>
        <v>Sin observaciones</v>
      </c>
    </row>
    <row r="149" spans="1:15" ht="22.8" x14ac:dyDescent="0.3">
      <c r="A149" s="15" t="s">
        <v>629</v>
      </c>
      <c r="B149" s="15">
        <v>56101500</v>
      </c>
      <c r="C149" s="15" t="s">
        <v>1152</v>
      </c>
      <c r="D149" s="15" t="s">
        <v>1183</v>
      </c>
      <c r="E149" s="15">
        <v>6</v>
      </c>
      <c r="F149" s="15" t="s">
        <v>1110</v>
      </c>
      <c r="G149" s="29">
        <v>6000000</v>
      </c>
      <c r="H149" s="15" t="s">
        <v>1134</v>
      </c>
      <c r="I149" s="15"/>
      <c r="J149" s="15" t="s">
        <v>1139</v>
      </c>
      <c r="K149" s="15"/>
      <c r="L149" s="30" t="s">
        <v>1140</v>
      </c>
      <c r="M149" s="31">
        <v>6000000</v>
      </c>
      <c r="N149" s="30" t="s">
        <v>1111</v>
      </c>
      <c r="O149" s="30" t="str">
        <f>IF(LEN(IF(OR(NOT(ISNUMBER(B149)),LEN(B149)&lt;&gt;8),"UNSPSC vacío, en texto, con varios códigos o sin 8 dígitos; ","")&amp;IF(AND(ISNUMBER(B149),LEN(B149)=8),IF(MOD(B149,10000)=0,"UNSPSC a nivel de segmento o familia; ",""),"")&amp;IF(NOT(ISNUMBER(E149)),"Duración vacía o en texto; ","")&amp;IF(NOT(ISNUMBER(G149)),"Valor vacío o en texto; ","")&amp;IF(ISNUMBER(M149),IF(M149&lt;1000000,"Valor inferior a $1.000.000: verificar; ",""),"Valor no interpretable; ")&amp;IF(N149="[PENDIENTE DE VERIFICAR]","Modalidad no identificable; ","")&amp;IF(OR(ISERROR(SEARCH("@itc.edu.co",J149)),SUMPRODUCT(--ISNUMBER(SEARCH({"á","é","í","ó","ú","ñ"},J149)))&gt;0),"Correo vacío o no institucional válido; ","")&amp;IF(LEN(TRIM(D149))=0,"Sin objeto contractual; ","")&amp;IF(AND(ISNUMBER(M149),N149="Mínima cuantía"),IF(M149&gt;39850000,"Mínima cuantía con valor superior al tope citado en el instructivo 2026 ($39.850.000): verificar modalidad; ",""),"")&amp;IF(AND(ISNUMBER(M149),OR(ISNUMBER(SEARCH("prestación de servicios",D149)),ISNUMBER(SEARCH("prestar servicios",D149)),ISNUMBER(SEARCH("prestar los servicios",D149)))),IF(M149&gt;=500000000,"Prestación de servicios por $500 millones o más: posible error de digitación; ",""),""))=0,"Sin observaciones",IF(OR(NOT(ISNUMBER(B149)),LEN(B149)&lt;&gt;8),"UNSPSC vacío, en texto, con varios códigos o sin 8 dígitos; ","")&amp;IF(AND(ISNUMBER(B149),LEN(B149)=8),IF(MOD(B149,10000)=0,"UNSPSC a nivel de segmento o familia; ",""),"")&amp;IF(NOT(ISNUMBER(E149)),"Duración vacía o en texto; ","")&amp;IF(NOT(ISNUMBER(G149)),"Valor vacío o en texto; ","")&amp;IF(ISNUMBER(M149),IF(M149&lt;1000000,"Valor inferior a $1.000.000: verificar; ",""),"Valor no interpretable; ")&amp;IF(N149="[PENDIENTE DE VERIFICAR]","Modalidad no identificable; ","")&amp;IF(OR(ISERROR(SEARCH("@itc.edu.co",J149)),SUMPRODUCT(--ISNUMBER(SEARCH({"á","é","í","ó","ú","ñ"},J149)))&gt;0),"Correo vacío o no institucional válido; ","")&amp;IF(LEN(TRIM(D149))=0,"Sin objeto contractual; ","")&amp;IF(AND(ISNUMBER(M149),N149="Mínima cuantía"),IF(M149&gt;39850000,"Mínima cuantía con valor superior al tope citado en el instructivo 2026 ($39.850.000): verificar modalidad; ",""),"")&amp;IF(AND(ISNUMBER(M149),OR(ISNUMBER(SEARCH("prestación de servicios",D149)),ISNUMBER(SEARCH("prestar servicios",D149)),ISNUMBER(SEARCH("prestar los servicios",D149)))),IF(M149&gt;=500000000,"Prestación de servicios por $500 millones o más: posible error de digitación; ",""),""))</f>
        <v>Sin observaciones</v>
      </c>
    </row>
    <row r="150" spans="1:15" ht="57" x14ac:dyDescent="0.3">
      <c r="A150" s="15" t="s">
        <v>616</v>
      </c>
      <c r="B150" s="15">
        <v>49101602</v>
      </c>
      <c r="C150" s="15" t="s">
        <v>1152</v>
      </c>
      <c r="D150" s="15" t="s">
        <v>1184</v>
      </c>
      <c r="E150" s="15">
        <v>6</v>
      </c>
      <c r="F150" s="15" t="s">
        <v>1185</v>
      </c>
      <c r="G150" s="29">
        <v>30000000</v>
      </c>
      <c r="H150" s="15" t="s">
        <v>1134</v>
      </c>
      <c r="I150" s="15"/>
      <c r="J150" s="15" t="s">
        <v>1139</v>
      </c>
      <c r="K150" s="15"/>
      <c r="L150" s="30" t="s">
        <v>1140</v>
      </c>
      <c r="M150" s="31">
        <v>30000000</v>
      </c>
      <c r="N150" s="30" t="s">
        <v>1111</v>
      </c>
      <c r="O150" s="30" t="str">
        <f>IF(LEN(IF(OR(NOT(ISNUMBER(B150)),LEN(B150)&lt;&gt;8),"UNSPSC vacío, en texto, con varios códigos o sin 8 dígitos; ","")&amp;IF(AND(ISNUMBER(B150),LEN(B150)=8),IF(MOD(B150,10000)=0,"UNSPSC a nivel de segmento o familia; ",""),"")&amp;IF(NOT(ISNUMBER(E150)),"Duración vacía o en texto; ","")&amp;IF(NOT(ISNUMBER(G150)),"Valor vacío o en texto; ","")&amp;IF(ISNUMBER(M150),IF(M150&lt;1000000,"Valor inferior a $1.000.000: verificar; ",""),"Valor no interpretable; ")&amp;IF(N150="[PENDIENTE DE VERIFICAR]","Modalidad no identificable; ","")&amp;IF(OR(ISERROR(SEARCH("@itc.edu.co",J150)),SUMPRODUCT(--ISNUMBER(SEARCH({"á","é","í","ó","ú","ñ"},J150)))&gt;0),"Correo vacío o no institucional válido; ","")&amp;IF(LEN(TRIM(D150))=0,"Sin objeto contractual; ","")&amp;IF(AND(ISNUMBER(M150),N150="Mínima cuantía"),IF(M150&gt;39850000,"Mínima cuantía con valor superior al tope citado en el instructivo 2026 ($39.850.000): verificar modalidad; ",""),"")&amp;IF(AND(ISNUMBER(M150),OR(ISNUMBER(SEARCH("prestación de servicios",D150)),ISNUMBER(SEARCH("prestar servicios",D150)),ISNUMBER(SEARCH("prestar los servicios",D150)))),IF(M150&gt;=500000000,"Prestación de servicios por $500 millones o más: posible error de digitación; ",""),""))=0,"Sin observaciones",IF(OR(NOT(ISNUMBER(B150)),LEN(B150)&lt;&gt;8),"UNSPSC vacío, en texto, con varios códigos o sin 8 dígitos; ","")&amp;IF(AND(ISNUMBER(B150),LEN(B150)=8),IF(MOD(B150,10000)=0,"UNSPSC a nivel de segmento o familia; ",""),"")&amp;IF(NOT(ISNUMBER(E150)),"Duración vacía o en texto; ","")&amp;IF(NOT(ISNUMBER(G150)),"Valor vacío o en texto; ","")&amp;IF(ISNUMBER(M150),IF(M150&lt;1000000,"Valor inferior a $1.000.000: verificar; ",""),"Valor no interpretable; ")&amp;IF(N150="[PENDIENTE DE VERIFICAR]","Modalidad no identificable; ","")&amp;IF(OR(ISERROR(SEARCH("@itc.edu.co",J150)),SUMPRODUCT(--ISNUMBER(SEARCH({"á","é","í","ó","ú","ñ"},J150)))&gt;0),"Correo vacío o no institucional válido; ","")&amp;IF(LEN(TRIM(D150))=0,"Sin objeto contractual; ","")&amp;IF(AND(ISNUMBER(M150),N150="Mínima cuantía"),IF(M150&gt;39850000,"Mínima cuantía con valor superior al tope citado en el instructivo 2026 ($39.850.000): verificar modalidad; ",""),"")&amp;IF(AND(ISNUMBER(M150),OR(ISNUMBER(SEARCH("prestación de servicios",D150)),ISNUMBER(SEARCH("prestar servicios",D150)),ISNUMBER(SEARCH("prestar los servicios",D150)))),IF(M150&gt;=500000000,"Prestación de servicios por $500 millones o más: posible error de digitación; ",""),""))</f>
        <v>Sin observaciones</v>
      </c>
    </row>
    <row r="151" spans="1:15" ht="45.6" x14ac:dyDescent="0.3">
      <c r="A151" s="15" t="s">
        <v>657</v>
      </c>
      <c r="B151" s="15">
        <v>72154055</v>
      </c>
      <c r="C151" s="15" t="s">
        <v>433</v>
      </c>
      <c r="D151" s="15" t="s">
        <v>1186</v>
      </c>
      <c r="E151" s="15">
        <v>9</v>
      </c>
      <c r="F151" s="15" t="s">
        <v>1185</v>
      </c>
      <c r="G151" s="29" t="s">
        <v>1187</v>
      </c>
      <c r="H151" s="15" t="s">
        <v>1188</v>
      </c>
      <c r="I151" s="15"/>
      <c r="J151" s="15" t="s">
        <v>813</v>
      </c>
      <c r="K151" s="15">
        <v>130</v>
      </c>
      <c r="L151" s="30" t="s">
        <v>814</v>
      </c>
      <c r="M151" s="31">
        <v>140000000</v>
      </c>
      <c r="N151" s="30" t="s">
        <v>1111</v>
      </c>
      <c r="O151" s="30" t="str">
        <f>IF(LEN(IF(OR(NOT(ISNUMBER(B151)),LEN(B151)&lt;&gt;8),"UNSPSC vacío, en texto, con varios códigos o sin 8 dígitos; ","")&amp;IF(AND(ISNUMBER(B151),LEN(B151)=8),IF(MOD(B151,10000)=0,"UNSPSC a nivel de segmento o familia; ",""),"")&amp;IF(NOT(ISNUMBER(E151)),"Duración vacía o en texto; ","")&amp;IF(NOT(ISNUMBER(G151)),"Valor vacío o en texto; ","")&amp;IF(ISNUMBER(M151),IF(M151&lt;1000000,"Valor inferior a $1.000.000: verificar; ",""),"Valor no interpretable; ")&amp;IF(N151="[PENDIENTE DE VERIFICAR]","Modalidad no identificable; ","")&amp;IF(OR(ISERROR(SEARCH("@itc.edu.co",J151)),SUMPRODUCT(--ISNUMBER(SEARCH({"á","é","í","ó","ú","ñ"},J151)))&gt;0),"Correo vacío o no institucional válido; ","")&amp;IF(LEN(TRIM(D151))=0,"Sin objeto contractual; ","")&amp;IF(AND(ISNUMBER(M151),N151="Mínima cuantía"),IF(M151&gt;39850000,"Mínima cuantía con valor superior al tope citado en el instructivo 2026 ($39.850.000): verificar modalidad; ",""),"")&amp;IF(AND(ISNUMBER(M151),OR(ISNUMBER(SEARCH("prestación de servicios",D151)),ISNUMBER(SEARCH("prestar servicios",D151)),ISNUMBER(SEARCH("prestar los servicios",D151)))),IF(M151&gt;=500000000,"Prestación de servicios por $500 millones o más: posible error de digitación; ",""),""))=0,"Sin observaciones",IF(OR(NOT(ISNUMBER(B151)),LEN(B151)&lt;&gt;8),"UNSPSC vacío, en texto, con varios códigos o sin 8 dígitos; ","")&amp;IF(AND(ISNUMBER(B151),LEN(B151)=8),IF(MOD(B151,10000)=0,"UNSPSC a nivel de segmento o familia; ",""),"")&amp;IF(NOT(ISNUMBER(E151)),"Duración vacía o en texto; ","")&amp;IF(NOT(ISNUMBER(G151)),"Valor vacío o en texto; ","")&amp;IF(ISNUMBER(M151),IF(M151&lt;1000000,"Valor inferior a $1.000.000: verificar; ",""),"Valor no interpretable; ")&amp;IF(N151="[PENDIENTE DE VERIFICAR]","Modalidad no identificable; ","")&amp;IF(OR(ISERROR(SEARCH("@itc.edu.co",J151)),SUMPRODUCT(--ISNUMBER(SEARCH({"á","é","í","ó","ú","ñ"},J151)))&gt;0),"Correo vacío o no institucional válido; ","")&amp;IF(LEN(TRIM(D151))=0,"Sin objeto contractual; ","")&amp;IF(AND(ISNUMBER(M151),N151="Mínima cuantía"),IF(M151&gt;39850000,"Mínima cuantía con valor superior al tope citado en el instructivo 2026 ($39.850.000): verificar modalidad; ",""),"")&amp;IF(AND(ISNUMBER(M151),OR(ISNUMBER(SEARCH("prestación de servicios",D151)),ISNUMBER(SEARCH("prestar servicios",D151)),ISNUMBER(SEARCH("prestar los servicios",D151)))),IF(M151&gt;=500000000,"Prestación de servicios por $500 millones o más: posible error de digitación; ",""),""))</f>
        <v xml:space="preserve">Valor vacío o en texto; </v>
      </c>
    </row>
    <row r="152" spans="1:15" ht="34.200000000000003" x14ac:dyDescent="0.3">
      <c r="A152" s="15" t="s">
        <v>669</v>
      </c>
      <c r="B152" s="15">
        <v>77101805</v>
      </c>
      <c r="C152" s="15" t="s">
        <v>433</v>
      </c>
      <c r="D152" s="15" t="s">
        <v>668</v>
      </c>
      <c r="E152" s="15">
        <v>4</v>
      </c>
      <c r="F152" s="15" t="s">
        <v>1185</v>
      </c>
      <c r="G152" s="29" t="s">
        <v>1146</v>
      </c>
      <c r="H152" s="15" t="s">
        <v>1188</v>
      </c>
      <c r="I152" s="15"/>
      <c r="J152" s="15" t="s">
        <v>813</v>
      </c>
      <c r="K152" s="15">
        <v>131</v>
      </c>
      <c r="L152" s="30" t="s">
        <v>814</v>
      </c>
      <c r="M152" s="31">
        <v>15000000</v>
      </c>
      <c r="N152" s="30" t="s">
        <v>1111</v>
      </c>
      <c r="O152" s="30" t="str">
        <f>IF(LEN(IF(OR(NOT(ISNUMBER(B152)),LEN(B152)&lt;&gt;8),"UNSPSC vacío, en texto, con varios códigos o sin 8 dígitos; ","")&amp;IF(AND(ISNUMBER(B152),LEN(B152)=8),IF(MOD(B152,10000)=0,"UNSPSC a nivel de segmento o familia; ",""),"")&amp;IF(NOT(ISNUMBER(E152)),"Duración vacía o en texto; ","")&amp;IF(NOT(ISNUMBER(G152)),"Valor vacío o en texto; ","")&amp;IF(ISNUMBER(M152),IF(M152&lt;1000000,"Valor inferior a $1.000.000: verificar; ",""),"Valor no interpretable; ")&amp;IF(N152="[PENDIENTE DE VERIFICAR]","Modalidad no identificable; ","")&amp;IF(OR(ISERROR(SEARCH("@itc.edu.co",J152)),SUMPRODUCT(--ISNUMBER(SEARCH({"á","é","í","ó","ú","ñ"},J152)))&gt;0),"Correo vacío o no institucional válido; ","")&amp;IF(LEN(TRIM(D152))=0,"Sin objeto contractual; ","")&amp;IF(AND(ISNUMBER(M152),N152="Mínima cuantía"),IF(M152&gt;39850000,"Mínima cuantía con valor superior al tope citado en el instructivo 2026 ($39.850.000): verificar modalidad; ",""),"")&amp;IF(AND(ISNUMBER(M152),OR(ISNUMBER(SEARCH("prestación de servicios",D152)),ISNUMBER(SEARCH("prestar servicios",D152)),ISNUMBER(SEARCH("prestar los servicios",D152)))),IF(M152&gt;=500000000,"Prestación de servicios por $500 millones o más: posible error de digitación; ",""),""))=0,"Sin observaciones",IF(OR(NOT(ISNUMBER(B152)),LEN(B152)&lt;&gt;8),"UNSPSC vacío, en texto, con varios códigos o sin 8 dígitos; ","")&amp;IF(AND(ISNUMBER(B152),LEN(B152)=8),IF(MOD(B152,10000)=0,"UNSPSC a nivel de segmento o familia; ",""),"")&amp;IF(NOT(ISNUMBER(E152)),"Duración vacía o en texto; ","")&amp;IF(NOT(ISNUMBER(G152)),"Valor vacío o en texto; ","")&amp;IF(ISNUMBER(M152),IF(M152&lt;1000000,"Valor inferior a $1.000.000: verificar; ",""),"Valor no interpretable; ")&amp;IF(N152="[PENDIENTE DE VERIFICAR]","Modalidad no identificable; ","")&amp;IF(OR(ISERROR(SEARCH("@itc.edu.co",J152)),SUMPRODUCT(--ISNUMBER(SEARCH({"á","é","í","ó","ú","ñ"},J152)))&gt;0),"Correo vacío o no institucional válido; ","")&amp;IF(LEN(TRIM(D152))=0,"Sin objeto contractual; ","")&amp;IF(AND(ISNUMBER(M152),N152="Mínima cuantía"),IF(M152&gt;39850000,"Mínima cuantía con valor superior al tope citado en el instructivo 2026 ($39.850.000): verificar modalidad; ",""),"")&amp;IF(AND(ISNUMBER(M152),OR(ISNUMBER(SEARCH("prestación de servicios",D152)),ISNUMBER(SEARCH("prestar servicios",D152)),ISNUMBER(SEARCH("prestar los servicios",D152)))),IF(M152&gt;=500000000,"Prestación de servicios por $500 millones o más: posible error de digitación; ",""),""))</f>
        <v xml:space="preserve">Valor vacío o en texto; </v>
      </c>
    </row>
    <row r="153" spans="1:15" ht="34.200000000000003" x14ac:dyDescent="0.3">
      <c r="A153" s="15" t="s">
        <v>663</v>
      </c>
      <c r="B153" s="15">
        <v>76121501</v>
      </c>
      <c r="C153" s="15" t="s">
        <v>433</v>
      </c>
      <c r="D153" s="15" t="s">
        <v>662</v>
      </c>
      <c r="E153" s="15">
        <v>9</v>
      </c>
      <c r="F153" s="15" t="s">
        <v>1185</v>
      </c>
      <c r="G153" s="29" t="s">
        <v>1189</v>
      </c>
      <c r="H153" s="15" t="s">
        <v>1188</v>
      </c>
      <c r="I153" s="15"/>
      <c r="J153" s="15" t="s">
        <v>813</v>
      </c>
      <c r="K153" s="15">
        <v>132</v>
      </c>
      <c r="L153" s="30" t="s">
        <v>814</v>
      </c>
      <c r="M153" s="31">
        <v>25000000</v>
      </c>
      <c r="N153" s="30" t="s">
        <v>1111</v>
      </c>
      <c r="O153" s="30" t="str">
        <f>IF(LEN(IF(OR(NOT(ISNUMBER(B153)),LEN(B153)&lt;&gt;8),"UNSPSC vacío, en texto, con varios códigos o sin 8 dígitos; ","")&amp;IF(AND(ISNUMBER(B153),LEN(B153)=8),IF(MOD(B153,10000)=0,"UNSPSC a nivel de segmento o familia; ",""),"")&amp;IF(NOT(ISNUMBER(E153)),"Duración vacía o en texto; ","")&amp;IF(NOT(ISNUMBER(G153)),"Valor vacío o en texto; ","")&amp;IF(ISNUMBER(M153),IF(M153&lt;1000000,"Valor inferior a $1.000.000: verificar; ",""),"Valor no interpretable; ")&amp;IF(N153="[PENDIENTE DE VERIFICAR]","Modalidad no identificable; ","")&amp;IF(OR(ISERROR(SEARCH("@itc.edu.co",J153)),SUMPRODUCT(--ISNUMBER(SEARCH({"á","é","í","ó","ú","ñ"},J153)))&gt;0),"Correo vacío o no institucional válido; ","")&amp;IF(LEN(TRIM(D153))=0,"Sin objeto contractual; ","")&amp;IF(AND(ISNUMBER(M153),N153="Mínima cuantía"),IF(M153&gt;39850000,"Mínima cuantía con valor superior al tope citado en el instructivo 2026 ($39.850.000): verificar modalidad; ",""),"")&amp;IF(AND(ISNUMBER(M153),OR(ISNUMBER(SEARCH("prestación de servicios",D153)),ISNUMBER(SEARCH("prestar servicios",D153)),ISNUMBER(SEARCH("prestar los servicios",D153)))),IF(M153&gt;=500000000,"Prestación de servicios por $500 millones o más: posible error de digitación; ",""),""))=0,"Sin observaciones",IF(OR(NOT(ISNUMBER(B153)),LEN(B153)&lt;&gt;8),"UNSPSC vacío, en texto, con varios códigos o sin 8 dígitos; ","")&amp;IF(AND(ISNUMBER(B153),LEN(B153)=8),IF(MOD(B153,10000)=0,"UNSPSC a nivel de segmento o familia; ",""),"")&amp;IF(NOT(ISNUMBER(E153)),"Duración vacía o en texto; ","")&amp;IF(NOT(ISNUMBER(G153)),"Valor vacío o en texto; ","")&amp;IF(ISNUMBER(M153),IF(M153&lt;1000000,"Valor inferior a $1.000.000: verificar; ",""),"Valor no interpretable; ")&amp;IF(N153="[PENDIENTE DE VERIFICAR]","Modalidad no identificable; ","")&amp;IF(OR(ISERROR(SEARCH("@itc.edu.co",J153)),SUMPRODUCT(--ISNUMBER(SEARCH({"á","é","í","ó","ú","ñ"},J153)))&gt;0),"Correo vacío o no institucional válido; ","")&amp;IF(LEN(TRIM(D153))=0,"Sin objeto contractual; ","")&amp;IF(AND(ISNUMBER(M153),N153="Mínima cuantía"),IF(M153&gt;39850000,"Mínima cuantía con valor superior al tope citado en el instructivo 2026 ($39.850.000): verificar modalidad; ",""),"")&amp;IF(AND(ISNUMBER(M153),OR(ISNUMBER(SEARCH("prestación de servicios",D153)),ISNUMBER(SEARCH("prestar servicios",D153)),ISNUMBER(SEARCH("prestar los servicios",D153)))),IF(M153&gt;=500000000,"Prestación de servicios por $500 millones o más: posible error de digitación; ",""),""))</f>
        <v xml:space="preserve">Valor vacío o en texto; </v>
      </c>
    </row>
    <row r="154" spans="1:15" ht="22.8" x14ac:dyDescent="0.3">
      <c r="A154" s="15" t="s">
        <v>665</v>
      </c>
      <c r="B154" s="15">
        <v>76121900</v>
      </c>
      <c r="C154" s="15" t="s">
        <v>433</v>
      </c>
      <c r="D154" s="15" t="s">
        <v>1190</v>
      </c>
      <c r="E154" s="15">
        <v>9</v>
      </c>
      <c r="F154" s="15" t="s">
        <v>1185</v>
      </c>
      <c r="G154" s="29" t="s">
        <v>1191</v>
      </c>
      <c r="H154" s="15" t="s">
        <v>1188</v>
      </c>
      <c r="I154" s="15"/>
      <c r="J154" s="15" t="s">
        <v>813</v>
      </c>
      <c r="K154" s="15">
        <v>133</v>
      </c>
      <c r="L154" s="30" t="s">
        <v>814</v>
      </c>
      <c r="M154" s="31">
        <v>11000000</v>
      </c>
      <c r="N154" s="30" t="s">
        <v>1111</v>
      </c>
      <c r="O154" s="30" t="str">
        <f>IF(LEN(IF(OR(NOT(ISNUMBER(B154)),LEN(B154)&lt;&gt;8),"UNSPSC vacío, en texto, con varios códigos o sin 8 dígitos; ","")&amp;IF(AND(ISNUMBER(B154),LEN(B154)=8),IF(MOD(B154,10000)=0,"UNSPSC a nivel de segmento o familia; ",""),"")&amp;IF(NOT(ISNUMBER(E154)),"Duración vacía o en texto; ","")&amp;IF(NOT(ISNUMBER(G154)),"Valor vacío o en texto; ","")&amp;IF(ISNUMBER(M154),IF(M154&lt;1000000,"Valor inferior a $1.000.000: verificar; ",""),"Valor no interpretable; ")&amp;IF(N154="[PENDIENTE DE VERIFICAR]","Modalidad no identificable; ","")&amp;IF(OR(ISERROR(SEARCH("@itc.edu.co",J154)),SUMPRODUCT(--ISNUMBER(SEARCH({"á","é","í","ó","ú","ñ"},J154)))&gt;0),"Correo vacío o no institucional válido; ","")&amp;IF(LEN(TRIM(D154))=0,"Sin objeto contractual; ","")&amp;IF(AND(ISNUMBER(M154),N154="Mínima cuantía"),IF(M154&gt;39850000,"Mínima cuantía con valor superior al tope citado en el instructivo 2026 ($39.850.000): verificar modalidad; ",""),"")&amp;IF(AND(ISNUMBER(M154),OR(ISNUMBER(SEARCH("prestación de servicios",D154)),ISNUMBER(SEARCH("prestar servicios",D154)),ISNUMBER(SEARCH("prestar los servicios",D154)))),IF(M154&gt;=500000000,"Prestación de servicios por $500 millones o más: posible error de digitación; ",""),""))=0,"Sin observaciones",IF(OR(NOT(ISNUMBER(B154)),LEN(B154)&lt;&gt;8),"UNSPSC vacío, en texto, con varios códigos o sin 8 dígitos; ","")&amp;IF(AND(ISNUMBER(B154),LEN(B154)=8),IF(MOD(B154,10000)=0,"UNSPSC a nivel de segmento o familia; ",""),"")&amp;IF(NOT(ISNUMBER(E154)),"Duración vacía o en texto; ","")&amp;IF(NOT(ISNUMBER(G154)),"Valor vacío o en texto; ","")&amp;IF(ISNUMBER(M154),IF(M154&lt;1000000,"Valor inferior a $1.000.000: verificar; ",""),"Valor no interpretable; ")&amp;IF(N154="[PENDIENTE DE VERIFICAR]","Modalidad no identificable; ","")&amp;IF(OR(ISERROR(SEARCH("@itc.edu.co",J154)),SUMPRODUCT(--ISNUMBER(SEARCH({"á","é","í","ó","ú","ñ"},J154)))&gt;0),"Correo vacío o no institucional válido; ","")&amp;IF(LEN(TRIM(D154))=0,"Sin objeto contractual; ","")&amp;IF(AND(ISNUMBER(M154),N154="Mínima cuantía"),IF(M154&gt;39850000,"Mínima cuantía con valor superior al tope citado en el instructivo 2026 ($39.850.000): verificar modalidad; ",""),"")&amp;IF(AND(ISNUMBER(M154),OR(ISNUMBER(SEARCH("prestación de servicios",D154)),ISNUMBER(SEARCH("prestar servicios",D154)),ISNUMBER(SEARCH("prestar los servicios",D154)))),IF(M154&gt;=500000000,"Prestación de servicios por $500 millones o más: posible error de digitación; ",""),""))</f>
        <v xml:space="preserve">Valor vacío o en texto; </v>
      </c>
    </row>
    <row r="155" spans="1:15" ht="22.8" x14ac:dyDescent="0.3">
      <c r="A155" s="15" t="s">
        <v>432</v>
      </c>
      <c r="B155" s="15">
        <v>47121700</v>
      </c>
      <c r="C155" s="15" t="s">
        <v>433</v>
      </c>
      <c r="D155" s="15" t="s">
        <v>431</v>
      </c>
      <c r="E155" s="15">
        <v>3</v>
      </c>
      <c r="F155" s="15" t="s">
        <v>1185</v>
      </c>
      <c r="G155" s="29" t="s">
        <v>1192</v>
      </c>
      <c r="H155" s="15" t="s">
        <v>1188</v>
      </c>
      <c r="I155" s="15"/>
      <c r="J155" s="15" t="s">
        <v>813</v>
      </c>
      <c r="K155" s="15">
        <v>134</v>
      </c>
      <c r="L155" s="30" t="s">
        <v>814</v>
      </c>
      <c r="M155" s="31">
        <v>38000000</v>
      </c>
      <c r="N155" s="30" t="s">
        <v>1111</v>
      </c>
      <c r="O155" s="30" t="str">
        <f>IF(LEN(IF(OR(NOT(ISNUMBER(B155)),LEN(B155)&lt;&gt;8),"UNSPSC vacío, en texto, con varios códigos o sin 8 dígitos; ","")&amp;IF(AND(ISNUMBER(B155),LEN(B155)=8),IF(MOD(B155,10000)=0,"UNSPSC a nivel de segmento o familia; ",""),"")&amp;IF(NOT(ISNUMBER(E155)),"Duración vacía o en texto; ","")&amp;IF(NOT(ISNUMBER(G155)),"Valor vacío o en texto; ","")&amp;IF(ISNUMBER(M155),IF(M155&lt;1000000,"Valor inferior a $1.000.000: verificar; ",""),"Valor no interpretable; ")&amp;IF(N155="[PENDIENTE DE VERIFICAR]","Modalidad no identificable; ","")&amp;IF(OR(ISERROR(SEARCH("@itc.edu.co",J155)),SUMPRODUCT(--ISNUMBER(SEARCH({"á","é","í","ó","ú","ñ"},J155)))&gt;0),"Correo vacío o no institucional válido; ","")&amp;IF(LEN(TRIM(D155))=0,"Sin objeto contractual; ","")&amp;IF(AND(ISNUMBER(M155),N155="Mínima cuantía"),IF(M155&gt;39850000,"Mínima cuantía con valor superior al tope citado en el instructivo 2026 ($39.850.000): verificar modalidad; ",""),"")&amp;IF(AND(ISNUMBER(M155),OR(ISNUMBER(SEARCH("prestación de servicios",D155)),ISNUMBER(SEARCH("prestar servicios",D155)),ISNUMBER(SEARCH("prestar los servicios",D155)))),IF(M155&gt;=500000000,"Prestación de servicios por $500 millones o más: posible error de digitación; ",""),""))=0,"Sin observaciones",IF(OR(NOT(ISNUMBER(B155)),LEN(B155)&lt;&gt;8),"UNSPSC vacío, en texto, con varios códigos o sin 8 dígitos; ","")&amp;IF(AND(ISNUMBER(B155),LEN(B155)=8),IF(MOD(B155,10000)=0,"UNSPSC a nivel de segmento o familia; ",""),"")&amp;IF(NOT(ISNUMBER(E155)),"Duración vacía o en texto; ","")&amp;IF(NOT(ISNUMBER(G155)),"Valor vacío o en texto; ","")&amp;IF(ISNUMBER(M155),IF(M155&lt;1000000,"Valor inferior a $1.000.000: verificar; ",""),"Valor no interpretable; ")&amp;IF(N155="[PENDIENTE DE VERIFICAR]","Modalidad no identificable; ","")&amp;IF(OR(ISERROR(SEARCH("@itc.edu.co",J155)),SUMPRODUCT(--ISNUMBER(SEARCH({"á","é","í","ó","ú","ñ"},J155)))&gt;0),"Correo vacío o no institucional válido; ","")&amp;IF(LEN(TRIM(D155))=0,"Sin objeto contractual; ","")&amp;IF(AND(ISNUMBER(M155),N155="Mínima cuantía"),IF(M155&gt;39850000,"Mínima cuantía con valor superior al tope citado en el instructivo 2026 ($39.850.000): verificar modalidad; ",""),"")&amp;IF(AND(ISNUMBER(M155),OR(ISNUMBER(SEARCH("prestación de servicios",D155)),ISNUMBER(SEARCH("prestar servicios",D155)),ISNUMBER(SEARCH("prestar los servicios",D155)))),IF(M155&gt;=500000000,"Prestación de servicios por $500 millones o más: posible error de digitación; ",""),""))</f>
        <v xml:space="preserve">Valor vacío o en texto; </v>
      </c>
    </row>
    <row r="156" spans="1:15" ht="68.400000000000006" x14ac:dyDescent="0.3">
      <c r="A156" s="15" t="s">
        <v>689</v>
      </c>
      <c r="B156" s="15">
        <v>81102501</v>
      </c>
      <c r="C156" s="15" t="s">
        <v>433</v>
      </c>
      <c r="D156" s="15" t="s">
        <v>1193</v>
      </c>
      <c r="E156" s="15">
        <v>4</v>
      </c>
      <c r="F156" s="15" t="s">
        <v>1185</v>
      </c>
      <c r="G156" s="29" t="s">
        <v>1194</v>
      </c>
      <c r="H156" s="15" t="s">
        <v>1188</v>
      </c>
      <c r="I156" s="15"/>
      <c r="J156" s="15" t="s">
        <v>813</v>
      </c>
      <c r="K156" s="15">
        <v>135</v>
      </c>
      <c r="L156" s="30" t="s">
        <v>814</v>
      </c>
      <c r="M156" s="31"/>
      <c r="N156" s="30" t="s">
        <v>1111</v>
      </c>
      <c r="O156" s="30" t="str">
        <f>IF(LEN(IF(OR(NOT(ISNUMBER(B156)),LEN(B156)&lt;&gt;8),"UNSPSC vacío, en texto, con varios códigos o sin 8 dígitos; ","")&amp;IF(AND(ISNUMBER(B156),LEN(B156)=8),IF(MOD(B156,10000)=0,"UNSPSC a nivel de segmento o familia; ",""),"")&amp;IF(NOT(ISNUMBER(E156)),"Duración vacía o en texto; ","")&amp;IF(NOT(ISNUMBER(G156)),"Valor vacío o en texto; ","")&amp;IF(ISNUMBER(M156),IF(M156&lt;1000000,"Valor inferior a $1.000.000: verificar; ",""),"Valor no interpretable; ")&amp;IF(N156="[PENDIENTE DE VERIFICAR]","Modalidad no identificable; ","")&amp;IF(OR(ISERROR(SEARCH("@itc.edu.co",J156)),SUMPRODUCT(--ISNUMBER(SEARCH({"á","é","í","ó","ú","ñ"},J156)))&gt;0),"Correo vacío o no institucional válido; ","")&amp;IF(LEN(TRIM(D156))=0,"Sin objeto contractual; ","")&amp;IF(AND(ISNUMBER(M156),N156="Mínima cuantía"),IF(M156&gt;39850000,"Mínima cuantía con valor superior al tope citado en el instructivo 2026 ($39.850.000): verificar modalidad; ",""),"")&amp;IF(AND(ISNUMBER(M156),OR(ISNUMBER(SEARCH("prestación de servicios",D156)),ISNUMBER(SEARCH("prestar servicios",D156)),ISNUMBER(SEARCH("prestar los servicios",D156)))),IF(M156&gt;=500000000,"Prestación de servicios por $500 millones o más: posible error de digitación; ",""),""))=0,"Sin observaciones",IF(OR(NOT(ISNUMBER(B156)),LEN(B156)&lt;&gt;8),"UNSPSC vacío, en texto, con varios códigos o sin 8 dígitos; ","")&amp;IF(AND(ISNUMBER(B156),LEN(B156)=8),IF(MOD(B156,10000)=0,"UNSPSC a nivel de segmento o familia; ",""),"")&amp;IF(NOT(ISNUMBER(E156)),"Duración vacía o en texto; ","")&amp;IF(NOT(ISNUMBER(G156)),"Valor vacío o en texto; ","")&amp;IF(ISNUMBER(M156),IF(M156&lt;1000000,"Valor inferior a $1.000.000: verificar; ",""),"Valor no interpretable; ")&amp;IF(N156="[PENDIENTE DE VERIFICAR]","Modalidad no identificable; ","")&amp;IF(OR(ISERROR(SEARCH("@itc.edu.co",J156)),SUMPRODUCT(--ISNUMBER(SEARCH({"á","é","í","ó","ú","ñ"},J156)))&gt;0),"Correo vacío o no institucional válido; ","")&amp;IF(LEN(TRIM(D156))=0,"Sin objeto contractual; ","")&amp;IF(AND(ISNUMBER(M156),N156="Mínima cuantía"),IF(M156&gt;39850000,"Mínima cuantía con valor superior al tope citado en el instructivo 2026 ($39.850.000): verificar modalidad; ",""),"")&amp;IF(AND(ISNUMBER(M156),OR(ISNUMBER(SEARCH("prestación de servicios",D156)),ISNUMBER(SEARCH("prestar servicios",D156)),ISNUMBER(SEARCH("prestar los servicios",D156)))),IF(M156&gt;=500000000,"Prestación de servicios por $500 millones o más: posible error de digitación; ",""),""))</f>
        <v xml:space="preserve">Valor vacío o en texto; Valor no interpretable; </v>
      </c>
    </row>
    <row r="157" spans="1:15" ht="45.6" x14ac:dyDescent="0.3">
      <c r="A157" s="15" t="s">
        <v>604</v>
      </c>
      <c r="B157" s="15">
        <v>46182400</v>
      </c>
      <c r="C157" s="15" t="s">
        <v>433</v>
      </c>
      <c r="D157" s="15" t="s">
        <v>1195</v>
      </c>
      <c r="E157" s="15">
        <v>3</v>
      </c>
      <c r="F157" s="15" t="s">
        <v>1185</v>
      </c>
      <c r="G157" s="29" t="s">
        <v>1196</v>
      </c>
      <c r="H157" s="15" t="s">
        <v>1188</v>
      </c>
      <c r="I157" s="15"/>
      <c r="J157" s="15" t="s">
        <v>813</v>
      </c>
      <c r="K157" s="15">
        <v>136</v>
      </c>
      <c r="L157" s="30" t="s">
        <v>814</v>
      </c>
      <c r="M157" s="31">
        <v>30000000</v>
      </c>
      <c r="N157" s="30" t="s">
        <v>1111</v>
      </c>
      <c r="O157" s="30" t="str">
        <f>IF(LEN(IF(OR(NOT(ISNUMBER(B157)),LEN(B157)&lt;&gt;8),"UNSPSC vacío, en texto, con varios códigos o sin 8 dígitos; ","")&amp;IF(AND(ISNUMBER(B157),LEN(B157)=8),IF(MOD(B157,10000)=0,"UNSPSC a nivel de segmento o familia; ",""),"")&amp;IF(NOT(ISNUMBER(E157)),"Duración vacía o en texto; ","")&amp;IF(NOT(ISNUMBER(G157)),"Valor vacío o en texto; ","")&amp;IF(ISNUMBER(M157),IF(M157&lt;1000000,"Valor inferior a $1.000.000: verificar; ",""),"Valor no interpretable; ")&amp;IF(N157="[PENDIENTE DE VERIFICAR]","Modalidad no identificable; ","")&amp;IF(OR(ISERROR(SEARCH("@itc.edu.co",J157)),SUMPRODUCT(--ISNUMBER(SEARCH({"á","é","í","ó","ú","ñ"},J157)))&gt;0),"Correo vacío o no institucional válido; ","")&amp;IF(LEN(TRIM(D157))=0,"Sin objeto contractual; ","")&amp;IF(AND(ISNUMBER(M157),N157="Mínima cuantía"),IF(M157&gt;39850000,"Mínima cuantía con valor superior al tope citado en el instructivo 2026 ($39.850.000): verificar modalidad; ",""),"")&amp;IF(AND(ISNUMBER(M157),OR(ISNUMBER(SEARCH("prestación de servicios",D157)),ISNUMBER(SEARCH("prestar servicios",D157)),ISNUMBER(SEARCH("prestar los servicios",D157)))),IF(M157&gt;=500000000,"Prestación de servicios por $500 millones o más: posible error de digitación; ",""),""))=0,"Sin observaciones",IF(OR(NOT(ISNUMBER(B157)),LEN(B157)&lt;&gt;8),"UNSPSC vacío, en texto, con varios códigos o sin 8 dígitos; ","")&amp;IF(AND(ISNUMBER(B157),LEN(B157)=8),IF(MOD(B157,10000)=0,"UNSPSC a nivel de segmento o familia; ",""),"")&amp;IF(NOT(ISNUMBER(E157)),"Duración vacía o en texto; ","")&amp;IF(NOT(ISNUMBER(G157)),"Valor vacío o en texto; ","")&amp;IF(ISNUMBER(M157),IF(M157&lt;1000000,"Valor inferior a $1.000.000: verificar; ",""),"Valor no interpretable; ")&amp;IF(N157="[PENDIENTE DE VERIFICAR]","Modalidad no identificable; ","")&amp;IF(OR(ISERROR(SEARCH("@itc.edu.co",J157)),SUMPRODUCT(--ISNUMBER(SEARCH({"á","é","í","ó","ú","ñ"},J157)))&gt;0),"Correo vacío o no institucional válido; ","")&amp;IF(LEN(TRIM(D157))=0,"Sin objeto contractual; ","")&amp;IF(AND(ISNUMBER(M157),N157="Mínima cuantía"),IF(M157&gt;39850000,"Mínima cuantía con valor superior al tope citado en el instructivo 2026 ($39.850.000): verificar modalidad; ",""),"")&amp;IF(AND(ISNUMBER(M157),OR(ISNUMBER(SEARCH("prestación de servicios",D157)),ISNUMBER(SEARCH("prestar servicios",D157)),ISNUMBER(SEARCH("prestar los servicios",D157)))),IF(M157&gt;=500000000,"Prestación de servicios por $500 millones o más: posible error de digitación; ",""),""))</f>
        <v xml:space="preserve">Valor vacío o en texto; </v>
      </c>
    </row>
    <row r="158" spans="1:15" ht="68.400000000000006" x14ac:dyDescent="0.3">
      <c r="A158" s="15" t="s">
        <v>1197</v>
      </c>
      <c r="B158" s="15">
        <v>80111600</v>
      </c>
      <c r="C158" s="15" t="s">
        <v>465</v>
      </c>
      <c r="D158" s="15" t="s">
        <v>1198</v>
      </c>
      <c r="E158" s="15">
        <v>10.5</v>
      </c>
      <c r="F158" s="15" t="s">
        <v>802</v>
      </c>
      <c r="G158" s="29">
        <v>58001000</v>
      </c>
      <c r="H158" s="15" t="s">
        <v>1199</v>
      </c>
      <c r="I158" s="15"/>
      <c r="J158" s="15" t="s">
        <v>1200</v>
      </c>
      <c r="K158" s="15"/>
      <c r="L158" s="30" t="s">
        <v>814</v>
      </c>
      <c r="M158" s="31">
        <v>58001000</v>
      </c>
      <c r="N158" s="30" t="s">
        <v>803</v>
      </c>
      <c r="O158" s="30" t="str">
        <f>IF(LEN(IF(OR(NOT(ISNUMBER(B158)),LEN(B158)&lt;&gt;8),"UNSPSC vacío, en texto, con varios códigos o sin 8 dígitos; ","")&amp;IF(AND(ISNUMBER(B158),LEN(B158)=8),IF(MOD(B158,10000)=0,"UNSPSC a nivel de segmento o familia; ",""),"")&amp;IF(NOT(ISNUMBER(E158)),"Duración vacía o en texto; ","")&amp;IF(NOT(ISNUMBER(G158)),"Valor vacío o en texto; ","")&amp;IF(ISNUMBER(M158),IF(M158&lt;1000000,"Valor inferior a $1.000.000: verificar; ",""),"Valor no interpretable; ")&amp;IF(N158="[PENDIENTE DE VERIFICAR]","Modalidad no identificable; ","")&amp;IF(OR(ISERROR(SEARCH("@itc.edu.co",J158)),SUMPRODUCT(--ISNUMBER(SEARCH({"á","é","í","ó","ú","ñ"},J158)))&gt;0),"Correo vacío o no institucional válido; ","")&amp;IF(LEN(TRIM(D158))=0,"Sin objeto contractual; ","")&amp;IF(AND(ISNUMBER(M158),N158="Mínima cuantía"),IF(M158&gt;39850000,"Mínima cuantía con valor superior al tope citado en el instructivo 2026 ($39.850.000): verificar modalidad; ",""),"")&amp;IF(AND(ISNUMBER(M158),OR(ISNUMBER(SEARCH("prestación de servicios",D158)),ISNUMBER(SEARCH("prestar servicios",D158)),ISNUMBER(SEARCH("prestar los servicios",D158)))),IF(M158&gt;=500000000,"Prestación de servicios por $500 millones o más: posible error de digitación; ",""),""))=0,"Sin observaciones",IF(OR(NOT(ISNUMBER(B158)),LEN(B158)&lt;&gt;8),"UNSPSC vacío, en texto, con varios códigos o sin 8 dígitos; ","")&amp;IF(AND(ISNUMBER(B158),LEN(B158)=8),IF(MOD(B158,10000)=0,"UNSPSC a nivel de segmento o familia; ",""),"")&amp;IF(NOT(ISNUMBER(E158)),"Duración vacía o en texto; ","")&amp;IF(NOT(ISNUMBER(G158)),"Valor vacío o en texto; ","")&amp;IF(ISNUMBER(M158),IF(M158&lt;1000000,"Valor inferior a $1.000.000: verificar; ",""),"Valor no interpretable; ")&amp;IF(N158="[PENDIENTE DE VERIFICAR]","Modalidad no identificable; ","")&amp;IF(OR(ISERROR(SEARCH("@itc.edu.co",J158)),SUMPRODUCT(--ISNUMBER(SEARCH({"á","é","í","ó","ú","ñ"},J158)))&gt;0),"Correo vacío o no institucional válido; ","")&amp;IF(LEN(TRIM(D158))=0,"Sin objeto contractual; ","")&amp;IF(AND(ISNUMBER(M158),N158="Mínima cuantía"),IF(M158&gt;39850000,"Mínima cuantía con valor superior al tope citado en el instructivo 2026 ($39.850.000): verificar modalidad; ",""),"")&amp;IF(AND(ISNUMBER(M158),OR(ISNUMBER(SEARCH("prestación de servicios",D158)),ISNUMBER(SEARCH("prestar servicios",D158)),ISNUMBER(SEARCH("prestar los servicios",D158)))),IF(M158&gt;=500000000,"Prestación de servicios por $500 millones o más: posible error de digitación; ",""),""))</f>
        <v>Sin observaciones</v>
      </c>
    </row>
    <row r="159" spans="1:15" ht="34.200000000000003" x14ac:dyDescent="0.3">
      <c r="A159" s="15" t="s">
        <v>695</v>
      </c>
      <c r="B159" s="15">
        <v>81111700</v>
      </c>
      <c r="C159" s="15" t="s">
        <v>465</v>
      </c>
      <c r="D159" s="15" t="s">
        <v>694</v>
      </c>
      <c r="E159" s="15">
        <v>6</v>
      </c>
      <c r="F159" s="15" t="s">
        <v>802</v>
      </c>
      <c r="G159" s="29">
        <v>6419772</v>
      </c>
      <c r="H159" s="15" t="s">
        <v>1188</v>
      </c>
      <c r="I159" s="15"/>
      <c r="J159" s="15" t="s">
        <v>813</v>
      </c>
      <c r="K159" s="15"/>
      <c r="L159" s="30" t="s">
        <v>814</v>
      </c>
      <c r="M159" s="31">
        <v>6419772</v>
      </c>
      <c r="N159" s="30" t="s">
        <v>803</v>
      </c>
      <c r="O159" s="30" t="str">
        <f>IF(LEN(IF(OR(NOT(ISNUMBER(B159)),LEN(B159)&lt;&gt;8),"UNSPSC vacío, en texto, con varios códigos o sin 8 dígitos; ","")&amp;IF(AND(ISNUMBER(B159),LEN(B159)=8),IF(MOD(B159,10000)=0,"UNSPSC a nivel de segmento o familia; ",""),"")&amp;IF(NOT(ISNUMBER(E159)),"Duración vacía o en texto; ","")&amp;IF(NOT(ISNUMBER(G159)),"Valor vacío o en texto; ","")&amp;IF(ISNUMBER(M159),IF(M159&lt;1000000,"Valor inferior a $1.000.000: verificar; ",""),"Valor no interpretable; ")&amp;IF(N159="[PENDIENTE DE VERIFICAR]","Modalidad no identificable; ","")&amp;IF(OR(ISERROR(SEARCH("@itc.edu.co",J159)),SUMPRODUCT(--ISNUMBER(SEARCH({"á","é","í","ó","ú","ñ"},J159)))&gt;0),"Correo vacío o no institucional válido; ","")&amp;IF(LEN(TRIM(D159))=0,"Sin objeto contractual; ","")&amp;IF(AND(ISNUMBER(M159),N159="Mínima cuantía"),IF(M159&gt;39850000,"Mínima cuantía con valor superior al tope citado en el instructivo 2026 ($39.850.000): verificar modalidad; ",""),"")&amp;IF(AND(ISNUMBER(M159),OR(ISNUMBER(SEARCH("prestación de servicios",D159)),ISNUMBER(SEARCH("prestar servicios",D159)),ISNUMBER(SEARCH("prestar los servicios",D159)))),IF(M159&gt;=500000000,"Prestación de servicios por $500 millones o más: posible error de digitación; ",""),""))=0,"Sin observaciones",IF(OR(NOT(ISNUMBER(B159)),LEN(B159)&lt;&gt;8),"UNSPSC vacío, en texto, con varios códigos o sin 8 dígitos; ","")&amp;IF(AND(ISNUMBER(B159),LEN(B159)=8),IF(MOD(B159,10000)=0,"UNSPSC a nivel de segmento o familia; ",""),"")&amp;IF(NOT(ISNUMBER(E159)),"Duración vacía o en texto; ","")&amp;IF(NOT(ISNUMBER(G159)),"Valor vacío o en texto; ","")&amp;IF(ISNUMBER(M159),IF(M159&lt;1000000,"Valor inferior a $1.000.000: verificar; ",""),"Valor no interpretable; ")&amp;IF(N159="[PENDIENTE DE VERIFICAR]","Modalidad no identificable; ","")&amp;IF(OR(ISERROR(SEARCH("@itc.edu.co",J159)),SUMPRODUCT(--ISNUMBER(SEARCH({"á","é","í","ó","ú","ñ"},J159)))&gt;0),"Correo vacío o no institucional válido; ","")&amp;IF(LEN(TRIM(D159))=0,"Sin objeto contractual; ","")&amp;IF(AND(ISNUMBER(M159),N159="Mínima cuantía"),IF(M159&gt;39850000,"Mínima cuantía con valor superior al tope citado en el instructivo 2026 ($39.850.000): verificar modalidad; ",""),"")&amp;IF(AND(ISNUMBER(M159),OR(ISNUMBER(SEARCH("prestación de servicios",D159)),ISNUMBER(SEARCH("prestar servicios",D159)),ISNUMBER(SEARCH("prestar los servicios",D159)))),IF(M159&gt;=500000000,"Prestación de servicios por $500 millones o más: posible error de digitación; ",""),""))</f>
        <v>Sin observaciones</v>
      </c>
    </row>
    <row r="160" spans="1:15" ht="45.6" x14ac:dyDescent="0.3">
      <c r="A160" s="15" t="s">
        <v>464</v>
      </c>
      <c r="B160" s="15">
        <v>84111603</v>
      </c>
      <c r="C160" s="15" t="s">
        <v>465</v>
      </c>
      <c r="D160" s="15" t="s">
        <v>1201</v>
      </c>
      <c r="E160" s="15">
        <v>3</v>
      </c>
      <c r="F160" s="15" t="s">
        <v>1202</v>
      </c>
      <c r="G160" s="29">
        <v>32169667</v>
      </c>
      <c r="H160" s="15" t="s">
        <v>1199</v>
      </c>
      <c r="I160" s="15"/>
      <c r="J160" s="15" t="s">
        <v>1200</v>
      </c>
      <c r="K160" s="15"/>
      <c r="L160" s="30" t="s">
        <v>814</v>
      </c>
      <c r="M160" s="31">
        <v>32169667</v>
      </c>
      <c r="N160" s="30" t="s">
        <v>792</v>
      </c>
      <c r="O160" s="30" t="str">
        <f>IF(LEN(IF(OR(NOT(ISNUMBER(B160)),LEN(B160)&lt;&gt;8),"UNSPSC vacío, en texto, con varios códigos o sin 8 dígitos; ","")&amp;IF(AND(ISNUMBER(B160),LEN(B160)=8),IF(MOD(B160,10000)=0,"UNSPSC a nivel de segmento o familia; ",""),"")&amp;IF(NOT(ISNUMBER(E160)),"Duración vacía o en texto; ","")&amp;IF(NOT(ISNUMBER(G160)),"Valor vacío o en texto; ","")&amp;IF(ISNUMBER(M160),IF(M160&lt;1000000,"Valor inferior a $1.000.000: verificar; ",""),"Valor no interpretable; ")&amp;IF(N160="[PENDIENTE DE VERIFICAR]","Modalidad no identificable; ","")&amp;IF(OR(ISERROR(SEARCH("@itc.edu.co",J160)),SUMPRODUCT(--ISNUMBER(SEARCH({"á","é","í","ó","ú","ñ"},J160)))&gt;0),"Correo vacío o no institucional válido; ","")&amp;IF(LEN(TRIM(D160))=0,"Sin objeto contractual; ","")&amp;IF(AND(ISNUMBER(M160),N160="Mínima cuantía"),IF(M160&gt;39850000,"Mínima cuantía con valor superior al tope citado en el instructivo 2026 ($39.850.000): verificar modalidad; ",""),"")&amp;IF(AND(ISNUMBER(M160),OR(ISNUMBER(SEARCH("prestación de servicios",D160)),ISNUMBER(SEARCH("prestar servicios",D160)),ISNUMBER(SEARCH("prestar los servicios",D160)))),IF(M160&gt;=500000000,"Prestación de servicios por $500 millones o más: posible error de digitación; ",""),""))=0,"Sin observaciones",IF(OR(NOT(ISNUMBER(B160)),LEN(B160)&lt;&gt;8),"UNSPSC vacío, en texto, con varios códigos o sin 8 dígitos; ","")&amp;IF(AND(ISNUMBER(B160),LEN(B160)=8),IF(MOD(B160,10000)=0,"UNSPSC a nivel de segmento o familia; ",""),"")&amp;IF(NOT(ISNUMBER(E160)),"Duración vacía o en texto; ","")&amp;IF(NOT(ISNUMBER(G160)),"Valor vacío o en texto; ","")&amp;IF(ISNUMBER(M160),IF(M160&lt;1000000,"Valor inferior a $1.000.000: verificar; ",""),"Valor no interpretable; ")&amp;IF(N160="[PENDIENTE DE VERIFICAR]","Modalidad no identificable; ","")&amp;IF(OR(ISERROR(SEARCH("@itc.edu.co",J160)),SUMPRODUCT(--ISNUMBER(SEARCH({"á","é","í","ó","ú","ñ"},J160)))&gt;0),"Correo vacío o no institucional válido; ","")&amp;IF(LEN(TRIM(D160))=0,"Sin objeto contractual; ","")&amp;IF(AND(ISNUMBER(M160),N160="Mínima cuantía"),IF(M160&gt;39850000,"Mínima cuantía con valor superior al tope citado en el instructivo 2026 ($39.850.000): verificar modalidad; ",""),"")&amp;IF(AND(ISNUMBER(M160),OR(ISNUMBER(SEARCH("prestación de servicios",D160)),ISNUMBER(SEARCH("prestar servicios",D160)),ISNUMBER(SEARCH("prestar los servicios",D160)))),IF(M160&gt;=500000000,"Prestación de servicios por $500 millones o más: posible error de digitación; ",""),""))</f>
        <v>Sin observaciones</v>
      </c>
    </row>
    <row r="161" spans="1:15" ht="34.200000000000003" x14ac:dyDescent="0.3">
      <c r="A161" s="15" t="s">
        <v>645</v>
      </c>
      <c r="B161" s="15">
        <v>64111802</v>
      </c>
      <c r="C161" s="15" t="s">
        <v>465</v>
      </c>
      <c r="D161" s="15" t="s">
        <v>644</v>
      </c>
      <c r="E161" s="15">
        <v>12</v>
      </c>
      <c r="F161" s="15" t="s">
        <v>802</v>
      </c>
      <c r="G161" s="29">
        <v>6000000</v>
      </c>
      <c r="H161" s="15" t="s">
        <v>1199</v>
      </c>
      <c r="I161" s="15"/>
      <c r="J161" s="15" t="s">
        <v>1200</v>
      </c>
      <c r="K161" s="15"/>
      <c r="L161" s="30" t="s">
        <v>814</v>
      </c>
      <c r="M161" s="31">
        <v>6000000</v>
      </c>
      <c r="N161" s="30" t="s">
        <v>803</v>
      </c>
      <c r="O161" s="30" t="str">
        <f>IF(LEN(IF(OR(NOT(ISNUMBER(B161)),LEN(B161)&lt;&gt;8),"UNSPSC vacío, en texto, con varios códigos o sin 8 dígitos; ","")&amp;IF(AND(ISNUMBER(B161),LEN(B161)=8),IF(MOD(B161,10000)=0,"UNSPSC a nivel de segmento o familia; ",""),"")&amp;IF(NOT(ISNUMBER(E161)),"Duración vacía o en texto; ","")&amp;IF(NOT(ISNUMBER(G161)),"Valor vacío o en texto; ","")&amp;IF(ISNUMBER(M161),IF(M161&lt;1000000,"Valor inferior a $1.000.000: verificar; ",""),"Valor no interpretable; ")&amp;IF(N161="[PENDIENTE DE VERIFICAR]","Modalidad no identificable; ","")&amp;IF(OR(ISERROR(SEARCH("@itc.edu.co",J161)),SUMPRODUCT(--ISNUMBER(SEARCH({"á","é","í","ó","ú","ñ"},J161)))&gt;0),"Correo vacío o no institucional válido; ","")&amp;IF(LEN(TRIM(D161))=0,"Sin objeto contractual; ","")&amp;IF(AND(ISNUMBER(M161),N161="Mínima cuantía"),IF(M161&gt;39850000,"Mínima cuantía con valor superior al tope citado en el instructivo 2026 ($39.850.000): verificar modalidad; ",""),"")&amp;IF(AND(ISNUMBER(M161),OR(ISNUMBER(SEARCH("prestación de servicios",D161)),ISNUMBER(SEARCH("prestar servicios",D161)),ISNUMBER(SEARCH("prestar los servicios",D161)))),IF(M161&gt;=500000000,"Prestación de servicios por $500 millones o más: posible error de digitación; ",""),""))=0,"Sin observaciones",IF(OR(NOT(ISNUMBER(B161)),LEN(B161)&lt;&gt;8),"UNSPSC vacío, en texto, con varios códigos o sin 8 dígitos; ","")&amp;IF(AND(ISNUMBER(B161),LEN(B161)=8),IF(MOD(B161,10000)=0,"UNSPSC a nivel de segmento o familia; ",""),"")&amp;IF(NOT(ISNUMBER(E161)),"Duración vacía o en texto; ","")&amp;IF(NOT(ISNUMBER(G161)),"Valor vacío o en texto; ","")&amp;IF(ISNUMBER(M161),IF(M161&lt;1000000,"Valor inferior a $1.000.000: verificar; ",""),"Valor no interpretable; ")&amp;IF(N161="[PENDIENTE DE VERIFICAR]","Modalidad no identificable; ","")&amp;IF(OR(ISERROR(SEARCH("@itc.edu.co",J161)),SUMPRODUCT(--ISNUMBER(SEARCH({"á","é","í","ó","ú","ñ"},J161)))&gt;0),"Correo vacío o no institucional válido; ","")&amp;IF(LEN(TRIM(D161))=0,"Sin objeto contractual; ","")&amp;IF(AND(ISNUMBER(M161),N161="Mínima cuantía"),IF(M161&gt;39850000,"Mínima cuantía con valor superior al tope citado en el instructivo 2026 ($39.850.000): verificar modalidad; ",""),"")&amp;IF(AND(ISNUMBER(M161),OR(ISNUMBER(SEARCH("prestación de servicios",D161)),ISNUMBER(SEARCH("prestar servicios",D161)),ISNUMBER(SEARCH("prestar los servicios",D161)))),IF(M161&gt;=500000000,"Prestación de servicios por $500 millones o más: posible error de digitación; ",""),""))</f>
        <v>Sin observaciones</v>
      </c>
    </row>
    <row r="162" spans="1:15" ht="34.200000000000003" x14ac:dyDescent="0.3">
      <c r="A162" s="15" t="s">
        <v>1203</v>
      </c>
      <c r="B162" s="15">
        <v>84111603</v>
      </c>
      <c r="C162" s="15" t="s">
        <v>465</v>
      </c>
      <c r="D162" s="15" t="s">
        <v>1204</v>
      </c>
      <c r="E162" s="15">
        <v>6</v>
      </c>
      <c r="F162" s="15" t="s">
        <v>802</v>
      </c>
      <c r="G162" s="29">
        <v>32779740</v>
      </c>
      <c r="H162" s="15" t="s">
        <v>1199</v>
      </c>
      <c r="I162" s="15"/>
      <c r="J162" s="15" t="s">
        <v>1200</v>
      </c>
      <c r="K162" s="15"/>
      <c r="L162" s="30" t="s">
        <v>814</v>
      </c>
      <c r="M162" s="31">
        <v>32779740</v>
      </c>
      <c r="N162" s="30" t="s">
        <v>803</v>
      </c>
      <c r="O162" s="30" t="str">
        <f>IF(LEN(IF(OR(NOT(ISNUMBER(B162)),LEN(B162)&lt;&gt;8),"UNSPSC vacío, en texto, con varios códigos o sin 8 dígitos; ","")&amp;IF(AND(ISNUMBER(B162),LEN(B162)=8),IF(MOD(B162,10000)=0,"UNSPSC a nivel de segmento o familia; ",""),"")&amp;IF(NOT(ISNUMBER(E162)),"Duración vacía o en texto; ","")&amp;IF(NOT(ISNUMBER(G162)),"Valor vacío o en texto; ","")&amp;IF(ISNUMBER(M162),IF(M162&lt;1000000,"Valor inferior a $1.000.000: verificar; ",""),"Valor no interpretable; ")&amp;IF(N162="[PENDIENTE DE VERIFICAR]","Modalidad no identificable; ","")&amp;IF(OR(ISERROR(SEARCH("@itc.edu.co",J162)),SUMPRODUCT(--ISNUMBER(SEARCH({"á","é","í","ó","ú","ñ"},J162)))&gt;0),"Correo vacío o no institucional válido; ","")&amp;IF(LEN(TRIM(D162))=0,"Sin objeto contractual; ","")&amp;IF(AND(ISNUMBER(M162),N162="Mínima cuantía"),IF(M162&gt;39850000,"Mínima cuantía con valor superior al tope citado en el instructivo 2026 ($39.850.000): verificar modalidad; ",""),"")&amp;IF(AND(ISNUMBER(M162),OR(ISNUMBER(SEARCH("prestación de servicios",D162)),ISNUMBER(SEARCH("prestar servicios",D162)),ISNUMBER(SEARCH("prestar los servicios",D162)))),IF(M162&gt;=500000000,"Prestación de servicios por $500 millones o más: posible error de digitación; ",""),""))=0,"Sin observaciones",IF(OR(NOT(ISNUMBER(B162)),LEN(B162)&lt;&gt;8),"UNSPSC vacío, en texto, con varios códigos o sin 8 dígitos; ","")&amp;IF(AND(ISNUMBER(B162),LEN(B162)=8),IF(MOD(B162,10000)=0,"UNSPSC a nivel de segmento o familia; ",""),"")&amp;IF(NOT(ISNUMBER(E162)),"Duración vacía o en texto; ","")&amp;IF(NOT(ISNUMBER(G162)),"Valor vacío o en texto; ","")&amp;IF(ISNUMBER(M162),IF(M162&lt;1000000,"Valor inferior a $1.000.000: verificar; ",""),"Valor no interpretable; ")&amp;IF(N162="[PENDIENTE DE VERIFICAR]","Modalidad no identificable; ","")&amp;IF(OR(ISERROR(SEARCH("@itc.edu.co",J162)),SUMPRODUCT(--ISNUMBER(SEARCH({"á","é","í","ó","ú","ñ"},J162)))&gt;0),"Correo vacío o no institucional válido; ","")&amp;IF(LEN(TRIM(D162))=0,"Sin objeto contractual; ","")&amp;IF(AND(ISNUMBER(M162),N162="Mínima cuantía"),IF(M162&gt;39850000,"Mínima cuantía con valor superior al tope citado en el instructivo 2026 ($39.850.000): verificar modalidad; ",""),"")&amp;IF(AND(ISNUMBER(M162),OR(ISNUMBER(SEARCH("prestación de servicios",D162)),ISNUMBER(SEARCH("prestar servicios",D162)),ISNUMBER(SEARCH("prestar los servicios",D162)))),IF(M162&gt;=500000000,"Prestación de servicios por $500 millones o más: posible error de digitación; ",""),""))</f>
        <v>Sin observaciones</v>
      </c>
    </row>
    <row r="163" spans="1:15" ht="34.200000000000003" x14ac:dyDescent="0.3">
      <c r="A163" s="15" t="s">
        <v>521</v>
      </c>
      <c r="B163" s="15">
        <v>30190000</v>
      </c>
      <c r="C163" s="15" t="s">
        <v>337</v>
      </c>
      <c r="D163" s="15" t="s">
        <v>1205</v>
      </c>
      <c r="E163" s="15">
        <v>3</v>
      </c>
      <c r="F163" s="15" t="s">
        <v>1206</v>
      </c>
      <c r="G163" s="29">
        <v>774715012.25</v>
      </c>
      <c r="H163" s="15" t="s">
        <v>337</v>
      </c>
      <c r="I163" s="15" t="s">
        <v>1207</v>
      </c>
      <c r="J163" s="15"/>
      <c r="K163" s="15"/>
      <c r="L163" s="30" t="s">
        <v>977</v>
      </c>
      <c r="M163" s="31">
        <v>774715012.25</v>
      </c>
      <c r="N163" s="30" t="s">
        <v>1208</v>
      </c>
      <c r="O163" s="30" t="str">
        <f>IF(LEN(IF(OR(NOT(ISNUMBER(B163)),LEN(B163)&lt;&gt;8),"UNSPSC vacío, en texto, con varios códigos o sin 8 dígitos; ","")&amp;IF(AND(ISNUMBER(B163),LEN(B163)=8),IF(MOD(B163,10000)=0,"UNSPSC a nivel de segmento o familia; ",""),"")&amp;IF(NOT(ISNUMBER(E163)),"Duración vacía o en texto; ","")&amp;IF(NOT(ISNUMBER(G163)),"Valor vacío o en texto; ","")&amp;IF(ISNUMBER(M163),IF(M163&lt;1000000,"Valor inferior a $1.000.000: verificar; ",""),"Valor no interpretable; ")&amp;IF(N163="[PENDIENTE DE VERIFICAR]","Modalidad no identificable; ","")&amp;IF(OR(ISERROR(SEARCH("@itc.edu.co",J163)),SUMPRODUCT(--ISNUMBER(SEARCH({"á","é","í","ó","ú","ñ"},J163)))&gt;0),"Correo vacío o no institucional válido; ","")&amp;IF(LEN(TRIM(D163))=0,"Sin objeto contractual; ","")&amp;IF(AND(ISNUMBER(M163),N163="Mínima cuantía"),IF(M163&gt;39850000,"Mínima cuantía con valor superior al tope citado en el instructivo 2026 ($39.850.000): verificar modalidad; ",""),"")&amp;IF(AND(ISNUMBER(M163),OR(ISNUMBER(SEARCH("prestación de servicios",D163)),ISNUMBER(SEARCH("prestar servicios",D163)),ISNUMBER(SEARCH("prestar los servicios",D163)))),IF(M163&gt;=500000000,"Prestación de servicios por $500 millones o más: posible error de digitación; ",""),""))=0,"Sin observaciones",IF(OR(NOT(ISNUMBER(B163)),LEN(B163)&lt;&gt;8),"UNSPSC vacío, en texto, con varios códigos o sin 8 dígitos; ","")&amp;IF(AND(ISNUMBER(B163),LEN(B163)=8),IF(MOD(B163,10000)=0,"UNSPSC a nivel de segmento o familia; ",""),"")&amp;IF(NOT(ISNUMBER(E163)),"Duración vacía o en texto; ","")&amp;IF(NOT(ISNUMBER(G163)),"Valor vacío o en texto; ","")&amp;IF(ISNUMBER(M163),IF(M163&lt;1000000,"Valor inferior a $1.000.000: verificar; ",""),"Valor no interpretable; ")&amp;IF(N163="[PENDIENTE DE VERIFICAR]","Modalidad no identificable; ","")&amp;IF(OR(ISERROR(SEARCH("@itc.edu.co",J163)),SUMPRODUCT(--ISNUMBER(SEARCH({"á","é","í","ó","ú","ñ"},J163)))&gt;0),"Correo vacío o no institucional válido; ","")&amp;IF(LEN(TRIM(D163))=0,"Sin objeto contractual; ","")&amp;IF(AND(ISNUMBER(M163),N163="Mínima cuantía"),IF(M163&gt;39850000,"Mínima cuantía con valor superior al tope citado en el instructivo 2026 ($39.850.000): verificar modalidad; ",""),"")&amp;IF(AND(ISNUMBER(M163),OR(ISNUMBER(SEARCH("prestación de servicios",D163)),ISNUMBER(SEARCH("prestar servicios",D163)),ISNUMBER(SEARCH("prestar los servicios",D163)))),IF(M163&gt;=500000000,"Prestación de servicios por $500 millones o más: posible error de digitación; ",""),""))</f>
        <v xml:space="preserve">UNSPSC a nivel de segmento o familia; Correo vacío o no institucional válido; </v>
      </c>
    </row>
    <row r="164" spans="1:15" ht="79.8" x14ac:dyDescent="0.3">
      <c r="A164" s="15" t="s">
        <v>336</v>
      </c>
      <c r="B164" s="15">
        <v>80101600</v>
      </c>
      <c r="C164" s="15" t="s">
        <v>337</v>
      </c>
      <c r="D164" s="15" t="s">
        <v>1209</v>
      </c>
      <c r="E164" s="15">
        <v>4</v>
      </c>
      <c r="F164" s="15" t="s">
        <v>1210</v>
      </c>
      <c r="G164" s="29">
        <v>77471501.230000004</v>
      </c>
      <c r="H164" s="15" t="s">
        <v>337</v>
      </c>
      <c r="I164" s="15" t="s">
        <v>1211</v>
      </c>
      <c r="J164" s="15"/>
      <c r="K164" s="15"/>
      <c r="L164" s="30" t="s">
        <v>977</v>
      </c>
      <c r="M164" s="31">
        <v>77471501.230000004</v>
      </c>
      <c r="N164" s="30" t="s">
        <v>1212</v>
      </c>
      <c r="O164" s="30" t="str">
        <f>IF(LEN(IF(OR(NOT(ISNUMBER(B164)),LEN(B164)&lt;&gt;8),"UNSPSC vacío, en texto, con varios códigos o sin 8 dígitos; ","")&amp;IF(AND(ISNUMBER(B164),LEN(B164)=8),IF(MOD(B164,10000)=0,"UNSPSC a nivel de segmento o familia; ",""),"")&amp;IF(NOT(ISNUMBER(E164)),"Duración vacía o en texto; ","")&amp;IF(NOT(ISNUMBER(G164)),"Valor vacío o en texto; ","")&amp;IF(ISNUMBER(M164),IF(M164&lt;1000000,"Valor inferior a $1.000.000: verificar; ",""),"Valor no interpretable; ")&amp;IF(N164="[PENDIENTE DE VERIFICAR]","Modalidad no identificable; ","")&amp;IF(OR(ISERROR(SEARCH("@itc.edu.co",J164)),SUMPRODUCT(--ISNUMBER(SEARCH({"á","é","í","ó","ú","ñ"},J164)))&gt;0),"Correo vacío o no institucional válido; ","")&amp;IF(LEN(TRIM(D164))=0,"Sin objeto contractual; ","")&amp;IF(AND(ISNUMBER(M164),N164="Mínima cuantía"),IF(M164&gt;39850000,"Mínima cuantía con valor superior al tope citado en el instructivo 2026 ($39.850.000): verificar modalidad; ",""),"")&amp;IF(AND(ISNUMBER(M164),OR(ISNUMBER(SEARCH("prestación de servicios",D164)),ISNUMBER(SEARCH("prestar servicios",D164)),ISNUMBER(SEARCH("prestar los servicios",D164)))),IF(M164&gt;=500000000,"Prestación de servicios por $500 millones o más: posible error de digitación; ",""),""))=0,"Sin observaciones",IF(OR(NOT(ISNUMBER(B164)),LEN(B164)&lt;&gt;8),"UNSPSC vacío, en texto, con varios códigos o sin 8 dígitos; ","")&amp;IF(AND(ISNUMBER(B164),LEN(B164)=8),IF(MOD(B164,10000)=0,"UNSPSC a nivel de segmento o familia; ",""),"")&amp;IF(NOT(ISNUMBER(E164)),"Duración vacía o en texto; ","")&amp;IF(NOT(ISNUMBER(G164)),"Valor vacío o en texto; ","")&amp;IF(ISNUMBER(M164),IF(M164&lt;1000000,"Valor inferior a $1.000.000: verificar; ",""),"Valor no interpretable; ")&amp;IF(N164="[PENDIENTE DE VERIFICAR]","Modalidad no identificable; ","")&amp;IF(OR(ISERROR(SEARCH("@itc.edu.co",J164)),SUMPRODUCT(--ISNUMBER(SEARCH({"á","é","í","ó","ú","ñ"},J164)))&gt;0),"Correo vacío o no institucional válido; ","")&amp;IF(LEN(TRIM(D164))=0,"Sin objeto contractual; ","")&amp;IF(AND(ISNUMBER(M164),N164="Mínima cuantía"),IF(M164&gt;39850000,"Mínima cuantía con valor superior al tope citado en el instructivo 2026 ($39.850.000): verificar modalidad; ",""),"")&amp;IF(AND(ISNUMBER(M164),OR(ISNUMBER(SEARCH("prestación de servicios",D164)),ISNUMBER(SEARCH("prestar servicios",D164)),ISNUMBER(SEARCH("prestar los servicios",D164)))),IF(M164&gt;=500000000,"Prestación de servicios por $500 millones o más: posible error de digitación; ",""),""))</f>
        <v xml:space="preserve">Correo vacío o no institucional válido; </v>
      </c>
    </row>
    <row r="165" spans="1:15" ht="57" x14ac:dyDescent="0.3">
      <c r="A165" s="15" t="s">
        <v>405</v>
      </c>
      <c r="B165" s="15">
        <v>81101500</v>
      </c>
      <c r="C165" s="15" t="s">
        <v>337</v>
      </c>
      <c r="D165" s="15" t="s">
        <v>1213</v>
      </c>
      <c r="E165" s="15">
        <v>6</v>
      </c>
      <c r="F165" s="15" t="s">
        <v>1210</v>
      </c>
      <c r="G165" s="29">
        <v>908350514</v>
      </c>
      <c r="H165" s="15" t="s">
        <v>337</v>
      </c>
      <c r="I165" s="15" t="s">
        <v>1214</v>
      </c>
      <c r="J165" s="15"/>
      <c r="K165" s="15"/>
      <c r="L165" s="30" t="s">
        <v>977</v>
      </c>
      <c r="M165" s="31">
        <v>908350514</v>
      </c>
      <c r="N165" s="30" t="s">
        <v>1212</v>
      </c>
      <c r="O165" s="30" t="str">
        <f>IF(LEN(IF(OR(NOT(ISNUMBER(B165)),LEN(B165)&lt;&gt;8),"UNSPSC vacío, en texto, con varios códigos o sin 8 dígitos; ","")&amp;IF(AND(ISNUMBER(B165),LEN(B165)=8),IF(MOD(B165,10000)=0,"UNSPSC a nivel de segmento o familia; ",""),"")&amp;IF(NOT(ISNUMBER(E165)),"Duración vacía o en texto; ","")&amp;IF(NOT(ISNUMBER(G165)),"Valor vacío o en texto; ","")&amp;IF(ISNUMBER(M165),IF(M165&lt;1000000,"Valor inferior a $1.000.000: verificar; ",""),"Valor no interpretable; ")&amp;IF(N165="[PENDIENTE DE VERIFICAR]","Modalidad no identificable; ","")&amp;IF(OR(ISERROR(SEARCH("@itc.edu.co",J165)),SUMPRODUCT(--ISNUMBER(SEARCH({"á","é","í","ó","ú","ñ"},J165)))&gt;0),"Correo vacío o no institucional válido; ","")&amp;IF(LEN(TRIM(D165))=0,"Sin objeto contractual; ","")&amp;IF(AND(ISNUMBER(M165),N165="Mínima cuantía"),IF(M165&gt;39850000,"Mínima cuantía con valor superior al tope citado en el instructivo 2026 ($39.850.000): verificar modalidad; ",""),"")&amp;IF(AND(ISNUMBER(M165),OR(ISNUMBER(SEARCH("prestación de servicios",D165)),ISNUMBER(SEARCH("prestar servicios",D165)),ISNUMBER(SEARCH("prestar los servicios",D165)))),IF(M165&gt;=500000000,"Prestación de servicios por $500 millones o más: posible error de digitación; ",""),""))=0,"Sin observaciones",IF(OR(NOT(ISNUMBER(B165)),LEN(B165)&lt;&gt;8),"UNSPSC vacío, en texto, con varios códigos o sin 8 dígitos; ","")&amp;IF(AND(ISNUMBER(B165),LEN(B165)=8),IF(MOD(B165,10000)=0,"UNSPSC a nivel de segmento o familia; ",""),"")&amp;IF(NOT(ISNUMBER(E165)),"Duración vacía o en texto; ","")&amp;IF(NOT(ISNUMBER(G165)),"Valor vacío o en texto; ","")&amp;IF(ISNUMBER(M165),IF(M165&lt;1000000,"Valor inferior a $1.000.000: verificar; ",""),"Valor no interpretable; ")&amp;IF(N165="[PENDIENTE DE VERIFICAR]","Modalidad no identificable; ","")&amp;IF(OR(ISERROR(SEARCH("@itc.edu.co",J165)),SUMPRODUCT(--ISNUMBER(SEARCH({"á","é","í","ó","ú","ñ"},J165)))&gt;0),"Correo vacío o no institucional válido; ","")&amp;IF(LEN(TRIM(D165))=0,"Sin objeto contractual; ","")&amp;IF(AND(ISNUMBER(M165),N165="Mínima cuantía"),IF(M165&gt;39850000,"Mínima cuantía con valor superior al tope citado en el instructivo 2026 ($39.850.000): verificar modalidad; ",""),"")&amp;IF(AND(ISNUMBER(M165),OR(ISNUMBER(SEARCH("prestación de servicios",D165)),ISNUMBER(SEARCH("prestar servicios",D165)),ISNUMBER(SEARCH("prestar los servicios",D165)))),IF(M165&gt;=500000000,"Prestación de servicios por $500 millones o más: posible error de digitación; ",""),""))</f>
        <v xml:space="preserve">Correo vacío o no institucional válido; </v>
      </c>
    </row>
    <row r="166" spans="1:15" ht="102.6" x14ac:dyDescent="0.3">
      <c r="A166" s="15" t="s">
        <v>1215</v>
      </c>
      <c r="B166" s="15">
        <v>80101600</v>
      </c>
      <c r="C166" s="15" t="s">
        <v>337</v>
      </c>
      <c r="D166" s="15" t="s">
        <v>1216</v>
      </c>
      <c r="E166" s="15">
        <v>7</v>
      </c>
      <c r="F166" s="15" t="s">
        <v>1210</v>
      </c>
      <c r="G166" s="29">
        <v>90835051.400000006</v>
      </c>
      <c r="H166" s="15" t="s">
        <v>337</v>
      </c>
      <c r="I166" s="15" t="s">
        <v>1217</v>
      </c>
      <c r="J166" s="15"/>
      <c r="K166" s="15"/>
      <c r="L166" s="30" t="s">
        <v>977</v>
      </c>
      <c r="M166" s="31">
        <v>90835051.400000006</v>
      </c>
      <c r="N166" s="30" t="s">
        <v>1212</v>
      </c>
      <c r="O166" s="30" t="str">
        <f>IF(LEN(IF(OR(NOT(ISNUMBER(B166)),LEN(B166)&lt;&gt;8),"UNSPSC vacío, en texto, con varios códigos o sin 8 dígitos; ","")&amp;IF(AND(ISNUMBER(B166),LEN(B166)=8),IF(MOD(B166,10000)=0,"UNSPSC a nivel de segmento o familia; ",""),"")&amp;IF(NOT(ISNUMBER(E166)),"Duración vacía o en texto; ","")&amp;IF(NOT(ISNUMBER(G166)),"Valor vacío o en texto; ","")&amp;IF(ISNUMBER(M166),IF(M166&lt;1000000,"Valor inferior a $1.000.000: verificar; ",""),"Valor no interpretable; ")&amp;IF(N166="[PENDIENTE DE VERIFICAR]","Modalidad no identificable; ","")&amp;IF(OR(ISERROR(SEARCH("@itc.edu.co",J166)),SUMPRODUCT(--ISNUMBER(SEARCH({"á","é","í","ó","ú","ñ"},J166)))&gt;0),"Correo vacío o no institucional válido; ","")&amp;IF(LEN(TRIM(D166))=0,"Sin objeto contractual; ","")&amp;IF(AND(ISNUMBER(M166),N166="Mínima cuantía"),IF(M166&gt;39850000,"Mínima cuantía con valor superior al tope citado en el instructivo 2026 ($39.850.000): verificar modalidad; ",""),"")&amp;IF(AND(ISNUMBER(M166),OR(ISNUMBER(SEARCH("prestación de servicios",D166)),ISNUMBER(SEARCH("prestar servicios",D166)),ISNUMBER(SEARCH("prestar los servicios",D166)))),IF(M166&gt;=500000000,"Prestación de servicios por $500 millones o más: posible error de digitación; ",""),""))=0,"Sin observaciones",IF(OR(NOT(ISNUMBER(B166)),LEN(B166)&lt;&gt;8),"UNSPSC vacío, en texto, con varios códigos o sin 8 dígitos; ","")&amp;IF(AND(ISNUMBER(B166),LEN(B166)=8),IF(MOD(B166,10000)=0,"UNSPSC a nivel de segmento o familia; ",""),"")&amp;IF(NOT(ISNUMBER(E166)),"Duración vacía o en texto; ","")&amp;IF(NOT(ISNUMBER(G166)),"Valor vacío o en texto; ","")&amp;IF(ISNUMBER(M166),IF(M166&lt;1000000,"Valor inferior a $1.000.000: verificar; ",""),"Valor no interpretable; ")&amp;IF(N166="[PENDIENTE DE VERIFICAR]","Modalidad no identificable; ","")&amp;IF(OR(ISERROR(SEARCH("@itc.edu.co",J166)),SUMPRODUCT(--ISNUMBER(SEARCH({"á","é","í","ó","ú","ñ"},J166)))&gt;0),"Correo vacío o no institucional válido; ","")&amp;IF(LEN(TRIM(D166))=0,"Sin objeto contractual; ","")&amp;IF(AND(ISNUMBER(M166),N166="Mínima cuantía"),IF(M166&gt;39850000,"Mínima cuantía con valor superior al tope citado en el instructivo 2026 ($39.850.000): verificar modalidad; ",""),"")&amp;IF(AND(ISNUMBER(M166),OR(ISNUMBER(SEARCH("prestación de servicios",D166)),ISNUMBER(SEARCH("prestar servicios",D166)),ISNUMBER(SEARCH("prestar los servicios",D166)))),IF(M166&gt;=500000000,"Prestación de servicios por $500 millones o más: posible error de digitación; ",""),""))</f>
        <v xml:space="preserve">Correo vacío o no institucional válido; </v>
      </c>
    </row>
    <row r="167" spans="1:15" ht="22.8" x14ac:dyDescent="0.3">
      <c r="A167" s="15" t="s">
        <v>533</v>
      </c>
      <c r="B167" s="15">
        <v>40101502</v>
      </c>
      <c r="C167" s="15" t="s">
        <v>337</v>
      </c>
      <c r="D167" s="15" t="s">
        <v>532</v>
      </c>
      <c r="E167" s="15">
        <v>6</v>
      </c>
      <c r="F167" s="15" t="s">
        <v>1110</v>
      </c>
      <c r="G167" s="29">
        <v>223219274</v>
      </c>
      <c r="H167" s="15" t="s">
        <v>337</v>
      </c>
      <c r="I167" s="15" t="s">
        <v>1218</v>
      </c>
      <c r="J167" s="15"/>
      <c r="K167" s="15"/>
      <c r="L167" s="30" t="s">
        <v>977</v>
      </c>
      <c r="M167" s="31">
        <v>223219274</v>
      </c>
      <c r="N167" s="30" t="s">
        <v>1111</v>
      </c>
      <c r="O167" s="30" t="str">
        <f>IF(LEN(IF(OR(NOT(ISNUMBER(B167)),LEN(B167)&lt;&gt;8),"UNSPSC vacío, en texto, con varios códigos o sin 8 dígitos; ","")&amp;IF(AND(ISNUMBER(B167),LEN(B167)=8),IF(MOD(B167,10000)=0,"UNSPSC a nivel de segmento o familia; ",""),"")&amp;IF(NOT(ISNUMBER(E167)),"Duración vacía o en texto; ","")&amp;IF(NOT(ISNUMBER(G167)),"Valor vacío o en texto; ","")&amp;IF(ISNUMBER(M167),IF(M167&lt;1000000,"Valor inferior a $1.000.000: verificar; ",""),"Valor no interpretable; ")&amp;IF(N167="[PENDIENTE DE VERIFICAR]","Modalidad no identificable; ","")&amp;IF(OR(ISERROR(SEARCH("@itc.edu.co",J167)),SUMPRODUCT(--ISNUMBER(SEARCH({"á","é","í","ó","ú","ñ"},J167)))&gt;0),"Correo vacío o no institucional válido; ","")&amp;IF(LEN(TRIM(D167))=0,"Sin objeto contractual; ","")&amp;IF(AND(ISNUMBER(M167),N167="Mínima cuantía"),IF(M167&gt;39850000,"Mínima cuantía con valor superior al tope citado en el instructivo 2026 ($39.850.000): verificar modalidad; ",""),"")&amp;IF(AND(ISNUMBER(M167),OR(ISNUMBER(SEARCH("prestación de servicios",D167)),ISNUMBER(SEARCH("prestar servicios",D167)),ISNUMBER(SEARCH("prestar los servicios",D167)))),IF(M167&gt;=500000000,"Prestación de servicios por $500 millones o más: posible error de digitación; ",""),""))=0,"Sin observaciones",IF(OR(NOT(ISNUMBER(B167)),LEN(B167)&lt;&gt;8),"UNSPSC vacío, en texto, con varios códigos o sin 8 dígitos; ","")&amp;IF(AND(ISNUMBER(B167),LEN(B167)=8),IF(MOD(B167,10000)=0,"UNSPSC a nivel de segmento o familia; ",""),"")&amp;IF(NOT(ISNUMBER(E167)),"Duración vacía o en texto; ","")&amp;IF(NOT(ISNUMBER(G167)),"Valor vacío o en texto; ","")&amp;IF(ISNUMBER(M167),IF(M167&lt;1000000,"Valor inferior a $1.000.000: verificar; ",""),"Valor no interpretable; ")&amp;IF(N167="[PENDIENTE DE VERIFICAR]","Modalidad no identificable; ","")&amp;IF(OR(ISERROR(SEARCH("@itc.edu.co",J167)),SUMPRODUCT(--ISNUMBER(SEARCH({"á","é","í","ó","ú","ñ"},J167)))&gt;0),"Correo vacío o no institucional válido; ","")&amp;IF(LEN(TRIM(D167))=0,"Sin objeto contractual; ","")&amp;IF(AND(ISNUMBER(M167),N167="Mínima cuantía"),IF(M167&gt;39850000,"Mínima cuantía con valor superior al tope citado en el instructivo 2026 ($39.850.000): verificar modalidad; ",""),"")&amp;IF(AND(ISNUMBER(M167),OR(ISNUMBER(SEARCH("prestación de servicios",D167)),ISNUMBER(SEARCH("prestar servicios",D167)),ISNUMBER(SEARCH("prestar los servicios",D167)))),IF(M167&gt;=500000000,"Prestación de servicios por $500 millones o más: posible error de digitación; ",""),""))</f>
        <v xml:space="preserve">Correo vacío o no institucional válido; </v>
      </c>
    </row>
    <row r="168" spans="1:15" ht="57" x14ac:dyDescent="0.3">
      <c r="A168" s="15" t="s">
        <v>1219</v>
      </c>
      <c r="B168" s="15">
        <v>81101500</v>
      </c>
      <c r="C168" s="15" t="s">
        <v>337</v>
      </c>
      <c r="D168" s="15" t="s">
        <v>1220</v>
      </c>
      <c r="E168" s="15">
        <v>20</v>
      </c>
      <c r="F168" s="15" t="s">
        <v>1210</v>
      </c>
      <c r="G168" s="29">
        <v>1047461914</v>
      </c>
      <c r="H168" s="15" t="s">
        <v>337</v>
      </c>
      <c r="I168" s="15" t="s">
        <v>1221</v>
      </c>
      <c r="J168" s="15"/>
      <c r="K168" s="15"/>
      <c r="L168" s="30" t="s">
        <v>977</v>
      </c>
      <c r="M168" s="31">
        <v>1047461914</v>
      </c>
      <c r="N168" s="30" t="s">
        <v>1212</v>
      </c>
      <c r="O168" s="30" t="str">
        <f>IF(LEN(IF(OR(NOT(ISNUMBER(B168)),LEN(B168)&lt;&gt;8),"UNSPSC vacío, en texto, con varios códigos o sin 8 dígitos; ","")&amp;IF(AND(ISNUMBER(B168),LEN(B168)=8),IF(MOD(B168,10000)=0,"UNSPSC a nivel de segmento o familia; ",""),"")&amp;IF(NOT(ISNUMBER(E168)),"Duración vacía o en texto; ","")&amp;IF(NOT(ISNUMBER(G168)),"Valor vacío o en texto; ","")&amp;IF(ISNUMBER(M168),IF(M168&lt;1000000,"Valor inferior a $1.000.000: verificar; ",""),"Valor no interpretable; ")&amp;IF(N168="[PENDIENTE DE VERIFICAR]","Modalidad no identificable; ","")&amp;IF(OR(ISERROR(SEARCH("@itc.edu.co",J168)),SUMPRODUCT(--ISNUMBER(SEARCH({"á","é","í","ó","ú","ñ"},J168)))&gt;0),"Correo vacío o no institucional válido; ","")&amp;IF(LEN(TRIM(D168))=0,"Sin objeto contractual; ","")&amp;IF(AND(ISNUMBER(M168),N168="Mínima cuantía"),IF(M168&gt;39850000,"Mínima cuantía con valor superior al tope citado en el instructivo 2026 ($39.850.000): verificar modalidad; ",""),"")&amp;IF(AND(ISNUMBER(M168),OR(ISNUMBER(SEARCH("prestación de servicios",D168)),ISNUMBER(SEARCH("prestar servicios",D168)),ISNUMBER(SEARCH("prestar los servicios",D168)))),IF(M168&gt;=500000000,"Prestación de servicios por $500 millones o más: posible error de digitación; ",""),""))=0,"Sin observaciones",IF(OR(NOT(ISNUMBER(B168)),LEN(B168)&lt;&gt;8),"UNSPSC vacío, en texto, con varios códigos o sin 8 dígitos; ","")&amp;IF(AND(ISNUMBER(B168),LEN(B168)=8),IF(MOD(B168,10000)=0,"UNSPSC a nivel de segmento o familia; ",""),"")&amp;IF(NOT(ISNUMBER(E168)),"Duración vacía o en texto; ","")&amp;IF(NOT(ISNUMBER(G168)),"Valor vacío o en texto; ","")&amp;IF(ISNUMBER(M168),IF(M168&lt;1000000,"Valor inferior a $1.000.000: verificar; ",""),"Valor no interpretable; ")&amp;IF(N168="[PENDIENTE DE VERIFICAR]","Modalidad no identificable; ","")&amp;IF(OR(ISERROR(SEARCH("@itc.edu.co",J168)),SUMPRODUCT(--ISNUMBER(SEARCH({"á","é","í","ó","ú","ñ"},J168)))&gt;0),"Correo vacío o no institucional válido; ","")&amp;IF(LEN(TRIM(D168))=0,"Sin objeto contractual; ","")&amp;IF(AND(ISNUMBER(M168),N168="Mínima cuantía"),IF(M168&gt;39850000,"Mínima cuantía con valor superior al tope citado en el instructivo 2026 ($39.850.000): verificar modalidad; ",""),"")&amp;IF(AND(ISNUMBER(M168),OR(ISNUMBER(SEARCH("prestación de servicios",D168)),ISNUMBER(SEARCH("prestar servicios",D168)),ISNUMBER(SEARCH("prestar los servicios",D168)))),IF(M168&gt;=500000000,"Prestación de servicios por $500 millones o más: posible error de digitación; ",""),""))</f>
        <v xml:space="preserve">Correo vacío o no institucional válido; </v>
      </c>
    </row>
    <row r="169" spans="1:15" ht="68.400000000000006" x14ac:dyDescent="0.3">
      <c r="A169" s="15" t="s">
        <v>1222</v>
      </c>
      <c r="B169" s="15">
        <v>81101500</v>
      </c>
      <c r="C169" s="15" t="s">
        <v>337</v>
      </c>
      <c r="D169" s="15" t="s">
        <v>1223</v>
      </c>
      <c r="E169" s="15">
        <v>6</v>
      </c>
      <c r="F169" s="15" t="s">
        <v>1206</v>
      </c>
      <c r="G169" s="29">
        <v>851153594.20000005</v>
      </c>
      <c r="H169" s="15" t="s">
        <v>337</v>
      </c>
      <c r="I169" s="15" t="s">
        <v>1224</v>
      </c>
      <c r="J169" s="15"/>
      <c r="K169" s="15"/>
      <c r="L169" s="30" t="s">
        <v>977</v>
      </c>
      <c r="M169" s="31">
        <v>851153594.20000005</v>
      </c>
      <c r="N169" s="30" t="s">
        <v>1208</v>
      </c>
      <c r="O169" s="30" t="str">
        <f>IF(LEN(IF(OR(NOT(ISNUMBER(B169)),LEN(B169)&lt;&gt;8),"UNSPSC vacío, en texto, con varios códigos o sin 8 dígitos; ","")&amp;IF(AND(ISNUMBER(B169),LEN(B169)=8),IF(MOD(B169,10000)=0,"UNSPSC a nivel de segmento o familia; ",""),"")&amp;IF(NOT(ISNUMBER(E169)),"Duración vacía o en texto; ","")&amp;IF(NOT(ISNUMBER(G169)),"Valor vacío o en texto; ","")&amp;IF(ISNUMBER(M169),IF(M169&lt;1000000,"Valor inferior a $1.000.000: verificar; ",""),"Valor no interpretable; ")&amp;IF(N169="[PENDIENTE DE VERIFICAR]","Modalidad no identificable; ","")&amp;IF(OR(ISERROR(SEARCH("@itc.edu.co",J169)),SUMPRODUCT(--ISNUMBER(SEARCH({"á","é","í","ó","ú","ñ"},J169)))&gt;0),"Correo vacío o no institucional válido; ","")&amp;IF(LEN(TRIM(D169))=0,"Sin objeto contractual; ","")&amp;IF(AND(ISNUMBER(M169),N169="Mínima cuantía"),IF(M169&gt;39850000,"Mínima cuantía con valor superior al tope citado en el instructivo 2026 ($39.850.000): verificar modalidad; ",""),"")&amp;IF(AND(ISNUMBER(M169),OR(ISNUMBER(SEARCH("prestación de servicios",D169)),ISNUMBER(SEARCH("prestar servicios",D169)),ISNUMBER(SEARCH("prestar los servicios",D169)))),IF(M169&gt;=500000000,"Prestación de servicios por $500 millones o más: posible error de digitación; ",""),""))=0,"Sin observaciones",IF(OR(NOT(ISNUMBER(B169)),LEN(B169)&lt;&gt;8),"UNSPSC vacío, en texto, con varios códigos o sin 8 dígitos; ","")&amp;IF(AND(ISNUMBER(B169),LEN(B169)=8),IF(MOD(B169,10000)=0,"UNSPSC a nivel de segmento o familia; ",""),"")&amp;IF(NOT(ISNUMBER(E169)),"Duración vacía o en texto; ","")&amp;IF(NOT(ISNUMBER(G169)),"Valor vacío o en texto; ","")&amp;IF(ISNUMBER(M169),IF(M169&lt;1000000,"Valor inferior a $1.000.000: verificar; ",""),"Valor no interpretable; ")&amp;IF(N169="[PENDIENTE DE VERIFICAR]","Modalidad no identificable; ","")&amp;IF(OR(ISERROR(SEARCH("@itc.edu.co",J169)),SUMPRODUCT(--ISNUMBER(SEARCH({"á","é","í","ó","ú","ñ"},J169)))&gt;0),"Correo vacío o no institucional válido; ","")&amp;IF(LEN(TRIM(D169))=0,"Sin objeto contractual; ","")&amp;IF(AND(ISNUMBER(M169),N169="Mínima cuantía"),IF(M169&gt;39850000,"Mínima cuantía con valor superior al tope citado en el instructivo 2026 ($39.850.000): verificar modalidad; ",""),"")&amp;IF(AND(ISNUMBER(M169),OR(ISNUMBER(SEARCH("prestación de servicios",D169)),ISNUMBER(SEARCH("prestar servicios",D169)),ISNUMBER(SEARCH("prestar los servicios",D169)))),IF(M169&gt;=500000000,"Prestación de servicios por $500 millones o más: posible error de digitación; ",""),""))</f>
        <v xml:space="preserve">Correo vacío o no institucional válido; </v>
      </c>
    </row>
    <row r="170" spans="1:15" ht="102.6" x14ac:dyDescent="0.3">
      <c r="A170" s="15" t="s">
        <v>1225</v>
      </c>
      <c r="B170" s="15">
        <v>80101600</v>
      </c>
      <c r="C170" s="15" t="s">
        <v>337</v>
      </c>
      <c r="D170" s="15" t="s">
        <v>1226</v>
      </c>
      <c r="E170" s="15">
        <v>7</v>
      </c>
      <c r="F170" s="15" t="s">
        <v>1210</v>
      </c>
      <c r="G170" s="29">
        <v>85115359.420000002</v>
      </c>
      <c r="H170" s="15" t="s">
        <v>337</v>
      </c>
      <c r="I170" s="15" t="s">
        <v>1227</v>
      </c>
      <c r="J170" s="15"/>
      <c r="K170" s="15"/>
      <c r="L170" s="30" t="s">
        <v>977</v>
      </c>
      <c r="M170" s="31">
        <v>85115359.420000002</v>
      </c>
      <c r="N170" s="30" t="s">
        <v>1212</v>
      </c>
      <c r="O170" s="30" t="str">
        <f>IF(LEN(IF(OR(NOT(ISNUMBER(B170)),LEN(B170)&lt;&gt;8),"UNSPSC vacío, en texto, con varios códigos o sin 8 dígitos; ","")&amp;IF(AND(ISNUMBER(B170),LEN(B170)=8),IF(MOD(B170,10000)=0,"UNSPSC a nivel de segmento o familia; ",""),"")&amp;IF(NOT(ISNUMBER(E170)),"Duración vacía o en texto; ","")&amp;IF(NOT(ISNUMBER(G170)),"Valor vacío o en texto; ","")&amp;IF(ISNUMBER(M170),IF(M170&lt;1000000,"Valor inferior a $1.000.000: verificar; ",""),"Valor no interpretable; ")&amp;IF(N170="[PENDIENTE DE VERIFICAR]","Modalidad no identificable; ","")&amp;IF(OR(ISERROR(SEARCH("@itc.edu.co",J170)),SUMPRODUCT(--ISNUMBER(SEARCH({"á","é","í","ó","ú","ñ"},J170)))&gt;0),"Correo vacío o no institucional válido; ","")&amp;IF(LEN(TRIM(D170))=0,"Sin objeto contractual; ","")&amp;IF(AND(ISNUMBER(M170),N170="Mínima cuantía"),IF(M170&gt;39850000,"Mínima cuantía con valor superior al tope citado en el instructivo 2026 ($39.850.000): verificar modalidad; ",""),"")&amp;IF(AND(ISNUMBER(M170),OR(ISNUMBER(SEARCH("prestación de servicios",D170)),ISNUMBER(SEARCH("prestar servicios",D170)),ISNUMBER(SEARCH("prestar los servicios",D170)))),IF(M170&gt;=500000000,"Prestación de servicios por $500 millones o más: posible error de digitación; ",""),""))=0,"Sin observaciones",IF(OR(NOT(ISNUMBER(B170)),LEN(B170)&lt;&gt;8),"UNSPSC vacío, en texto, con varios códigos o sin 8 dígitos; ","")&amp;IF(AND(ISNUMBER(B170),LEN(B170)=8),IF(MOD(B170,10000)=0,"UNSPSC a nivel de segmento o familia; ",""),"")&amp;IF(NOT(ISNUMBER(E170)),"Duración vacía o en texto; ","")&amp;IF(NOT(ISNUMBER(G170)),"Valor vacío o en texto; ","")&amp;IF(ISNUMBER(M170),IF(M170&lt;1000000,"Valor inferior a $1.000.000: verificar; ",""),"Valor no interpretable; ")&amp;IF(N170="[PENDIENTE DE VERIFICAR]","Modalidad no identificable; ","")&amp;IF(OR(ISERROR(SEARCH("@itc.edu.co",J170)),SUMPRODUCT(--ISNUMBER(SEARCH({"á","é","í","ó","ú","ñ"},J170)))&gt;0),"Correo vacío o no institucional válido; ","")&amp;IF(LEN(TRIM(D170))=0,"Sin objeto contractual; ","")&amp;IF(AND(ISNUMBER(M170),N170="Mínima cuantía"),IF(M170&gt;39850000,"Mínima cuantía con valor superior al tope citado en el instructivo 2026 ($39.850.000): verificar modalidad; ",""),"")&amp;IF(AND(ISNUMBER(M170),OR(ISNUMBER(SEARCH("prestación de servicios",D170)),ISNUMBER(SEARCH("prestar servicios",D170)),ISNUMBER(SEARCH("prestar los servicios",D170)))),IF(M170&gt;=500000000,"Prestación de servicios por $500 millones o más: posible error de digitación; ",""),""))</f>
        <v xml:space="preserve">Correo vacío o no institucional válido; </v>
      </c>
    </row>
    <row r="171" spans="1:15" ht="34.200000000000003" x14ac:dyDescent="0.3">
      <c r="A171" s="15" t="s">
        <v>527</v>
      </c>
      <c r="B171" s="15">
        <v>31161600</v>
      </c>
      <c r="C171" s="15" t="s">
        <v>337</v>
      </c>
      <c r="D171" s="15" t="s">
        <v>1228</v>
      </c>
      <c r="E171" s="15">
        <v>4</v>
      </c>
      <c r="F171" s="15" t="s">
        <v>1110</v>
      </c>
      <c r="G171" s="29">
        <v>400000000</v>
      </c>
      <c r="H171" s="15" t="s">
        <v>337</v>
      </c>
      <c r="I171" s="15" t="s">
        <v>1227</v>
      </c>
      <c r="J171" s="15"/>
      <c r="K171" s="15"/>
      <c r="L171" s="30" t="s">
        <v>977</v>
      </c>
      <c r="M171" s="31">
        <v>400000000</v>
      </c>
      <c r="N171" s="30" t="s">
        <v>1111</v>
      </c>
      <c r="O171" s="30" t="str">
        <f>IF(LEN(IF(OR(NOT(ISNUMBER(B171)),LEN(B171)&lt;&gt;8),"UNSPSC vacío, en texto, con varios códigos o sin 8 dígitos; ","")&amp;IF(AND(ISNUMBER(B171),LEN(B171)=8),IF(MOD(B171,10000)=0,"UNSPSC a nivel de segmento o familia; ",""),"")&amp;IF(NOT(ISNUMBER(E171)),"Duración vacía o en texto; ","")&amp;IF(NOT(ISNUMBER(G171)),"Valor vacío o en texto; ","")&amp;IF(ISNUMBER(M171),IF(M171&lt;1000000,"Valor inferior a $1.000.000: verificar; ",""),"Valor no interpretable; ")&amp;IF(N171="[PENDIENTE DE VERIFICAR]","Modalidad no identificable; ","")&amp;IF(OR(ISERROR(SEARCH("@itc.edu.co",J171)),SUMPRODUCT(--ISNUMBER(SEARCH({"á","é","í","ó","ú","ñ"},J171)))&gt;0),"Correo vacío o no institucional válido; ","")&amp;IF(LEN(TRIM(D171))=0,"Sin objeto contractual; ","")&amp;IF(AND(ISNUMBER(M171),N171="Mínima cuantía"),IF(M171&gt;39850000,"Mínima cuantía con valor superior al tope citado en el instructivo 2026 ($39.850.000): verificar modalidad; ",""),"")&amp;IF(AND(ISNUMBER(M171),OR(ISNUMBER(SEARCH("prestación de servicios",D171)),ISNUMBER(SEARCH("prestar servicios",D171)),ISNUMBER(SEARCH("prestar los servicios",D171)))),IF(M171&gt;=500000000,"Prestación de servicios por $500 millones o más: posible error de digitación; ",""),""))=0,"Sin observaciones",IF(OR(NOT(ISNUMBER(B171)),LEN(B171)&lt;&gt;8),"UNSPSC vacío, en texto, con varios códigos o sin 8 dígitos; ","")&amp;IF(AND(ISNUMBER(B171),LEN(B171)=8),IF(MOD(B171,10000)=0,"UNSPSC a nivel de segmento o familia; ",""),"")&amp;IF(NOT(ISNUMBER(E171)),"Duración vacía o en texto; ","")&amp;IF(NOT(ISNUMBER(G171)),"Valor vacío o en texto; ","")&amp;IF(ISNUMBER(M171),IF(M171&lt;1000000,"Valor inferior a $1.000.000: verificar; ",""),"Valor no interpretable; ")&amp;IF(N171="[PENDIENTE DE VERIFICAR]","Modalidad no identificable; ","")&amp;IF(OR(ISERROR(SEARCH("@itc.edu.co",J171)),SUMPRODUCT(--ISNUMBER(SEARCH({"á","é","í","ó","ú","ñ"},J171)))&gt;0),"Correo vacío o no institucional válido; ","")&amp;IF(LEN(TRIM(D171))=0,"Sin objeto contractual; ","")&amp;IF(AND(ISNUMBER(M171),N171="Mínima cuantía"),IF(M171&gt;39850000,"Mínima cuantía con valor superior al tope citado en el instructivo 2026 ($39.850.000): verificar modalidad; ",""),"")&amp;IF(AND(ISNUMBER(M171),OR(ISNUMBER(SEARCH("prestación de servicios",D171)),ISNUMBER(SEARCH("prestar servicios",D171)),ISNUMBER(SEARCH("prestar los servicios",D171)))),IF(M171&gt;=500000000,"Prestación de servicios por $500 millones o más: posible error de digitación; ",""),""))</f>
        <v xml:space="preserve">Correo vacío o no institucional válido; </v>
      </c>
    </row>
    <row r="172" spans="1:15" ht="57" x14ac:dyDescent="0.3">
      <c r="A172" s="15" t="s">
        <v>661</v>
      </c>
      <c r="B172" s="15">
        <v>75150000</v>
      </c>
      <c r="C172" s="15" t="s">
        <v>337</v>
      </c>
      <c r="D172" s="15" t="s">
        <v>1229</v>
      </c>
      <c r="E172" s="15">
        <v>4</v>
      </c>
      <c r="F172" s="15" t="s">
        <v>1110</v>
      </c>
      <c r="G172" s="29">
        <v>28250510</v>
      </c>
      <c r="H172" s="15" t="s">
        <v>337</v>
      </c>
      <c r="I172" s="15" t="s">
        <v>1227</v>
      </c>
      <c r="J172" s="15"/>
      <c r="K172" s="15"/>
      <c r="L172" s="30" t="s">
        <v>977</v>
      </c>
      <c r="M172" s="31">
        <v>28250510</v>
      </c>
      <c r="N172" s="30" t="s">
        <v>1111</v>
      </c>
      <c r="O172" s="30" t="str">
        <f>IF(LEN(IF(OR(NOT(ISNUMBER(B172)),LEN(B172)&lt;&gt;8),"UNSPSC vacío, en texto, con varios códigos o sin 8 dígitos; ","")&amp;IF(AND(ISNUMBER(B172),LEN(B172)=8),IF(MOD(B172,10000)=0,"UNSPSC a nivel de segmento o familia; ",""),"")&amp;IF(NOT(ISNUMBER(E172)),"Duración vacía o en texto; ","")&amp;IF(NOT(ISNUMBER(G172)),"Valor vacío o en texto; ","")&amp;IF(ISNUMBER(M172),IF(M172&lt;1000000,"Valor inferior a $1.000.000: verificar; ",""),"Valor no interpretable; ")&amp;IF(N172="[PENDIENTE DE VERIFICAR]","Modalidad no identificable; ","")&amp;IF(OR(ISERROR(SEARCH("@itc.edu.co",J172)),SUMPRODUCT(--ISNUMBER(SEARCH({"á","é","í","ó","ú","ñ"},J172)))&gt;0),"Correo vacío o no institucional válido; ","")&amp;IF(LEN(TRIM(D172))=0,"Sin objeto contractual; ","")&amp;IF(AND(ISNUMBER(M172),N172="Mínima cuantía"),IF(M172&gt;39850000,"Mínima cuantía con valor superior al tope citado en el instructivo 2026 ($39.850.000): verificar modalidad; ",""),"")&amp;IF(AND(ISNUMBER(M172),OR(ISNUMBER(SEARCH("prestación de servicios",D172)),ISNUMBER(SEARCH("prestar servicios",D172)),ISNUMBER(SEARCH("prestar los servicios",D172)))),IF(M172&gt;=500000000,"Prestación de servicios por $500 millones o más: posible error de digitación; ",""),""))=0,"Sin observaciones",IF(OR(NOT(ISNUMBER(B172)),LEN(B172)&lt;&gt;8),"UNSPSC vacío, en texto, con varios códigos o sin 8 dígitos; ","")&amp;IF(AND(ISNUMBER(B172),LEN(B172)=8),IF(MOD(B172,10000)=0,"UNSPSC a nivel de segmento o familia; ",""),"")&amp;IF(NOT(ISNUMBER(E172)),"Duración vacía o en texto; ","")&amp;IF(NOT(ISNUMBER(G172)),"Valor vacío o en texto; ","")&amp;IF(ISNUMBER(M172),IF(M172&lt;1000000,"Valor inferior a $1.000.000: verificar; ",""),"Valor no interpretable; ")&amp;IF(N172="[PENDIENTE DE VERIFICAR]","Modalidad no identificable; ","")&amp;IF(OR(ISERROR(SEARCH("@itc.edu.co",J172)),SUMPRODUCT(--ISNUMBER(SEARCH({"á","é","í","ó","ú","ñ"},J172)))&gt;0),"Correo vacío o no institucional válido; ","")&amp;IF(LEN(TRIM(D172))=0,"Sin objeto contractual; ","")&amp;IF(AND(ISNUMBER(M172),N172="Mínima cuantía"),IF(M172&gt;39850000,"Mínima cuantía con valor superior al tope citado en el instructivo 2026 ($39.850.000): verificar modalidad; ",""),"")&amp;IF(AND(ISNUMBER(M172),OR(ISNUMBER(SEARCH("prestación de servicios",D172)),ISNUMBER(SEARCH("prestar servicios",D172)),ISNUMBER(SEARCH("prestar los servicios",D172)))),IF(M172&gt;=500000000,"Prestación de servicios por $500 millones o más: posible error de digitación; ",""),""))</f>
        <v xml:space="preserve">UNSPSC a nivel de segmento o familia; Correo vacío o no institucional válido; </v>
      </c>
    </row>
    <row r="173" spans="1:15" ht="22.8" x14ac:dyDescent="0.3">
      <c r="A173" s="15" t="s">
        <v>622</v>
      </c>
      <c r="B173" s="15">
        <v>53101602</v>
      </c>
      <c r="C173" s="15" t="s">
        <v>623</v>
      </c>
      <c r="D173" s="15" t="s">
        <v>621</v>
      </c>
      <c r="E173" s="15" t="s">
        <v>1230</v>
      </c>
      <c r="F173" s="15" t="s">
        <v>1110</v>
      </c>
      <c r="G173" s="29">
        <v>15000000</v>
      </c>
      <c r="H173" s="15" t="s">
        <v>1231</v>
      </c>
      <c r="I173" s="15" t="s">
        <v>1211</v>
      </c>
      <c r="J173" s="15"/>
      <c r="K173" s="15"/>
      <c r="L173" s="30" t="s">
        <v>1140</v>
      </c>
      <c r="M173" s="31">
        <v>15000000</v>
      </c>
      <c r="N173" s="30" t="s">
        <v>1111</v>
      </c>
      <c r="O173" s="30" t="str">
        <f>IF(LEN(IF(OR(NOT(ISNUMBER(B173)),LEN(B173)&lt;&gt;8),"UNSPSC vacío, en texto, con varios códigos o sin 8 dígitos; ","")&amp;IF(AND(ISNUMBER(B173),LEN(B173)=8),IF(MOD(B173,10000)=0,"UNSPSC a nivel de segmento o familia; ",""),"")&amp;IF(NOT(ISNUMBER(E173)),"Duración vacía o en texto; ","")&amp;IF(NOT(ISNUMBER(G173)),"Valor vacío o en texto; ","")&amp;IF(ISNUMBER(M173),IF(M173&lt;1000000,"Valor inferior a $1.000.000: verificar; ",""),"Valor no interpretable; ")&amp;IF(N173="[PENDIENTE DE VERIFICAR]","Modalidad no identificable; ","")&amp;IF(OR(ISERROR(SEARCH("@itc.edu.co",J173)),SUMPRODUCT(--ISNUMBER(SEARCH({"á","é","í","ó","ú","ñ"},J173)))&gt;0),"Correo vacío o no institucional válido; ","")&amp;IF(LEN(TRIM(D173))=0,"Sin objeto contractual; ","")&amp;IF(AND(ISNUMBER(M173),N173="Mínima cuantía"),IF(M173&gt;39850000,"Mínima cuantía con valor superior al tope citado en el instructivo 2026 ($39.850.000): verificar modalidad; ",""),"")&amp;IF(AND(ISNUMBER(M173),OR(ISNUMBER(SEARCH("prestación de servicios",D173)),ISNUMBER(SEARCH("prestar servicios",D173)),ISNUMBER(SEARCH("prestar los servicios",D173)))),IF(M173&gt;=500000000,"Prestación de servicios por $500 millones o más: posible error de digitación; ",""),""))=0,"Sin observaciones",IF(OR(NOT(ISNUMBER(B173)),LEN(B173)&lt;&gt;8),"UNSPSC vacío, en texto, con varios códigos o sin 8 dígitos; ","")&amp;IF(AND(ISNUMBER(B173),LEN(B173)=8),IF(MOD(B173,10000)=0,"UNSPSC a nivel de segmento o familia; ",""),"")&amp;IF(NOT(ISNUMBER(E173)),"Duración vacía o en texto; ","")&amp;IF(NOT(ISNUMBER(G173)),"Valor vacío o en texto; ","")&amp;IF(ISNUMBER(M173),IF(M173&lt;1000000,"Valor inferior a $1.000.000: verificar; ",""),"Valor no interpretable; ")&amp;IF(N173="[PENDIENTE DE VERIFICAR]","Modalidad no identificable; ","")&amp;IF(OR(ISERROR(SEARCH("@itc.edu.co",J173)),SUMPRODUCT(--ISNUMBER(SEARCH({"á","é","í","ó","ú","ñ"},J173)))&gt;0),"Correo vacío o no institucional válido; ","")&amp;IF(LEN(TRIM(D173))=0,"Sin objeto contractual; ","")&amp;IF(AND(ISNUMBER(M173),N173="Mínima cuantía"),IF(M173&gt;39850000,"Mínima cuantía con valor superior al tope citado en el instructivo 2026 ($39.850.000): verificar modalidad; ",""),"")&amp;IF(AND(ISNUMBER(M173),OR(ISNUMBER(SEARCH("prestación de servicios",D173)),ISNUMBER(SEARCH("prestar servicios",D173)),ISNUMBER(SEARCH("prestar los servicios",D173)))),IF(M173&gt;=500000000,"Prestación de servicios por $500 millones o más: posible error de digitación; ",""),""))</f>
        <v xml:space="preserve">Duración vacía o en texto; Correo vacío o no institucional válido; </v>
      </c>
    </row>
    <row r="174" spans="1:15" ht="22.8" x14ac:dyDescent="0.3">
      <c r="A174" s="15" t="s">
        <v>680</v>
      </c>
      <c r="B174" s="15">
        <v>80141607</v>
      </c>
      <c r="C174" s="15" t="s">
        <v>623</v>
      </c>
      <c r="D174" s="15" t="s">
        <v>679</v>
      </c>
      <c r="E174" s="15" t="s">
        <v>1230</v>
      </c>
      <c r="F174" s="15" t="s">
        <v>802</v>
      </c>
      <c r="G174" s="29">
        <v>25030000</v>
      </c>
      <c r="H174" s="15" t="s">
        <v>1231</v>
      </c>
      <c r="I174" s="15" t="s">
        <v>1211</v>
      </c>
      <c r="J174" s="15" t="s">
        <v>1139</v>
      </c>
      <c r="K174" s="15"/>
      <c r="L174" s="30" t="s">
        <v>1140</v>
      </c>
      <c r="M174" s="31">
        <v>25030000</v>
      </c>
      <c r="N174" s="30" t="s">
        <v>803</v>
      </c>
      <c r="O174" s="30" t="str">
        <f>IF(LEN(IF(OR(NOT(ISNUMBER(B174)),LEN(B174)&lt;&gt;8),"UNSPSC vacío, en texto, con varios códigos o sin 8 dígitos; ","")&amp;IF(AND(ISNUMBER(B174),LEN(B174)=8),IF(MOD(B174,10000)=0,"UNSPSC a nivel de segmento o familia; ",""),"")&amp;IF(NOT(ISNUMBER(E174)),"Duración vacía o en texto; ","")&amp;IF(NOT(ISNUMBER(G174)),"Valor vacío o en texto; ","")&amp;IF(ISNUMBER(M174),IF(M174&lt;1000000,"Valor inferior a $1.000.000: verificar; ",""),"Valor no interpretable; ")&amp;IF(N174="[PENDIENTE DE VERIFICAR]","Modalidad no identificable; ","")&amp;IF(OR(ISERROR(SEARCH("@itc.edu.co",J174)),SUMPRODUCT(--ISNUMBER(SEARCH({"á","é","í","ó","ú","ñ"},J174)))&gt;0),"Correo vacío o no institucional válido; ","")&amp;IF(LEN(TRIM(D174))=0,"Sin objeto contractual; ","")&amp;IF(AND(ISNUMBER(M174),N174="Mínima cuantía"),IF(M174&gt;39850000,"Mínima cuantía con valor superior al tope citado en el instructivo 2026 ($39.850.000): verificar modalidad; ",""),"")&amp;IF(AND(ISNUMBER(M174),OR(ISNUMBER(SEARCH("prestación de servicios",D174)),ISNUMBER(SEARCH("prestar servicios",D174)),ISNUMBER(SEARCH("prestar los servicios",D174)))),IF(M174&gt;=500000000,"Prestación de servicios por $500 millones o más: posible error de digitación; ",""),""))=0,"Sin observaciones",IF(OR(NOT(ISNUMBER(B174)),LEN(B174)&lt;&gt;8),"UNSPSC vacío, en texto, con varios códigos o sin 8 dígitos; ","")&amp;IF(AND(ISNUMBER(B174),LEN(B174)=8),IF(MOD(B174,10000)=0,"UNSPSC a nivel de segmento o familia; ",""),"")&amp;IF(NOT(ISNUMBER(E174)),"Duración vacía o en texto; ","")&amp;IF(NOT(ISNUMBER(G174)),"Valor vacío o en texto; ","")&amp;IF(ISNUMBER(M174),IF(M174&lt;1000000,"Valor inferior a $1.000.000: verificar; ",""),"Valor no interpretable; ")&amp;IF(N174="[PENDIENTE DE VERIFICAR]","Modalidad no identificable; ","")&amp;IF(OR(ISERROR(SEARCH("@itc.edu.co",J174)),SUMPRODUCT(--ISNUMBER(SEARCH({"á","é","í","ó","ú","ñ"},J174)))&gt;0),"Correo vacío o no institucional válido; ","")&amp;IF(LEN(TRIM(D174))=0,"Sin objeto contractual; ","")&amp;IF(AND(ISNUMBER(M174),N174="Mínima cuantía"),IF(M174&gt;39850000,"Mínima cuantía con valor superior al tope citado en el instructivo 2026 ($39.850.000): verificar modalidad; ",""),"")&amp;IF(AND(ISNUMBER(M174),OR(ISNUMBER(SEARCH("prestación de servicios",D174)),ISNUMBER(SEARCH("prestar servicios",D174)),ISNUMBER(SEARCH("prestar los servicios",D174)))),IF(M174&gt;=500000000,"Prestación de servicios por $500 millones o más: posible error de digitación; ",""),""))</f>
        <v xml:space="preserve">Duración vacía o en texto; </v>
      </c>
    </row>
    <row r="175" spans="1:15" ht="34.200000000000003" x14ac:dyDescent="0.3">
      <c r="A175" s="15" t="s">
        <v>722</v>
      </c>
      <c r="B175" s="15">
        <v>90151500</v>
      </c>
      <c r="C175" s="15" t="s">
        <v>723</v>
      </c>
      <c r="D175" s="15" t="s">
        <v>1232</v>
      </c>
      <c r="E175" s="15" t="s">
        <v>1230</v>
      </c>
      <c r="F175" s="15" t="s">
        <v>802</v>
      </c>
      <c r="G175" s="29">
        <v>32130000</v>
      </c>
      <c r="H175" s="15" t="s">
        <v>723</v>
      </c>
      <c r="I175" s="15" t="s">
        <v>1233</v>
      </c>
      <c r="J175" s="15" t="s">
        <v>910</v>
      </c>
      <c r="K175" s="15"/>
      <c r="L175" s="30" t="s">
        <v>911</v>
      </c>
      <c r="M175" s="31">
        <v>32130000</v>
      </c>
      <c r="N175" s="30" t="s">
        <v>803</v>
      </c>
      <c r="O175" s="30" t="str">
        <f>IF(LEN(IF(OR(NOT(ISNUMBER(B175)),LEN(B175)&lt;&gt;8),"UNSPSC vacío, en texto, con varios códigos o sin 8 dígitos; ","")&amp;IF(AND(ISNUMBER(B175),LEN(B175)=8),IF(MOD(B175,10000)=0,"UNSPSC a nivel de segmento o familia; ",""),"")&amp;IF(NOT(ISNUMBER(E175)),"Duración vacía o en texto; ","")&amp;IF(NOT(ISNUMBER(G175)),"Valor vacío o en texto; ","")&amp;IF(ISNUMBER(M175),IF(M175&lt;1000000,"Valor inferior a $1.000.000: verificar; ",""),"Valor no interpretable; ")&amp;IF(N175="[PENDIENTE DE VERIFICAR]","Modalidad no identificable; ","")&amp;IF(OR(ISERROR(SEARCH("@itc.edu.co",J175)),SUMPRODUCT(--ISNUMBER(SEARCH({"á","é","í","ó","ú","ñ"},J175)))&gt;0),"Correo vacío o no institucional válido; ","")&amp;IF(LEN(TRIM(D175))=0,"Sin objeto contractual; ","")&amp;IF(AND(ISNUMBER(M175),N175="Mínima cuantía"),IF(M175&gt;39850000,"Mínima cuantía con valor superior al tope citado en el instructivo 2026 ($39.850.000): verificar modalidad; ",""),"")&amp;IF(AND(ISNUMBER(M175),OR(ISNUMBER(SEARCH("prestación de servicios",D175)),ISNUMBER(SEARCH("prestar servicios",D175)),ISNUMBER(SEARCH("prestar los servicios",D175)))),IF(M175&gt;=500000000,"Prestación de servicios por $500 millones o más: posible error de digitación; ",""),""))=0,"Sin observaciones",IF(OR(NOT(ISNUMBER(B175)),LEN(B175)&lt;&gt;8),"UNSPSC vacío, en texto, con varios códigos o sin 8 dígitos; ","")&amp;IF(AND(ISNUMBER(B175),LEN(B175)=8),IF(MOD(B175,10000)=0,"UNSPSC a nivel de segmento o familia; ",""),"")&amp;IF(NOT(ISNUMBER(E175)),"Duración vacía o en texto; ","")&amp;IF(NOT(ISNUMBER(G175)),"Valor vacío o en texto; ","")&amp;IF(ISNUMBER(M175),IF(M175&lt;1000000,"Valor inferior a $1.000.000: verificar; ",""),"Valor no interpretable; ")&amp;IF(N175="[PENDIENTE DE VERIFICAR]","Modalidad no identificable; ","")&amp;IF(OR(ISERROR(SEARCH("@itc.edu.co",J175)),SUMPRODUCT(--ISNUMBER(SEARCH({"á","é","í","ó","ú","ñ"},J175)))&gt;0),"Correo vacío o no institucional válido; ","")&amp;IF(LEN(TRIM(D175))=0,"Sin objeto contractual; ","")&amp;IF(AND(ISNUMBER(M175),N175="Mínima cuantía"),IF(M175&gt;39850000,"Mínima cuantía con valor superior al tope citado en el instructivo 2026 ($39.850.000): verificar modalidad; ",""),"")&amp;IF(AND(ISNUMBER(M175),OR(ISNUMBER(SEARCH("prestación de servicios",D175)),ISNUMBER(SEARCH("prestar servicios",D175)),ISNUMBER(SEARCH("prestar los servicios",D175)))),IF(M175&gt;=500000000,"Prestación de servicios por $500 millones o más: posible error de digitación; ",""),""))</f>
        <v xml:space="preserve">Duración vacía o en texto; </v>
      </c>
    </row>
    <row r="176" spans="1:15" ht="79.8" x14ac:dyDescent="0.3">
      <c r="A176" s="15" t="s">
        <v>1234</v>
      </c>
      <c r="B176" s="15">
        <v>80101600</v>
      </c>
      <c r="C176" s="15" t="s">
        <v>1235</v>
      </c>
      <c r="D176" s="15" t="s">
        <v>1236</v>
      </c>
      <c r="E176" s="15" t="s">
        <v>1237</v>
      </c>
      <c r="F176" s="15" t="s">
        <v>802</v>
      </c>
      <c r="G176" s="29">
        <v>76433500</v>
      </c>
      <c r="H176" s="15" t="s">
        <v>1238</v>
      </c>
      <c r="I176" s="15" t="s">
        <v>1239</v>
      </c>
      <c r="J176" s="15" t="s">
        <v>955</v>
      </c>
      <c r="K176" s="15"/>
      <c r="L176" s="30" t="s">
        <v>929</v>
      </c>
      <c r="M176" s="31">
        <v>76433500</v>
      </c>
      <c r="N176" s="30" t="s">
        <v>803</v>
      </c>
      <c r="O176" s="30" t="str">
        <f>IF(LEN(IF(OR(NOT(ISNUMBER(B176)),LEN(B176)&lt;&gt;8),"UNSPSC vacío, en texto, con varios códigos o sin 8 dígitos; ","")&amp;IF(AND(ISNUMBER(B176),LEN(B176)=8),IF(MOD(B176,10000)=0,"UNSPSC a nivel de segmento o familia; ",""),"")&amp;IF(NOT(ISNUMBER(E176)),"Duración vacía o en texto; ","")&amp;IF(NOT(ISNUMBER(G176)),"Valor vacío o en texto; ","")&amp;IF(ISNUMBER(M176),IF(M176&lt;1000000,"Valor inferior a $1.000.000: verificar; ",""),"Valor no interpretable; ")&amp;IF(N176="[PENDIENTE DE VERIFICAR]","Modalidad no identificable; ","")&amp;IF(OR(ISERROR(SEARCH("@itc.edu.co",J176)),SUMPRODUCT(--ISNUMBER(SEARCH({"á","é","í","ó","ú","ñ"},J176)))&gt;0),"Correo vacío o no institucional válido; ","")&amp;IF(LEN(TRIM(D176))=0,"Sin objeto contractual; ","")&amp;IF(AND(ISNUMBER(M176),N176="Mínima cuantía"),IF(M176&gt;39850000,"Mínima cuantía con valor superior al tope citado en el instructivo 2026 ($39.850.000): verificar modalidad; ",""),"")&amp;IF(AND(ISNUMBER(M176),OR(ISNUMBER(SEARCH("prestación de servicios",D176)),ISNUMBER(SEARCH("prestar servicios",D176)),ISNUMBER(SEARCH("prestar los servicios",D176)))),IF(M176&gt;=500000000,"Prestación de servicios por $500 millones o más: posible error de digitación; ",""),""))=0,"Sin observaciones",IF(OR(NOT(ISNUMBER(B176)),LEN(B176)&lt;&gt;8),"UNSPSC vacío, en texto, con varios códigos o sin 8 dígitos; ","")&amp;IF(AND(ISNUMBER(B176),LEN(B176)=8),IF(MOD(B176,10000)=0,"UNSPSC a nivel de segmento o familia; ",""),"")&amp;IF(NOT(ISNUMBER(E176)),"Duración vacía o en texto; ","")&amp;IF(NOT(ISNUMBER(G176)),"Valor vacío o en texto; ","")&amp;IF(ISNUMBER(M176),IF(M176&lt;1000000,"Valor inferior a $1.000.000: verificar; ",""),"Valor no interpretable; ")&amp;IF(N176="[PENDIENTE DE VERIFICAR]","Modalidad no identificable; ","")&amp;IF(OR(ISERROR(SEARCH("@itc.edu.co",J176)),SUMPRODUCT(--ISNUMBER(SEARCH({"á","é","í","ó","ú","ñ"},J176)))&gt;0),"Correo vacío o no institucional válido; ","")&amp;IF(LEN(TRIM(D176))=0,"Sin objeto contractual; ","")&amp;IF(AND(ISNUMBER(M176),N176="Mínima cuantía"),IF(M176&gt;39850000,"Mínima cuantía con valor superior al tope citado en el instructivo 2026 ($39.850.000): verificar modalidad; ",""),"")&amp;IF(AND(ISNUMBER(M176),OR(ISNUMBER(SEARCH("prestación de servicios",D176)),ISNUMBER(SEARCH("prestar servicios",D176)),ISNUMBER(SEARCH("prestar los servicios",D176)))),IF(M176&gt;=500000000,"Prestación de servicios por $500 millones o más: posible error de digitación; ",""),""))</f>
        <v xml:space="preserve">Duración vacía o en texto; </v>
      </c>
    </row>
    <row r="177" spans="1:15" ht="57" x14ac:dyDescent="0.3">
      <c r="A177" s="15" t="s">
        <v>1240</v>
      </c>
      <c r="B177" s="15">
        <v>80101600</v>
      </c>
      <c r="C177" s="15" t="s">
        <v>1235</v>
      </c>
      <c r="D177" s="15" t="s">
        <v>1241</v>
      </c>
      <c r="E177" s="15" t="s">
        <v>1237</v>
      </c>
      <c r="F177" s="15" t="s">
        <v>802</v>
      </c>
      <c r="G177" s="29">
        <v>45238598</v>
      </c>
      <c r="H177" s="15" t="s">
        <v>1238</v>
      </c>
      <c r="I177" s="15" t="s">
        <v>1239</v>
      </c>
      <c r="J177" s="15" t="s">
        <v>955</v>
      </c>
      <c r="K177" s="15"/>
      <c r="L177" s="30" t="s">
        <v>929</v>
      </c>
      <c r="M177" s="31">
        <v>45238598</v>
      </c>
      <c r="N177" s="30" t="s">
        <v>803</v>
      </c>
      <c r="O177" s="30" t="str">
        <f>IF(LEN(IF(OR(NOT(ISNUMBER(B177)),LEN(B177)&lt;&gt;8),"UNSPSC vacío, en texto, con varios códigos o sin 8 dígitos; ","")&amp;IF(AND(ISNUMBER(B177),LEN(B177)=8),IF(MOD(B177,10000)=0,"UNSPSC a nivel de segmento o familia; ",""),"")&amp;IF(NOT(ISNUMBER(E177)),"Duración vacía o en texto; ","")&amp;IF(NOT(ISNUMBER(G177)),"Valor vacío o en texto; ","")&amp;IF(ISNUMBER(M177),IF(M177&lt;1000000,"Valor inferior a $1.000.000: verificar; ",""),"Valor no interpretable; ")&amp;IF(N177="[PENDIENTE DE VERIFICAR]","Modalidad no identificable; ","")&amp;IF(OR(ISERROR(SEARCH("@itc.edu.co",J177)),SUMPRODUCT(--ISNUMBER(SEARCH({"á","é","í","ó","ú","ñ"},J177)))&gt;0),"Correo vacío o no institucional válido; ","")&amp;IF(LEN(TRIM(D177))=0,"Sin objeto contractual; ","")&amp;IF(AND(ISNUMBER(M177),N177="Mínima cuantía"),IF(M177&gt;39850000,"Mínima cuantía con valor superior al tope citado en el instructivo 2026 ($39.850.000): verificar modalidad; ",""),"")&amp;IF(AND(ISNUMBER(M177),OR(ISNUMBER(SEARCH("prestación de servicios",D177)),ISNUMBER(SEARCH("prestar servicios",D177)),ISNUMBER(SEARCH("prestar los servicios",D177)))),IF(M177&gt;=500000000,"Prestación de servicios por $500 millones o más: posible error de digitación; ",""),""))=0,"Sin observaciones",IF(OR(NOT(ISNUMBER(B177)),LEN(B177)&lt;&gt;8),"UNSPSC vacío, en texto, con varios códigos o sin 8 dígitos; ","")&amp;IF(AND(ISNUMBER(B177),LEN(B177)=8),IF(MOD(B177,10000)=0,"UNSPSC a nivel de segmento o familia; ",""),"")&amp;IF(NOT(ISNUMBER(E177)),"Duración vacía o en texto; ","")&amp;IF(NOT(ISNUMBER(G177)),"Valor vacío o en texto; ","")&amp;IF(ISNUMBER(M177),IF(M177&lt;1000000,"Valor inferior a $1.000.000: verificar; ",""),"Valor no interpretable; ")&amp;IF(N177="[PENDIENTE DE VERIFICAR]","Modalidad no identificable; ","")&amp;IF(OR(ISERROR(SEARCH("@itc.edu.co",J177)),SUMPRODUCT(--ISNUMBER(SEARCH({"á","é","í","ó","ú","ñ"},J177)))&gt;0),"Correo vacío o no institucional válido; ","")&amp;IF(LEN(TRIM(D177))=0,"Sin objeto contractual; ","")&amp;IF(AND(ISNUMBER(M177),N177="Mínima cuantía"),IF(M177&gt;39850000,"Mínima cuantía con valor superior al tope citado en el instructivo 2026 ($39.850.000): verificar modalidad; ",""),"")&amp;IF(AND(ISNUMBER(M177),OR(ISNUMBER(SEARCH("prestación de servicios",D177)),ISNUMBER(SEARCH("prestar servicios",D177)),ISNUMBER(SEARCH("prestar los servicios",D177)))),IF(M177&gt;=500000000,"Prestación de servicios por $500 millones o más: posible error de digitación; ",""),""))</f>
        <v xml:space="preserve">Duración vacía o en texto; </v>
      </c>
    </row>
    <row r="178" spans="1:15" ht="57" x14ac:dyDescent="0.3">
      <c r="A178" s="15" t="s">
        <v>1242</v>
      </c>
      <c r="B178" s="15">
        <v>80101600</v>
      </c>
      <c r="C178" s="15" t="s">
        <v>1235</v>
      </c>
      <c r="D178" s="15" t="s">
        <v>1243</v>
      </c>
      <c r="E178" s="15" t="s">
        <v>1237</v>
      </c>
      <c r="F178" s="15" t="s">
        <v>802</v>
      </c>
      <c r="G178" s="29">
        <v>29395926</v>
      </c>
      <c r="H178" s="15" t="s">
        <v>1238</v>
      </c>
      <c r="I178" s="15" t="s">
        <v>1239</v>
      </c>
      <c r="J178" s="15" t="s">
        <v>955</v>
      </c>
      <c r="K178" s="15"/>
      <c r="L178" s="30" t="s">
        <v>929</v>
      </c>
      <c r="M178" s="31">
        <v>29395926</v>
      </c>
      <c r="N178" s="30" t="s">
        <v>803</v>
      </c>
      <c r="O178" s="30" t="str">
        <f>IF(LEN(IF(OR(NOT(ISNUMBER(B178)),LEN(B178)&lt;&gt;8),"UNSPSC vacío, en texto, con varios códigos o sin 8 dígitos; ","")&amp;IF(AND(ISNUMBER(B178),LEN(B178)=8),IF(MOD(B178,10000)=0,"UNSPSC a nivel de segmento o familia; ",""),"")&amp;IF(NOT(ISNUMBER(E178)),"Duración vacía o en texto; ","")&amp;IF(NOT(ISNUMBER(G178)),"Valor vacío o en texto; ","")&amp;IF(ISNUMBER(M178),IF(M178&lt;1000000,"Valor inferior a $1.000.000: verificar; ",""),"Valor no interpretable; ")&amp;IF(N178="[PENDIENTE DE VERIFICAR]","Modalidad no identificable; ","")&amp;IF(OR(ISERROR(SEARCH("@itc.edu.co",J178)),SUMPRODUCT(--ISNUMBER(SEARCH({"á","é","í","ó","ú","ñ"},J178)))&gt;0),"Correo vacío o no institucional válido; ","")&amp;IF(LEN(TRIM(D178))=0,"Sin objeto contractual; ","")&amp;IF(AND(ISNUMBER(M178),N178="Mínima cuantía"),IF(M178&gt;39850000,"Mínima cuantía con valor superior al tope citado en el instructivo 2026 ($39.850.000): verificar modalidad; ",""),"")&amp;IF(AND(ISNUMBER(M178),OR(ISNUMBER(SEARCH("prestación de servicios",D178)),ISNUMBER(SEARCH("prestar servicios",D178)),ISNUMBER(SEARCH("prestar los servicios",D178)))),IF(M178&gt;=500000000,"Prestación de servicios por $500 millones o más: posible error de digitación; ",""),""))=0,"Sin observaciones",IF(OR(NOT(ISNUMBER(B178)),LEN(B178)&lt;&gt;8),"UNSPSC vacío, en texto, con varios códigos o sin 8 dígitos; ","")&amp;IF(AND(ISNUMBER(B178),LEN(B178)=8),IF(MOD(B178,10000)=0,"UNSPSC a nivel de segmento o familia; ",""),"")&amp;IF(NOT(ISNUMBER(E178)),"Duración vacía o en texto; ","")&amp;IF(NOT(ISNUMBER(G178)),"Valor vacío o en texto; ","")&amp;IF(ISNUMBER(M178),IF(M178&lt;1000000,"Valor inferior a $1.000.000: verificar; ",""),"Valor no interpretable; ")&amp;IF(N178="[PENDIENTE DE VERIFICAR]","Modalidad no identificable; ","")&amp;IF(OR(ISERROR(SEARCH("@itc.edu.co",J178)),SUMPRODUCT(--ISNUMBER(SEARCH({"á","é","í","ó","ú","ñ"},J178)))&gt;0),"Correo vacío o no institucional válido; ","")&amp;IF(LEN(TRIM(D178))=0,"Sin objeto contractual; ","")&amp;IF(AND(ISNUMBER(M178),N178="Mínima cuantía"),IF(M178&gt;39850000,"Mínima cuantía con valor superior al tope citado en el instructivo 2026 ($39.850.000): verificar modalidad; ",""),"")&amp;IF(AND(ISNUMBER(M178),OR(ISNUMBER(SEARCH("prestación de servicios",D178)),ISNUMBER(SEARCH("prestar servicios",D178)),ISNUMBER(SEARCH("prestar los servicios",D178)))),IF(M178&gt;=500000000,"Prestación de servicios por $500 millones o más: posible error de digitación; ",""),""))</f>
        <v xml:space="preserve">Duración vacía o en texto; </v>
      </c>
    </row>
    <row r="179" spans="1:15" ht="68.400000000000006" x14ac:dyDescent="0.3">
      <c r="A179" s="15" t="s">
        <v>1244</v>
      </c>
      <c r="B179" s="15">
        <v>80101600</v>
      </c>
      <c r="C179" s="15" t="s">
        <v>1235</v>
      </c>
      <c r="D179" s="15" t="s">
        <v>1245</v>
      </c>
      <c r="E179" s="15" t="s">
        <v>1237</v>
      </c>
      <c r="F179" s="15" t="s">
        <v>802</v>
      </c>
      <c r="G179" s="29">
        <v>45238598</v>
      </c>
      <c r="H179" s="15" t="s">
        <v>1238</v>
      </c>
      <c r="I179" s="15" t="s">
        <v>1239</v>
      </c>
      <c r="J179" s="15" t="s">
        <v>955</v>
      </c>
      <c r="K179" s="15"/>
      <c r="L179" s="30" t="s">
        <v>929</v>
      </c>
      <c r="M179" s="31">
        <v>45238598</v>
      </c>
      <c r="N179" s="30" t="s">
        <v>803</v>
      </c>
      <c r="O179" s="30" t="str">
        <f>IF(LEN(IF(OR(NOT(ISNUMBER(B179)),LEN(B179)&lt;&gt;8),"UNSPSC vacío, en texto, con varios códigos o sin 8 dígitos; ","")&amp;IF(AND(ISNUMBER(B179),LEN(B179)=8),IF(MOD(B179,10000)=0,"UNSPSC a nivel de segmento o familia; ",""),"")&amp;IF(NOT(ISNUMBER(E179)),"Duración vacía o en texto; ","")&amp;IF(NOT(ISNUMBER(G179)),"Valor vacío o en texto; ","")&amp;IF(ISNUMBER(M179),IF(M179&lt;1000000,"Valor inferior a $1.000.000: verificar; ",""),"Valor no interpretable; ")&amp;IF(N179="[PENDIENTE DE VERIFICAR]","Modalidad no identificable; ","")&amp;IF(OR(ISERROR(SEARCH("@itc.edu.co",J179)),SUMPRODUCT(--ISNUMBER(SEARCH({"á","é","í","ó","ú","ñ"},J179)))&gt;0),"Correo vacío o no institucional válido; ","")&amp;IF(LEN(TRIM(D179))=0,"Sin objeto contractual; ","")&amp;IF(AND(ISNUMBER(M179),N179="Mínima cuantía"),IF(M179&gt;39850000,"Mínima cuantía con valor superior al tope citado en el instructivo 2026 ($39.850.000): verificar modalidad; ",""),"")&amp;IF(AND(ISNUMBER(M179),OR(ISNUMBER(SEARCH("prestación de servicios",D179)),ISNUMBER(SEARCH("prestar servicios",D179)),ISNUMBER(SEARCH("prestar los servicios",D179)))),IF(M179&gt;=500000000,"Prestación de servicios por $500 millones o más: posible error de digitación; ",""),""))=0,"Sin observaciones",IF(OR(NOT(ISNUMBER(B179)),LEN(B179)&lt;&gt;8),"UNSPSC vacío, en texto, con varios códigos o sin 8 dígitos; ","")&amp;IF(AND(ISNUMBER(B179),LEN(B179)=8),IF(MOD(B179,10000)=0,"UNSPSC a nivel de segmento o familia; ",""),"")&amp;IF(NOT(ISNUMBER(E179)),"Duración vacía o en texto; ","")&amp;IF(NOT(ISNUMBER(G179)),"Valor vacío o en texto; ","")&amp;IF(ISNUMBER(M179),IF(M179&lt;1000000,"Valor inferior a $1.000.000: verificar; ",""),"Valor no interpretable; ")&amp;IF(N179="[PENDIENTE DE VERIFICAR]","Modalidad no identificable; ","")&amp;IF(OR(ISERROR(SEARCH("@itc.edu.co",J179)),SUMPRODUCT(--ISNUMBER(SEARCH({"á","é","í","ó","ú","ñ"},J179)))&gt;0),"Correo vacío o no institucional válido; ","")&amp;IF(LEN(TRIM(D179))=0,"Sin objeto contractual; ","")&amp;IF(AND(ISNUMBER(M179),N179="Mínima cuantía"),IF(M179&gt;39850000,"Mínima cuantía con valor superior al tope citado en el instructivo 2026 ($39.850.000): verificar modalidad; ",""),"")&amp;IF(AND(ISNUMBER(M179),OR(ISNUMBER(SEARCH("prestación de servicios",D179)),ISNUMBER(SEARCH("prestar servicios",D179)),ISNUMBER(SEARCH("prestar los servicios",D179)))),IF(M179&gt;=500000000,"Prestación de servicios por $500 millones o más: posible error de digitación; ",""),""))</f>
        <v xml:space="preserve">Duración vacía o en texto; </v>
      </c>
    </row>
    <row r="180" spans="1:15" ht="45.6" x14ac:dyDescent="0.3">
      <c r="A180" s="15" t="s">
        <v>1246</v>
      </c>
      <c r="B180" s="15">
        <v>80101600</v>
      </c>
      <c r="C180" s="15" t="s">
        <v>1235</v>
      </c>
      <c r="D180" s="15" t="s">
        <v>1247</v>
      </c>
      <c r="E180" s="15" t="s">
        <v>1237</v>
      </c>
      <c r="F180" s="15" t="s">
        <v>802</v>
      </c>
      <c r="G180" s="29">
        <v>55399169</v>
      </c>
      <c r="H180" s="15" t="s">
        <v>1238</v>
      </c>
      <c r="I180" s="15" t="s">
        <v>1239</v>
      </c>
      <c r="J180" s="15" t="s">
        <v>955</v>
      </c>
      <c r="K180" s="15"/>
      <c r="L180" s="30" t="s">
        <v>929</v>
      </c>
      <c r="M180" s="31">
        <v>55399169</v>
      </c>
      <c r="N180" s="30" t="s">
        <v>803</v>
      </c>
      <c r="O180" s="30" t="str">
        <f>IF(LEN(IF(OR(NOT(ISNUMBER(B180)),LEN(B180)&lt;&gt;8),"UNSPSC vacío, en texto, con varios códigos o sin 8 dígitos; ","")&amp;IF(AND(ISNUMBER(B180),LEN(B180)=8),IF(MOD(B180,10000)=0,"UNSPSC a nivel de segmento o familia; ",""),"")&amp;IF(NOT(ISNUMBER(E180)),"Duración vacía o en texto; ","")&amp;IF(NOT(ISNUMBER(G180)),"Valor vacío o en texto; ","")&amp;IF(ISNUMBER(M180),IF(M180&lt;1000000,"Valor inferior a $1.000.000: verificar; ",""),"Valor no interpretable; ")&amp;IF(N180="[PENDIENTE DE VERIFICAR]","Modalidad no identificable; ","")&amp;IF(OR(ISERROR(SEARCH("@itc.edu.co",J180)),SUMPRODUCT(--ISNUMBER(SEARCH({"á","é","í","ó","ú","ñ"},J180)))&gt;0),"Correo vacío o no institucional válido; ","")&amp;IF(LEN(TRIM(D180))=0,"Sin objeto contractual; ","")&amp;IF(AND(ISNUMBER(M180),N180="Mínima cuantía"),IF(M180&gt;39850000,"Mínima cuantía con valor superior al tope citado en el instructivo 2026 ($39.850.000): verificar modalidad; ",""),"")&amp;IF(AND(ISNUMBER(M180),OR(ISNUMBER(SEARCH("prestación de servicios",D180)),ISNUMBER(SEARCH("prestar servicios",D180)),ISNUMBER(SEARCH("prestar los servicios",D180)))),IF(M180&gt;=500000000,"Prestación de servicios por $500 millones o más: posible error de digitación; ",""),""))=0,"Sin observaciones",IF(OR(NOT(ISNUMBER(B180)),LEN(B180)&lt;&gt;8),"UNSPSC vacío, en texto, con varios códigos o sin 8 dígitos; ","")&amp;IF(AND(ISNUMBER(B180),LEN(B180)=8),IF(MOD(B180,10000)=0,"UNSPSC a nivel de segmento o familia; ",""),"")&amp;IF(NOT(ISNUMBER(E180)),"Duración vacía o en texto; ","")&amp;IF(NOT(ISNUMBER(G180)),"Valor vacío o en texto; ","")&amp;IF(ISNUMBER(M180),IF(M180&lt;1000000,"Valor inferior a $1.000.000: verificar; ",""),"Valor no interpretable; ")&amp;IF(N180="[PENDIENTE DE VERIFICAR]","Modalidad no identificable; ","")&amp;IF(OR(ISERROR(SEARCH("@itc.edu.co",J180)),SUMPRODUCT(--ISNUMBER(SEARCH({"á","é","í","ó","ú","ñ"},J180)))&gt;0),"Correo vacío o no institucional válido; ","")&amp;IF(LEN(TRIM(D180))=0,"Sin objeto contractual; ","")&amp;IF(AND(ISNUMBER(M180),N180="Mínima cuantía"),IF(M180&gt;39850000,"Mínima cuantía con valor superior al tope citado en el instructivo 2026 ($39.850.000): verificar modalidad; ",""),"")&amp;IF(AND(ISNUMBER(M180),OR(ISNUMBER(SEARCH("prestación de servicios",D180)),ISNUMBER(SEARCH("prestar servicios",D180)),ISNUMBER(SEARCH("prestar los servicios",D180)))),IF(M180&gt;=500000000,"Prestación de servicios por $500 millones o más: posible error de digitación; ",""),""))</f>
        <v xml:space="preserve">Duración vacía o en texto; </v>
      </c>
    </row>
    <row r="181" spans="1:15" ht="34.200000000000003" x14ac:dyDescent="0.3">
      <c r="A181" s="15" t="s">
        <v>1248</v>
      </c>
      <c r="B181" s="15">
        <v>80101600</v>
      </c>
      <c r="C181" s="15" t="s">
        <v>1235</v>
      </c>
      <c r="D181" s="15" t="s">
        <v>1249</v>
      </c>
      <c r="E181" s="15">
        <v>100</v>
      </c>
      <c r="F181" s="15" t="s">
        <v>802</v>
      </c>
      <c r="G181" s="29">
        <v>10000000</v>
      </c>
      <c r="H181" s="15" t="s">
        <v>1238</v>
      </c>
      <c r="I181" s="15" t="s">
        <v>1239</v>
      </c>
      <c r="J181" s="15" t="s">
        <v>955</v>
      </c>
      <c r="K181" s="15"/>
      <c r="L181" s="30" t="s">
        <v>929</v>
      </c>
      <c r="M181" s="31">
        <v>10000000</v>
      </c>
      <c r="N181" s="30" t="s">
        <v>803</v>
      </c>
      <c r="O181" s="30" t="str">
        <f>IF(LEN(IF(OR(NOT(ISNUMBER(B181)),LEN(B181)&lt;&gt;8),"UNSPSC vacío, en texto, con varios códigos o sin 8 dígitos; ","")&amp;IF(AND(ISNUMBER(B181),LEN(B181)=8),IF(MOD(B181,10000)=0,"UNSPSC a nivel de segmento o familia; ",""),"")&amp;IF(NOT(ISNUMBER(E181)),"Duración vacía o en texto; ","")&amp;IF(NOT(ISNUMBER(G181)),"Valor vacío o en texto; ","")&amp;IF(ISNUMBER(M181),IF(M181&lt;1000000,"Valor inferior a $1.000.000: verificar; ",""),"Valor no interpretable; ")&amp;IF(N181="[PENDIENTE DE VERIFICAR]","Modalidad no identificable; ","")&amp;IF(OR(ISERROR(SEARCH("@itc.edu.co",J181)),SUMPRODUCT(--ISNUMBER(SEARCH({"á","é","í","ó","ú","ñ"},J181)))&gt;0),"Correo vacío o no institucional válido; ","")&amp;IF(LEN(TRIM(D181))=0,"Sin objeto contractual; ","")&amp;IF(AND(ISNUMBER(M181),N181="Mínima cuantía"),IF(M181&gt;39850000,"Mínima cuantía con valor superior al tope citado en el instructivo 2026 ($39.850.000): verificar modalidad; ",""),"")&amp;IF(AND(ISNUMBER(M181),OR(ISNUMBER(SEARCH("prestación de servicios",D181)),ISNUMBER(SEARCH("prestar servicios",D181)),ISNUMBER(SEARCH("prestar los servicios",D181)))),IF(M181&gt;=500000000,"Prestación de servicios por $500 millones o más: posible error de digitación; ",""),""))=0,"Sin observaciones",IF(OR(NOT(ISNUMBER(B181)),LEN(B181)&lt;&gt;8),"UNSPSC vacío, en texto, con varios códigos o sin 8 dígitos; ","")&amp;IF(AND(ISNUMBER(B181),LEN(B181)=8),IF(MOD(B181,10000)=0,"UNSPSC a nivel de segmento o familia; ",""),"")&amp;IF(NOT(ISNUMBER(E181)),"Duración vacía o en texto; ","")&amp;IF(NOT(ISNUMBER(G181)),"Valor vacío o en texto; ","")&amp;IF(ISNUMBER(M181),IF(M181&lt;1000000,"Valor inferior a $1.000.000: verificar; ",""),"Valor no interpretable; ")&amp;IF(N181="[PENDIENTE DE VERIFICAR]","Modalidad no identificable; ","")&amp;IF(OR(ISERROR(SEARCH("@itc.edu.co",J181)),SUMPRODUCT(--ISNUMBER(SEARCH({"á","é","í","ó","ú","ñ"},J181)))&gt;0),"Correo vacío o no institucional válido; ","")&amp;IF(LEN(TRIM(D181))=0,"Sin objeto contractual; ","")&amp;IF(AND(ISNUMBER(M181),N181="Mínima cuantía"),IF(M181&gt;39850000,"Mínima cuantía con valor superior al tope citado en el instructivo 2026 ($39.850.000): verificar modalidad; ",""),"")&amp;IF(AND(ISNUMBER(M181),OR(ISNUMBER(SEARCH("prestación de servicios",D181)),ISNUMBER(SEARCH("prestar servicios",D181)),ISNUMBER(SEARCH("prestar los servicios",D181)))),IF(M181&gt;=500000000,"Prestación de servicios por $500 millones o más: posible error de digitación; ",""),""))</f>
        <v>Sin observaciones</v>
      </c>
    </row>
    <row r="182" spans="1:15" ht="57" x14ac:dyDescent="0.3">
      <c r="A182" s="15" t="s">
        <v>1250</v>
      </c>
      <c r="B182" s="15">
        <v>80101600</v>
      </c>
      <c r="C182" s="15" t="s">
        <v>1235</v>
      </c>
      <c r="D182" s="15" t="s">
        <v>1251</v>
      </c>
      <c r="E182" s="15">
        <v>1200</v>
      </c>
      <c r="F182" s="15" t="s">
        <v>802</v>
      </c>
      <c r="G182" s="29">
        <v>156000000</v>
      </c>
      <c r="H182" s="15" t="s">
        <v>1238</v>
      </c>
      <c r="I182" s="15" t="s">
        <v>1239</v>
      </c>
      <c r="J182" s="15" t="s">
        <v>955</v>
      </c>
      <c r="K182" s="15"/>
      <c r="L182" s="30" t="s">
        <v>929</v>
      </c>
      <c r="M182" s="31">
        <v>156000000</v>
      </c>
      <c r="N182" s="30" t="s">
        <v>803</v>
      </c>
      <c r="O182" s="30" t="str">
        <f>IF(LEN(IF(OR(NOT(ISNUMBER(B182)),LEN(B182)&lt;&gt;8),"UNSPSC vacío, en texto, con varios códigos o sin 8 dígitos; ","")&amp;IF(AND(ISNUMBER(B182),LEN(B182)=8),IF(MOD(B182,10000)=0,"UNSPSC a nivel de segmento o familia; ",""),"")&amp;IF(NOT(ISNUMBER(E182)),"Duración vacía o en texto; ","")&amp;IF(NOT(ISNUMBER(G182)),"Valor vacío o en texto; ","")&amp;IF(ISNUMBER(M182),IF(M182&lt;1000000,"Valor inferior a $1.000.000: verificar; ",""),"Valor no interpretable; ")&amp;IF(N182="[PENDIENTE DE VERIFICAR]","Modalidad no identificable; ","")&amp;IF(OR(ISERROR(SEARCH("@itc.edu.co",J182)),SUMPRODUCT(--ISNUMBER(SEARCH({"á","é","í","ó","ú","ñ"},J182)))&gt;0),"Correo vacío o no institucional válido; ","")&amp;IF(LEN(TRIM(D182))=0,"Sin objeto contractual; ","")&amp;IF(AND(ISNUMBER(M182),N182="Mínima cuantía"),IF(M182&gt;39850000,"Mínima cuantía con valor superior al tope citado en el instructivo 2026 ($39.850.000): verificar modalidad; ",""),"")&amp;IF(AND(ISNUMBER(M182),OR(ISNUMBER(SEARCH("prestación de servicios",D182)),ISNUMBER(SEARCH("prestar servicios",D182)),ISNUMBER(SEARCH("prestar los servicios",D182)))),IF(M182&gt;=500000000,"Prestación de servicios por $500 millones o más: posible error de digitación; ",""),""))=0,"Sin observaciones",IF(OR(NOT(ISNUMBER(B182)),LEN(B182)&lt;&gt;8),"UNSPSC vacío, en texto, con varios códigos o sin 8 dígitos; ","")&amp;IF(AND(ISNUMBER(B182),LEN(B182)=8),IF(MOD(B182,10000)=0,"UNSPSC a nivel de segmento o familia; ",""),"")&amp;IF(NOT(ISNUMBER(E182)),"Duración vacía o en texto; ","")&amp;IF(NOT(ISNUMBER(G182)),"Valor vacío o en texto; ","")&amp;IF(ISNUMBER(M182),IF(M182&lt;1000000,"Valor inferior a $1.000.000: verificar; ",""),"Valor no interpretable; ")&amp;IF(N182="[PENDIENTE DE VERIFICAR]","Modalidad no identificable; ","")&amp;IF(OR(ISERROR(SEARCH("@itc.edu.co",J182)),SUMPRODUCT(--ISNUMBER(SEARCH({"á","é","í","ó","ú","ñ"},J182)))&gt;0),"Correo vacío o no institucional válido; ","")&amp;IF(LEN(TRIM(D182))=0,"Sin objeto contractual; ","")&amp;IF(AND(ISNUMBER(M182),N182="Mínima cuantía"),IF(M182&gt;39850000,"Mínima cuantía con valor superior al tope citado en el instructivo 2026 ($39.850.000): verificar modalidad; ",""),"")&amp;IF(AND(ISNUMBER(M182),OR(ISNUMBER(SEARCH("prestación de servicios",D182)),ISNUMBER(SEARCH("prestar servicios",D182)),ISNUMBER(SEARCH("prestar los servicios",D182)))),IF(M182&gt;=500000000,"Prestación de servicios por $500 millones o más: posible error de digitación; ",""),""))</f>
        <v>Sin observaciones</v>
      </c>
    </row>
    <row r="183" spans="1:15" ht="34.200000000000003" x14ac:dyDescent="0.3">
      <c r="A183" s="15" t="s">
        <v>1252</v>
      </c>
      <c r="B183" s="15">
        <v>80101600</v>
      </c>
      <c r="C183" s="15" t="s">
        <v>1235</v>
      </c>
      <c r="D183" s="15" t="s">
        <v>1253</v>
      </c>
      <c r="E183" s="15">
        <v>120</v>
      </c>
      <c r="F183" s="15" t="s">
        <v>802</v>
      </c>
      <c r="G183" s="29">
        <v>24000000</v>
      </c>
      <c r="H183" s="15" t="s">
        <v>1238</v>
      </c>
      <c r="I183" s="15" t="s">
        <v>1239</v>
      </c>
      <c r="J183" s="15" t="s">
        <v>955</v>
      </c>
      <c r="K183" s="15"/>
      <c r="L183" s="30" t="s">
        <v>929</v>
      </c>
      <c r="M183" s="31">
        <v>24000000</v>
      </c>
      <c r="N183" s="30" t="s">
        <v>803</v>
      </c>
      <c r="O183" s="30" t="str">
        <f>IF(LEN(IF(OR(NOT(ISNUMBER(B183)),LEN(B183)&lt;&gt;8),"UNSPSC vacío, en texto, con varios códigos o sin 8 dígitos; ","")&amp;IF(AND(ISNUMBER(B183),LEN(B183)=8),IF(MOD(B183,10000)=0,"UNSPSC a nivel de segmento o familia; ",""),"")&amp;IF(NOT(ISNUMBER(E183)),"Duración vacía o en texto; ","")&amp;IF(NOT(ISNUMBER(G183)),"Valor vacío o en texto; ","")&amp;IF(ISNUMBER(M183),IF(M183&lt;1000000,"Valor inferior a $1.000.000: verificar; ",""),"Valor no interpretable; ")&amp;IF(N183="[PENDIENTE DE VERIFICAR]","Modalidad no identificable; ","")&amp;IF(OR(ISERROR(SEARCH("@itc.edu.co",J183)),SUMPRODUCT(--ISNUMBER(SEARCH({"á","é","í","ó","ú","ñ"},J183)))&gt;0),"Correo vacío o no institucional válido; ","")&amp;IF(LEN(TRIM(D183))=0,"Sin objeto contractual; ","")&amp;IF(AND(ISNUMBER(M183),N183="Mínima cuantía"),IF(M183&gt;39850000,"Mínima cuantía con valor superior al tope citado en el instructivo 2026 ($39.850.000): verificar modalidad; ",""),"")&amp;IF(AND(ISNUMBER(M183),OR(ISNUMBER(SEARCH("prestación de servicios",D183)),ISNUMBER(SEARCH("prestar servicios",D183)),ISNUMBER(SEARCH("prestar los servicios",D183)))),IF(M183&gt;=500000000,"Prestación de servicios por $500 millones o más: posible error de digitación; ",""),""))=0,"Sin observaciones",IF(OR(NOT(ISNUMBER(B183)),LEN(B183)&lt;&gt;8),"UNSPSC vacío, en texto, con varios códigos o sin 8 dígitos; ","")&amp;IF(AND(ISNUMBER(B183),LEN(B183)=8),IF(MOD(B183,10000)=0,"UNSPSC a nivel de segmento o familia; ",""),"")&amp;IF(NOT(ISNUMBER(E183)),"Duración vacía o en texto; ","")&amp;IF(NOT(ISNUMBER(G183)),"Valor vacío o en texto; ","")&amp;IF(ISNUMBER(M183),IF(M183&lt;1000000,"Valor inferior a $1.000.000: verificar; ",""),"Valor no interpretable; ")&amp;IF(N183="[PENDIENTE DE VERIFICAR]","Modalidad no identificable; ","")&amp;IF(OR(ISERROR(SEARCH("@itc.edu.co",J183)),SUMPRODUCT(--ISNUMBER(SEARCH({"á","é","í","ó","ú","ñ"},J183)))&gt;0),"Correo vacío o no institucional válido; ","")&amp;IF(LEN(TRIM(D183))=0,"Sin objeto contractual; ","")&amp;IF(AND(ISNUMBER(M183),N183="Mínima cuantía"),IF(M183&gt;39850000,"Mínima cuantía con valor superior al tope citado en el instructivo 2026 ($39.850.000): verificar modalidad; ",""),"")&amp;IF(AND(ISNUMBER(M183),OR(ISNUMBER(SEARCH("prestación de servicios",D183)),ISNUMBER(SEARCH("prestar servicios",D183)),ISNUMBER(SEARCH("prestar los servicios",D183)))),IF(M183&gt;=500000000,"Prestación de servicios por $500 millones o más: posible error de digitación; ",""),""))</f>
        <v>Sin observaciones</v>
      </c>
    </row>
    <row r="184" spans="1:15" ht="68.400000000000006" x14ac:dyDescent="0.3">
      <c r="A184" s="15" t="s">
        <v>1254</v>
      </c>
      <c r="B184" s="15">
        <v>80101600</v>
      </c>
      <c r="C184" s="15" t="s">
        <v>1235</v>
      </c>
      <c r="D184" s="15" t="s">
        <v>1255</v>
      </c>
      <c r="E184" s="15">
        <v>1</v>
      </c>
      <c r="F184" s="15" t="s">
        <v>802</v>
      </c>
      <c r="G184" s="29">
        <v>24000000</v>
      </c>
      <c r="H184" s="15" t="s">
        <v>1238</v>
      </c>
      <c r="I184" s="15" t="s">
        <v>1239</v>
      </c>
      <c r="J184" s="15" t="s">
        <v>955</v>
      </c>
      <c r="K184" s="15"/>
      <c r="L184" s="30" t="s">
        <v>929</v>
      </c>
      <c r="M184" s="31">
        <v>24000000</v>
      </c>
      <c r="N184" s="30" t="s">
        <v>803</v>
      </c>
      <c r="O184" s="30" t="str">
        <f>IF(LEN(IF(OR(NOT(ISNUMBER(B184)),LEN(B184)&lt;&gt;8),"UNSPSC vacío, en texto, con varios códigos o sin 8 dígitos; ","")&amp;IF(AND(ISNUMBER(B184),LEN(B184)=8),IF(MOD(B184,10000)=0,"UNSPSC a nivel de segmento o familia; ",""),"")&amp;IF(NOT(ISNUMBER(E184)),"Duración vacía o en texto; ","")&amp;IF(NOT(ISNUMBER(G184)),"Valor vacío o en texto; ","")&amp;IF(ISNUMBER(M184),IF(M184&lt;1000000,"Valor inferior a $1.000.000: verificar; ",""),"Valor no interpretable; ")&amp;IF(N184="[PENDIENTE DE VERIFICAR]","Modalidad no identificable; ","")&amp;IF(OR(ISERROR(SEARCH("@itc.edu.co",J184)),SUMPRODUCT(--ISNUMBER(SEARCH({"á","é","í","ó","ú","ñ"},J184)))&gt;0),"Correo vacío o no institucional válido; ","")&amp;IF(LEN(TRIM(D184))=0,"Sin objeto contractual; ","")&amp;IF(AND(ISNUMBER(M184),N184="Mínima cuantía"),IF(M184&gt;39850000,"Mínima cuantía con valor superior al tope citado en el instructivo 2026 ($39.850.000): verificar modalidad; ",""),"")&amp;IF(AND(ISNUMBER(M184),OR(ISNUMBER(SEARCH("prestación de servicios",D184)),ISNUMBER(SEARCH("prestar servicios",D184)),ISNUMBER(SEARCH("prestar los servicios",D184)))),IF(M184&gt;=500000000,"Prestación de servicios por $500 millones o más: posible error de digitación; ",""),""))=0,"Sin observaciones",IF(OR(NOT(ISNUMBER(B184)),LEN(B184)&lt;&gt;8),"UNSPSC vacío, en texto, con varios códigos o sin 8 dígitos; ","")&amp;IF(AND(ISNUMBER(B184),LEN(B184)=8),IF(MOD(B184,10000)=0,"UNSPSC a nivel de segmento o familia; ",""),"")&amp;IF(NOT(ISNUMBER(E184)),"Duración vacía o en texto; ","")&amp;IF(NOT(ISNUMBER(G184)),"Valor vacío o en texto; ","")&amp;IF(ISNUMBER(M184),IF(M184&lt;1000000,"Valor inferior a $1.000.000: verificar; ",""),"Valor no interpretable; ")&amp;IF(N184="[PENDIENTE DE VERIFICAR]","Modalidad no identificable; ","")&amp;IF(OR(ISERROR(SEARCH("@itc.edu.co",J184)),SUMPRODUCT(--ISNUMBER(SEARCH({"á","é","í","ó","ú","ñ"},J184)))&gt;0),"Correo vacío o no institucional válido; ","")&amp;IF(LEN(TRIM(D184))=0,"Sin objeto contractual; ","")&amp;IF(AND(ISNUMBER(M184),N184="Mínima cuantía"),IF(M184&gt;39850000,"Mínima cuantía con valor superior al tope citado en el instructivo 2026 ($39.850.000): verificar modalidad; ",""),"")&amp;IF(AND(ISNUMBER(M184),OR(ISNUMBER(SEARCH("prestación de servicios",D184)),ISNUMBER(SEARCH("prestar servicios",D184)),ISNUMBER(SEARCH("prestar los servicios",D184)))),IF(M184&gt;=500000000,"Prestación de servicios por $500 millones o más: posible error de digitación; ",""),""))</f>
        <v>Sin observaciones</v>
      </c>
    </row>
    <row r="185" spans="1:15" ht="34.200000000000003" x14ac:dyDescent="0.3">
      <c r="A185" s="15" t="s">
        <v>1256</v>
      </c>
      <c r="B185" s="15">
        <v>80101600</v>
      </c>
      <c r="C185" s="15" t="s">
        <v>1235</v>
      </c>
      <c r="D185" s="15" t="s">
        <v>1257</v>
      </c>
      <c r="E185" s="15">
        <v>300</v>
      </c>
      <c r="F185" s="15" t="s">
        <v>802</v>
      </c>
      <c r="G185" s="29">
        <v>24000000</v>
      </c>
      <c r="H185" s="15" t="s">
        <v>1238</v>
      </c>
      <c r="I185" s="15" t="s">
        <v>1239</v>
      </c>
      <c r="J185" s="15" t="s">
        <v>955</v>
      </c>
      <c r="K185" s="15"/>
      <c r="L185" s="30" t="s">
        <v>929</v>
      </c>
      <c r="M185" s="31">
        <v>24000000</v>
      </c>
      <c r="N185" s="30" t="s">
        <v>803</v>
      </c>
      <c r="O185" s="30" t="str">
        <f>IF(LEN(IF(OR(NOT(ISNUMBER(B185)),LEN(B185)&lt;&gt;8),"UNSPSC vacío, en texto, con varios códigos o sin 8 dígitos; ","")&amp;IF(AND(ISNUMBER(B185),LEN(B185)=8),IF(MOD(B185,10000)=0,"UNSPSC a nivel de segmento o familia; ",""),"")&amp;IF(NOT(ISNUMBER(E185)),"Duración vacía o en texto; ","")&amp;IF(NOT(ISNUMBER(G185)),"Valor vacío o en texto; ","")&amp;IF(ISNUMBER(M185),IF(M185&lt;1000000,"Valor inferior a $1.000.000: verificar; ",""),"Valor no interpretable; ")&amp;IF(N185="[PENDIENTE DE VERIFICAR]","Modalidad no identificable; ","")&amp;IF(OR(ISERROR(SEARCH("@itc.edu.co",J185)),SUMPRODUCT(--ISNUMBER(SEARCH({"á","é","í","ó","ú","ñ"},J185)))&gt;0),"Correo vacío o no institucional válido; ","")&amp;IF(LEN(TRIM(D185))=0,"Sin objeto contractual; ","")&amp;IF(AND(ISNUMBER(M185),N185="Mínima cuantía"),IF(M185&gt;39850000,"Mínima cuantía con valor superior al tope citado en el instructivo 2026 ($39.850.000): verificar modalidad; ",""),"")&amp;IF(AND(ISNUMBER(M185),OR(ISNUMBER(SEARCH("prestación de servicios",D185)),ISNUMBER(SEARCH("prestar servicios",D185)),ISNUMBER(SEARCH("prestar los servicios",D185)))),IF(M185&gt;=500000000,"Prestación de servicios por $500 millones o más: posible error de digitación; ",""),""))=0,"Sin observaciones",IF(OR(NOT(ISNUMBER(B185)),LEN(B185)&lt;&gt;8),"UNSPSC vacío, en texto, con varios códigos o sin 8 dígitos; ","")&amp;IF(AND(ISNUMBER(B185),LEN(B185)=8),IF(MOD(B185,10000)=0,"UNSPSC a nivel de segmento o familia; ",""),"")&amp;IF(NOT(ISNUMBER(E185)),"Duración vacía o en texto; ","")&amp;IF(NOT(ISNUMBER(G185)),"Valor vacío o en texto; ","")&amp;IF(ISNUMBER(M185),IF(M185&lt;1000000,"Valor inferior a $1.000.000: verificar; ",""),"Valor no interpretable; ")&amp;IF(N185="[PENDIENTE DE VERIFICAR]","Modalidad no identificable; ","")&amp;IF(OR(ISERROR(SEARCH("@itc.edu.co",J185)),SUMPRODUCT(--ISNUMBER(SEARCH({"á","é","í","ó","ú","ñ"},J185)))&gt;0),"Correo vacío o no institucional válido; ","")&amp;IF(LEN(TRIM(D185))=0,"Sin objeto contractual; ","")&amp;IF(AND(ISNUMBER(M185),N185="Mínima cuantía"),IF(M185&gt;39850000,"Mínima cuantía con valor superior al tope citado en el instructivo 2026 ($39.850.000): verificar modalidad; ",""),"")&amp;IF(AND(ISNUMBER(M185),OR(ISNUMBER(SEARCH("prestación de servicios",D185)),ISNUMBER(SEARCH("prestar servicios",D185)),ISNUMBER(SEARCH("prestar los servicios",D185)))),IF(M185&gt;=500000000,"Prestación de servicios por $500 millones o más: posible error de digitación; ",""),""))</f>
        <v>Sin observaciones</v>
      </c>
    </row>
    <row r="186" spans="1:15" ht="34.200000000000003" x14ac:dyDescent="0.3">
      <c r="A186" s="15" t="s">
        <v>1258</v>
      </c>
      <c r="B186" s="15">
        <v>80101600</v>
      </c>
      <c r="C186" s="15" t="s">
        <v>1235</v>
      </c>
      <c r="D186" s="15" t="s">
        <v>1259</v>
      </c>
      <c r="E186" s="15">
        <v>1000</v>
      </c>
      <c r="F186" s="15" t="s">
        <v>802</v>
      </c>
      <c r="G186" s="29">
        <v>70000000</v>
      </c>
      <c r="H186" s="15" t="s">
        <v>1238</v>
      </c>
      <c r="I186" s="15" t="s">
        <v>1239</v>
      </c>
      <c r="J186" s="15" t="s">
        <v>955</v>
      </c>
      <c r="K186" s="15"/>
      <c r="L186" s="30" t="s">
        <v>929</v>
      </c>
      <c r="M186" s="31">
        <v>70000000</v>
      </c>
      <c r="N186" s="30" t="s">
        <v>803</v>
      </c>
      <c r="O186" s="30" t="str">
        <f>IF(LEN(IF(OR(NOT(ISNUMBER(B186)),LEN(B186)&lt;&gt;8),"UNSPSC vacío, en texto, con varios códigos o sin 8 dígitos; ","")&amp;IF(AND(ISNUMBER(B186),LEN(B186)=8),IF(MOD(B186,10000)=0,"UNSPSC a nivel de segmento o familia; ",""),"")&amp;IF(NOT(ISNUMBER(E186)),"Duración vacía o en texto; ","")&amp;IF(NOT(ISNUMBER(G186)),"Valor vacío o en texto; ","")&amp;IF(ISNUMBER(M186),IF(M186&lt;1000000,"Valor inferior a $1.000.000: verificar; ",""),"Valor no interpretable; ")&amp;IF(N186="[PENDIENTE DE VERIFICAR]","Modalidad no identificable; ","")&amp;IF(OR(ISERROR(SEARCH("@itc.edu.co",J186)),SUMPRODUCT(--ISNUMBER(SEARCH({"á","é","í","ó","ú","ñ"},J186)))&gt;0),"Correo vacío o no institucional válido; ","")&amp;IF(LEN(TRIM(D186))=0,"Sin objeto contractual; ","")&amp;IF(AND(ISNUMBER(M186),N186="Mínima cuantía"),IF(M186&gt;39850000,"Mínima cuantía con valor superior al tope citado en el instructivo 2026 ($39.850.000): verificar modalidad; ",""),"")&amp;IF(AND(ISNUMBER(M186),OR(ISNUMBER(SEARCH("prestación de servicios",D186)),ISNUMBER(SEARCH("prestar servicios",D186)),ISNUMBER(SEARCH("prestar los servicios",D186)))),IF(M186&gt;=500000000,"Prestación de servicios por $500 millones o más: posible error de digitación; ",""),""))=0,"Sin observaciones",IF(OR(NOT(ISNUMBER(B186)),LEN(B186)&lt;&gt;8),"UNSPSC vacío, en texto, con varios códigos o sin 8 dígitos; ","")&amp;IF(AND(ISNUMBER(B186),LEN(B186)=8),IF(MOD(B186,10000)=0,"UNSPSC a nivel de segmento o familia; ",""),"")&amp;IF(NOT(ISNUMBER(E186)),"Duración vacía o en texto; ","")&amp;IF(NOT(ISNUMBER(G186)),"Valor vacío o en texto; ","")&amp;IF(ISNUMBER(M186),IF(M186&lt;1000000,"Valor inferior a $1.000.000: verificar; ",""),"Valor no interpretable; ")&amp;IF(N186="[PENDIENTE DE VERIFICAR]","Modalidad no identificable; ","")&amp;IF(OR(ISERROR(SEARCH("@itc.edu.co",J186)),SUMPRODUCT(--ISNUMBER(SEARCH({"á","é","í","ó","ú","ñ"},J186)))&gt;0),"Correo vacío o no institucional válido; ","")&amp;IF(LEN(TRIM(D186))=0,"Sin objeto contractual; ","")&amp;IF(AND(ISNUMBER(M186),N186="Mínima cuantía"),IF(M186&gt;39850000,"Mínima cuantía con valor superior al tope citado en el instructivo 2026 ($39.850.000): verificar modalidad; ",""),"")&amp;IF(AND(ISNUMBER(M186),OR(ISNUMBER(SEARCH("prestación de servicios",D186)),ISNUMBER(SEARCH("prestar servicios",D186)),ISNUMBER(SEARCH("prestar los servicios",D186)))),IF(M186&gt;=500000000,"Prestación de servicios por $500 millones o más: posible error de digitación; ",""),""))</f>
        <v>Sin observaciones</v>
      </c>
    </row>
    <row r="187" spans="1:15" ht="34.200000000000003" x14ac:dyDescent="0.3">
      <c r="A187" s="15" t="s">
        <v>1260</v>
      </c>
      <c r="B187" s="15">
        <v>80101600</v>
      </c>
      <c r="C187" s="15" t="s">
        <v>1235</v>
      </c>
      <c r="D187" s="15" t="s">
        <v>1261</v>
      </c>
      <c r="E187" s="15">
        <v>6</v>
      </c>
      <c r="F187" s="15" t="s">
        <v>802</v>
      </c>
      <c r="G187" s="29">
        <v>22983420</v>
      </c>
      <c r="H187" s="15" t="s">
        <v>1238</v>
      </c>
      <c r="I187" s="15" t="s">
        <v>1239</v>
      </c>
      <c r="J187" s="15" t="s">
        <v>955</v>
      </c>
      <c r="K187" s="15"/>
      <c r="L187" s="30" t="s">
        <v>929</v>
      </c>
      <c r="M187" s="31">
        <v>22983420</v>
      </c>
      <c r="N187" s="30" t="s">
        <v>803</v>
      </c>
      <c r="O187" s="30" t="str">
        <f>IF(LEN(IF(OR(NOT(ISNUMBER(B187)),LEN(B187)&lt;&gt;8),"UNSPSC vacío, en texto, con varios códigos o sin 8 dígitos; ","")&amp;IF(AND(ISNUMBER(B187),LEN(B187)=8),IF(MOD(B187,10000)=0,"UNSPSC a nivel de segmento o familia; ",""),"")&amp;IF(NOT(ISNUMBER(E187)),"Duración vacía o en texto; ","")&amp;IF(NOT(ISNUMBER(G187)),"Valor vacío o en texto; ","")&amp;IF(ISNUMBER(M187),IF(M187&lt;1000000,"Valor inferior a $1.000.000: verificar; ",""),"Valor no interpretable; ")&amp;IF(N187="[PENDIENTE DE VERIFICAR]","Modalidad no identificable; ","")&amp;IF(OR(ISERROR(SEARCH("@itc.edu.co",J187)),SUMPRODUCT(--ISNUMBER(SEARCH({"á","é","í","ó","ú","ñ"},J187)))&gt;0),"Correo vacío o no institucional válido; ","")&amp;IF(LEN(TRIM(D187))=0,"Sin objeto contractual; ","")&amp;IF(AND(ISNUMBER(M187),N187="Mínima cuantía"),IF(M187&gt;39850000,"Mínima cuantía con valor superior al tope citado en el instructivo 2026 ($39.850.000): verificar modalidad; ",""),"")&amp;IF(AND(ISNUMBER(M187),OR(ISNUMBER(SEARCH("prestación de servicios",D187)),ISNUMBER(SEARCH("prestar servicios",D187)),ISNUMBER(SEARCH("prestar los servicios",D187)))),IF(M187&gt;=500000000,"Prestación de servicios por $500 millones o más: posible error de digitación; ",""),""))=0,"Sin observaciones",IF(OR(NOT(ISNUMBER(B187)),LEN(B187)&lt;&gt;8),"UNSPSC vacío, en texto, con varios códigos o sin 8 dígitos; ","")&amp;IF(AND(ISNUMBER(B187),LEN(B187)=8),IF(MOD(B187,10000)=0,"UNSPSC a nivel de segmento o familia; ",""),"")&amp;IF(NOT(ISNUMBER(E187)),"Duración vacía o en texto; ","")&amp;IF(NOT(ISNUMBER(G187)),"Valor vacío o en texto; ","")&amp;IF(ISNUMBER(M187),IF(M187&lt;1000000,"Valor inferior a $1.000.000: verificar; ",""),"Valor no interpretable; ")&amp;IF(N187="[PENDIENTE DE VERIFICAR]","Modalidad no identificable; ","")&amp;IF(OR(ISERROR(SEARCH("@itc.edu.co",J187)),SUMPRODUCT(--ISNUMBER(SEARCH({"á","é","í","ó","ú","ñ"},J187)))&gt;0),"Correo vacío o no institucional válido; ","")&amp;IF(LEN(TRIM(D187))=0,"Sin objeto contractual; ","")&amp;IF(AND(ISNUMBER(M187),N187="Mínima cuantía"),IF(M187&gt;39850000,"Mínima cuantía con valor superior al tope citado en el instructivo 2026 ($39.850.000): verificar modalidad; ",""),"")&amp;IF(AND(ISNUMBER(M187),OR(ISNUMBER(SEARCH("prestación de servicios",D187)),ISNUMBER(SEARCH("prestar servicios",D187)),ISNUMBER(SEARCH("prestar los servicios",D187)))),IF(M187&gt;=500000000,"Prestación de servicios por $500 millones o más: posible error de digitación; ",""),""))</f>
        <v>Sin observaciones</v>
      </c>
    </row>
    <row r="188" spans="1:15" ht="34.200000000000003" x14ac:dyDescent="0.3">
      <c r="A188" s="15" t="s">
        <v>1262</v>
      </c>
      <c r="B188" s="15">
        <v>80101600</v>
      </c>
      <c r="C188" s="15" t="s">
        <v>1235</v>
      </c>
      <c r="D188" s="15" t="s">
        <v>1263</v>
      </c>
      <c r="E188" s="15">
        <v>2500</v>
      </c>
      <c r="F188" s="15" t="s">
        <v>802</v>
      </c>
      <c r="G188" s="29">
        <v>150000000</v>
      </c>
      <c r="H188" s="15" t="s">
        <v>1264</v>
      </c>
      <c r="I188" s="15" t="s">
        <v>1265</v>
      </c>
      <c r="J188" s="15" t="s">
        <v>1266</v>
      </c>
      <c r="K188" s="15"/>
      <c r="L188" s="30" t="s">
        <v>929</v>
      </c>
      <c r="M188" s="31">
        <v>150000000</v>
      </c>
      <c r="N188" s="30" t="s">
        <v>803</v>
      </c>
      <c r="O188" s="30" t="str">
        <f>IF(LEN(IF(OR(NOT(ISNUMBER(B188)),LEN(B188)&lt;&gt;8),"UNSPSC vacío, en texto, con varios códigos o sin 8 dígitos; ","")&amp;IF(AND(ISNUMBER(B188),LEN(B188)=8),IF(MOD(B188,10000)=0,"UNSPSC a nivel de segmento o familia; ",""),"")&amp;IF(NOT(ISNUMBER(E188)),"Duración vacía o en texto; ","")&amp;IF(NOT(ISNUMBER(G188)),"Valor vacío o en texto; ","")&amp;IF(ISNUMBER(M188),IF(M188&lt;1000000,"Valor inferior a $1.000.000: verificar; ",""),"Valor no interpretable; ")&amp;IF(N188="[PENDIENTE DE VERIFICAR]","Modalidad no identificable; ","")&amp;IF(OR(ISERROR(SEARCH("@itc.edu.co",J188)),SUMPRODUCT(--ISNUMBER(SEARCH({"á","é","í","ó","ú","ñ"},J188)))&gt;0),"Correo vacío o no institucional válido; ","")&amp;IF(LEN(TRIM(D188))=0,"Sin objeto contractual; ","")&amp;IF(AND(ISNUMBER(M188),N188="Mínima cuantía"),IF(M188&gt;39850000,"Mínima cuantía con valor superior al tope citado en el instructivo 2026 ($39.850.000): verificar modalidad; ",""),"")&amp;IF(AND(ISNUMBER(M188),OR(ISNUMBER(SEARCH("prestación de servicios",D188)),ISNUMBER(SEARCH("prestar servicios",D188)),ISNUMBER(SEARCH("prestar los servicios",D188)))),IF(M188&gt;=500000000,"Prestación de servicios por $500 millones o más: posible error de digitación; ",""),""))=0,"Sin observaciones",IF(OR(NOT(ISNUMBER(B188)),LEN(B188)&lt;&gt;8),"UNSPSC vacío, en texto, con varios códigos o sin 8 dígitos; ","")&amp;IF(AND(ISNUMBER(B188),LEN(B188)=8),IF(MOD(B188,10000)=0,"UNSPSC a nivel de segmento o familia; ",""),"")&amp;IF(NOT(ISNUMBER(E188)),"Duración vacía o en texto; ","")&amp;IF(NOT(ISNUMBER(G188)),"Valor vacío o en texto; ","")&amp;IF(ISNUMBER(M188),IF(M188&lt;1000000,"Valor inferior a $1.000.000: verificar; ",""),"Valor no interpretable; ")&amp;IF(N188="[PENDIENTE DE VERIFICAR]","Modalidad no identificable; ","")&amp;IF(OR(ISERROR(SEARCH("@itc.edu.co",J188)),SUMPRODUCT(--ISNUMBER(SEARCH({"á","é","í","ó","ú","ñ"},J188)))&gt;0),"Correo vacío o no institucional válido; ","")&amp;IF(LEN(TRIM(D188))=0,"Sin objeto contractual; ","")&amp;IF(AND(ISNUMBER(M188),N188="Mínima cuantía"),IF(M188&gt;39850000,"Mínima cuantía con valor superior al tope citado en el instructivo 2026 ($39.850.000): verificar modalidad; ",""),"")&amp;IF(AND(ISNUMBER(M188),OR(ISNUMBER(SEARCH("prestación de servicios",D188)),ISNUMBER(SEARCH("prestar servicios",D188)),ISNUMBER(SEARCH("prestar los servicios",D188)))),IF(M188&gt;=500000000,"Prestación de servicios por $500 millones o más: posible error de digitación; ",""),""))</f>
        <v>Sin observaciones</v>
      </c>
    </row>
    <row r="189" spans="1:15" ht="34.200000000000003" x14ac:dyDescent="0.3">
      <c r="A189" s="15" t="s">
        <v>1267</v>
      </c>
      <c r="B189" s="15">
        <v>80101600</v>
      </c>
      <c r="C189" s="15" t="s">
        <v>1235</v>
      </c>
      <c r="D189" s="15" t="s">
        <v>1268</v>
      </c>
      <c r="E189" s="15">
        <v>2</v>
      </c>
      <c r="F189" s="15" t="s">
        <v>802</v>
      </c>
      <c r="G189" s="29">
        <v>10000000</v>
      </c>
      <c r="H189" s="15" t="s">
        <v>1238</v>
      </c>
      <c r="I189" s="15" t="s">
        <v>1239</v>
      </c>
      <c r="J189" s="15" t="s">
        <v>955</v>
      </c>
      <c r="K189" s="15"/>
      <c r="L189" s="30" t="s">
        <v>929</v>
      </c>
      <c r="M189" s="31">
        <v>10000000</v>
      </c>
      <c r="N189" s="30" t="s">
        <v>803</v>
      </c>
      <c r="O189" s="30" t="str">
        <f>IF(LEN(IF(OR(NOT(ISNUMBER(B189)),LEN(B189)&lt;&gt;8),"UNSPSC vacío, en texto, con varios códigos o sin 8 dígitos; ","")&amp;IF(AND(ISNUMBER(B189),LEN(B189)=8),IF(MOD(B189,10000)=0,"UNSPSC a nivel de segmento o familia; ",""),"")&amp;IF(NOT(ISNUMBER(E189)),"Duración vacía o en texto; ","")&amp;IF(NOT(ISNUMBER(G189)),"Valor vacío o en texto; ","")&amp;IF(ISNUMBER(M189),IF(M189&lt;1000000,"Valor inferior a $1.000.000: verificar; ",""),"Valor no interpretable; ")&amp;IF(N189="[PENDIENTE DE VERIFICAR]","Modalidad no identificable; ","")&amp;IF(OR(ISERROR(SEARCH("@itc.edu.co",J189)),SUMPRODUCT(--ISNUMBER(SEARCH({"á","é","í","ó","ú","ñ"},J189)))&gt;0),"Correo vacío o no institucional válido; ","")&amp;IF(LEN(TRIM(D189))=0,"Sin objeto contractual; ","")&amp;IF(AND(ISNUMBER(M189),N189="Mínima cuantía"),IF(M189&gt;39850000,"Mínima cuantía con valor superior al tope citado en el instructivo 2026 ($39.850.000): verificar modalidad; ",""),"")&amp;IF(AND(ISNUMBER(M189),OR(ISNUMBER(SEARCH("prestación de servicios",D189)),ISNUMBER(SEARCH("prestar servicios",D189)),ISNUMBER(SEARCH("prestar los servicios",D189)))),IF(M189&gt;=500000000,"Prestación de servicios por $500 millones o más: posible error de digitación; ",""),""))=0,"Sin observaciones",IF(OR(NOT(ISNUMBER(B189)),LEN(B189)&lt;&gt;8),"UNSPSC vacío, en texto, con varios códigos o sin 8 dígitos; ","")&amp;IF(AND(ISNUMBER(B189),LEN(B189)=8),IF(MOD(B189,10000)=0,"UNSPSC a nivel de segmento o familia; ",""),"")&amp;IF(NOT(ISNUMBER(E189)),"Duración vacía o en texto; ","")&amp;IF(NOT(ISNUMBER(G189)),"Valor vacío o en texto; ","")&amp;IF(ISNUMBER(M189),IF(M189&lt;1000000,"Valor inferior a $1.000.000: verificar; ",""),"Valor no interpretable; ")&amp;IF(N189="[PENDIENTE DE VERIFICAR]","Modalidad no identificable; ","")&amp;IF(OR(ISERROR(SEARCH("@itc.edu.co",J189)),SUMPRODUCT(--ISNUMBER(SEARCH({"á","é","í","ó","ú","ñ"},J189)))&gt;0),"Correo vacío o no institucional válido; ","")&amp;IF(LEN(TRIM(D189))=0,"Sin objeto contractual; ","")&amp;IF(AND(ISNUMBER(M189),N189="Mínima cuantía"),IF(M189&gt;39850000,"Mínima cuantía con valor superior al tope citado en el instructivo 2026 ($39.850.000): verificar modalidad; ",""),"")&amp;IF(AND(ISNUMBER(M189),OR(ISNUMBER(SEARCH("prestación de servicios",D189)),ISNUMBER(SEARCH("prestar servicios",D189)),ISNUMBER(SEARCH("prestar los servicios",D189)))),IF(M189&gt;=500000000,"Prestación de servicios por $500 millones o más: posible error de digitación; ",""),""))</f>
        <v>Sin observaciones</v>
      </c>
    </row>
    <row r="190" spans="1:15" ht="68.400000000000006" x14ac:dyDescent="0.3">
      <c r="A190" s="15" t="s">
        <v>1269</v>
      </c>
      <c r="B190" s="15">
        <v>80101600</v>
      </c>
      <c r="C190" s="15" t="s">
        <v>1235</v>
      </c>
      <c r="D190" s="15" t="s">
        <v>1270</v>
      </c>
      <c r="E190" s="15">
        <v>6</v>
      </c>
      <c r="F190" s="15" t="s">
        <v>802</v>
      </c>
      <c r="G190" s="29">
        <v>42136270</v>
      </c>
      <c r="H190" s="15" t="s">
        <v>1238</v>
      </c>
      <c r="I190" s="15" t="s">
        <v>1239</v>
      </c>
      <c r="J190" s="15" t="s">
        <v>955</v>
      </c>
      <c r="K190" s="15"/>
      <c r="L190" s="30" t="s">
        <v>929</v>
      </c>
      <c r="M190" s="31">
        <v>42136270</v>
      </c>
      <c r="N190" s="30" t="s">
        <v>803</v>
      </c>
      <c r="O190" s="30" t="str">
        <f>IF(LEN(IF(OR(NOT(ISNUMBER(B190)),LEN(B190)&lt;&gt;8),"UNSPSC vacío, en texto, con varios códigos o sin 8 dígitos; ","")&amp;IF(AND(ISNUMBER(B190),LEN(B190)=8),IF(MOD(B190,10000)=0,"UNSPSC a nivel de segmento o familia; ",""),"")&amp;IF(NOT(ISNUMBER(E190)),"Duración vacía o en texto; ","")&amp;IF(NOT(ISNUMBER(G190)),"Valor vacío o en texto; ","")&amp;IF(ISNUMBER(M190),IF(M190&lt;1000000,"Valor inferior a $1.000.000: verificar; ",""),"Valor no interpretable; ")&amp;IF(N190="[PENDIENTE DE VERIFICAR]","Modalidad no identificable; ","")&amp;IF(OR(ISERROR(SEARCH("@itc.edu.co",J190)),SUMPRODUCT(--ISNUMBER(SEARCH({"á","é","í","ó","ú","ñ"},J190)))&gt;0),"Correo vacío o no institucional válido; ","")&amp;IF(LEN(TRIM(D190))=0,"Sin objeto contractual; ","")&amp;IF(AND(ISNUMBER(M190),N190="Mínima cuantía"),IF(M190&gt;39850000,"Mínima cuantía con valor superior al tope citado en el instructivo 2026 ($39.850.000): verificar modalidad; ",""),"")&amp;IF(AND(ISNUMBER(M190),OR(ISNUMBER(SEARCH("prestación de servicios",D190)),ISNUMBER(SEARCH("prestar servicios",D190)),ISNUMBER(SEARCH("prestar los servicios",D190)))),IF(M190&gt;=500000000,"Prestación de servicios por $500 millones o más: posible error de digitación; ",""),""))=0,"Sin observaciones",IF(OR(NOT(ISNUMBER(B190)),LEN(B190)&lt;&gt;8),"UNSPSC vacío, en texto, con varios códigos o sin 8 dígitos; ","")&amp;IF(AND(ISNUMBER(B190),LEN(B190)=8),IF(MOD(B190,10000)=0,"UNSPSC a nivel de segmento o familia; ",""),"")&amp;IF(NOT(ISNUMBER(E190)),"Duración vacía o en texto; ","")&amp;IF(NOT(ISNUMBER(G190)),"Valor vacío o en texto; ","")&amp;IF(ISNUMBER(M190),IF(M190&lt;1000000,"Valor inferior a $1.000.000: verificar; ",""),"Valor no interpretable; ")&amp;IF(N190="[PENDIENTE DE VERIFICAR]","Modalidad no identificable; ","")&amp;IF(OR(ISERROR(SEARCH("@itc.edu.co",J190)),SUMPRODUCT(--ISNUMBER(SEARCH({"á","é","í","ó","ú","ñ"},J190)))&gt;0),"Correo vacío o no institucional válido; ","")&amp;IF(LEN(TRIM(D190))=0,"Sin objeto contractual; ","")&amp;IF(AND(ISNUMBER(M190),N190="Mínima cuantía"),IF(M190&gt;39850000,"Mínima cuantía con valor superior al tope citado en el instructivo 2026 ($39.850.000): verificar modalidad; ",""),"")&amp;IF(AND(ISNUMBER(M190),OR(ISNUMBER(SEARCH("prestación de servicios",D190)),ISNUMBER(SEARCH("prestar servicios",D190)),ISNUMBER(SEARCH("prestar los servicios",D190)))),IF(M190&gt;=500000000,"Prestación de servicios por $500 millones o más: posible error de digitación; ",""),""))</f>
        <v>Sin observaciones</v>
      </c>
    </row>
    <row r="191" spans="1:15" ht="45.6" x14ac:dyDescent="0.3">
      <c r="A191" s="15" t="s">
        <v>1271</v>
      </c>
      <c r="B191" s="15">
        <v>80101600</v>
      </c>
      <c r="C191" s="15" t="s">
        <v>1235</v>
      </c>
      <c r="D191" s="15" t="s">
        <v>1272</v>
      </c>
      <c r="E191" s="15">
        <v>6</v>
      </c>
      <c r="F191" s="15" t="s">
        <v>802</v>
      </c>
      <c r="G191" s="29">
        <v>42136270</v>
      </c>
      <c r="H191" s="15" t="s">
        <v>1238</v>
      </c>
      <c r="I191" s="15" t="s">
        <v>1239</v>
      </c>
      <c r="J191" s="15" t="s">
        <v>955</v>
      </c>
      <c r="K191" s="15"/>
      <c r="L191" s="30" t="s">
        <v>929</v>
      </c>
      <c r="M191" s="31">
        <v>42136270</v>
      </c>
      <c r="N191" s="30" t="s">
        <v>803</v>
      </c>
      <c r="O191" s="30" t="str">
        <f>IF(LEN(IF(OR(NOT(ISNUMBER(B191)),LEN(B191)&lt;&gt;8),"UNSPSC vacío, en texto, con varios códigos o sin 8 dígitos; ","")&amp;IF(AND(ISNUMBER(B191),LEN(B191)=8),IF(MOD(B191,10000)=0,"UNSPSC a nivel de segmento o familia; ",""),"")&amp;IF(NOT(ISNUMBER(E191)),"Duración vacía o en texto; ","")&amp;IF(NOT(ISNUMBER(G191)),"Valor vacío o en texto; ","")&amp;IF(ISNUMBER(M191),IF(M191&lt;1000000,"Valor inferior a $1.000.000: verificar; ",""),"Valor no interpretable; ")&amp;IF(N191="[PENDIENTE DE VERIFICAR]","Modalidad no identificable; ","")&amp;IF(OR(ISERROR(SEARCH("@itc.edu.co",J191)),SUMPRODUCT(--ISNUMBER(SEARCH({"á","é","í","ó","ú","ñ"},J191)))&gt;0),"Correo vacío o no institucional válido; ","")&amp;IF(LEN(TRIM(D191))=0,"Sin objeto contractual; ","")&amp;IF(AND(ISNUMBER(M191),N191="Mínima cuantía"),IF(M191&gt;39850000,"Mínima cuantía con valor superior al tope citado en el instructivo 2026 ($39.850.000): verificar modalidad; ",""),"")&amp;IF(AND(ISNUMBER(M191),OR(ISNUMBER(SEARCH("prestación de servicios",D191)),ISNUMBER(SEARCH("prestar servicios",D191)),ISNUMBER(SEARCH("prestar los servicios",D191)))),IF(M191&gt;=500000000,"Prestación de servicios por $500 millones o más: posible error de digitación; ",""),""))=0,"Sin observaciones",IF(OR(NOT(ISNUMBER(B191)),LEN(B191)&lt;&gt;8),"UNSPSC vacío, en texto, con varios códigos o sin 8 dígitos; ","")&amp;IF(AND(ISNUMBER(B191),LEN(B191)=8),IF(MOD(B191,10000)=0,"UNSPSC a nivel de segmento o familia; ",""),"")&amp;IF(NOT(ISNUMBER(E191)),"Duración vacía o en texto; ","")&amp;IF(NOT(ISNUMBER(G191)),"Valor vacío o en texto; ","")&amp;IF(ISNUMBER(M191),IF(M191&lt;1000000,"Valor inferior a $1.000.000: verificar; ",""),"Valor no interpretable; ")&amp;IF(N191="[PENDIENTE DE VERIFICAR]","Modalidad no identificable; ","")&amp;IF(OR(ISERROR(SEARCH("@itc.edu.co",J191)),SUMPRODUCT(--ISNUMBER(SEARCH({"á","é","í","ó","ú","ñ"},J191)))&gt;0),"Correo vacío o no institucional válido; ","")&amp;IF(LEN(TRIM(D191))=0,"Sin objeto contractual; ","")&amp;IF(AND(ISNUMBER(M191),N191="Mínima cuantía"),IF(M191&gt;39850000,"Mínima cuantía con valor superior al tope citado en el instructivo 2026 ($39.850.000): verificar modalidad; ",""),"")&amp;IF(AND(ISNUMBER(M191),OR(ISNUMBER(SEARCH("prestación de servicios",D191)),ISNUMBER(SEARCH("prestar servicios",D191)),ISNUMBER(SEARCH("prestar los servicios",D191)))),IF(M191&gt;=500000000,"Prestación de servicios por $500 millones o más: posible error de digitación; ",""),""))</f>
        <v>Sin observaciones</v>
      </c>
    </row>
    <row r="192" spans="1:15" ht="34.200000000000003" x14ac:dyDescent="0.3">
      <c r="A192" s="15" t="s">
        <v>1273</v>
      </c>
      <c r="B192" s="15">
        <v>80101600</v>
      </c>
      <c r="C192" s="15" t="s">
        <v>1235</v>
      </c>
      <c r="D192" s="15" t="s">
        <v>1274</v>
      </c>
      <c r="E192" s="15">
        <v>1</v>
      </c>
      <c r="F192" s="15" t="s">
        <v>802</v>
      </c>
      <c r="G192" s="29">
        <v>20000000</v>
      </c>
      <c r="H192" s="15" t="s">
        <v>1238</v>
      </c>
      <c r="I192" s="15" t="s">
        <v>1239</v>
      </c>
      <c r="J192" s="15" t="s">
        <v>955</v>
      </c>
      <c r="K192" s="15"/>
      <c r="L192" s="30" t="s">
        <v>929</v>
      </c>
      <c r="M192" s="31">
        <v>20000000</v>
      </c>
      <c r="N192" s="30" t="s">
        <v>803</v>
      </c>
      <c r="O192" s="30" t="str">
        <f>IF(LEN(IF(OR(NOT(ISNUMBER(B192)),LEN(B192)&lt;&gt;8),"UNSPSC vacío, en texto, con varios códigos o sin 8 dígitos; ","")&amp;IF(AND(ISNUMBER(B192),LEN(B192)=8),IF(MOD(B192,10000)=0,"UNSPSC a nivel de segmento o familia; ",""),"")&amp;IF(NOT(ISNUMBER(E192)),"Duración vacía o en texto; ","")&amp;IF(NOT(ISNUMBER(G192)),"Valor vacío o en texto; ","")&amp;IF(ISNUMBER(M192),IF(M192&lt;1000000,"Valor inferior a $1.000.000: verificar; ",""),"Valor no interpretable; ")&amp;IF(N192="[PENDIENTE DE VERIFICAR]","Modalidad no identificable; ","")&amp;IF(OR(ISERROR(SEARCH("@itc.edu.co",J192)),SUMPRODUCT(--ISNUMBER(SEARCH({"á","é","í","ó","ú","ñ"},J192)))&gt;0),"Correo vacío o no institucional válido; ","")&amp;IF(LEN(TRIM(D192))=0,"Sin objeto contractual; ","")&amp;IF(AND(ISNUMBER(M192),N192="Mínima cuantía"),IF(M192&gt;39850000,"Mínima cuantía con valor superior al tope citado en el instructivo 2026 ($39.850.000): verificar modalidad; ",""),"")&amp;IF(AND(ISNUMBER(M192),OR(ISNUMBER(SEARCH("prestación de servicios",D192)),ISNUMBER(SEARCH("prestar servicios",D192)),ISNUMBER(SEARCH("prestar los servicios",D192)))),IF(M192&gt;=500000000,"Prestación de servicios por $500 millones o más: posible error de digitación; ",""),""))=0,"Sin observaciones",IF(OR(NOT(ISNUMBER(B192)),LEN(B192)&lt;&gt;8),"UNSPSC vacío, en texto, con varios códigos o sin 8 dígitos; ","")&amp;IF(AND(ISNUMBER(B192),LEN(B192)=8),IF(MOD(B192,10000)=0,"UNSPSC a nivel de segmento o familia; ",""),"")&amp;IF(NOT(ISNUMBER(E192)),"Duración vacía o en texto; ","")&amp;IF(NOT(ISNUMBER(G192)),"Valor vacío o en texto; ","")&amp;IF(ISNUMBER(M192),IF(M192&lt;1000000,"Valor inferior a $1.000.000: verificar; ",""),"Valor no interpretable; ")&amp;IF(N192="[PENDIENTE DE VERIFICAR]","Modalidad no identificable; ","")&amp;IF(OR(ISERROR(SEARCH("@itc.edu.co",J192)),SUMPRODUCT(--ISNUMBER(SEARCH({"á","é","í","ó","ú","ñ"},J192)))&gt;0),"Correo vacío o no institucional válido; ","")&amp;IF(LEN(TRIM(D192))=0,"Sin objeto contractual; ","")&amp;IF(AND(ISNUMBER(M192),N192="Mínima cuantía"),IF(M192&gt;39850000,"Mínima cuantía con valor superior al tope citado en el instructivo 2026 ($39.850.000): verificar modalidad; ",""),"")&amp;IF(AND(ISNUMBER(M192),OR(ISNUMBER(SEARCH("prestación de servicios",D192)),ISNUMBER(SEARCH("prestar servicios",D192)),ISNUMBER(SEARCH("prestar los servicios",D192)))),IF(M192&gt;=500000000,"Prestación de servicios por $500 millones o más: posible error de digitación; ",""),""))</f>
        <v>Sin observaciones</v>
      </c>
    </row>
    <row r="193" spans="1:15" ht="57" x14ac:dyDescent="0.3">
      <c r="A193" s="15" t="s">
        <v>1275</v>
      </c>
      <c r="B193" s="15">
        <v>80101600</v>
      </c>
      <c r="C193" s="15" t="s">
        <v>1235</v>
      </c>
      <c r="D193" s="15" t="s">
        <v>1276</v>
      </c>
      <c r="E193" s="15">
        <v>1</v>
      </c>
      <c r="F193" s="15" t="s">
        <v>802</v>
      </c>
      <c r="G193" s="29">
        <v>50000000</v>
      </c>
      <c r="H193" s="15" t="s">
        <v>1238</v>
      </c>
      <c r="I193" s="15" t="s">
        <v>1239</v>
      </c>
      <c r="J193" s="15" t="s">
        <v>955</v>
      </c>
      <c r="K193" s="15"/>
      <c r="L193" s="30" t="s">
        <v>929</v>
      </c>
      <c r="M193" s="31">
        <v>50000000</v>
      </c>
      <c r="N193" s="30" t="s">
        <v>803</v>
      </c>
      <c r="O193" s="30" t="str">
        <f>IF(LEN(IF(OR(NOT(ISNUMBER(B193)),LEN(B193)&lt;&gt;8),"UNSPSC vacío, en texto, con varios códigos o sin 8 dígitos; ","")&amp;IF(AND(ISNUMBER(B193),LEN(B193)=8),IF(MOD(B193,10000)=0,"UNSPSC a nivel de segmento o familia; ",""),"")&amp;IF(NOT(ISNUMBER(E193)),"Duración vacía o en texto; ","")&amp;IF(NOT(ISNUMBER(G193)),"Valor vacío o en texto; ","")&amp;IF(ISNUMBER(M193),IF(M193&lt;1000000,"Valor inferior a $1.000.000: verificar; ",""),"Valor no interpretable; ")&amp;IF(N193="[PENDIENTE DE VERIFICAR]","Modalidad no identificable; ","")&amp;IF(OR(ISERROR(SEARCH("@itc.edu.co",J193)),SUMPRODUCT(--ISNUMBER(SEARCH({"á","é","í","ó","ú","ñ"},J193)))&gt;0),"Correo vacío o no institucional válido; ","")&amp;IF(LEN(TRIM(D193))=0,"Sin objeto contractual; ","")&amp;IF(AND(ISNUMBER(M193),N193="Mínima cuantía"),IF(M193&gt;39850000,"Mínima cuantía con valor superior al tope citado en el instructivo 2026 ($39.850.000): verificar modalidad; ",""),"")&amp;IF(AND(ISNUMBER(M193),OR(ISNUMBER(SEARCH("prestación de servicios",D193)),ISNUMBER(SEARCH("prestar servicios",D193)),ISNUMBER(SEARCH("prestar los servicios",D193)))),IF(M193&gt;=500000000,"Prestación de servicios por $500 millones o más: posible error de digitación; ",""),""))=0,"Sin observaciones",IF(OR(NOT(ISNUMBER(B193)),LEN(B193)&lt;&gt;8),"UNSPSC vacío, en texto, con varios códigos o sin 8 dígitos; ","")&amp;IF(AND(ISNUMBER(B193),LEN(B193)=8),IF(MOD(B193,10000)=0,"UNSPSC a nivel de segmento o familia; ",""),"")&amp;IF(NOT(ISNUMBER(E193)),"Duración vacía o en texto; ","")&amp;IF(NOT(ISNUMBER(G193)),"Valor vacío o en texto; ","")&amp;IF(ISNUMBER(M193),IF(M193&lt;1000000,"Valor inferior a $1.000.000: verificar; ",""),"Valor no interpretable; ")&amp;IF(N193="[PENDIENTE DE VERIFICAR]","Modalidad no identificable; ","")&amp;IF(OR(ISERROR(SEARCH("@itc.edu.co",J193)),SUMPRODUCT(--ISNUMBER(SEARCH({"á","é","í","ó","ú","ñ"},J193)))&gt;0),"Correo vacío o no institucional válido; ","")&amp;IF(LEN(TRIM(D193))=0,"Sin objeto contractual; ","")&amp;IF(AND(ISNUMBER(M193),N193="Mínima cuantía"),IF(M193&gt;39850000,"Mínima cuantía con valor superior al tope citado en el instructivo 2026 ($39.850.000): verificar modalidad; ",""),"")&amp;IF(AND(ISNUMBER(M193),OR(ISNUMBER(SEARCH("prestación de servicios",D193)),ISNUMBER(SEARCH("prestar servicios",D193)),ISNUMBER(SEARCH("prestar los servicios",D193)))),IF(M193&gt;=500000000,"Prestación de servicios por $500 millones o más: posible error de digitación; ",""),""))</f>
        <v>Sin observaciones</v>
      </c>
    </row>
    <row r="194" spans="1:15" ht="34.200000000000003" x14ac:dyDescent="0.3">
      <c r="A194" s="15" t="s">
        <v>1277</v>
      </c>
      <c r="B194" s="15">
        <v>80101600</v>
      </c>
      <c r="C194" s="15" t="s">
        <v>1235</v>
      </c>
      <c r="D194" s="15" t="s">
        <v>1278</v>
      </c>
      <c r="E194" s="15">
        <v>4</v>
      </c>
      <c r="F194" s="15" t="s">
        <v>802</v>
      </c>
      <c r="G194" s="29">
        <v>2000000</v>
      </c>
      <c r="H194" s="15" t="s">
        <v>1238</v>
      </c>
      <c r="I194" s="15" t="s">
        <v>1239</v>
      </c>
      <c r="J194" s="15" t="s">
        <v>955</v>
      </c>
      <c r="K194" s="15"/>
      <c r="L194" s="30" t="s">
        <v>929</v>
      </c>
      <c r="M194" s="31">
        <v>2000000</v>
      </c>
      <c r="N194" s="30" t="s">
        <v>803</v>
      </c>
      <c r="O194" s="30" t="str">
        <f>IF(LEN(IF(OR(NOT(ISNUMBER(B194)),LEN(B194)&lt;&gt;8),"UNSPSC vacío, en texto, con varios códigos o sin 8 dígitos; ","")&amp;IF(AND(ISNUMBER(B194),LEN(B194)=8),IF(MOD(B194,10000)=0,"UNSPSC a nivel de segmento o familia; ",""),"")&amp;IF(NOT(ISNUMBER(E194)),"Duración vacía o en texto; ","")&amp;IF(NOT(ISNUMBER(G194)),"Valor vacío o en texto; ","")&amp;IF(ISNUMBER(M194),IF(M194&lt;1000000,"Valor inferior a $1.000.000: verificar; ",""),"Valor no interpretable; ")&amp;IF(N194="[PENDIENTE DE VERIFICAR]","Modalidad no identificable; ","")&amp;IF(OR(ISERROR(SEARCH("@itc.edu.co",J194)),SUMPRODUCT(--ISNUMBER(SEARCH({"á","é","í","ó","ú","ñ"},J194)))&gt;0),"Correo vacío o no institucional válido; ","")&amp;IF(LEN(TRIM(D194))=0,"Sin objeto contractual; ","")&amp;IF(AND(ISNUMBER(M194),N194="Mínima cuantía"),IF(M194&gt;39850000,"Mínima cuantía con valor superior al tope citado en el instructivo 2026 ($39.850.000): verificar modalidad; ",""),"")&amp;IF(AND(ISNUMBER(M194),OR(ISNUMBER(SEARCH("prestación de servicios",D194)),ISNUMBER(SEARCH("prestar servicios",D194)),ISNUMBER(SEARCH("prestar los servicios",D194)))),IF(M194&gt;=500000000,"Prestación de servicios por $500 millones o más: posible error de digitación; ",""),""))=0,"Sin observaciones",IF(OR(NOT(ISNUMBER(B194)),LEN(B194)&lt;&gt;8),"UNSPSC vacío, en texto, con varios códigos o sin 8 dígitos; ","")&amp;IF(AND(ISNUMBER(B194),LEN(B194)=8),IF(MOD(B194,10000)=0,"UNSPSC a nivel de segmento o familia; ",""),"")&amp;IF(NOT(ISNUMBER(E194)),"Duración vacía o en texto; ","")&amp;IF(NOT(ISNUMBER(G194)),"Valor vacío o en texto; ","")&amp;IF(ISNUMBER(M194),IF(M194&lt;1000000,"Valor inferior a $1.000.000: verificar; ",""),"Valor no interpretable; ")&amp;IF(N194="[PENDIENTE DE VERIFICAR]","Modalidad no identificable; ","")&amp;IF(OR(ISERROR(SEARCH("@itc.edu.co",J194)),SUMPRODUCT(--ISNUMBER(SEARCH({"á","é","í","ó","ú","ñ"},J194)))&gt;0),"Correo vacío o no institucional válido; ","")&amp;IF(LEN(TRIM(D194))=0,"Sin objeto contractual; ","")&amp;IF(AND(ISNUMBER(M194),N194="Mínima cuantía"),IF(M194&gt;39850000,"Mínima cuantía con valor superior al tope citado en el instructivo 2026 ($39.850.000): verificar modalidad; ",""),"")&amp;IF(AND(ISNUMBER(M194),OR(ISNUMBER(SEARCH("prestación de servicios",D194)),ISNUMBER(SEARCH("prestar servicios",D194)),ISNUMBER(SEARCH("prestar los servicios",D194)))),IF(M194&gt;=500000000,"Prestación de servicios por $500 millones o más: posible error de digitación; ",""),""))</f>
        <v>Sin observaciones</v>
      </c>
    </row>
    <row r="195" spans="1:15" ht="34.200000000000003" x14ac:dyDescent="0.3">
      <c r="A195" s="15" t="s">
        <v>1279</v>
      </c>
      <c r="B195" s="15">
        <v>80101600</v>
      </c>
      <c r="C195" s="15" t="s">
        <v>1235</v>
      </c>
      <c r="D195" s="15" t="s">
        <v>1280</v>
      </c>
      <c r="E195" s="15">
        <v>20</v>
      </c>
      <c r="F195" s="15" t="s">
        <v>802</v>
      </c>
      <c r="G195" s="29">
        <v>60000</v>
      </c>
      <c r="H195" s="15" t="s">
        <v>1238</v>
      </c>
      <c r="I195" s="15" t="s">
        <v>1239</v>
      </c>
      <c r="J195" s="15" t="s">
        <v>955</v>
      </c>
      <c r="K195" s="15"/>
      <c r="L195" s="30" t="s">
        <v>929</v>
      </c>
      <c r="M195" s="31">
        <v>60000</v>
      </c>
      <c r="N195" s="30" t="s">
        <v>803</v>
      </c>
      <c r="O195" s="30" t="str">
        <f>IF(LEN(IF(OR(NOT(ISNUMBER(B195)),LEN(B195)&lt;&gt;8),"UNSPSC vacío, en texto, con varios códigos o sin 8 dígitos; ","")&amp;IF(AND(ISNUMBER(B195),LEN(B195)=8),IF(MOD(B195,10000)=0,"UNSPSC a nivel de segmento o familia; ",""),"")&amp;IF(NOT(ISNUMBER(E195)),"Duración vacía o en texto; ","")&amp;IF(NOT(ISNUMBER(G195)),"Valor vacío o en texto; ","")&amp;IF(ISNUMBER(M195),IF(M195&lt;1000000,"Valor inferior a $1.000.000: verificar; ",""),"Valor no interpretable; ")&amp;IF(N195="[PENDIENTE DE VERIFICAR]","Modalidad no identificable; ","")&amp;IF(OR(ISERROR(SEARCH("@itc.edu.co",J195)),SUMPRODUCT(--ISNUMBER(SEARCH({"á","é","í","ó","ú","ñ"},J195)))&gt;0),"Correo vacío o no institucional válido; ","")&amp;IF(LEN(TRIM(D195))=0,"Sin objeto contractual; ","")&amp;IF(AND(ISNUMBER(M195),N195="Mínima cuantía"),IF(M195&gt;39850000,"Mínima cuantía con valor superior al tope citado en el instructivo 2026 ($39.850.000): verificar modalidad; ",""),"")&amp;IF(AND(ISNUMBER(M195),OR(ISNUMBER(SEARCH("prestación de servicios",D195)),ISNUMBER(SEARCH("prestar servicios",D195)),ISNUMBER(SEARCH("prestar los servicios",D195)))),IF(M195&gt;=500000000,"Prestación de servicios por $500 millones o más: posible error de digitación; ",""),""))=0,"Sin observaciones",IF(OR(NOT(ISNUMBER(B195)),LEN(B195)&lt;&gt;8),"UNSPSC vacío, en texto, con varios códigos o sin 8 dígitos; ","")&amp;IF(AND(ISNUMBER(B195),LEN(B195)=8),IF(MOD(B195,10000)=0,"UNSPSC a nivel de segmento o familia; ",""),"")&amp;IF(NOT(ISNUMBER(E195)),"Duración vacía o en texto; ","")&amp;IF(NOT(ISNUMBER(G195)),"Valor vacío o en texto; ","")&amp;IF(ISNUMBER(M195),IF(M195&lt;1000000,"Valor inferior a $1.000.000: verificar; ",""),"Valor no interpretable; ")&amp;IF(N195="[PENDIENTE DE VERIFICAR]","Modalidad no identificable; ","")&amp;IF(OR(ISERROR(SEARCH("@itc.edu.co",J195)),SUMPRODUCT(--ISNUMBER(SEARCH({"á","é","í","ó","ú","ñ"},J195)))&gt;0),"Correo vacío o no institucional válido; ","")&amp;IF(LEN(TRIM(D195))=0,"Sin objeto contractual; ","")&amp;IF(AND(ISNUMBER(M195),N195="Mínima cuantía"),IF(M195&gt;39850000,"Mínima cuantía con valor superior al tope citado en el instructivo 2026 ($39.850.000): verificar modalidad; ",""),"")&amp;IF(AND(ISNUMBER(M195),OR(ISNUMBER(SEARCH("prestación de servicios",D195)),ISNUMBER(SEARCH("prestar servicios",D195)),ISNUMBER(SEARCH("prestar los servicios",D195)))),IF(M195&gt;=500000000,"Prestación de servicios por $500 millones o más: posible error de digitación; ",""),""))</f>
        <v xml:space="preserve">Valor inferior a $1.000.000: verificar; </v>
      </c>
    </row>
    <row r="196" spans="1:15" ht="34.200000000000003" x14ac:dyDescent="0.3">
      <c r="A196" s="15" t="s">
        <v>1281</v>
      </c>
      <c r="B196" s="15">
        <v>80101600</v>
      </c>
      <c r="C196" s="15" t="s">
        <v>1235</v>
      </c>
      <c r="D196" s="15" t="s">
        <v>1282</v>
      </c>
      <c r="E196" s="15">
        <v>50</v>
      </c>
      <c r="F196" s="15" t="s">
        <v>802</v>
      </c>
      <c r="G196" s="29">
        <v>750000</v>
      </c>
      <c r="H196" s="15" t="s">
        <v>1238</v>
      </c>
      <c r="I196" s="15" t="s">
        <v>1239</v>
      </c>
      <c r="J196" s="15" t="s">
        <v>955</v>
      </c>
      <c r="K196" s="15"/>
      <c r="L196" s="30" t="s">
        <v>929</v>
      </c>
      <c r="M196" s="31">
        <v>750000</v>
      </c>
      <c r="N196" s="30" t="s">
        <v>803</v>
      </c>
      <c r="O196" s="30" t="str">
        <f>IF(LEN(IF(OR(NOT(ISNUMBER(B196)),LEN(B196)&lt;&gt;8),"UNSPSC vacío, en texto, con varios códigos o sin 8 dígitos; ","")&amp;IF(AND(ISNUMBER(B196),LEN(B196)=8),IF(MOD(B196,10000)=0,"UNSPSC a nivel de segmento o familia; ",""),"")&amp;IF(NOT(ISNUMBER(E196)),"Duración vacía o en texto; ","")&amp;IF(NOT(ISNUMBER(G196)),"Valor vacío o en texto; ","")&amp;IF(ISNUMBER(M196),IF(M196&lt;1000000,"Valor inferior a $1.000.000: verificar; ",""),"Valor no interpretable; ")&amp;IF(N196="[PENDIENTE DE VERIFICAR]","Modalidad no identificable; ","")&amp;IF(OR(ISERROR(SEARCH("@itc.edu.co",J196)),SUMPRODUCT(--ISNUMBER(SEARCH({"á","é","í","ó","ú","ñ"},J196)))&gt;0),"Correo vacío o no institucional válido; ","")&amp;IF(LEN(TRIM(D196))=0,"Sin objeto contractual; ","")&amp;IF(AND(ISNUMBER(M196),N196="Mínima cuantía"),IF(M196&gt;39850000,"Mínima cuantía con valor superior al tope citado en el instructivo 2026 ($39.850.000): verificar modalidad; ",""),"")&amp;IF(AND(ISNUMBER(M196),OR(ISNUMBER(SEARCH("prestación de servicios",D196)),ISNUMBER(SEARCH("prestar servicios",D196)),ISNUMBER(SEARCH("prestar los servicios",D196)))),IF(M196&gt;=500000000,"Prestación de servicios por $500 millones o más: posible error de digitación; ",""),""))=0,"Sin observaciones",IF(OR(NOT(ISNUMBER(B196)),LEN(B196)&lt;&gt;8),"UNSPSC vacío, en texto, con varios códigos o sin 8 dígitos; ","")&amp;IF(AND(ISNUMBER(B196),LEN(B196)=8),IF(MOD(B196,10000)=0,"UNSPSC a nivel de segmento o familia; ",""),"")&amp;IF(NOT(ISNUMBER(E196)),"Duración vacía o en texto; ","")&amp;IF(NOT(ISNUMBER(G196)),"Valor vacío o en texto; ","")&amp;IF(ISNUMBER(M196),IF(M196&lt;1000000,"Valor inferior a $1.000.000: verificar; ",""),"Valor no interpretable; ")&amp;IF(N196="[PENDIENTE DE VERIFICAR]","Modalidad no identificable; ","")&amp;IF(OR(ISERROR(SEARCH("@itc.edu.co",J196)),SUMPRODUCT(--ISNUMBER(SEARCH({"á","é","í","ó","ú","ñ"},J196)))&gt;0),"Correo vacío o no institucional válido; ","")&amp;IF(LEN(TRIM(D196))=0,"Sin objeto contractual; ","")&amp;IF(AND(ISNUMBER(M196),N196="Mínima cuantía"),IF(M196&gt;39850000,"Mínima cuantía con valor superior al tope citado en el instructivo 2026 ($39.850.000): verificar modalidad; ",""),"")&amp;IF(AND(ISNUMBER(M196),OR(ISNUMBER(SEARCH("prestación de servicios",D196)),ISNUMBER(SEARCH("prestar servicios",D196)),ISNUMBER(SEARCH("prestar los servicios",D196)))),IF(M196&gt;=500000000,"Prestación de servicios por $500 millones o más: posible error de digitación; ",""),""))</f>
        <v xml:space="preserve">Valor inferior a $1.000.000: verificar; </v>
      </c>
    </row>
    <row r="197" spans="1:15" ht="34.200000000000003" x14ac:dyDescent="0.3">
      <c r="A197" s="15" t="s">
        <v>1283</v>
      </c>
      <c r="B197" s="15">
        <v>80101600</v>
      </c>
      <c r="C197" s="15" t="s">
        <v>1235</v>
      </c>
      <c r="D197" s="15" t="s">
        <v>1284</v>
      </c>
      <c r="E197" s="15">
        <v>1</v>
      </c>
      <c r="F197" s="15" t="s">
        <v>802</v>
      </c>
      <c r="G197" s="29">
        <v>10000000</v>
      </c>
      <c r="H197" s="15" t="s">
        <v>1238</v>
      </c>
      <c r="I197" s="15" t="s">
        <v>1239</v>
      </c>
      <c r="J197" s="15" t="s">
        <v>955</v>
      </c>
      <c r="K197" s="15"/>
      <c r="L197" s="30" t="s">
        <v>929</v>
      </c>
      <c r="M197" s="31">
        <v>10000000</v>
      </c>
      <c r="N197" s="30" t="s">
        <v>803</v>
      </c>
      <c r="O197" s="30" t="str">
        <f>IF(LEN(IF(OR(NOT(ISNUMBER(B197)),LEN(B197)&lt;&gt;8),"UNSPSC vacío, en texto, con varios códigos o sin 8 dígitos; ","")&amp;IF(AND(ISNUMBER(B197),LEN(B197)=8),IF(MOD(B197,10000)=0,"UNSPSC a nivel de segmento o familia; ",""),"")&amp;IF(NOT(ISNUMBER(E197)),"Duración vacía o en texto; ","")&amp;IF(NOT(ISNUMBER(G197)),"Valor vacío o en texto; ","")&amp;IF(ISNUMBER(M197),IF(M197&lt;1000000,"Valor inferior a $1.000.000: verificar; ",""),"Valor no interpretable; ")&amp;IF(N197="[PENDIENTE DE VERIFICAR]","Modalidad no identificable; ","")&amp;IF(OR(ISERROR(SEARCH("@itc.edu.co",J197)),SUMPRODUCT(--ISNUMBER(SEARCH({"á","é","í","ó","ú","ñ"},J197)))&gt;0),"Correo vacío o no institucional válido; ","")&amp;IF(LEN(TRIM(D197))=0,"Sin objeto contractual; ","")&amp;IF(AND(ISNUMBER(M197),N197="Mínima cuantía"),IF(M197&gt;39850000,"Mínima cuantía con valor superior al tope citado en el instructivo 2026 ($39.850.000): verificar modalidad; ",""),"")&amp;IF(AND(ISNUMBER(M197),OR(ISNUMBER(SEARCH("prestación de servicios",D197)),ISNUMBER(SEARCH("prestar servicios",D197)),ISNUMBER(SEARCH("prestar los servicios",D197)))),IF(M197&gt;=500000000,"Prestación de servicios por $500 millones o más: posible error de digitación; ",""),""))=0,"Sin observaciones",IF(OR(NOT(ISNUMBER(B197)),LEN(B197)&lt;&gt;8),"UNSPSC vacío, en texto, con varios códigos o sin 8 dígitos; ","")&amp;IF(AND(ISNUMBER(B197),LEN(B197)=8),IF(MOD(B197,10000)=0,"UNSPSC a nivel de segmento o familia; ",""),"")&amp;IF(NOT(ISNUMBER(E197)),"Duración vacía o en texto; ","")&amp;IF(NOT(ISNUMBER(G197)),"Valor vacío o en texto; ","")&amp;IF(ISNUMBER(M197),IF(M197&lt;1000000,"Valor inferior a $1.000.000: verificar; ",""),"Valor no interpretable; ")&amp;IF(N197="[PENDIENTE DE VERIFICAR]","Modalidad no identificable; ","")&amp;IF(OR(ISERROR(SEARCH("@itc.edu.co",J197)),SUMPRODUCT(--ISNUMBER(SEARCH({"á","é","í","ó","ú","ñ"},J197)))&gt;0),"Correo vacío o no institucional válido; ","")&amp;IF(LEN(TRIM(D197))=0,"Sin objeto contractual; ","")&amp;IF(AND(ISNUMBER(M197),N197="Mínima cuantía"),IF(M197&gt;39850000,"Mínima cuantía con valor superior al tope citado en el instructivo 2026 ($39.850.000): verificar modalidad; ",""),"")&amp;IF(AND(ISNUMBER(M197),OR(ISNUMBER(SEARCH("prestación de servicios",D197)),ISNUMBER(SEARCH("prestar servicios",D197)),ISNUMBER(SEARCH("prestar los servicios",D197)))),IF(M197&gt;=500000000,"Prestación de servicios por $500 millones o más: posible error de digitación; ",""),""))</f>
        <v>Sin observaciones</v>
      </c>
    </row>
    <row r="198" spans="1:15" ht="34.200000000000003" x14ac:dyDescent="0.3">
      <c r="A198" s="15" t="s">
        <v>1285</v>
      </c>
      <c r="B198" s="15">
        <v>80101600</v>
      </c>
      <c r="C198" s="15" t="s">
        <v>1235</v>
      </c>
      <c r="D198" s="15" t="s">
        <v>1286</v>
      </c>
      <c r="E198" s="15">
        <v>5</v>
      </c>
      <c r="F198" s="15" t="s">
        <v>802</v>
      </c>
      <c r="G198" s="29">
        <v>80000000</v>
      </c>
      <c r="H198" s="15" t="s">
        <v>1238</v>
      </c>
      <c r="I198" s="15" t="s">
        <v>1239</v>
      </c>
      <c r="J198" s="15" t="s">
        <v>955</v>
      </c>
      <c r="K198" s="15"/>
      <c r="L198" s="30" t="s">
        <v>929</v>
      </c>
      <c r="M198" s="31">
        <v>80000000</v>
      </c>
      <c r="N198" s="30" t="s">
        <v>803</v>
      </c>
      <c r="O198" s="30" t="str">
        <f>IF(LEN(IF(OR(NOT(ISNUMBER(B198)),LEN(B198)&lt;&gt;8),"UNSPSC vacío, en texto, con varios códigos o sin 8 dígitos; ","")&amp;IF(AND(ISNUMBER(B198),LEN(B198)=8),IF(MOD(B198,10000)=0,"UNSPSC a nivel de segmento o familia; ",""),"")&amp;IF(NOT(ISNUMBER(E198)),"Duración vacía o en texto; ","")&amp;IF(NOT(ISNUMBER(G198)),"Valor vacío o en texto; ","")&amp;IF(ISNUMBER(M198),IF(M198&lt;1000000,"Valor inferior a $1.000.000: verificar; ",""),"Valor no interpretable; ")&amp;IF(N198="[PENDIENTE DE VERIFICAR]","Modalidad no identificable; ","")&amp;IF(OR(ISERROR(SEARCH("@itc.edu.co",J198)),SUMPRODUCT(--ISNUMBER(SEARCH({"á","é","í","ó","ú","ñ"},J198)))&gt;0),"Correo vacío o no institucional válido; ","")&amp;IF(LEN(TRIM(D198))=0,"Sin objeto contractual; ","")&amp;IF(AND(ISNUMBER(M198),N198="Mínima cuantía"),IF(M198&gt;39850000,"Mínima cuantía con valor superior al tope citado en el instructivo 2026 ($39.850.000): verificar modalidad; ",""),"")&amp;IF(AND(ISNUMBER(M198),OR(ISNUMBER(SEARCH("prestación de servicios",D198)),ISNUMBER(SEARCH("prestar servicios",D198)),ISNUMBER(SEARCH("prestar los servicios",D198)))),IF(M198&gt;=500000000,"Prestación de servicios por $500 millones o más: posible error de digitación; ",""),""))=0,"Sin observaciones",IF(OR(NOT(ISNUMBER(B198)),LEN(B198)&lt;&gt;8),"UNSPSC vacío, en texto, con varios códigos o sin 8 dígitos; ","")&amp;IF(AND(ISNUMBER(B198),LEN(B198)=8),IF(MOD(B198,10000)=0,"UNSPSC a nivel de segmento o familia; ",""),"")&amp;IF(NOT(ISNUMBER(E198)),"Duración vacía o en texto; ","")&amp;IF(NOT(ISNUMBER(G198)),"Valor vacío o en texto; ","")&amp;IF(ISNUMBER(M198),IF(M198&lt;1000000,"Valor inferior a $1.000.000: verificar; ",""),"Valor no interpretable; ")&amp;IF(N198="[PENDIENTE DE VERIFICAR]","Modalidad no identificable; ","")&amp;IF(OR(ISERROR(SEARCH("@itc.edu.co",J198)),SUMPRODUCT(--ISNUMBER(SEARCH({"á","é","í","ó","ú","ñ"},J198)))&gt;0),"Correo vacío o no institucional válido; ","")&amp;IF(LEN(TRIM(D198))=0,"Sin objeto contractual; ","")&amp;IF(AND(ISNUMBER(M198),N198="Mínima cuantía"),IF(M198&gt;39850000,"Mínima cuantía con valor superior al tope citado en el instructivo 2026 ($39.850.000): verificar modalidad; ",""),"")&amp;IF(AND(ISNUMBER(M198),OR(ISNUMBER(SEARCH("prestación de servicios",D198)),ISNUMBER(SEARCH("prestar servicios",D198)),ISNUMBER(SEARCH("prestar los servicios",D198)))),IF(M198&gt;=500000000,"Prestación de servicios por $500 millones o más: posible error de digitación; ",""),""))</f>
        <v>Sin observaciones</v>
      </c>
    </row>
    <row r="199" spans="1:15" ht="34.200000000000003" x14ac:dyDescent="0.3">
      <c r="A199" s="15" t="s">
        <v>1287</v>
      </c>
      <c r="B199" s="15">
        <v>80101600</v>
      </c>
      <c r="C199" s="15" t="s">
        <v>1235</v>
      </c>
      <c r="D199" s="15" t="s">
        <v>1288</v>
      </c>
      <c r="E199" s="15">
        <v>2</v>
      </c>
      <c r="F199" s="15" t="s">
        <v>802</v>
      </c>
      <c r="G199" s="29">
        <v>25000000</v>
      </c>
      <c r="H199" s="15" t="s">
        <v>1238</v>
      </c>
      <c r="I199" s="15" t="s">
        <v>1239</v>
      </c>
      <c r="J199" s="15" t="s">
        <v>955</v>
      </c>
      <c r="K199" s="15"/>
      <c r="L199" s="30" t="s">
        <v>929</v>
      </c>
      <c r="M199" s="31">
        <v>25000000</v>
      </c>
      <c r="N199" s="30" t="s">
        <v>803</v>
      </c>
      <c r="O199" s="30" t="str">
        <f>IF(LEN(IF(OR(NOT(ISNUMBER(B199)),LEN(B199)&lt;&gt;8),"UNSPSC vacío, en texto, con varios códigos o sin 8 dígitos; ","")&amp;IF(AND(ISNUMBER(B199),LEN(B199)=8),IF(MOD(B199,10000)=0,"UNSPSC a nivel de segmento o familia; ",""),"")&amp;IF(NOT(ISNUMBER(E199)),"Duración vacía o en texto; ","")&amp;IF(NOT(ISNUMBER(G199)),"Valor vacío o en texto; ","")&amp;IF(ISNUMBER(M199),IF(M199&lt;1000000,"Valor inferior a $1.000.000: verificar; ",""),"Valor no interpretable; ")&amp;IF(N199="[PENDIENTE DE VERIFICAR]","Modalidad no identificable; ","")&amp;IF(OR(ISERROR(SEARCH("@itc.edu.co",J199)),SUMPRODUCT(--ISNUMBER(SEARCH({"á","é","í","ó","ú","ñ"},J199)))&gt;0),"Correo vacío o no institucional válido; ","")&amp;IF(LEN(TRIM(D199))=0,"Sin objeto contractual; ","")&amp;IF(AND(ISNUMBER(M199),N199="Mínima cuantía"),IF(M199&gt;39850000,"Mínima cuantía con valor superior al tope citado en el instructivo 2026 ($39.850.000): verificar modalidad; ",""),"")&amp;IF(AND(ISNUMBER(M199),OR(ISNUMBER(SEARCH("prestación de servicios",D199)),ISNUMBER(SEARCH("prestar servicios",D199)),ISNUMBER(SEARCH("prestar los servicios",D199)))),IF(M199&gt;=500000000,"Prestación de servicios por $500 millones o más: posible error de digitación; ",""),""))=0,"Sin observaciones",IF(OR(NOT(ISNUMBER(B199)),LEN(B199)&lt;&gt;8),"UNSPSC vacío, en texto, con varios códigos o sin 8 dígitos; ","")&amp;IF(AND(ISNUMBER(B199),LEN(B199)=8),IF(MOD(B199,10000)=0,"UNSPSC a nivel de segmento o familia; ",""),"")&amp;IF(NOT(ISNUMBER(E199)),"Duración vacía o en texto; ","")&amp;IF(NOT(ISNUMBER(G199)),"Valor vacío o en texto; ","")&amp;IF(ISNUMBER(M199),IF(M199&lt;1000000,"Valor inferior a $1.000.000: verificar; ",""),"Valor no interpretable; ")&amp;IF(N199="[PENDIENTE DE VERIFICAR]","Modalidad no identificable; ","")&amp;IF(OR(ISERROR(SEARCH("@itc.edu.co",J199)),SUMPRODUCT(--ISNUMBER(SEARCH({"á","é","í","ó","ú","ñ"},J199)))&gt;0),"Correo vacío o no institucional válido; ","")&amp;IF(LEN(TRIM(D199))=0,"Sin objeto contractual; ","")&amp;IF(AND(ISNUMBER(M199),N199="Mínima cuantía"),IF(M199&gt;39850000,"Mínima cuantía con valor superior al tope citado en el instructivo 2026 ($39.850.000): verificar modalidad; ",""),"")&amp;IF(AND(ISNUMBER(M199),OR(ISNUMBER(SEARCH("prestación de servicios",D199)),ISNUMBER(SEARCH("prestar servicios",D199)),ISNUMBER(SEARCH("prestar los servicios",D199)))),IF(M199&gt;=500000000,"Prestación de servicios por $500 millones o más: posible error de digitación; ",""),""))</f>
        <v>Sin observaciones</v>
      </c>
    </row>
    <row r="200" spans="1:15" ht="34.200000000000003" x14ac:dyDescent="0.3">
      <c r="A200" s="15" t="s">
        <v>1289</v>
      </c>
      <c r="B200" s="15">
        <v>80101600</v>
      </c>
      <c r="C200" s="15" t="s">
        <v>1235</v>
      </c>
      <c r="D200" s="15" t="s">
        <v>1290</v>
      </c>
      <c r="E200" s="15">
        <v>2</v>
      </c>
      <c r="F200" s="15" t="s">
        <v>802</v>
      </c>
      <c r="G200" s="29">
        <v>50000000</v>
      </c>
      <c r="H200" s="15" t="s">
        <v>1238</v>
      </c>
      <c r="I200" s="15" t="s">
        <v>1239</v>
      </c>
      <c r="J200" s="15" t="s">
        <v>955</v>
      </c>
      <c r="K200" s="15"/>
      <c r="L200" s="30" t="s">
        <v>929</v>
      </c>
      <c r="M200" s="31">
        <v>50000000</v>
      </c>
      <c r="N200" s="30" t="s">
        <v>803</v>
      </c>
      <c r="O200" s="30" t="str">
        <f>IF(LEN(IF(OR(NOT(ISNUMBER(B200)),LEN(B200)&lt;&gt;8),"UNSPSC vacío, en texto, con varios códigos o sin 8 dígitos; ","")&amp;IF(AND(ISNUMBER(B200),LEN(B200)=8),IF(MOD(B200,10000)=0,"UNSPSC a nivel de segmento o familia; ",""),"")&amp;IF(NOT(ISNUMBER(E200)),"Duración vacía o en texto; ","")&amp;IF(NOT(ISNUMBER(G200)),"Valor vacío o en texto; ","")&amp;IF(ISNUMBER(M200),IF(M200&lt;1000000,"Valor inferior a $1.000.000: verificar; ",""),"Valor no interpretable; ")&amp;IF(N200="[PENDIENTE DE VERIFICAR]","Modalidad no identificable; ","")&amp;IF(OR(ISERROR(SEARCH("@itc.edu.co",J200)),SUMPRODUCT(--ISNUMBER(SEARCH({"á","é","í","ó","ú","ñ"},J200)))&gt;0),"Correo vacío o no institucional válido; ","")&amp;IF(LEN(TRIM(D200))=0,"Sin objeto contractual; ","")&amp;IF(AND(ISNUMBER(M200),N200="Mínima cuantía"),IF(M200&gt;39850000,"Mínima cuantía con valor superior al tope citado en el instructivo 2026 ($39.850.000): verificar modalidad; ",""),"")&amp;IF(AND(ISNUMBER(M200),OR(ISNUMBER(SEARCH("prestación de servicios",D200)),ISNUMBER(SEARCH("prestar servicios",D200)),ISNUMBER(SEARCH("prestar los servicios",D200)))),IF(M200&gt;=500000000,"Prestación de servicios por $500 millones o más: posible error de digitación; ",""),""))=0,"Sin observaciones",IF(OR(NOT(ISNUMBER(B200)),LEN(B200)&lt;&gt;8),"UNSPSC vacío, en texto, con varios códigos o sin 8 dígitos; ","")&amp;IF(AND(ISNUMBER(B200),LEN(B200)=8),IF(MOD(B200,10000)=0,"UNSPSC a nivel de segmento o familia; ",""),"")&amp;IF(NOT(ISNUMBER(E200)),"Duración vacía o en texto; ","")&amp;IF(NOT(ISNUMBER(G200)),"Valor vacío o en texto; ","")&amp;IF(ISNUMBER(M200),IF(M200&lt;1000000,"Valor inferior a $1.000.000: verificar; ",""),"Valor no interpretable; ")&amp;IF(N200="[PENDIENTE DE VERIFICAR]","Modalidad no identificable; ","")&amp;IF(OR(ISERROR(SEARCH("@itc.edu.co",J200)),SUMPRODUCT(--ISNUMBER(SEARCH({"á","é","í","ó","ú","ñ"},J200)))&gt;0),"Correo vacío o no institucional válido; ","")&amp;IF(LEN(TRIM(D200))=0,"Sin objeto contractual; ","")&amp;IF(AND(ISNUMBER(M200),N200="Mínima cuantía"),IF(M200&gt;39850000,"Mínima cuantía con valor superior al tope citado en el instructivo 2026 ($39.850.000): verificar modalidad; ",""),"")&amp;IF(AND(ISNUMBER(M200),OR(ISNUMBER(SEARCH("prestación de servicios",D200)),ISNUMBER(SEARCH("prestar servicios",D200)),ISNUMBER(SEARCH("prestar los servicios",D200)))),IF(M200&gt;=500000000,"Prestación de servicios por $500 millones o más: posible error de digitación; ",""),""))</f>
        <v>Sin observaciones</v>
      </c>
    </row>
    <row r="201" spans="1:15" ht="45.6" x14ac:dyDescent="0.3">
      <c r="A201" s="15" t="s">
        <v>355</v>
      </c>
      <c r="B201" s="15">
        <v>81161507</v>
      </c>
      <c r="C201" s="15" t="s">
        <v>356</v>
      </c>
      <c r="D201" s="15" t="s">
        <v>354</v>
      </c>
      <c r="E201" s="15">
        <v>12</v>
      </c>
      <c r="F201" s="15" t="s">
        <v>802</v>
      </c>
      <c r="G201" s="29">
        <v>21000000</v>
      </c>
      <c r="H201" s="15" t="s">
        <v>1291</v>
      </c>
      <c r="I201" s="15" t="s">
        <v>1292</v>
      </c>
      <c r="J201" s="15" t="s">
        <v>1293</v>
      </c>
      <c r="K201" s="15"/>
      <c r="L201" s="30" t="s">
        <v>1294</v>
      </c>
      <c r="M201" s="31">
        <v>21000000</v>
      </c>
      <c r="N201" s="30" t="s">
        <v>803</v>
      </c>
      <c r="O201" s="30" t="str">
        <f>IF(LEN(IF(OR(NOT(ISNUMBER(B201)),LEN(B201)&lt;&gt;8),"UNSPSC vacío, en texto, con varios códigos o sin 8 dígitos; ","")&amp;IF(AND(ISNUMBER(B201),LEN(B201)=8),IF(MOD(B201,10000)=0,"UNSPSC a nivel de segmento o familia; ",""),"")&amp;IF(NOT(ISNUMBER(E201)),"Duración vacía o en texto; ","")&amp;IF(NOT(ISNUMBER(G201)),"Valor vacío o en texto; ","")&amp;IF(ISNUMBER(M201),IF(M201&lt;1000000,"Valor inferior a $1.000.000: verificar; ",""),"Valor no interpretable; ")&amp;IF(N201="[PENDIENTE DE VERIFICAR]","Modalidad no identificable; ","")&amp;IF(OR(ISERROR(SEARCH("@itc.edu.co",J201)),SUMPRODUCT(--ISNUMBER(SEARCH({"á","é","í","ó","ú","ñ"},J201)))&gt;0),"Correo vacío o no institucional válido; ","")&amp;IF(LEN(TRIM(D201))=0,"Sin objeto contractual; ","")&amp;IF(AND(ISNUMBER(M201),N201="Mínima cuantía"),IF(M201&gt;39850000,"Mínima cuantía con valor superior al tope citado en el instructivo 2026 ($39.850.000): verificar modalidad; ",""),"")&amp;IF(AND(ISNUMBER(M201),OR(ISNUMBER(SEARCH("prestación de servicios",D201)),ISNUMBER(SEARCH("prestar servicios",D201)),ISNUMBER(SEARCH("prestar los servicios",D201)))),IF(M201&gt;=500000000,"Prestación de servicios por $500 millones o más: posible error de digitación; ",""),""))=0,"Sin observaciones",IF(OR(NOT(ISNUMBER(B201)),LEN(B201)&lt;&gt;8),"UNSPSC vacío, en texto, con varios códigos o sin 8 dígitos; ","")&amp;IF(AND(ISNUMBER(B201),LEN(B201)=8),IF(MOD(B201,10000)=0,"UNSPSC a nivel de segmento o familia; ",""),"")&amp;IF(NOT(ISNUMBER(E201)),"Duración vacía o en texto; ","")&amp;IF(NOT(ISNUMBER(G201)),"Valor vacío o en texto; ","")&amp;IF(ISNUMBER(M201),IF(M201&lt;1000000,"Valor inferior a $1.000.000: verificar; ",""),"Valor no interpretable; ")&amp;IF(N201="[PENDIENTE DE VERIFICAR]","Modalidad no identificable; ","")&amp;IF(OR(ISERROR(SEARCH("@itc.edu.co",J201)),SUMPRODUCT(--ISNUMBER(SEARCH({"á","é","í","ó","ú","ñ"},J201)))&gt;0),"Correo vacío o no institucional válido; ","")&amp;IF(LEN(TRIM(D201))=0,"Sin objeto contractual; ","")&amp;IF(AND(ISNUMBER(M201),N201="Mínima cuantía"),IF(M201&gt;39850000,"Mínima cuantía con valor superior al tope citado en el instructivo 2026 ($39.850.000): verificar modalidad; ",""),"")&amp;IF(AND(ISNUMBER(M201),OR(ISNUMBER(SEARCH("prestación de servicios",D201)),ISNUMBER(SEARCH("prestar servicios",D201)),ISNUMBER(SEARCH("prestar los servicios",D201)))),IF(M201&gt;=500000000,"Prestación de servicios por $500 millones o más: posible error de digitación; ",""),""))</f>
        <v>Sin observaciones</v>
      </c>
    </row>
    <row r="202" spans="1:15" ht="45.6" x14ac:dyDescent="0.3">
      <c r="A202" s="15" t="s">
        <v>1295</v>
      </c>
      <c r="B202" s="15">
        <v>81161507</v>
      </c>
      <c r="C202" s="15" t="s">
        <v>356</v>
      </c>
      <c r="D202" s="15" t="s">
        <v>1296</v>
      </c>
      <c r="E202" s="15">
        <v>12</v>
      </c>
      <c r="F202" s="15" t="s">
        <v>802</v>
      </c>
      <c r="G202" s="29">
        <v>32000000</v>
      </c>
      <c r="H202" s="15" t="s">
        <v>1291</v>
      </c>
      <c r="I202" s="15" t="s">
        <v>1292</v>
      </c>
      <c r="J202" s="15" t="s">
        <v>1293</v>
      </c>
      <c r="K202" s="15"/>
      <c r="L202" s="30" t="s">
        <v>1294</v>
      </c>
      <c r="M202" s="31">
        <v>32000000</v>
      </c>
      <c r="N202" s="30" t="s">
        <v>803</v>
      </c>
      <c r="O202" s="30" t="str">
        <f>IF(LEN(IF(OR(NOT(ISNUMBER(B202)),LEN(B202)&lt;&gt;8),"UNSPSC vacío, en texto, con varios códigos o sin 8 dígitos; ","")&amp;IF(AND(ISNUMBER(B202),LEN(B202)=8),IF(MOD(B202,10000)=0,"UNSPSC a nivel de segmento o familia; ",""),"")&amp;IF(NOT(ISNUMBER(E202)),"Duración vacía o en texto; ","")&amp;IF(NOT(ISNUMBER(G202)),"Valor vacío o en texto; ","")&amp;IF(ISNUMBER(M202),IF(M202&lt;1000000,"Valor inferior a $1.000.000: verificar; ",""),"Valor no interpretable; ")&amp;IF(N202="[PENDIENTE DE VERIFICAR]","Modalidad no identificable; ","")&amp;IF(OR(ISERROR(SEARCH("@itc.edu.co",J202)),SUMPRODUCT(--ISNUMBER(SEARCH({"á","é","í","ó","ú","ñ"},J202)))&gt;0),"Correo vacío o no institucional válido; ","")&amp;IF(LEN(TRIM(D202))=0,"Sin objeto contractual; ","")&amp;IF(AND(ISNUMBER(M202),N202="Mínima cuantía"),IF(M202&gt;39850000,"Mínima cuantía con valor superior al tope citado en el instructivo 2026 ($39.850.000): verificar modalidad; ",""),"")&amp;IF(AND(ISNUMBER(M202),OR(ISNUMBER(SEARCH("prestación de servicios",D202)),ISNUMBER(SEARCH("prestar servicios",D202)),ISNUMBER(SEARCH("prestar los servicios",D202)))),IF(M202&gt;=500000000,"Prestación de servicios por $500 millones o más: posible error de digitación; ",""),""))=0,"Sin observaciones",IF(OR(NOT(ISNUMBER(B202)),LEN(B202)&lt;&gt;8),"UNSPSC vacío, en texto, con varios códigos o sin 8 dígitos; ","")&amp;IF(AND(ISNUMBER(B202),LEN(B202)=8),IF(MOD(B202,10000)=0,"UNSPSC a nivel de segmento o familia; ",""),"")&amp;IF(NOT(ISNUMBER(E202)),"Duración vacía o en texto; ","")&amp;IF(NOT(ISNUMBER(G202)),"Valor vacío o en texto; ","")&amp;IF(ISNUMBER(M202),IF(M202&lt;1000000,"Valor inferior a $1.000.000: verificar; ",""),"Valor no interpretable; ")&amp;IF(N202="[PENDIENTE DE VERIFICAR]","Modalidad no identificable; ","")&amp;IF(OR(ISERROR(SEARCH("@itc.edu.co",J202)),SUMPRODUCT(--ISNUMBER(SEARCH({"á","é","í","ó","ú","ñ"},J202)))&gt;0),"Correo vacío o no institucional válido; ","")&amp;IF(LEN(TRIM(D202))=0,"Sin objeto contractual; ","")&amp;IF(AND(ISNUMBER(M202),N202="Mínima cuantía"),IF(M202&gt;39850000,"Mínima cuantía con valor superior al tope citado en el instructivo 2026 ($39.850.000): verificar modalidad; ",""),"")&amp;IF(AND(ISNUMBER(M202),OR(ISNUMBER(SEARCH("prestación de servicios",D202)),ISNUMBER(SEARCH("prestar servicios",D202)),ISNUMBER(SEARCH("prestar los servicios",D202)))),IF(M202&gt;=500000000,"Prestación de servicios por $500 millones o más: posible error de digitación; ",""),""))</f>
        <v>Sin observaciones</v>
      </c>
    </row>
    <row r="203" spans="1:15" ht="45.6" x14ac:dyDescent="0.3">
      <c r="A203" s="15" t="s">
        <v>1297</v>
      </c>
      <c r="B203" s="15">
        <v>81161507</v>
      </c>
      <c r="C203" s="15" t="s">
        <v>356</v>
      </c>
      <c r="D203" s="15" t="s">
        <v>1298</v>
      </c>
      <c r="E203" s="15">
        <v>12</v>
      </c>
      <c r="F203" s="15" t="s">
        <v>802</v>
      </c>
      <c r="G203" s="29">
        <v>37045639</v>
      </c>
      <c r="H203" s="15" t="s">
        <v>1291</v>
      </c>
      <c r="I203" s="15" t="s">
        <v>1292</v>
      </c>
      <c r="J203" s="15" t="s">
        <v>1293</v>
      </c>
      <c r="K203" s="15"/>
      <c r="L203" s="30" t="s">
        <v>1294</v>
      </c>
      <c r="M203" s="31">
        <v>37045639</v>
      </c>
      <c r="N203" s="30" t="s">
        <v>803</v>
      </c>
      <c r="O203" s="30" t="str">
        <f>IF(LEN(IF(OR(NOT(ISNUMBER(B203)),LEN(B203)&lt;&gt;8),"UNSPSC vacío, en texto, con varios códigos o sin 8 dígitos; ","")&amp;IF(AND(ISNUMBER(B203),LEN(B203)=8),IF(MOD(B203,10000)=0,"UNSPSC a nivel de segmento o familia; ",""),"")&amp;IF(NOT(ISNUMBER(E203)),"Duración vacía o en texto; ","")&amp;IF(NOT(ISNUMBER(G203)),"Valor vacío o en texto; ","")&amp;IF(ISNUMBER(M203),IF(M203&lt;1000000,"Valor inferior a $1.000.000: verificar; ",""),"Valor no interpretable; ")&amp;IF(N203="[PENDIENTE DE VERIFICAR]","Modalidad no identificable; ","")&amp;IF(OR(ISERROR(SEARCH("@itc.edu.co",J203)),SUMPRODUCT(--ISNUMBER(SEARCH({"á","é","í","ó","ú","ñ"},J203)))&gt;0),"Correo vacío o no institucional válido; ","")&amp;IF(LEN(TRIM(D203))=0,"Sin objeto contractual; ","")&amp;IF(AND(ISNUMBER(M203),N203="Mínima cuantía"),IF(M203&gt;39850000,"Mínima cuantía con valor superior al tope citado en el instructivo 2026 ($39.850.000): verificar modalidad; ",""),"")&amp;IF(AND(ISNUMBER(M203),OR(ISNUMBER(SEARCH("prestación de servicios",D203)),ISNUMBER(SEARCH("prestar servicios",D203)),ISNUMBER(SEARCH("prestar los servicios",D203)))),IF(M203&gt;=500000000,"Prestación de servicios por $500 millones o más: posible error de digitación; ",""),""))=0,"Sin observaciones",IF(OR(NOT(ISNUMBER(B203)),LEN(B203)&lt;&gt;8),"UNSPSC vacío, en texto, con varios códigos o sin 8 dígitos; ","")&amp;IF(AND(ISNUMBER(B203),LEN(B203)=8),IF(MOD(B203,10000)=0,"UNSPSC a nivel de segmento o familia; ",""),"")&amp;IF(NOT(ISNUMBER(E203)),"Duración vacía o en texto; ","")&amp;IF(NOT(ISNUMBER(G203)),"Valor vacío o en texto; ","")&amp;IF(ISNUMBER(M203),IF(M203&lt;1000000,"Valor inferior a $1.000.000: verificar; ",""),"Valor no interpretable; ")&amp;IF(N203="[PENDIENTE DE VERIFICAR]","Modalidad no identificable; ","")&amp;IF(OR(ISERROR(SEARCH("@itc.edu.co",J203)),SUMPRODUCT(--ISNUMBER(SEARCH({"á","é","í","ó","ú","ñ"},J203)))&gt;0),"Correo vacío o no institucional válido; ","")&amp;IF(LEN(TRIM(D203))=0,"Sin objeto contractual; ","")&amp;IF(AND(ISNUMBER(M203),N203="Mínima cuantía"),IF(M203&gt;39850000,"Mínima cuantía con valor superior al tope citado en el instructivo 2026 ($39.850.000): verificar modalidad; ",""),"")&amp;IF(AND(ISNUMBER(M203),OR(ISNUMBER(SEARCH("prestación de servicios",D203)),ISNUMBER(SEARCH("prestar servicios",D203)),ISNUMBER(SEARCH("prestar los servicios",D203)))),IF(M203&gt;=500000000,"Prestación de servicios por $500 millones o más: posible error de digitación; ",""),""))</f>
        <v>Sin observaciones</v>
      </c>
    </row>
    <row r="204" spans="1:15" ht="79.8" x14ac:dyDescent="0.3">
      <c r="A204" s="15" t="s">
        <v>1299</v>
      </c>
      <c r="B204" s="15">
        <v>81161507</v>
      </c>
      <c r="C204" s="15" t="s">
        <v>356</v>
      </c>
      <c r="D204" s="15" t="s">
        <v>1300</v>
      </c>
      <c r="E204" s="15">
        <v>12</v>
      </c>
      <c r="F204" s="15" t="s">
        <v>802</v>
      </c>
      <c r="G204" s="29">
        <v>26000000</v>
      </c>
      <c r="H204" s="15" t="s">
        <v>1291</v>
      </c>
      <c r="I204" s="15" t="s">
        <v>1292</v>
      </c>
      <c r="J204" s="15" t="s">
        <v>1293</v>
      </c>
      <c r="K204" s="15"/>
      <c r="L204" s="30" t="s">
        <v>1294</v>
      </c>
      <c r="M204" s="31">
        <v>26000000</v>
      </c>
      <c r="N204" s="30" t="s">
        <v>803</v>
      </c>
      <c r="O204" s="30" t="str">
        <f>IF(LEN(IF(OR(NOT(ISNUMBER(B204)),LEN(B204)&lt;&gt;8),"UNSPSC vacío, en texto, con varios códigos o sin 8 dígitos; ","")&amp;IF(AND(ISNUMBER(B204),LEN(B204)=8),IF(MOD(B204,10000)=0,"UNSPSC a nivel de segmento o familia; ",""),"")&amp;IF(NOT(ISNUMBER(E204)),"Duración vacía o en texto; ","")&amp;IF(NOT(ISNUMBER(G204)),"Valor vacío o en texto; ","")&amp;IF(ISNUMBER(M204),IF(M204&lt;1000000,"Valor inferior a $1.000.000: verificar; ",""),"Valor no interpretable; ")&amp;IF(N204="[PENDIENTE DE VERIFICAR]","Modalidad no identificable; ","")&amp;IF(OR(ISERROR(SEARCH("@itc.edu.co",J204)),SUMPRODUCT(--ISNUMBER(SEARCH({"á","é","í","ó","ú","ñ"},J204)))&gt;0),"Correo vacío o no institucional válido; ","")&amp;IF(LEN(TRIM(D204))=0,"Sin objeto contractual; ","")&amp;IF(AND(ISNUMBER(M204),N204="Mínima cuantía"),IF(M204&gt;39850000,"Mínima cuantía con valor superior al tope citado en el instructivo 2026 ($39.850.000): verificar modalidad; ",""),"")&amp;IF(AND(ISNUMBER(M204),OR(ISNUMBER(SEARCH("prestación de servicios",D204)),ISNUMBER(SEARCH("prestar servicios",D204)),ISNUMBER(SEARCH("prestar los servicios",D204)))),IF(M204&gt;=500000000,"Prestación de servicios por $500 millones o más: posible error de digitación; ",""),""))=0,"Sin observaciones",IF(OR(NOT(ISNUMBER(B204)),LEN(B204)&lt;&gt;8),"UNSPSC vacío, en texto, con varios códigos o sin 8 dígitos; ","")&amp;IF(AND(ISNUMBER(B204),LEN(B204)=8),IF(MOD(B204,10000)=0,"UNSPSC a nivel de segmento o familia; ",""),"")&amp;IF(NOT(ISNUMBER(E204)),"Duración vacía o en texto; ","")&amp;IF(NOT(ISNUMBER(G204)),"Valor vacío o en texto; ","")&amp;IF(ISNUMBER(M204),IF(M204&lt;1000000,"Valor inferior a $1.000.000: verificar; ",""),"Valor no interpretable; ")&amp;IF(N204="[PENDIENTE DE VERIFICAR]","Modalidad no identificable; ","")&amp;IF(OR(ISERROR(SEARCH("@itc.edu.co",J204)),SUMPRODUCT(--ISNUMBER(SEARCH({"á","é","í","ó","ú","ñ"},J204)))&gt;0),"Correo vacío o no institucional válido; ","")&amp;IF(LEN(TRIM(D204))=0,"Sin objeto contractual; ","")&amp;IF(AND(ISNUMBER(M204),N204="Mínima cuantía"),IF(M204&gt;39850000,"Mínima cuantía con valor superior al tope citado en el instructivo 2026 ($39.850.000): verificar modalidad; ",""),"")&amp;IF(AND(ISNUMBER(M204),OR(ISNUMBER(SEARCH("prestación de servicios",D204)),ISNUMBER(SEARCH("prestar servicios",D204)),ISNUMBER(SEARCH("prestar los servicios",D204)))),IF(M204&gt;=500000000,"Prestación de servicios por $500 millones o más: posible error de digitación; ",""),""))</f>
        <v>Sin observaciones</v>
      </c>
    </row>
    <row r="205" spans="1:15" ht="45.6" x14ac:dyDescent="0.3">
      <c r="A205" s="15" t="s">
        <v>1301</v>
      </c>
      <c r="B205" s="15">
        <v>81161507</v>
      </c>
      <c r="C205" s="15" t="s">
        <v>356</v>
      </c>
      <c r="D205" s="15" t="s">
        <v>1302</v>
      </c>
      <c r="E205" s="15">
        <v>12</v>
      </c>
      <c r="F205" s="15" t="s">
        <v>802</v>
      </c>
      <c r="G205" s="29">
        <v>80000000</v>
      </c>
      <c r="H205" s="15" t="s">
        <v>1291</v>
      </c>
      <c r="I205" s="15" t="s">
        <v>1292</v>
      </c>
      <c r="J205" s="15" t="s">
        <v>1293</v>
      </c>
      <c r="K205" s="15"/>
      <c r="L205" s="30" t="s">
        <v>1294</v>
      </c>
      <c r="M205" s="31">
        <v>80000000</v>
      </c>
      <c r="N205" s="30" t="s">
        <v>803</v>
      </c>
      <c r="O205" s="30" t="str">
        <f>IF(LEN(IF(OR(NOT(ISNUMBER(B205)),LEN(B205)&lt;&gt;8),"UNSPSC vacío, en texto, con varios códigos o sin 8 dígitos; ","")&amp;IF(AND(ISNUMBER(B205),LEN(B205)=8),IF(MOD(B205,10000)=0,"UNSPSC a nivel de segmento o familia; ",""),"")&amp;IF(NOT(ISNUMBER(E205)),"Duración vacía o en texto; ","")&amp;IF(NOT(ISNUMBER(G205)),"Valor vacío o en texto; ","")&amp;IF(ISNUMBER(M205),IF(M205&lt;1000000,"Valor inferior a $1.000.000: verificar; ",""),"Valor no interpretable; ")&amp;IF(N205="[PENDIENTE DE VERIFICAR]","Modalidad no identificable; ","")&amp;IF(OR(ISERROR(SEARCH("@itc.edu.co",J205)),SUMPRODUCT(--ISNUMBER(SEARCH({"á","é","í","ó","ú","ñ"},J205)))&gt;0),"Correo vacío o no institucional válido; ","")&amp;IF(LEN(TRIM(D205))=0,"Sin objeto contractual; ","")&amp;IF(AND(ISNUMBER(M205),N205="Mínima cuantía"),IF(M205&gt;39850000,"Mínima cuantía con valor superior al tope citado en el instructivo 2026 ($39.850.000): verificar modalidad; ",""),"")&amp;IF(AND(ISNUMBER(M205),OR(ISNUMBER(SEARCH("prestación de servicios",D205)),ISNUMBER(SEARCH("prestar servicios",D205)),ISNUMBER(SEARCH("prestar los servicios",D205)))),IF(M205&gt;=500000000,"Prestación de servicios por $500 millones o más: posible error de digitación; ",""),""))=0,"Sin observaciones",IF(OR(NOT(ISNUMBER(B205)),LEN(B205)&lt;&gt;8),"UNSPSC vacío, en texto, con varios códigos o sin 8 dígitos; ","")&amp;IF(AND(ISNUMBER(B205),LEN(B205)=8),IF(MOD(B205,10000)=0,"UNSPSC a nivel de segmento o familia; ",""),"")&amp;IF(NOT(ISNUMBER(E205)),"Duración vacía o en texto; ","")&amp;IF(NOT(ISNUMBER(G205)),"Valor vacío o en texto; ","")&amp;IF(ISNUMBER(M205),IF(M205&lt;1000000,"Valor inferior a $1.000.000: verificar; ",""),"Valor no interpretable; ")&amp;IF(N205="[PENDIENTE DE VERIFICAR]","Modalidad no identificable; ","")&amp;IF(OR(ISERROR(SEARCH("@itc.edu.co",J205)),SUMPRODUCT(--ISNUMBER(SEARCH({"á","é","í","ó","ú","ñ"},J205)))&gt;0),"Correo vacío o no institucional válido; ","")&amp;IF(LEN(TRIM(D205))=0,"Sin objeto contractual; ","")&amp;IF(AND(ISNUMBER(M205),N205="Mínima cuantía"),IF(M205&gt;39850000,"Mínima cuantía con valor superior al tope citado en el instructivo 2026 ($39.850.000): verificar modalidad; ",""),"")&amp;IF(AND(ISNUMBER(M205),OR(ISNUMBER(SEARCH("prestación de servicios",D205)),ISNUMBER(SEARCH("prestar servicios",D205)),ISNUMBER(SEARCH("prestar los servicios",D205)))),IF(M205&gt;=500000000,"Prestación de servicios por $500 millones o más: posible error de digitación; ",""),""))</f>
        <v>Sin observaciones</v>
      </c>
    </row>
    <row r="206" spans="1:15" ht="34.200000000000003" x14ac:dyDescent="0.3">
      <c r="A206" s="15" t="s">
        <v>1303</v>
      </c>
      <c r="B206" s="15">
        <v>81161507</v>
      </c>
      <c r="C206" s="15" t="s">
        <v>356</v>
      </c>
      <c r="D206" s="15" t="s">
        <v>1304</v>
      </c>
      <c r="E206" s="15">
        <v>12</v>
      </c>
      <c r="F206" s="15" t="s">
        <v>802</v>
      </c>
      <c r="G206" s="29">
        <v>4000000</v>
      </c>
      <c r="H206" s="15" t="s">
        <v>1291</v>
      </c>
      <c r="I206" s="15" t="s">
        <v>1292</v>
      </c>
      <c r="J206" s="15" t="s">
        <v>1293</v>
      </c>
      <c r="K206" s="15"/>
      <c r="L206" s="30" t="s">
        <v>1294</v>
      </c>
      <c r="M206" s="31">
        <v>4000000</v>
      </c>
      <c r="N206" s="30" t="s">
        <v>803</v>
      </c>
      <c r="O206" s="30" t="str">
        <f>IF(LEN(IF(OR(NOT(ISNUMBER(B206)),LEN(B206)&lt;&gt;8),"UNSPSC vacío, en texto, con varios códigos o sin 8 dígitos; ","")&amp;IF(AND(ISNUMBER(B206),LEN(B206)=8),IF(MOD(B206,10000)=0,"UNSPSC a nivel de segmento o familia; ",""),"")&amp;IF(NOT(ISNUMBER(E206)),"Duración vacía o en texto; ","")&amp;IF(NOT(ISNUMBER(G206)),"Valor vacío o en texto; ","")&amp;IF(ISNUMBER(M206),IF(M206&lt;1000000,"Valor inferior a $1.000.000: verificar; ",""),"Valor no interpretable; ")&amp;IF(N206="[PENDIENTE DE VERIFICAR]","Modalidad no identificable; ","")&amp;IF(OR(ISERROR(SEARCH("@itc.edu.co",J206)),SUMPRODUCT(--ISNUMBER(SEARCH({"á","é","í","ó","ú","ñ"},J206)))&gt;0),"Correo vacío o no institucional válido; ","")&amp;IF(LEN(TRIM(D206))=0,"Sin objeto contractual; ","")&amp;IF(AND(ISNUMBER(M206),N206="Mínima cuantía"),IF(M206&gt;39850000,"Mínima cuantía con valor superior al tope citado en el instructivo 2026 ($39.850.000): verificar modalidad; ",""),"")&amp;IF(AND(ISNUMBER(M206),OR(ISNUMBER(SEARCH("prestación de servicios",D206)),ISNUMBER(SEARCH("prestar servicios",D206)),ISNUMBER(SEARCH("prestar los servicios",D206)))),IF(M206&gt;=500000000,"Prestación de servicios por $500 millones o más: posible error de digitación; ",""),""))=0,"Sin observaciones",IF(OR(NOT(ISNUMBER(B206)),LEN(B206)&lt;&gt;8),"UNSPSC vacío, en texto, con varios códigos o sin 8 dígitos; ","")&amp;IF(AND(ISNUMBER(B206),LEN(B206)=8),IF(MOD(B206,10000)=0,"UNSPSC a nivel de segmento o familia; ",""),"")&amp;IF(NOT(ISNUMBER(E206)),"Duración vacía o en texto; ","")&amp;IF(NOT(ISNUMBER(G206)),"Valor vacío o en texto; ","")&amp;IF(ISNUMBER(M206),IF(M206&lt;1000000,"Valor inferior a $1.000.000: verificar; ",""),"Valor no interpretable; ")&amp;IF(N206="[PENDIENTE DE VERIFICAR]","Modalidad no identificable; ","")&amp;IF(OR(ISERROR(SEARCH("@itc.edu.co",J206)),SUMPRODUCT(--ISNUMBER(SEARCH({"á","é","í","ó","ú","ñ"},J206)))&gt;0),"Correo vacío o no institucional válido; ","")&amp;IF(LEN(TRIM(D206))=0,"Sin objeto contractual; ","")&amp;IF(AND(ISNUMBER(M206),N206="Mínima cuantía"),IF(M206&gt;39850000,"Mínima cuantía con valor superior al tope citado en el instructivo 2026 ($39.850.000): verificar modalidad; ",""),"")&amp;IF(AND(ISNUMBER(M206),OR(ISNUMBER(SEARCH("prestación de servicios",D206)),ISNUMBER(SEARCH("prestar servicios",D206)),ISNUMBER(SEARCH("prestar los servicios",D206)))),IF(M206&gt;=500000000,"Prestación de servicios por $500 millones o más: posible error de digitación; ",""),""))</f>
        <v>Sin observaciones</v>
      </c>
    </row>
    <row r="207" spans="1:15" ht="34.200000000000003" x14ac:dyDescent="0.3">
      <c r="A207" s="15" t="s">
        <v>1305</v>
      </c>
      <c r="B207" s="15">
        <v>81161507</v>
      </c>
      <c r="C207" s="15" t="s">
        <v>356</v>
      </c>
      <c r="D207" s="15" t="s">
        <v>1306</v>
      </c>
      <c r="E207" s="15">
        <v>12</v>
      </c>
      <c r="F207" s="15" t="s">
        <v>802</v>
      </c>
      <c r="G207" s="29">
        <v>1600000</v>
      </c>
      <c r="H207" s="15" t="s">
        <v>1291</v>
      </c>
      <c r="I207" s="15" t="s">
        <v>1292</v>
      </c>
      <c r="J207" s="15" t="s">
        <v>1293</v>
      </c>
      <c r="K207" s="15"/>
      <c r="L207" s="30" t="s">
        <v>1294</v>
      </c>
      <c r="M207" s="31">
        <v>1600000</v>
      </c>
      <c r="N207" s="30" t="s">
        <v>803</v>
      </c>
      <c r="O207" s="30" t="str">
        <f>IF(LEN(IF(OR(NOT(ISNUMBER(B207)),LEN(B207)&lt;&gt;8),"UNSPSC vacío, en texto, con varios códigos o sin 8 dígitos; ","")&amp;IF(AND(ISNUMBER(B207),LEN(B207)=8),IF(MOD(B207,10000)=0,"UNSPSC a nivel de segmento o familia; ",""),"")&amp;IF(NOT(ISNUMBER(E207)),"Duración vacía o en texto; ","")&amp;IF(NOT(ISNUMBER(G207)),"Valor vacío o en texto; ","")&amp;IF(ISNUMBER(M207),IF(M207&lt;1000000,"Valor inferior a $1.000.000: verificar; ",""),"Valor no interpretable; ")&amp;IF(N207="[PENDIENTE DE VERIFICAR]","Modalidad no identificable; ","")&amp;IF(OR(ISERROR(SEARCH("@itc.edu.co",J207)),SUMPRODUCT(--ISNUMBER(SEARCH({"á","é","í","ó","ú","ñ"},J207)))&gt;0),"Correo vacío o no institucional válido; ","")&amp;IF(LEN(TRIM(D207))=0,"Sin objeto contractual; ","")&amp;IF(AND(ISNUMBER(M207),N207="Mínima cuantía"),IF(M207&gt;39850000,"Mínima cuantía con valor superior al tope citado en el instructivo 2026 ($39.850.000): verificar modalidad; ",""),"")&amp;IF(AND(ISNUMBER(M207),OR(ISNUMBER(SEARCH("prestación de servicios",D207)),ISNUMBER(SEARCH("prestar servicios",D207)),ISNUMBER(SEARCH("prestar los servicios",D207)))),IF(M207&gt;=500000000,"Prestación de servicios por $500 millones o más: posible error de digitación; ",""),""))=0,"Sin observaciones",IF(OR(NOT(ISNUMBER(B207)),LEN(B207)&lt;&gt;8),"UNSPSC vacío, en texto, con varios códigos o sin 8 dígitos; ","")&amp;IF(AND(ISNUMBER(B207),LEN(B207)=8),IF(MOD(B207,10000)=0,"UNSPSC a nivel de segmento o familia; ",""),"")&amp;IF(NOT(ISNUMBER(E207)),"Duración vacía o en texto; ","")&amp;IF(NOT(ISNUMBER(G207)),"Valor vacío o en texto; ","")&amp;IF(ISNUMBER(M207),IF(M207&lt;1000000,"Valor inferior a $1.000.000: verificar; ",""),"Valor no interpretable; ")&amp;IF(N207="[PENDIENTE DE VERIFICAR]","Modalidad no identificable; ","")&amp;IF(OR(ISERROR(SEARCH("@itc.edu.co",J207)),SUMPRODUCT(--ISNUMBER(SEARCH({"á","é","í","ó","ú","ñ"},J207)))&gt;0),"Correo vacío o no institucional válido; ","")&amp;IF(LEN(TRIM(D207))=0,"Sin objeto contractual; ","")&amp;IF(AND(ISNUMBER(M207),N207="Mínima cuantía"),IF(M207&gt;39850000,"Mínima cuantía con valor superior al tope citado en el instructivo 2026 ($39.850.000): verificar modalidad; ",""),"")&amp;IF(AND(ISNUMBER(M207),OR(ISNUMBER(SEARCH("prestación de servicios",D207)),ISNUMBER(SEARCH("prestar servicios",D207)),ISNUMBER(SEARCH("prestar los servicios",D207)))),IF(M207&gt;=500000000,"Prestación de servicios por $500 millones o más: posible error de digitación; ",""),""))</f>
        <v>Sin observaciones</v>
      </c>
    </row>
    <row r="208" spans="1:15" ht="45.6" x14ac:dyDescent="0.3">
      <c r="A208" s="15" t="s">
        <v>655</v>
      </c>
      <c r="B208" s="15">
        <v>72151701</v>
      </c>
      <c r="C208" s="15" t="s">
        <v>356</v>
      </c>
      <c r="D208" s="15" t="s">
        <v>1307</v>
      </c>
      <c r="E208" s="15">
        <v>11</v>
      </c>
      <c r="F208" s="15" t="s">
        <v>1308</v>
      </c>
      <c r="G208" s="29">
        <v>136240000</v>
      </c>
      <c r="H208" s="15" t="s">
        <v>1291</v>
      </c>
      <c r="I208" s="15" t="s">
        <v>1292</v>
      </c>
      <c r="J208" s="15" t="s">
        <v>1293</v>
      </c>
      <c r="K208" s="15"/>
      <c r="L208" s="30" t="s">
        <v>1294</v>
      </c>
      <c r="M208" s="31">
        <v>136240000</v>
      </c>
      <c r="N208" s="30" t="s">
        <v>1157</v>
      </c>
      <c r="O208" s="30" t="str">
        <f>IF(LEN(IF(OR(NOT(ISNUMBER(B208)),LEN(B208)&lt;&gt;8),"UNSPSC vacío, en texto, con varios códigos o sin 8 dígitos; ","")&amp;IF(AND(ISNUMBER(B208),LEN(B208)=8),IF(MOD(B208,10000)=0,"UNSPSC a nivel de segmento o familia; ",""),"")&amp;IF(NOT(ISNUMBER(E208)),"Duración vacía o en texto; ","")&amp;IF(NOT(ISNUMBER(G208)),"Valor vacío o en texto; ","")&amp;IF(ISNUMBER(M208),IF(M208&lt;1000000,"Valor inferior a $1.000.000: verificar; ",""),"Valor no interpretable; ")&amp;IF(N208="[PENDIENTE DE VERIFICAR]","Modalidad no identificable; ","")&amp;IF(OR(ISERROR(SEARCH("@itc.edu.co",J208)),SUMPRODUCT(--ISNUMBER(SEARCH({"á","é","í","ó","ú","ñ"},J208)))&gt;0),"Correo vacío o no institucional válido; ","")&amp;IF(LEN(TRIM(D208))=0,"Sin objeto contractual; ","")&amp;IF(AND(ISNUMBER(M208),N208="Mínima cuantía"),IF(M208&gt;39850000,"Mínima cuantía con valor superior al tope citado en el instructivo 2026 ($39.850.000): verificar modalidad; ",""),"")&amp;IF(AND(ISNUMBER(M208),OR(ISNUMBER(SEARCH("prestación de servicios",D208)),ISNUMBER(SEARCH("prestar servicios",D208)),ISNUMBER(SEARCH("prestar los servicios",D208)))),IF(M208&gt;=500000000,"Prestación de servicios por $500 millones o más: posible error de digitación; ",""),""))=0,"Sin observaciones",IF(OR(NOT(ISNUMBER(B208)),LEN(B208)&lt;&gt;8),"UNSPSC vacío, en texto, con varios códigos o sin 8 dígitos; ","")&amp;IF(AND(ISNUMBER(B208),LEN(B208)=8),IF(MOD(B208,10000)=0,"UNSPSC a nivel de segmento o familia; ",""),"")&amp;IF(NOT(ISNUMBER(E208)),"Duración vacía o en texto; ","")&amp;IF(NOT(ISNUMBER(G208)),"Valor vacío o en texto; ","")&amp;IF(ISNUMBER(M208),IF(M208&lt;1000000,"Valor inferior a $1.000.000: verificar; ",""),"Valor no interpretable; ")&amp;IF(N208="[PENDIENTE DE VERIFICAR]","Modalidad no identificable; ","")&amp;IF(OR(ISERROR(SEARCH("@itc.edu.co",J208)),SUMPRODUCT(--ISNUMBER(SEARCH({"á","é","í","ó","ú","ñ"},J208)))&gt;0),"Correo vacío o no institucional válido; ","")&amp;IF(LEN(TRIM(D208))=0,"Sin objeto contractual; ","")&amp;IF(AND(ISNUMBER(M208),N208="Mínima cuantía"),IF(M208&gt;39850000,"Mínima cuantía con valor superior al tope citado en el instructivo 2026 ($39.850.000): verificar modalidad; ",""),"")&amp;IF(AND(ISNUMBER(M208),OR(ISNUMBER(SEARCH("prestación de servicios",D208)),ISNUMBER(SEARCH("prestar servicios",D208)),ISNUMBER(SEARCH("prestar los servicios",D208)))),IF(M208&gt;=500000000,"Prestación de servicios por $500 millones o más: posible error de digitación; ",""),""))</f>
        <v xml:space="preserve">Modalidad no identificable; </v>
      </c>
    </row>
    <row r="209" spans="1:15" ht="45.6" x14ac:dyDescent="0.3">
      <c r="A209" s="15" t="s">
        <v>424</v>
      </c>
      <c r="B209" s="15">
        <v>43212105</v>
      </c>
      <c r="C209" s="15" t="s">
        <v>356</v>
      </c>
      <c r="D209" s="15" t="s">
        <v>423</v>
      </c>
      <c r="E209" s="15">
        <v>11</v>
      </c>
      <c r="F209" s="15" t="s">
        <v>1202</v>
      </c>
      <c r="G209" s="29">
        <v>1200000</v>
      </c>
      <c r="H209" s="15" t="s">
        <v>1291</v>
      </c>
      <c r="I209" s="15" t="s">
        <v>1292</v>
      </c>
      <c r="J209" s="15" t="s">
        <v>1293</v>
      </c>
      <c r="K209" s="15"/>
      <c r="L209" s="30" t="s">
        <v>1294</v>
      </c>
      <c r="M209" s="31">
        <v>1200000</v>
      </c>
      <c r="N209" s="30" t="s">
        <v>792</v>
      </c>
      <c r="O209" s="30" t="str">
        <f>IF(LEN(IF(OR(NOT(ISNUMBER(B209)),LEN(B209)&lt;&gt;8),"UNSPSC vacío, en texto, con varios códigos o sin 8 dígitos; ","")&amp;IF(AND(ISNUMBER(B209),LEN(B209)=8),IF(MOD(B209,10000)=0,"UNSPSC a nivel de segmento o familia; ",""),"")&amp;IF(NOT(ISNUMBER(E209)),"Duración vacía o en texto; ","")&amp;IF(NOT(ISNUMBER(G209)),"Valor vacío o en texto; ","")&amp;IF(ISNUMBER(M209),IF(M209&lt;1000000,"Valor inferior a $1.000.000: verificar; ",""),"Valor no interpretable; ")&amp;IF(N209="[PENDIENTE DE VERIFICAR]","Modalidad no identificable; ","")&amp;IF(OR(ISERROR(SEARCH("@itc.edu.co",J209)),SUMPRODUCT(--ISNUMBER(SEARCH({"á","é","í","ó","ú","ñ"},J209)))&gt;0),"Correo vacío o no institucional válido; ","")&amp;IF(LEN(TRIM(D209))=0,"Sin objeto contractual; ","")&amp;IF(AND(ISNUMBER(M209),N209="Mínima cuantía"),IF(M209&gt;39850000,"Mínima cuantía con valor superior al tope citado en el instructivo 2026 ($39.850.000): verificar modalidad; ",""),"")&amp;IF(AND(ISNUMBER(M209),OR(ISNUMBER(SEARCH("prestación de servicios",D209)),ISNUMBER(SEARCH("prestar servicios",D209)),ISNUMBER(SEARCH("prestar los servicios",D209)))),IF(M209&gt;=500000000,"Prestación de servicios por $500 millones o más: posible error de digitación; ",""),""))=0,"Sin observaciones",IF(OR(NOT(ISNUMBER(B209)),LEN(B209)&lt;&gt;8),"UNSPSC vacío, en texto, con varios códigos o sin 8 dígitos; ","")&amp;IF(AND(ISNUMBER(B209),LEN(B209)=8),IF(MOD(B209,10000)=0,"UNSPSC a nivel de segmento o familia; ",""),"")&amp;IF(NOT(ISNUMBER(E209)),"Duración vacía o en texto; ","")&amp;IF(NOT(ISNUMBER(G209)),"Valor vacío o en texto; ","")&amp;IF(ISNUMBER(M209),IF(M209&lt;1000000,"Valor inferior a $1.000.000: verificar; ",""),"Valor no interpretable; ")&amp;IF(N209="[PENDIENTE DE VERIFICAR]","Modalidad no identificable; ","")&amp;IF(OR(ISERROR(SEARCH("@itc.edu.co",J209)),SUMPRODUCT(--ISNUMBER(SEARCH({"á","é","í","ó","ú","ñ"},J209)))&gt;0),"Correo vacío o no institucional válido; ","")&amp;IF(LEN(TRIM(D209))=0,"Sin objeto contractual; ","")&amp;IF(AND(ISNUMBER(M209),N209="Mínima cuantía"),IF(M209&gt;39850000,"Mínima cuantía con valor superior al tope citado en el instructivo 2026 ($39.850.000): verificar modalidad; ",""),"")&amp;IF(AND(ISNUMBER(M209),OR(ISNUMBER(SEARCH("prestación de servicios",D209)),ISNUMBER(SEARCH("prestar servicios",D209)),ISNUMBER(SEARCH("prestar los servicios",D209)))),IF(M209&gt;=500000000,"Prestación de servicios por $500 millones o más: posible error de digitación; ",""),""))</f>
        <v>Sin observaciones</v>
      </c>
    </row>
    <row r="210" spans="1:15" ht="34.200000000000003" x14ac:dyDescent="0.3">
      <c r="A210" s="15" t="s">
        <v>370</v>
      </c>
      <c r="B210" s="15">
        <v>43211508</v>
      </c>
      <c r="C210" s="15" t="s">
        <v>356</v>
      </c>
      <c r="D210" s="15" t="s">
        <v>369</v>
      </c>
      <c r="E210" s="15">
        <v>11</v>
      </c>
      <c r="F210" s="15" t="s">
        <v>1202</v>
      </c>
      <c r="G210" s="29">
        <v>3398140</v>
      </c>
      <c r="H210" s="15" t="s">
        <v>1291</v>
      </c>
      <c r="I210" s="15" t="s">
        <v>1292</v>
      </c>
      <c r="J210" s="15" t="s">
        <v>1293</v>
      </c>
      <c r="K210" s="15"/>
      <c r="L210" s="30" t="s">
        <v>1294</v>
      </c>
      <c r="M210" s="31">
        <v>3398140</v>
      </c>
      <c r="N210" s="30" t="s">
        <v>792</v>
      </c>
      <c r="O210" s="30" t="str">
        <f>IF(LEN(IF(OR(NOT(ISNUMBER(B210)),LEN(B210)&lt;&gt;8),"UNSPSC vacío, en texto, con varios códigos o sin 8 dígitos; ","")&amp;IF(AND(ISNUMBER(B210),LEN(B210)=8),IF(MOD(B210,10000)=0,"UNSPSC a nivel de segmento o familia; ",""),"")&amp;IF(NOT(ISNUMBER(E210)),"Duración vacía o en texto; ","")&amp;IF(NOT(ISNUMBER(G210)),"Valor vacío o en texto; ","")&amp;IF(ISNUMBER(M210),IF(M210&lt;1000000,"Valor inferior a $1.000.000: verificar; ",""),"Valor no interpretable; ")&amp;IF(N210="[PENDIENTE DE VERIFICAR]","Modalidad no identificable; ","")&amp;IF(OR(ISERROR(SEARCH("@itc.edu.co",J210)),SUMPRODUCT(--ISNUMBER(SEARCH({"á","é","í","ó","ú","ñ"},J210)))&gt;0),"Correo vacío o no institucional válido; ","")&amp;IF(LEN(TRIM(D210))=0,"Sin objeto contractual; ","")&amp;IF(AND(ISNUMBER(M210),N210="Mínima cuantía"),IF(M210&gt;39850000,"Mínima cuantía con valor superior al tope citado en el instructivo 2026 ($39.850.000): verificar modalidad; ",""),"")&amp;IF(AND(ISNUMBER(M210),OR(ISNUMBER(SEARCH("prestación de servicios",D210)),ISNUMBER(SEARCH("prestar servicios",D210)),ISNUMBER(SEARCH("prestar los servicios",D210)))),IF(M210&gt;=500000000,"Prestación de servicios por $500 millones o más: posible error de digitación; ",""),""))=0,"Sin observaciones",IF(OR(NOT(ISNUMBER(B210)),LEN(B210)&lt;&gt;8),"UNSPSC vacío, en texto, con varios códigos o sin 8 dígitos; ","")&amp;IF(AND(ISNUMBER(B210),LEN(B210)=8),IF(MOD(B210,10000)=0,"UNSPSC a nivel de segmento o familia; ",""),"")&amp;IF(NOT(ISNUMBER(E210)),"Duración vacía o en texto; ","")&amp;IF(NOT(ISNUMBER(G210)),"Valor vacío o en texto; ","")&amp;IF(ISNUMBER(M210),IF(M210&lt;1000000,"Valor inferior a $1.000.000: verificar; ",""),"Valor no interpretable; ")&amp;IF(N210="[PENDIENTE DE VERIFICAR]","Modalidad no identificable; ","")&amp;IF(OR(ISERROR(SEARCH("@itc.edu.co",J210)),SUMPRODUCT(--ISNUMBER(SEARCH({"á","é","í","ó","ú","ñ"},J210)))&gt;0),"Correo vacío o no institucional válido; ","")&amp;IF(LEN(TRIM(D210))=0,"Sin objeto contractual; ","")&amp;IF(AND(ISNUMBER(M210),N210="Mínima cuantía"),IF(M210&gt;39850000,"Mínima cuantía con valor superior al tope citado en el instructivo 2026 ($39.850.000): verificar modalidad; ",""),"")&amp;IF(AND(ISNUMBER(M210),OR(ISNUMBER(SEARCH("prestación de servicios",D210)),ISNUMBER(SEARCH("prestar servicios",D210)),ISNUMBER(SEARCH("prestar los servicios",D210)))),IF(M210&gt;=500000000,"Prestación de servicios por $500 millones o más: posible error de digitación; ",""),""))</f>
        <v>Sin observaciones</v>
      </c>
    </row>
    <row r="211" spans="1:15" ht="45.6" x14ac:dyDescent="0.3">
      <c r="A211" s="15" t="s">
        <v>1309</v>
      </c>
      <c r="B211" s="15">
        <v>80101600</v>
      </c>
      <c r="C211" s="15" t="s">
        <v>356</v>
      </c>
      <c r="D211" s="15" t="s">
        <v>1310</v>
      </c>
      <c r="E211" s="15">
        <v>5</v>
      </c>
      <c r="F211" s="15" t="s">
        <v>1202</v>
      </c>
      <c r="G211" s="29">
        <v>2700000</v>
      </c>
      <c r="H211" s="15" t="s">
        <v>1291</v>
      </c>
      <c r="I211" s="15" t="s">
        <v>1292</v>
      </c>
      <c r="J211" s="15" t="s">
        <v>1293</v>
      </c>
      <c r="K211" s="15"/>
      <c r="L211" s="30" t="s">
        <v>1294</v>
      </c>
      <c r="M211" s="31">
        <v>2700000</v>
      </c>
      <c r="N211" s="30" t="s">
        <v>792</v>
      </c>
      <c r="O211" s="30" t="str">
        <f>IF(LEN(IF(OR(NOT(ISNUMBER(B211)),LEN(B211)&lt;&gt;8),"UNSPSC vacío, en texto, con varios códigos o sin 8 dígitos; ","")&amp;IF(AND(ISNUMBER(B211),LEN(B211)=8),IF(MOD(B211,10000)=0,"UNSPSC a nivel de segmento o familia; ",""),"")&amp;IF(NOT(ISNUMBER(E211)),"Duración vacía o en texto; ","")&amp;IF(NOT(ISNUMBER(G211)),"Valor vacío o en texto; ","")&amp;IF(ISNUMBER(M211),IF(M211&lt;1000000,"Valor inferior a $1.000.000: verificar; ",""),"Valor no interpretable; ")&amp;IF(N211="[PENDIENTE DE VERIFICAR]","Modalidad no identificable; ","")&amp;IF(OR(ISERROR(SEARCH("@itc.edu.co",J211)),SUMPRODUCT(--ISNUMBER(SEARCH({"á","é","í","ó","ú","ñ"},J211)))&gt;0),"Correo vacío o no institucional válido; ","")&amp;IF(LEN(TRIM(D211))=0,"Sin objeto contractual; ","")&amp;IF(AND(ISNUMBER(M211),N211="Mínima cuantía"),IF(M211&gt;39850000,"Mínima cuantía con valor superior al tope citado en el instructivo 2026 ($39.850.000): verificar modalidad; ",""),"")&amp;IF(AND(ISNUMBER(M211),OR(ISNUMBER(SEARCH("prestación de servicios",D211)),ISNUMBER(SEARCH("prestar servicios",D211)),ISNUMBER(SEARCH("prestar los servicios",D211)))),IF(M211&gt;=500000000,"Prestación de servicios por $500 millones o más: posible error de digitación; ",""),""))=0,"Sin observaciones",IF(OR(NOT(ISNUMBER(B211)),LEN(B211)&lt;&gt;8),"UNSPSC vacío, en texto, con varios códigos o sin 8 dígitos; ","")&amp;IF(AND(ISNUMBER(B211),LEN(B211)=8),IF(MOD(B211,10000)=0,"UNSPSC a nivel de segmento o familia; ",""),"")&amp;IF(NOT(ISNUMBER(E211)),"Duración vacía o en texto; ","")&amp;IF(NOT(ISNUMBER(G211)),"Valor vacío o en texto; ","")&amp;IF(ISNUMBER(M211),IF(M211&lt;1000000,"Valor inferior a $1.000.000: verificar; ",""),"Valor no interpretable; ")&amp;IF(N211="[PENDIENTE DE VERIFICAR]","Modalidad no identificable; ","")&amp;IF(OR(ISERROR(SEARCH("@itc.edu.co",J211)),SUMPRODUCT(--ISNUMBER(SEARCH({"á","é","í","ó","ú","ñ"},J211)))&gt;0),"Correo vacío o no institucional válido; ","")&amp;IF(LEN(TRIM(D211))=0,"Sin objeto contractual; ","")&amp;IF(AND(ISNUMBER(M211),N211="Mínima cuantía"),IF(M211&gt;39850000,"Mínima cuantía con valor superior al tope citado en el instructivo 2026 ($39.850.000): verificar modalidad; ",""),"")&amp;IF(AND(ISNUMBER(M211),OR(ISNUMBER(SEARCH("prestación de servicios",D211)),ISNUMBER(SEARCH("prestar servicios",D211)),ISNUMBER(SEARCH("prestar los servicios",D211)))),IF(M211&gt;=500000000,"Prestación de servicios por $500 millones o más: posible error de digitación; ",""),""))</f>
        <v>Sin observaciones</v>
      </c>
    </row>
    <row r="212" spans="1:15" ht="45.6" x14ac:dyDescent="0.3">
      <c r="A212" s="15" t="s">
        <v>593</v>
      </c>
      <c r="B212" s="15">
        <v>43231510</v>
      </c>
      <c r="C212" s="15" t="s">
        <v>356</v>
      </c>
      <c r="D212" s="15" t="s">
        <v>1311</v>
      </c>
      <c r="E212" s="15">
        <v>11</v>
      </c>
      <c r="F212" s="15" t="s">
        <v>1202</v>
      </c>
      <c r="G212" s="29">
        <v>150000</v>
      </c>
      <c r="H212" s="15" t="s">
        <v>1291</v>
      </c>
      <c r="I212" s="15" t="s">
        <v>1292</v>
      </c>
      <c r="J212" s="15" t="s">
        <v>1293</v>
      </c>
      <c r="K212" s="15"/>
      <c r="L212" s="30" t="s">
        <v>1294</v>
      </c>
      <c r="M212" s="31">
        <v>150000</v>
      </c>
      <c r="N212" s="30" t="s">
        <v>792</v>
      </c>
      <c r="O212" s="30" t="str">
        <f>IF(LEN(IF(OR(NOT(ISNUMBER(B212)),LEN(B212)&lt;&gt;8),"UNSPSC vacío, en texto, con varios códigos o sin 8 dígitos; ","")&amp;IF(AND(ISNUMBER(B212),LEN(B212)=8),IF(MOD(B212,10000)=0,"UNSPSC a nivel de segmento o familia; ",""),"")&amp;IF(NOT(ISNUMBER(E212)),"Duración vacía o en texto; ","")&amp;IF(NOT(ISNUMBER(G212)),"Valor vacío o en texto; ","")&amp;IF(ISNUMBER(M212),IF(M212&lt;1000000,"Valor inferior a $1.000.000: verificar; ",""),"Valor no interpretable; ")&amp;IF(N212="[PENDIENTE DE VERIFICAR]","Modalidad no identificable; ","")&amp;IF(OR(ISERROR(SEARCH("@itc.edu.co",J212)),SUMPRODUCT(--ISNUMBER(SEARCH({"á","é","í","ó","ú","ñ"},J212)))&gt;0),"Correo vacío o no institucional válido; ","")&amp;IF(LEN(TRIM(D212))=0,"Sin objeto contractual; ","")&amp;IF(AND(ISNUMBER(M212),N212="Mínima cuantía"),IF(M212&gt;39850000,"Mínima cuantía con valor superior al tope citado en el instructivo 2026 ($39.850.000): verificar modalidad; ",""),"")&amp;IF(AND(ISNUMBER(M212),OR(ISNUMBER(SEARCH("prestación de servicios",D212)),ISNUMBER(SEARCH("prestar servicios",D212)),ISNUMBER(SEARCH("prestar los servicios",D212)))),IF(M212&gt;=500000000,"Prestación de servicios por $500 millones o más: posible error de digitación; ",""),""))=0,"Sin observaciones",IF(OR(NOT(ISNUMBER(B212)),LEN(B212)&lt;&gt;8),"UNSPSC vacío, en texto, con varios códigos o sin 8 dígitos; ","")&amp;IF(AND(ISNUMBER(B212),LEN(B212)=8),IF(MOD(B212,10000)=0,"UNSPSC a nivel de segmento o familia; ",""),"")&amp;IF(NOT(ISNUMBER(E212)),"Duración vacía o en texto; ","")&amp;IF(NOT(ISNUMBER(G212)),"Valor vacío o en texto; ","")&amp;IF(ISNUMBER(M212),IF(M212&lt;1000000,"Valor inferior a $1.000.000: verificar; ",""),"Valor no interpretable; ")&amp;IF(N212="[PENDIENTE DE VERIFICAR]","Modalidad no identificable; ","")&amp;IF(OR(ISERROR(SEARCH("@itc.edu.co",J212)),SUMPRODUCT(--ISNUMBER(SEARCH({"á","é","í","ó","ú","ñ"},J212)))&gt;0),"Correo vacío o no institucional válido; ","")&amp;IF(LEN(TRIM(D212))=0,"Sin objeto contractual; ","")&amp;IF(AND(ISNUMBER(M212),N212="Mínima cuantía"),IF(M212&gt;39850000,"Mínima cuantía con valor superior al tope citado en el instructivo 2026 ($39.850.000): verificar modalidad; ",""),"")&amp;IF(AND(ISNUMBER(M212),OR(ISNUMBER(SEARCH("prestación de servicios",D212)),ISNUMBER(SEARCH("prestar servicios",D212)),ISNUMBER(SEARCH("prestar los servicios",D212)))),IF(M212&gt;=500000000,"Prestación de servicios por $500 millones o más: posible error de digitación; ",""),""))</f>
        <v xml:space="preserve">Valor inferior a $1.000.000: verificar; </v>
      </c>
    </row>
    <row r="213" spans="1:15" ht="57" x14ac:dyDescent="0.3">
      <c r="A213" s="15" t="s">
        <v>1312</v>
      </c>
      <c r="B213" s="15">
        <v>80111601</v>
      </c>
      <c r="C213" s="15" t="s">
        <v>356</v>
      </c>
      <c r="D213" s="15" t="s">
        <v>1313</v>
      </c>
      <c r="E213" s="15">
        <v>11</v>
      </c>
      <c r="F213" s="15" t="s">
        <v>802</v>
      </c>
      <c r="G213" s="29">
        <v>36000000</v>
      </c>
      <c r="H213" s="15" t="s">
        <v>1291</v>
      </c>
      <c r="I213" s="15" t="s">
        <v>1292</v>
      </c>
      <c r="J213" s="15" t="s">
        <v>1293</v>
      </c>
      <c r="K213" s="15"/>
      <c r="L213" s="30" t="s">
        <v>1294</v>
      </c>
      <c r="M213" s="31">
        <v>36000000</v>
      </c>
      <c r="N213" s="30" t="s">
        <v>803</v>
      </c>
      <c r="O213" s="30" t="str">
        <f>IF(LEN(IF(OR(NOT(ISNUMBER(B213)),LEN(B213)&lt;&gt;8),"UNSPSC vacío, en texto, con varios códigos o sin 8 dígitos; ","")&amp;IF(AND(ISNUMBER(B213),LEN(B213)=8),IF(MOD(B213,10000)=0,"UNSPSC a nivel de segmento o familia; ",""),"")&amp;IF(NOT(ISNUMBER(E213)),"Duración vacía o en texto; ","")&amp;IF(NOT(ISNUMBER(G213)),"Valor vacío o en texto; ","")&amp;IF(ISNUMBER(M213),IF(M213&lt;1000000,"Valor inferior a $1.000.000: verificar; ",""),"Valor no interpretable; ")&amp;IF(N213="[PENDIENTE DE VERIFICAR]","Modalidad no identificable; ","")&amp;IF(OR(ISERROR(SEARCH("@itc.edu.co",J213)),SUMPRODUCT(--ISNUMBER(SEARCH({"á","é","í","ó","ú","ñ"},J213)))&gt;0),"Correo vacío o no institucional válido; ","")&amp;IF(LEN(TRIM(D213))=0,"Sin objeto contractual; ","")&amp;IF(AND(ISNUMBER(M213),N213="Mínima cuantía"),IF(M213&gt;39850000,"Mínima cuantía con valor superior al tope citado en el instructivo 2026 ($39.850.000): verificar modalidad; ",""),"")&amp;IF(AND(ISNUMBER(M213),OR(ISNUMBER(SEARCH("prestación de servicios",D213)),ISNUMBER(SEARCH("prestar servicios",D213)),ISNUMBER(SEARCH("prestar los servicios",D213)))),IF(M213&gt;=500000000,"Prestación de servicios por $500 millones o más: posible error de digitación; ",""),""))=0,"Sin observaciones",IF(OR(NOT(ISNUMBER(B213)),LEN(B213)&lt;&gt;8),"UNSPSC vacío, en texto, con varios códigos o sin 8 dígitos; ","")&amp;IF(AND(ISNUMBER(B213),LEN(B213)=8),IF(MOD(B213,10000)=0,"UNSPSC a nivel de segmento o familia; ",""),"")&amp;IF(NOT(ISNUMBER(E213)),"Duración vacía o en texto; ","")&amp;IF(NOT(ISNUMBER(G213)),"Valor vacío o en texto; ","")&amp;IF(ISNUMBER(M213),IF(M213&lt;1000000,"Valor inferior a $1.000.000: verificar; ",""),"Valor no interpretable; ")&amp;IF(N213="[PENDIENTE DE VERIFICAR]","Modalidad no identificable; ","")&amp;IF(OR(ISERROR(SEARCH("@itc.edu.co",J213)),SUMPRODUCT(--ISNUMBER(SEARCH({"á","é","í","ó","ú","ñ"},J213)))&gt;0),"Correo vacío o no institucional válido; ","")&amp;IF(LEN(TRIM(D213))=0,"Sin objeto contractual; ","")&amp;IF(AND(ISNUMBER(M213),N213="Mínima cuantía"),IF(M213&gt;39850000,"Mínima cuantía con valor superior al tope citado en el instructivo 2026 ($39.850.000): verificar modalidad; ",""),"")&amp;IF(AND(ISNUMBER(M213),OR(ISNUMBER(SEARCH("prestación de servicios",D213)),ISNUMBER(SEARCH("prestar servicios",D213)),ISNUMBER(SEARCH("prestar los servicios",D213)))),IF(M213&gt;=500000000,"Prestación de servicios por $500 millones o más: posible error de digitación; ",""),""))</f>
        <v>Sin observaciones</v>
      </c>
    </row>
    <row r="214" spans="1:15" ht="57" x14ac:dyDescent="0.3">
      <c r="A214" s="15" t="s">
        <v>1314</v>
      </c>
      <c r="B214" s="15">
        <v>80111601</v>
      </c>
      <c r="C214" s="15" t="s">
        <v>356</v>
      </c>
      <c r="D214" s="15" t="s">
        <v>1313</v>
      </c>
      <c r="E214" s="15">
        <v>11</v>
      </c>
      <c r="F214" s="15" t="s">
        <v>802</v>
      </c>
      <c r="G214" s="29">
        <v>36000000</v>
      </c>
      <c r="H214" s="15" t="s">
        <v>1291</v>
      </c>
      <c r="I214" s="15" t="s">
        <v>1292</v>
      </c>
      <c r="J214" s="15" t="s">
        <v>1293</v>
      </c>
      <c r="K214" s="15"/>
      <c r="L214" s="30" t="s">
        <v>1294</v>
      </c>
      <c r="M214" s="31">
        <v>36000000</v>
      </c>
      <c r="N214" s="30" t="s">
        <v>803</v>
      </c>
      <c r="O214" s="30" t="str">
        <f>IF(LEN(IF(OR(NOT(ISNUMBER(B214)),LEN(B214)&lt;&gt;8),"UNSPSC vacío, en texto, con varios códigos o sin 8 dígitos; ","")&amp;IF(AND(ISNUMBER(B214),LEN(B214)=8),IF(MOD(B214,10000)=0,"UNSPSC a nivel de segmento o familia; ",""),"")&amp;IF(NOT(ISNUMBER(E214)),"Duración vacía o en texto; ","")&amp;IF(NOT(ISNUMBER(G214)),"Valor vacío o en texto; ","")&amp;IF(ISNUMBER(M214),IF(M214&lt;1000000,"Valor inferior a $1.000.000: verificar; ",""),"Valor no interpretable; ")&amp;IF(N214="[PENDIENTE DE VERIFICAR]","Modalidad no identificable; ","")&amp;IF(OR(ISERROR(SEARCH("@itc.edu.co",J214)),SUMPRODUCT(--ISNUMBER(SEARCH({"á","é","í","ó","ú","ñ"},J214)))&gt;0),"Correo vacío o no institucional válido; ","")&amp;IF(LEN(TRIM(D214))=0,"Sin objeto contractual; ","")&amp;IF(AND(ISNUMBER(M214),N214="Mínima cuantía"),IF(M214&gt;39850000,"Mínima cuantía con valor superior al tope citado en el instructivo 2026 ($39.850.000): verificar modalidad; ",""),"")&amp;IF(AND(ISNUMBER(M214),OR(ISNUMBER(SEARCH("prestación de servicios",D214)),ISNUMBER(SEARCH("prestar servicios",D214)),ISNUMBER(SEARCH("prestar los servicios",D214)))),IF(M214&gt;=500000000,"Prestación de servicios por $500 millones o más: posible error de digitación; ",""),""))=0,"Sin observaciones",IF(OR(NOT(ISNUMBER(B214)),LEN(B214)&lt;&gt;8),"UNSPSC vacío, en texto, con varios códigos o sin 8 dígitos; ","")&amp;IF(AND(ISNUMBER(B214),LEN(B214)=8),IF(MOD(B214,10000)=0,"UNSPSC a nivel de segmento o familia; ",""),"")&amp;IF(NOT(ISNUMBER(E214)),"Duración vacía o en texto; ","")&amp;IF(NOT(ISNUMBER(G214)),"Valor vacío o en texto; ","")&amp;IF(ISNUMBER(M214),IF(M214&lt;1000000,"Valor inferior a $1.000.000: verificar; ",""),"Valor no interpretable; ")&amp;IF(N214="[PENDIENTE DE VERIFICAR]","Modalidad no identificable; ","")&amp;IF(OR(ISERROR(SEARCH("@itc.edu.co",J214)),SUMPRODUCT(--ISNUMBER(SEARCH({"á","é","í","ó","ú","ñ"},J214)))&gt;0),"Correo vacío o no institucional válido; ","")&amp;IF(LEN(TRIM(D214))=0,"Sin objeto contractual; ","")&amp;IF(AND(ISNUMBER(M214),N214="Mínima cuantía"),IF(M214&gt;39850000,"Mínima cuantía con valor superior al tope citado en el instructivo 2026 ($39.850.000): verificar modalidad; ",""),"")&amp;IF(AND(ISNUMBER(M214),OR(ISNUMBER(SEARCH("prestación de servicios",D214)),ISNUMBER(SEARCH("prestar servicios",D214)),ISNUMBER(SEARCH("prestar los servicios",D214)))),IF(M214&gt;=500000000,"Prestación de servicios por $500 millones o más: posible error de digitación; ",""),""))</f>
        <v>Sin observaciones</v>
      </c>
    </row>
    <row r="215" spans="1:15" ht="57" x14ac:dyDescent="0.3">
      <c r="A215" s="15" t="s">
        <v>1315</v>
      </c>
      <c r="B215" s="15">
        <v>80111601</v>
      </c>
      <c r="C215" s="15" t="s">
        <v>356</v>
      </c>
      <c r="D215" s="15" t="s">
        <v>1313</v>
      </c>
      <c r="E215" s="15">
        <v>11</v>
      </c>
      <c r="F215" s="15" t="s">
        <v>802</v>
      </c>
      <c r="G215" s="29">
        <v>36000000</v>
      </c>
      <c r="H215" s="15" t="s">
        <v>1291</v>
      </c>
      <c r="I215" s="15" t="s">
        <v>1292</v>
      </c>
      <c r="J215" s="15" t="s">
        <v>1293</v>
      </c>
      <c r="K215" s="15"/>
      <c r="L215" s="30" t="s">
        <v>1294</v>
      </c>
      <c r="M215" s="31">
        <v>36000000</v>
      </c>
      <c r="N215" s="30" t="s">
        <v>803</v>
      </c>
      <c r="O215" s="30" t="str">
        <f>IF(LEN(IF(OR(NOT(ISNUMBER(B215)),LEN(B215)&lt;&gt;8),"UNSPSC vacío, en texto, con varios códigos o sin 8 dígitos; ","")&amp;IF(AND(ISNUMBER(B215),LEN(B215)=8),IF(MOD(B215,10000)=0,"UNSPSC a nivel de segmento o familia; ",""),"")&amp;IF(NOT(ISNUMBER(E215)),"Duración vacía o en texto; ","")&amp;IF(NOT(ISNUMBER(G215)),"Valor vacío o en texto; ","")&amp;IF(ISNUMBER(M215),IF(M215&lt;1000000,"Valor inferior a $1.000.000: verificar; ",""),"Valor no interpretable; ")&amp;IF(N215="[PENDIENTE DE VERIFICAR]","Modalidad no identificable; ","")&amp;IF(OR(ISERROR(SEARCH("@itc.edu.co",J215)),SUMPRODUCT(--ISNUMBER(SEARCH({"á","é","í","ó","ú","ñ"},J215)))&gt;0),"Correo vacío o no institucional válido; ","")&amp;IF(LEN(TRIM(D215))=0,"Sin objeto contractual; ","")&amp;IF(AND(ISNUMBER(M215),N215="Mínima cuantía"),IF(M215&gt;39850000,"Mínima cuantía con valor superior al tope citado en el instructivo 2026 ($39.850.000): verificar modalidad; ",""),"")&amp;IF(AND(ISNUMBER(M215),OR(ISNUMBER(SEARCH("prestación de servicios",D215)),ISNUMBER(SEARCH("prestar servicios",D215)),ISNUMBER(SEARCH("prestar los servicios",D215)))),IF(M215&gt;=500000000,"Prestación de servicios por $500 millones o más: posible error de digitación; ",""),""))=0,"Sin observaciones",IF(OR(NOT(ISNUMBER(B215)),LEN(B215)&lt;&gt;8),"UNSPSC vacío, en texto, con varios códigos o sin 8 dígitos; ","")&amp;IF(AND(ISNUMBER(B215),LEN(B215)=8),IF(MOD(B215,10000)=0,"UNSPSC a nivel de segmento o familia; ",""),"")&amp;IF(NOT(ISNUMBER(E215)),"Duración vacía o en texto; ","")&amp;IF(NOT(ISNUMBER(G215)),"Valor vacío o en texto; ","")&amp;IF(ISNUMBER(M215),IF(M215&lt;1000000,"Valor inferior a $1.000.000: verificar; ",""),"Valor no interpretable; ")&amp;IF(N215="[PENDIENTE DE VERIFICAR]","Modalidad no identificable; ","")&amp;IF(OR(ISERROR(SEARCH("@itc.edu.co",J215)),SUMPRODUCT(--ISNUMBER(SEARCH({"á","é","í","ó","ú","ñ"},J215)))&gt;0),"Correo vacío o no institucional válido; ","")&amp;IF(LEN(TRIM(D215))=0,"Sin objeto contractual; ","")&amp;IF(AND(ISNUMBER(M215),N215="Mínima cuantía"),IF(M215&gt;39850000,"Mínima cuantía con valor superior al tope citado en el instructivo 2026 ($39.850.000): verificar modalidad; ",""),"")&amp;IF(AND(ISNUMBER(M215),OR(ISNUMBER(SEARCH("prestación de servicios",D215)),ISNUMBER(SEARCH("prestar servicios",D215)),ISNUMBER(SEARCH("prestar los servicios",D215)))),IF(M215&gt;=500000000,"Prestación de servicios por $500 millones o más: posible error de digitación; ",""),""))</f>
        <v>Sin observaciones</v>
      </c>
    </row>
    <row r="216" spans="1:15" ht="57" x14ac:dyDescent="0.3">
      <c r="A216" s="15" t="s">
        <v>1316</v>
      </c>
      <c r="B216" s="15">
        <v>80111601</v>
      </c>
      <c r="C216" s="15" t="s">
        <v>356</v>
      </c>
      <c r="D216" s="15" t="s">
        <v>1313</v>
      </c>
      <c r="E216" s="15">
        <v>11</v>
      </c>
      <c r="F216" s="15" t="s">
        <v>802</v>
      </c>
      <c r="G216" s="29">
        <v>36000000</v>
      </c>
      <c r="H216" s="15" t="s">
        <v>1291</v>
      </c>
      <c r="I216" s="15" t="s">
        <v>1292</v>
      </c>
      <c r="J216" s="15" t="s">
        <v>1293</v>
      </c>
      <c r="K216" s="15"/>
      <c r="L216" s="30" t="s">
        <v>1294</v>
      </c>
      <c r="M216" s="31">
        <v>36000000</v>
      </c>
      <c r="N216" s="30" t="s">
        <v>803</v>
      </c>
      <c r="O216" s="30" t="str">
        <f>IF(LEN(IF(OR(NOT(ISNUMBER(B216)),LEN(B216)&lt;&gt;8),"UNSPSC vacío, en texto, con varios códigos o sin 8 dígitos; ","")&amp;IF(AND(ISNUMBER(B216),LEN(B216)=8),IF(MOD(B216,10000)=0,"UNSPSC a nivel de segmento o familia; ",""),"")&amp;IF(NOT(ISNUMBER(E216)),"Duración vacía o en texto; ","")&amp;IF(NOT(ISNUMBER(G216)),"Valor vacío o en texto; ","")&amp;IF(ISNUMBER(M216),IF(M216&lt;1000000,"Valor inferior a $1.000.000: verificar; ",""),"Valor no interpretable; ")&amp;IF(N216="[PENDIENTE DE VERIFICAR]","Modalidad no identificable; ","")&amp;IF(OR(ISERROR(SEARCH("@itc.edu.co",J216)),SUMPRODUCT(--ISNUMBER(SEARCH({"á","é","í","ó","ú","ñ"},J216)))&gt;0),"Correo vacío o no institucional válido; ","")&amp;IF(LEN(TRIM(D216))=0,"Sin objeto contractual; ","")&amp;IF(AND(ISNUMBER(M216),N216="Mínima cuantía"),IF(M216&gt;39850000,"Mínima cuantía con valor superior al tope citado en el instructivo 2026 ($39.850.000): verificar modalidad; ",""),"")&amp;IF(AND(ISNUMBER(M216),OR(ISNUMBER(SEARCH("prestación de servicios",D216)),ISNUMBER(SEARCH("prestar servicios",D216)),ISNUMBER(SEARCH("prestar los servicios",D216)))),IF(M216&gt;=500000000,"Prestación de servicios por $500 millones o más: posible error de digitación; ",""),""))=0,"Sin observaciones",IF(OR(NOT(ISNUMBER(B216)),LEN(B216)&lt;&gt;8),"UNSPSC vacío, en texto, con varios códigos o sin 8 dígitos; ","")&amp;IF(AND(ISNUMBER(B216),LEN(B216)=8),IF(MOD(B216,10000)=0,"UNSPSC a nivel de segmento o familia; ",""),"")&amp;IF(NOT(ISNUMBER(E216)),"Duración vacía o en texto; ","")&amp;IF(NOT(ISNUMBER(G216)),"Valor vacío o en texto; ","")&amp;IF(ISNUMBER(M216),IF(M216&lt;1000000,"Valor inferior a $1.000.000: verificar; ",""),"Valor no interpretable; ")&amp;IF(N216="[PENDIENTE DE VERIFICAR]","Modalidad no identificable; ","")&amp;IF(OR(ISERROR(SEARCH("@itc.edu.co",J216)),SUMPRODUCT(--ISNUMBER(SEARCH({"á","é","í","ó","ú","ñ"},J216)))&gt;0),"Correo vacío o no institucional válido; ","")&amp;IF(LEN(TRIM(D216))=0,"Sin objeto contractual; ","")&amp;IF(AND(ISNUMBER(M216),N216="Mínima cuantía"),IF(M216&gt;39850000,"Mínima cuantía con valor superior al tope citado en el instructivo 2026 ($39.850.000): verificar modalidad; ",""),"")&amp;IF(AND(ISNUMBER(M216),OR(ISNUMBER(SEARCH("prestación de servicios",D216)),ISNUMBER(SEARCH("prestar servicios",D216)),ISNUMBER(SEARCH("prestar los servicios",D216)))),IF(M216&gt;=500000000,"Prestación de servicios por $500 millones o más: posible error de digitación; ",""),""))</f>
        <v>Sin observaciones</v>
      </c>
    </row>
    <row r="217" spans="1:15" ht="57" x14ac:dyDescent="0.3">
      <c r="A217" s="15" t="s">
        <v>1317</v>
      </c>
      <c r="B217" s="15">
        <v>80111601</v>
      </c>
      <c r="C217" s="15" t="s">
        <v>356</v>
      </c>
      <c r="D217" s="15" t="s">
        <v>1313</v>
      </c>
      <c r="E217" s="15">
        <v>11</v>
      </c>
      <c r="F217" s="15" t="s">
        <v>802</v>
      </c>
      <c r="G217" s="29">
        <v>36000000</v>
      </c>
      <c r="H217" s="15" t="s">
        <v>1291</v>
      </c>
      <c r="I217" s="15" t="s">
        <v>1292</v>
      </c>
      <c r="J217" s="15" t="s">
        <v>1293</v>
      </c>
      <c r="K217" s="15"/>
      <c r="L217" s="30" t="s">
        <v>1294</v>
      </c>
      <c r="M217" s="31">
        <v>36000000</v>
      </c>
      <c r="N217" s="30" t="s">
        <v>803</v>
      </c>
      <c r="O217" s="30" t="str">
        <f>IF(LEN(IF(OR(NOT(ISNUMBER(B217)),LEN(B217)&lt;&gt;8),"UNSPSC vacío, en texto, con varios códigos o sin 8 dígitos; ","")&amp;IF(AND(ISNUMBER(B217),LEN(B217)=8),IF(MOD(B217,10000)=0,"UNSPSC a nivel de segmento o familia; ",""),"")&amp;IF(NOT(ISNUMBER(E217)),"Duración vacía o en texto; ","")&amp;IF(NOT(ISNUMBER(G217)),"Valor vacío o en texto; ","")&amp;IF(ISNUMBER(M217),IF(M217&lt;1000000,"Valor inferior a $1.000.000: verificar; ",""),"Valor no interpretable; ")&amp;IF(N217="[PENDIENTE DE VERIFICAR]","Modalidad no identificable; ","")&amp;IF(OR(ISERROR(SEARCH("@itc.edu.co",J217)),SUMPRODUCT(--ISNUMBER(SEARCH({"á","é","í","ó","ú","ñ"},J217)))&gt;0),"Correo vacío o no institucional válido; ","")&amp;IF(LEN(TRIM(D217))=0,"Sin objeto contractual; ","")&amp;IF(AND(ISNUMBER(M217),N217="Mínima cuantía"),IF(M217&gt;39850000,"Mínima cuantía con valor superior al tope citado en el instructivo 2026 ($39.850.000): verificar modalidad; ",""),"")&amp;IF(AND(ISNUMBER(M217),OR(ISNUMBER(SEARCH("prestación de servicios",D217)),ISNUMBER(SEARCH("prestar servicios",D217)),ISNUMBER(SEARCH("prestar los servicios",D217)))),IF(M217&gt;=500000000,"Prestación de servicios por $500 millones o más: posible error de digitación; ",""),""))=0,"Sin observaciones",IF(OR(NOT(ISNUMBER(B217)),LEN(B217)&lt;&gt;8),"UNSPSC vacío, en texto, con varios códigos o sin 8 dígitos; ","")&amp;IF(AND(ISNUMBER(B217),LEN(B217)=8),IF(MOD(B217,10000)=0,"UNSPSC a nivel de segmento o familia; ",""),"")&amp;IF(NOT(ISNUMBER(E217)),"Duración vacía o en texto; ","")&amp;IF(NOT(ISNUMBER(G217)),"Valor vacío o en texto; ","")&amp;IF(ISNUMBER(M217),IF(M217&lt;1000000,"Valor inferior a $1.000.000: verificar; ",""),"Valor no interpretable; ")&amp;IF(N217="[PENDIENTE DE VERIFICAR]","Modalidad no identificable; ","")&amp;IF(OR(ISERROR(SEARCH("@itc.edu.co",J217)),SUMPRODUCT(--ISNUMBER(SEARCH({"á","é","í","ó","ú","ñ"},J217)))&gt;0),"Correo vacío o no institucional válido; ","")&amp;IF(LEN(TRIM(D217))=0,"Sin objeto contractual; ","")&amp;IF(AND(ISNUMBER(M217),N217="Mínima cuantía"),IF(M217&gt;39850000,"Mínima cuantía con valor superior al tope citado en el instructivo 2026 ($39.850.000): verificar modalidad; ",""),"")&amp;IF(AND(ISNUMBER(M217),OR(ISNUMBER(SEARCH("prestación de servicios",D217)),ISNUMBER(SEARCH("prestar servicios",D217)),ISNUMBER(SEARCH("prestar los servicios",D217)))),IF(M217&gt;=500000000,"Prestación de servicios por $500 millones o más: posible error de digitación; ",""),""))</f>
        <v>Sin observaciones</v>
      </c>
    </row>
    <row r="218" spans="1:15" ht="57" x14ac:dyDescent="0.3">
      <c r="A218" s="15" t="s">
        <v>1318</v>
      </c>
      <c r="B218" s="15">
        <v>80111601</v>
      </c>
      <c r="C218" s="15" t="s">
        <v>356</v>
      </c>
      <c r="D218" s="15" t="s">
        <v>1313</v>
      </c>
      <c r="E218" s="15">
        <v>11</v>
      </c>
      <c r="F218" s="15" t="s">
        <v>802</v>
      </c>
      <c r="G218" s="29">
        <v>36000000</v>
      </c>
      <c r="H218" s="15" t="s">
        <v>1291</v>
      </c>
      <c r="I218" s="15" t="s">
        <v>1292</v>
      </c>
      <c r="J218" s="15" t="s">
        <v>1293</v>
      </c>
      <c r="K218" s="15"/>
      <c r="L218" s="30" t="s">
        <v>1294</v>
      </c>
      <c r="M218" s="31">
        <v>36000000</v>
      </c>
      <c r="N218" s="30" t="s">
        <v>803</v>
      </c>
      <c r="O218" s="30" t="str">
        <f>IF(LEN(IF(OR(NOT(ISNUMBER(B218)),LEN(B218)&lt;&gt;8),"UNSPSC vacío, en texto, con varios códigos o sin 8 dígitos; ","")&amp;IF(AND(ISNUMBER(B218),LEN(B218)=8),IF(MOD(B218,10000)=0,"UNSPSC a nivel de segmento o familia; ",""),"")&amp;IF(NOT(ISNUMBER(E218)),"Duración vacía o en texto; ","")&amp;IF(NOT(ISNUMBER(G218)),"Valor vacío o en texto; ","")&amp;IF(ISNUMBER(M218),IF(M218&lt;1000000,"Valor inferior a $1.000.000: verificar; ",""),"Valor no interpretable; ")&amp;IF(N218="[PENDIENTE DE VERIFICAR]","Modalidad no identificable; ","")&amp;IF(OR(ISERROR(SEARCH("@itc.edu.co",J218)),SUMPRODUCT(--ISNUMBER(SEARCH({"á","é","í","ó","ú","ñ"},J218)))&gt;0),"Correo vacío o no institucional válido; ","")&amp;IF(LEN(TRIM(D218))=0,"Sin objeto contractual; ","")&amp;IF(AND(ISNUMBER(M218),N218="Mínima cuantía"),IF(M218&gt;39850000,"Mínima cuantía con valor superior al tope citado en el instructivo 2026 ($39.850.000): verificar modalidad; ",""),"")&amp;IF(AND(ISNUMBER(M218),OR(ISNUMBER(SEARCH("prestación de servicios",D218)),ISNUMBER(SEARCH("prestar servicios",D218)),ISNUMBER(SEARCH("prestar los servicios",D218)))),IF(M218&gt;=500000000,"Prestación de servicios por $500 millones o más: posible error de digitación; ",""),""))=0,"Sin observaciones",IF(OR(NOT(ISNUMBER(B218)),LEN(B218)&lt;&gt;8),"UNSPSC vacío, en texto, con varios códigos o sin 8 dígitos; ","")&amp;IF(AND(ISNUMBER(B218),LEN(B218)=8),IF(MOD(B218,10000)=0,"UNSPSC a nivel de segmento o familia; ",""),"")&amp;IF(NOT(ISNUMBER(E218)),"Duración vacía o en texto; ","")&amp;IF(NOT(ISNUMBER(G218)),"Valor vacío o en texto; ","")&amp;IF(ISNUMBER(M218),IF(M218&lt;1000000,"Valor inferior a $1.000.000: verificar; ",""),"Valor no interpretable; ")&amp;IF(N218="[PENDIENTE DE VERIFICAR]","Modalidad no identificable; ","")&amp;IF(OR(ISERROR(SEARCH("@itc.edu.co",J218)),SUMPRODUCT(--ISNUMBER(SEARCH({"á","é","í","ó","ú","ñ"},J218)))&gt;0),"Correo vacío o no institucional válido; ","")&amp;IF(LEN(TRIM(D218))=0,"Sin objeto contractual; ","")&amp;IF(AND(ISNUMBER(M218),N218="Mínima cuantía"),IF(M218&gt;39850000,"Mínima cuantía con valor superior al tope citado en el instructivo 2026 ($39.850.000): verificar modalidad; ",""),"")&amp;IF(AND(ISNUMBER(M218),OR(ISNUMBER(SEARCH("prestación de servicios",D218)),ISNUMBER(SEARCH("prestar servicios",D218)),ISNUMBER(SEARCH("prestar los servicios",D218)))),IF(M218&gt;=500000000,"Prestación de servicios por $500 millones o más: posible error de digitación; ",""),""))</f>
        <v>Sin observaciones</v>
      </c>
    </row>
    <row r="219" spans="1:15" ht="79.8" x14ac:dyDescent="0.3">
      <c r="A219" s="15" t="s">
        <v>1319</v>
      </c>
      <c r="B219" s="15">
        <v>80111600</v>
      </c>
      <c r="C219" s="15" t="s">
        <v>356</v>
      </c>
      <c r="D219" s="15" t="s">
        <v>1320</v>
      </c>
      <c r="E219" s="15">
        <v>11</v>
      </c>
      <c r="F219" s="15" t="s">
        <v>802</v>
      </c>
      <c r="G219" s="29">
        <v>46500000</v>
      </c>
      <c r="H219" s="15" t="s">
        <v>1291</v>
      </c>
      <c r="I219" s="15" t="s">
        <v>1292</v>
      </c>
      <c r="J219" s="15" t="s">
        <v>1293</v>
      </c>
      <c r="K219" s="15"/>
      <c r="L219" s="30" t="s">
        <v>1294</v>
      </c>
      <c r="M219" s="31">
        <v>46500000</v>
      </c>
      <c r="N219" s="30" t="s">
        <v>803</v>
      </c>
      <c r="O219" s="30" t="str">
        <f>IF(LEN(IF(OR(NOT(ISNUMBER(B219)),LEN(B219)&lt;&gt;8),"UNSPSC vacío, en texto, con varios códigos o sin 8 dígitos; ","")&amp;IF(AND(ISNUMBER(B219),LEN(B219)=8),IF(MOD(B219,10000)=0,"UNSPSC a nivel de segmento o familia; ",""),"")&amp;IF(NOT(ISNUMBER(E219)),"Duración vacía o en texto; ","")&amp;IF(NOT(ISNUMBER(G219)),"Valor vacío o en texto; ","")&amp;IF(ISNUMBER(M219),IF(M219&lt;1000000,"Valor inferior a $1.000.000: verificar; ",""),"Valor no interpretable; ")&amp;IF(N219="[PENDIENTE DE VERIFICAR]","Modalidad no identificable; ","")&amp;IF(OR(ISERROR(SEARCH("@itc.edu.co",J219)),SUMPRODUCT(--ISNUMBER(SEARCH({"á","é","í","ó","ú","ñ"},J219)))&gt;0),"Correo vacío o no institucional válido; ","")&amp;IF(LEN(TRIM(D219))=0,"Sin objeto contractual; ","")&amp;IF(AND(ISNUMBER(M219),N219="Mínima cuantía"),IF(M219&gt;39850000,"Mínima cuantía con valor superior al tope citado en el instructivo 2026 ($39.850.000): verificar modalidad; ",""),"")&amp;IF(AND(ISNUMBER(M219),OR(ISNUMBER(SEARCH("prestación de servicios",D219)),ISNUMBER(SEARCH("prestar servicios",D219)),ISNUMBER(SEARCH("prestar los servicios",D219)))),IF(M219&gt;=500000000,"Prestación de servicios por $500 millones o más: posible error de digitación; ",""),""))=0,"Sin observaciones",IF(OR(NOT(ISNUMBER(B219)),LEN(B219)&lt;&gt;8),"UNSPSC vacío, en texto, con varios códigos o sin 8 dígitos; ","")&amp;IF(AND(ISNUMBER(B219),LEN(B219)=8),IF(MOD(B219,10000)=0,"UNSPSC a nivel de segmento o familia; ",""),"")&amp;IF(NOT(ISNUMBER(E219)),"Duración vacía o en texto; ","")&amp;IF(NOT(ISNUMBER(G219)),"Valor vacío o en texto; ","")&amp;IF(ISNUMBER(M219),IF(M219&lt;1000000,"Valor inferior a $1.000.000: verificar; ",""),"Valor no interpretable; ")&amp;IF(N219="[PENDIENTE DE VERIFICAR]","Modalidad no identificable; ","")&amp;IF(OR(ISERROR(SEARCH("@itc.edu.co",J219)),SUMPRODUCT(--ISNUMBER(SEARCH({"á","é","í","ó","ú","ñ"},J219)))&gt;0),"Correo vacío o no institucional válido; ","")&amp;IF(LEN(TRIM(D219))=0,"Sin objeto contractual; ","")&amp;IF(AND(ISNUMBER(M219),N219="Mínima cuantía"),IF(M219&gt;39850000,"Mínima cuantía con valor superior al tope citado en el instructivo 2026 ($39.850.000): verificar modalidad; ",""),"")&amp;IF(AND(ISNUMBER(M219),OR(ISNUMBER(SEARCH("prestación de servicios",D219)),ISNUMBER(SEARCH("prestar servicios",D219)),ISNUMBER(SEARCH("prestar los servicios",D219)))),IF(M219&gt;=500000000,"Prestación de servicios por $500 millones o más: posible error de digitación; ",""),""))</f>
        <v>Sin observaciones</v>
      </c>
    </row>
    <row r="220" spans="1:15" ht="57" x14ac:dyDescent="0.3">
      <c r="A220" s="15" t="s">
        <v>396</v>
      </c>
      <c r="B220" s="15">
        <v>60102300</v>
      </c>
      <c r="C220" s="15" t="s">
        <v>356</v>
      </c>
      <c r="D220" s="15" t="s">
        <v>1321</v>
      </c>
      <c r="E220" s="15">
        <v>11</v>
      </c>
      <c r="F220" s="15" t="s">
        <v>802</v>
      </c>
      <c r="G220" s="29">
        <v>65000000</v>
      </c>
      <c r="H220" s="15" t="s">
        <v>1291</v>
      </c>
      <c r="I220" s="15" t="s">
        <v>1292</v>
      </c>
      <c r="J220" s="15" t="s">
        <v>1293</v>
      </c>
      <c r="K220" s="15"/>
      <c r="L220" s="30" t="s">
        <v>1294</v>
      </c>
      <c r="M220" s="31">
        <v>65000000</v>
      </c>
      <c r="N220" s="30" t="s">
        <v>803</v>
      </c>
      <c r="O220" s="30" t="str">
        <f>IF(LEN(IF(OR(NOT(ISNUMBER(B220)),LEN(B220)&lt;&gt;8),"UNSPSC vacío, en texto, con varios códigos o sin 8 dígitos; ","")&amp;IF(AND(ISNUMBER(B220),LEN(B220)=8),IF(MOD(B220,10000)=0,"UNSPSC a nivel de segmento o familia; ",""),"")&amp;IF(NOT(ISNUMBER(E220)),"Duración vacía o en texto; ","")&amp;IF(NOT(ISNUMBER(G220)),"Valor vacío o en texto; ","")&amp;IF(ISNUMBER(M220),IF(M220&lt;1000000,"Valor inferior a $1.000.000: verificar; ",""),"Valor no interpretable; ")&amp;IF(N220="[PENDIENTE DE VERIFICAR]","Modalidad no identificable; ","")&amp;IF(OR(ISERROR(SEARCH("@itc.edu.co",J220)),SUMPRODUCT(--ISNUMBER(SEARCH({"á","é","í","ó","ú","ñ"},J220)))&gt;0),"Correo vacío o no institucional válido; ","")&amp;IF(LEN(TRIM(D220))=0,"Sin objeto contractual; ","")&amp;IF(AND(ISNUMBER(M220),N220="Mínima cuantía"),IF(M220&gt;39850000,"Mínima cuantía con valor superior al tope citado en el instructivo 2026 ($39.850.000): verificar modalidad; ",""),"")&amp;IF(AND(ISNUMBER(M220),OR(ISNUMBER(SEARCH("prestación de servicios",D220)),ISNUMBER(SEARCH("prestar servicios",D220)),ISNUMBER(SEARCH("prestar los servicios",D220)))),IF(M220&gt;=500000000,"Prestación de servicios por $500 millones o más: posible error de digitación; ",""),""))=0,"Sin observaciones",IF(OR(NOT(ISNUMBER(B220)),LEN(B220)&lt;&gt;8),"UNSPSC vacío, en texto, con varios códigos o sin 8 dígitos; ","")&amp;IF(AND(ISNUMBER(B220),LEN(B220)=8),IF(MOD(B220,10000)=0,"UNSPSC a nivel de segmento o familia; ",""),"")&amp;IF(NOT(ISNUMBER(E220)),"Duración vacía o en texto; ","")&amp;IF(NOT(ISNUMBER(G220)),"Valor vacío o en texto; ","")&amp;IF(ISNUMBER(M220),IF(M220&lt;1000000,"Valor inferior a $1.000.000: verificar; ",""),"Valor no interpretable; ")&amp;IF(N220="[PENDIENTE DE VERIFICAR]","Modalidad no identificable; ","")&amp;IF(OR(ISERROR(SEARCH("@itc.edu.co",J220)),SUMPRODUCT(--ISNUMBER(SEARCH({"á","é","í","ó","ú","ñ"},J220)))&gt;0),"Correo vacío o no institucional válido; ","")&amp;IF(LEN(TRIM(D220))=0,"Sin objeto contractual; ","")&amp;IF(AND(ISNUMBER(M220),N220="Mínima cuantía"),IF(M220&gt;39850000,"Mínima cuantía con valor superior al tope citado en el instructivo 2026 ($39.850.000): verificar modalidad; ",""),"")&amp;IF(AND(ISNUMBER(M220),OR(ISNUMBER(SEARCH("prestación de servicios",D220)),ISNUMBER(SEARCH("prestar servicios",D220)),ISNUMBER(SEARCH("prestar los servicios",D220)))),IF(M220&gt;=500000000,"Prestación de servicios por $500 millones o más: posible error de digitación; ",""),""))</f>
        <v>Sin observaciones</v>
      </c>
    </row>
    <row r="221" spans="1:15" ht="57" x14ac:dyDescent="0.3">
      <c r="A221" s="15" t="s">
        <v>1322</v>
      </c>
      <c r="B221" s="15">
        <v>60102300</v>
      </c>
      <c r="C221" s="15" t="s">
        <v>356</v>
      </c>
      <c r="D221" s="15" t="s">
        <v>1323</v>
      </c>
      <c r="E221" s="15">
        <v>11</v>
      </c>
      <c r="F221" s="15" t="s">
        <v>1202</v>
      </c>
      <c r="G221" s="29">
        <v>39000000</v>
      </c>
      <c r="H221" s="15" t="s">
        <v>1291</v>
      </c>
      <c r="I221" s="15" t="s">
        <v>1292</v>
      </c>
      <c r="J221" s="15" t="s">
        <v>1293</v>
      </c>
      <c r="K221" s="15"/>
      <c r="L221" s="30" t="s">
        <v>1294</v>
      </c>
      <c r="M221" s="31">
        <v>39000000</v>
      </c>
      <c r="N221" s="30" t="s">
        <v>792</v>
      </c>
      <c r="O221" s="30" t="str">
        <f>IF(LEN(IF(OR(NOT(ISNUMBER(B221)),LEN(B221)&lt;&gt;8),"UNSPSC vacío, en texto, con varios códigos o sin 8 dígitos; ","")&amp;IF(AND(ISNUMBER(B221),LEN(B221)=8),IF(MOD(B221,10000)=0,"UNSPSC a nivel de segmento o familia; ",""),"")&amp;IF(NOT(ISNUMBER(E221)),"Duración vacía o en texto; ","")&amp;IF(NOT(ISNUMBER(G221)),"Valor vacío o en texto; ","")&amp;IF(ISNUMBER(M221),IF(M221&lt;1000000,"Valor inferior a $1.000.000: verificar; ",""),"Valor no interpretable; ")&amp;IF(N221="[PENDIENTE DE VERIFICAR]","Modalidad no identificable; ","")&amp;IF(OR(ISERROR(SEARCH("@itc.edu.co",J221)),SUMPRODUCT(--ISNUMBER(SEARCH({"á","é","í","ó","ú","ñ"},J221)))&gt;0),"Correo vacío o no institucional válido; ","")&amp;IF(LEN(TRIM(D221))=0,"Sin objeto contractual; ","")&amp;IF(AND(ISNUMBER(M221),N221="Mínima cuantía"),IF(M221&gt;39850000,"Mínima cuantía con valor superior al tope citado en el instructivo 2026 ($39.850.000): verificar modalidad; ",""),"")&amp;IF(AND(ISNUMBER(M221),OR(ISNUMBER(SEARCH("prestación de servicios",D221)),ISNUMBER(SEARCH("prestar servicios",D221)),ISNUMBER(SEARCH("prestar los servicios",D221)))),IF(M221&gt;=500000000,"Prestación de servicios por $500 millones o más: posible error de digitación; ",""),""))=0,"Sin observaciones",IF(OR(NOT(ISNUMBER(B221)),LEN(B221)&lt;&gt;8),"UNSPSC vacío, en texto, con varios códigos o sin 8 dígitos; ","")&amp;IF(AND(ISNUMBER(B221),LEN(B221)=8),IF(MOD(B221,10000)=0,"UNSPSC a nivel de segmento o familia; ",""),"")&amp;IF(NOT(ISNUMBER(E221)),"Duración vacía o en texto; ","")&amp;IF(NOT(ISNUMBER(G221)),"Valor vacío o en texto; ","")&amp;IF(ISNUMBER(M221),IF(M221&lt;1000000,"Valor inferior a $1.000.000: verificar; ",""),"Valor no interpretable; ")&amp;IF(N221="[PENDIENTE DE VERIFICAR]","Modalidad no identificable; ","")&amp;IF(OR(ISERROR(SEARCH("@itc.edu.co",J221)),SUMPRODUCT(--ISNUMBER(SEARCH({"á","é","í","ó","ú","ñ"},J221)))&gt;0),"Correo vacío o no institucional válido; ","")&amp;IF(LEN(TRIM(D221))=0,"Sin objeto contractual; ","")&amp;IF(AND(ISNUMBER(M221),N221="Mínima cuantía"),IF(M221&gt;39850000,"Mínima cuantía con valor superior al tope citado en el instructivo 2026 ($39.850.000): verificar modalidad; ",""),"")&amp;IF(AND(ISNUMBER(M221),OR(ISNUMBER(SEARCH("prestación de servicios",D221)),ISNUMBER(SEARCH("prestar servicios",D221)),ISNUMBER(SEARCH("prestar los servicios",D221)))),IF(M221&gt;=500000000,"Prestación de servicios por $500 millones o más: posible error de digitación; ",""),""))</f>
        <v>Sin observaciones</v>
      </c>
    </row>
    <row r="222" spans="1:15" ht="57" x14ac:dyDescent="0.3">
      <c r="A222" s="15" t="s">
        <v>1324</v>
      </c>
      <c r="B222" s="15">
        <v>60102300</v>
      </c>
      <c r="C222" s="15" t="s">
        <v>356</v>
      </c>
      <c r="D222" s="15" t="s">
        <v>1325</v>
      </c>
      <c r="E222" s="15">
        <v>11</v>
      </c>
      <c r="F222" s="15" t="s">
        <v>802</v>
      </c>
      <c r="G222" s="29">
        <v>60000000</v>
      </c>
      <c r="H222" s="15" t="s">
        <v>1291</v>
      </c>
      <c r="I222" s="15" t="s">
        <v>1292</v>
      </c>
      <c r="J222" s="15" t="s">
        <v>1293</v>
      </c>
      <c r="K222" s="15"/>
      <c r="L222" s="30" t="s">
        <v>1294</v>
      </c>
      <c r="M222" s="31">
        <v>60000000</v>
      </c>
      <c r="N222" s="30" t="s">
        <v>803</v>
      </c>
      <c r="O222" s="30" t="str">
        <f>IF(LEN(IF(OR(NOT(ISNUMBER(B222)),LEN(B222)&lt;&gt;8),"UNSPSC vacío, en texto, con varios códigos o sin 8 dígitos; ","")&amp;IF(AND(ISNUMBER(B222),LEN(B222)=8),IF(MOD(B222,10000)=0,"UNSPSC a nivel de segmento o familia; ",""),"")&amp;IF(NOT(ISNUMBER(E222)),"Duración vacía o en texto; ","")&amp;IF(NOT(ISNUMBER(G222)),"Valor vacío o en texto; ","")&amp;IF(ISNUMBER(M222),IF(M222&lt;1000000,"Valor inferior a $1.000.000: verificar; ",""),"Valor no interpretable; ")&amp;IF(N222="[PENDIENTE DE VERIFICAR]","Modalidad no identificable; ","")&amp;IF(OR(ISERROR(SEARCH("@itc.edu.co",J222)),SUMPRODUCT(--ISNUMBER(SEARCH({"á","é","í","ó","ú","ñ"},J222)))&gt;0),"Correo vacío o no institucional válido; ","")&amp;IF(LEN(TRIM(D222))=0,"Sin objeto contractual; ","")&amp;IF(AND(ISNUMBER(M222),N222="Mínima cuantía"),IF(M222&gt;39850000,"Mínima cuantía con valor superior al tope citado en el instructivo 2026 ($39.850.000): verificar modalidad; ",""),"")&amp;IF(AND(ISNUMBER(M222),OR(ISNUMBER(SEARCH("prestación de servicios",D222)),ISNUMBER(SEARCH("prestar servicios",D222)),ISNUMBER(SEARCH("prestar los servicios",D222)))),IF(M222&gt;=500000000,"Prestación de servicios por $500 millones o más: posible error de digitación; ",""),""))=0,"Sin observaciones",IF(OR(NOT(ISNUMBER(B222)),LEN(B222)&lt;&gt;8),"UNSPSC vacío, en texto, con varios códigos o sin 8 dígitos; ","")&amp;IF(AND(ISNUMBER(B222),LEN(B222)=8),IF(MOD(B222,10000)=0,"UNSPSC a nivel de segmento o familia; ",""),"")&amp;IF(NOT(ISNUMBER(E222)),"Duración vacía o en texto; ","")&amp;IF(NOT(ISNUMBER(G222)),"Valor vacío o en texto; ","")&amp;IF(ISNUMBER(M222),IF(M222&lt;1000000,"Valor inferior a $1.000.000: verificar; ",""),"Valor no interpretable; ")&amp;IF(N222="[PENDIENTE DE VERIFICAR]","Modalidad no identificable; ","")&amp;IF(OR(ISERROR(SEARCH("@itc.edu.co",J222)),SUMPRODUCT(--ISNUMBER(SEARCH({"á","é","í","ó","ú","ñ"},J222)))&gt;0),"Correo vacío o no institucional válido; ","")&amp;IF(LEN(TRIM(D222))=0,"Sin objeto contractual; ","")&amp;IF(AND(ISNUMBER(M222),N222="Mínima cuantía"),IF(M222&gt;39850000,"Mínima cuantía con valor superior al tope citado en el instructivo 2026 ($39.850.000): verificar modalidad; ",""),"")&amp;IF(AND(ISNUMBER(M222),OR(ISNUMBER(SEARCH("prestación de servicios",D222)),ISNUMBER(SEARCH("prestar servicios",D222)),ISNUMBER(SEARCH("prestar los servicios",D222)))),IF(M222&gt;=500000000,"Prestación de servicios por $500 millones o más: posible error de digitación; ",""),""))</f>
        <v>Sin observaciones</v>
      </c>
    </row>
    <row r="223" spans="1:15" ht="57" x14ac:dyDescent="0.3">
      <c r="A223" s="15" t="s">
        <v>725</v>
      </c>
      <c r="B223" s="15">
        <v>93141701</v>
      </c>
      <c r="C223" s="15" t="s">
        <v>356</v>
      </c>
      <c r="D223" s="15" t="s">
        <v>1326</v>
      </c>
      <c r="E223" s="15">
        <v>11</v>
      </c>
      <c r="F223" s="15" t="s">
        <v>1202</v>
      </c>
      <c r="G223" s="29">
        <v>20000000</v>
      </c>
      <c r="H223" s="15" t="s">
        <v>1291</v>
      </c>
      <c r="I223" s="15" t="s">
        <v>1292</v>
      </c>
      <c r="J223" s="15" t="s">
        <v>1293</v>
      </c>
      <c r="K223" s="15"/>
      <c r="L223" s="30" t="s">
        <v>1294</v>
      </c>
      <c r="M223" s="31">
        <v>20000000</v>
      </c>
      <c r="N223" s="30" t="s">
        <v>792</v>
      </c>
      <c r="O223" s="30" t="str">
        <f>IF(LEN(IF(OR(NOT(ISNUMBER(B223)),LEN(B223)&lt;&gt;8),"UNSPSC vacío, en texto, con varios códigos o sin 8 dígitos; ","")&amp;IF(AND(ISNUMBER(B223),LEN(B223)=8),IF(MOD(B223,10000)=0,"UNSPSC a nivel de segmento o familia; ",""),"")&amp;IF(NOT(ISNUMBER(E223)),"Duración vacía o en texto; ","")&amp;IF(NOT(ISNUMBER(G223)),"Valor vacío o en texto; ","")&amp;IF(ISNUMBER(M223),IF(M223&lt;1000000,"Valor inferior a $1.000.000: verificar; ",""),"Valor no interpretable; ")&amp;IF(N223="[PENDIENTE DE VERIFICAR]","Modalidad no identificable; ","")&amp;IF(OR(ISERROR(SEARCH("@itc.edu.co",J223)),SUMPRODUCT(--ISNUMBER(SEARCH({"á","é","í","ó","ú","ñ"},J223)))&gt;0),"Correo vacío o no institucional válido; ","")&amp;IF(LEN(TRIM(D223))=0,"Sin objeto contractual; ","")&amp;IF(AND(ISNUMBER(M223),N223="Mínima cuantía"),IF(M223&gt;39850000,"Mínima cuantía con valor superior al tope citado en el instructivo 2026 ($39.850.000): verificar modalidad; ",""),"")&amp;IF(AND(ISNUMBER(M223),OR(ISNUMBER(SEARCH("prestación de servicios",D223)),ISNUMBER(SEARCH("prestar servicios",D223)),ISNUMBER(SEARCH("prestar los servicios",D223)))),IF(M223&gt;=500000000,"Prestación de servicios por $500 millones o más: posible error de digitación; ",""),""))=0,"Sin observaciones",IF(OR(NOT(ISNUMBER(B223)),LEN(B223)&lt;&gt;8),"UNSPSC vacío, en texto, con varios códigos o sin 8 dígitos; ","")&amp;IF(AND(ISNUMBER(B223),LEN(B223)=8),IF(MOD(B223,10000)=0,"UNSPSC a nivel de segmento o familia; ",""),"")&amp;IF(NOT(ISNUMBER(E223)),"Duración vacía o en texto; ","")&amp;IF(NOT(ISNUMBER(G223)),"Valor vacío o en texto; ","")&amp;IF(ISNUMBER(M223),IF(M223&lt;1000000,"Valor inferior a $1.000.000: verificar; ",""),"Valor no interpretable; ")&amp;IF(N223="[PENDIENTE DE VERIFICAR]","Modalidad no identificable; ","")&amp;IF(OR(ISERROR(SEARCH("@itc.edu.co",J223)),SUMPRODUCT(--ISNUMBER(SEARCH({"á","é","í","ó","ú","ñ"},J223)))&gt;0),"Correo vacío o no institucional válido; ","")&amp;IF(LEN(TRIM(D223))=0,"Sin objeto contractual; ","")&amp;IF(AND(ISNUMBER(M223),N223="Mínima cuantía"),IF(M223&gt;39850000,"Mínima cuantía con valor superior al tope citado en el instructivo 2026 ($39.850.000): verificar modalidad; ",""),"")&amp;IF(AND(ISNUMBER(M223),OR(ISNUMBER(SEARCH("prestación de servicios",D223)),ISNUMBER(SEARCH("prestar servicios",D223)),ISNUMBER(SEARCH("prestar los servicios",D223)))),IF(M223&gt;=500000000,"Prestación de servicios por $500 millones o más: posible error de digitación; ",""),""))</f>
        <v>Sin observaciones</v>
      </c>
    </row>
    <row r="224" spans="1:15" ht="22.8" x14ac:dyDescent="0.3">
      <c r="A224" s="15" t="s">
        <v>467</v>
      </c>
      <c r="B224" s="15">
        <v>85451200</v>
      </c>
      <c r="C224" s="15" t="s">
        <v>392</v>
      </c>
      <c r="D224" s="15" t="s">
        <v>466</v>
      </c>
      <c r="E224" s="15"/>
      <c r="F224" s="15" t="s">
        <v>1327</v>
      </c>
      <c r="G224" s="29" t="s">
        <v>1328</v>
      </c>
      <c r="H224" s="15" t="s">
        <v>1329</v>
      </c>
      <c r="I224" s="15"/>
      <c r="J224" s="15" t="s">
        <v>1330</v>
      </c>
      <c r="K224" s="15"/>
      <c r="L224" s="30" t="s">
        <v>1331</v>
      </c>
      <c r="M224" s="31">
        <v>45000000</v>
      </c>
      <c r="N224" s="30" t="s">
        <v>803</v>
      </c>
      <c r="O224" s="30" t="str">
        <f>IF(LEN(IF(OR(NOT(ISNUMBER(B224)),LEN(B224)&lt;&gt;8),"UNSPSC vacío, en texto, con varios códigos o sin 8 dígitos; ","")&amp;IF(AND(ISNUMBER(B224),LEN(B224)=8),IF(MOD(B224,10000)=0,"UNSPSC a nivel de segmento o familia; ",""),"")&amp;IF(NOT(ISNUMBER(E224)),"Duración vacía o en texto; ","")&amp;IF(NOT(ISNUMBER(G224)),"Valor vacío o en texto; ","")&amp;IF(ISNUMBER(M224),IF(M224&lt;1000000,"Valor inferior a $1.000.000: verificar; ",""),"Valor no interpretable; ")&amp;IF(N224="[PENDIENTE DE VERIFICAR]","Modalidad no identificable; ","")&amp;IF(OR(ISERROR(SEARCH("@itc.edu.co",J224)),SUMPRODUCT(--ISNUMBER(SEARCH({"á","é","í","ó","ú","ñ"},J224)))&gt;0),"Correo vacío o no institucional válido; ","")&amp;IF(LEN(TRIM(D224))=0,"Sin objeto contractual; ","")&amp;IF(AND(ISNUMBER(M224),N224="Mínima cuantía"),IF(M224&gt;39850000,"Mínima cuantía con valor superior al tope citado en el instructivo 2026 ($39.850.000): verificar modalidad; ",""),"")&amp;IF(AND(ISNUMBER(M224),OR(ISNUMBER(SEARCH("prestación de servicios",D224)),ISNUMBER(SEARCH("prestar servicios",D224)),ISNUMBER(SEARCH("prestar los servicios",D224)))),IF(M224&gt;=500000000,"Prestación de servicios por $500 millones o más: posible error de digitación; ",""),""))=0,"Sin observaciones",IF(OR(NOT(ISNUMBER(B224)),LEN(B224)&lt;&gt;8),"UNSPSC vacío, en texto, con varios códigos o sin 8 dígitos; ","")&amp;IF(AND(ISNUMBER(B224),LEN(B224)=8),IF(MOD(B224,10000)=0,"UNSPSC a nivel de segmento o familia; ",""),"")&amp;IF(NOT(ISNUMBER(E224)),"Duración vacía o en texto; ","")&amp;IF(NOT(ISNUMBER(G224)),"Valor vacío o en texto; ","")&amp;IF(ISNUMBER(M224),IF(M224&lt;1000000,"Valor inferior a $1.000.000: verificar; ",""),"Valor no interpretable; ")&amp;IF(N224="[PENDIENTE DE VERIFICAR]","Modalidad no identificable; ","")&amp;IF(OR(ISERROR(SEARCH("@itc.edu.co",J224)),SUMPRODUCT(--ISNUMBER(SEARCH({"á","é","í","ó","ú","ñ"},J224)))&gt;0),"Correo vacío o no institucional válido; ","")&amp;IF(LEN(TRIM(D224))=0,"Sin objeto contractual; ","")&amp;IF(AND(ISNUMBER(M224),N224="Mínima cuantía"),IF(M224&gt;39850000,"Mínima cuantía con valor superior al tope citado en el instructivo 2026 ($39.850.000): verificar modalidad; ",""),"")&amp;IF(AND(ISNUMBER(M224),OR(ISNUMBER(SEARCH("prestación de servicios",D224)),ISNUMBER(SEARCH("prestar servicios",D224)),ISNUMBER(SEARCH("prestar los servicios",D224)))),IF(M224&gt;=500000000,"Prestación de servicios por $500 millones o más: posible error de digitación; ",""),""))</f>
        <v xml:space="preserve">Duración vacía o en texto; Valor vacío o en texto; </v>
      </c>
    </row>
    <row r="225" spans="1:15" ht="34.200000000000003" x14ac:dyDescent="0.3">
      <c r="A225" s="15" t="s">
        <v>578</v>
      </c>
      <c r="B225" s="15" t="s">
        <v>1332</v>
      </c>
      <c r="C225" s="15" t="s">
        <v>392</v>
      </c>
      <c r="D225" s="15" t="s">
        <v>1333</v>
      </c>
      <c r="E225" s="15"/>
      <c r="F225" s="15" t="s">
        <v>1334</v>
      </c>
      <c r="G225" s="29" t="s">
        <v>1173</v>
      </c>
      <c r="H225" s="15" t="s">
        <v>1329</v>
      </c>
      <c r="I225" s="15"/>
      <c r="J225" s="15" t="s">
        <v>1330</v>
      </c>
      <c r="K225" s="15"/>
      <c r="L225" s="30" t="s">
        <v>1331</v>
      </c>
      <c r="M225" s="31">
        <v>100000000</v>
      </c>
      <c r="N225" s="30" t="s">
        <v>800</v>
      </c>
      <c r="O225" s="30" t="str">
        <f>IF(LEN(IF(OR(NOT(ISNUMBER(B225)),LEN(B225)&lt;&gt;8),"UNSPSC vacío, en texto, con varios códigos o sin 8 dígitos; ","")&amp;IF(AND(ISNUMBER(B225),LEN(B225)=8),IF(MOD(B225,10000)=0,"UNSPSC a nivel de segmento o familia; ",""),"")&amp;IF(NOT(ISNUMBER(E225)),"Duración vacía o en texto; ","")&amp;IF(NOT(ISNUMBER(G225)),"Valor vacío o en texto; ","")&amp;IF(ISNUMBER(M225),IF(M225&lt;1000000,"Valor inferior a $1.000.000: verificar; ",""),"Valor no interpretable; ")&amp;IF(N225="[PENDIENTE DE VERIFICAR]","Modalidad no identificable; ","")&amp;IF(OR(ISERROR(SEARCH("@itc.edu.co",J225)),SUMPRODUCT(--ISNUMBER(SEARCH({"á","é","í","ó","ú","ñ"},J225)))&gt;0),"Correo vacío o no institucional válido; ","")&amp;IF(LEN(TRIM(D225))=0,"Sin objeto contractual; ","")&amp;IF(AND(ISNUMBER(M225),N225="Mínima cuantía"),IF(M225&gt;39850000,"Mínima cuantía con valor superior al tope citado en el instructivo 2026 ($39.850.000): verificar modalidad; ",""),"")&amp;IF(AND(ISNUMBER(M225),OR(ISNUMBER(SEARCH("prestación de servicios",D225)),ISNUMBER(SEARCH("prestar servicios",D225)),ISNUMBER(SEARCH("prestar los servicios",D225)))),IF(M225&gt;=500000000,"Prestación de servicios por $500 millones o más: posible error de digitación; ",""),""))=0,"Sin observaciones",IF(OR(NOT(ISNUMBER(B225)),LEN(B225)&lt;&gt;8),"UNSPSC vacío, en texto, con varios códigos o sin 8 dígitos; ","")&amp;IF(AND(ISNUMBER(B225),LEN(B225)=8),IF(MOD(B225,10000)=0,"UNSPSC a nivel de segmento o familia; ",""),"")&amp;IF(NOT(ISNUMBER(E225)),"Duración vacía o en texto; ","")&amp;IF(NOT(ISNUMBER(G225)),"Valor vacío o en texto; ","")&amp;IF(ISNUMBER(M225),IF(M225&lt;1000000,"Valor inferior a $1.000.000: verificar; ",""),"Valor no interpretable; ")&amp;IF(N225="[PENDIENTE DE VERIFICAR]","Modalidad no identificable; ","")&amp;IF(OR(ISERROR(SEARCH("@itc.edu.co",J225)),SUMPRODUCT(--ISNUMBER(SEARCH({"á","é","í","ó","ú","ñ"},J225)))&gt;0),"Correo vacío o no institucional válido; ","")&amp;IF(LEN(TRIM(D225))=0,"Sin objeto contractual; ","")&amp;IF(AND(ISNUMBER(M225),N225="Mínima cuantía"),IF(M225&gt;39850000,"Mínima cuantía con valor superior al tope citado en el instructivo 2026 ($39.850.000): verificar modalidad; ",""),"")&amp;IF(AND(ISNUMBER(M225),OR(ISNUMBER(SEARCH("prestación de servicios",D225)),ISNUMBER(SEARCH("prestar servicios",D225)),ISNUMBER(SEARCH("prestar los servicios",D225)))),IF(M225&gt;=500000000,"Prestación de servicios por $500 millones o más: posible error de digitación; ",""),""))</f>
        <v xml:space="preserve">UNSPSC vacío, en texto, con varios códigos o sin 8 dígitos; Duración vacía o en texto; Valor vacío o en texto; </v>
      </c>
    </row>
    <row r="226" spans="1:15" ht="34.200000000000003" x14ac:dyDescent="0.3">
      <c r="A226" s="15" t="s">
        <v>614</v>
      </c>
      <c r="B226" s="15" t="s">
        <v>1335</v>
      </c>
      <c r="C226" s="15" t="s">
        <v>392</v>
      </c>
      <c r="D226" s="15" t="s">
        <v>613</v>
      </c>
      <c r="E226" s="15"/>
      <c r="F226" s="15" t="s">
        <v>1202</v>
      </c>
      <c r="G226" s="29" t="s">
        <v>1180</v>
      </c>
      <c r="H226" s="15" t="s">
        <v>1329</v>
      </c>
      <c r="I226" s="15"/>
      <c r="J226" s="15" t="s">
        <v>1330</v>
      </c>
      <c r="K226" s="15"/>
      <c r="L226" s="30" t="s">
        <v>1331</v>
      </c>
      <c r="M226" s="31">
        <v>20000000</v>
      </c>
      <c r="N226" s="30" t="s">
        <v>792</v>
      </c>
      <c r="O226" s="30" t="str">
        <f>IF(LEN(IF(OR(NOT(ISNUMBER(B226)),LEN(B226)&lt;&gt;8),"UNSPSC vacío, en texto, con varios códigos o sin 8 dígitos; ","")&amp;IF(AND(ISNUMBER(B226),LEN(B226)=8),IF(MOD(B226,10000)=0,"UNSPSC a nivel de segmento o familia; ",""),"")&amp;IF(NOT(ISNUMBER(E226)),"Duración vacía o en texto; ","")&amp;IF(NOT(ISNUMBER(G226)),"Valor vacío o en texto; ","")&amp;IF(ISNUMBER(M226),IF(M226&lt;1000000,"Valor inferior a $1.000.000: verificar; ",""),"Valor no interpretable; ")&amp;IF(N226="[PENDIENTE DE VERIFICAR]","Modalidad no identificable; ","")&amp;IF(OR(ISERROR(SEARCH("@itc.edu.co",J226)),SUMPRODUCT(--ISNUMBER(SEARCH({"á","é","í","ó","ú","ñ"},J226)))&gt;0),"Correo vacío o no institucional válido; ","")&amp;IF(LEN(TRIM(D226))=0,"Sin objeto contractual; ","")&amp;IF(AND(ISNUMBER(M226),N226="Mínima cuantía"),IF(M226&gt;39850000,"Mínima cuantía con valor superior al tope citado en el instructivo 2026 ($39.850.000): verificar modalidad; ",""),"")&amp;IF(AND(ISNUMBER(M226),OR(ISNUMBER(SEARCH("prestación de servicios",D226)),ISNUMBER(SEARCH("prestar servicios",D226)),ISNUMBER(SEARCH("prestar los servicios",D226)))),IF(M226&gt;=500000000,"Prestación de servicios por $500 millones o más: posible error de digitación; ",""),""))=0,"Sin observaciones",IF(OR(NOT(ISNUMBER(B226)),LEN(B226)&lt;&gt;8),"UNSPSC vacío, en texto, con varios códigos o sin 8 dígitos; ","")&amp;IF(AND(ISNUMBER(B226),LEN(B226)=8),IF(MOD(B226,10000)=0,"UNSPSC a nivel de segmento o familia; ",""),"")&amp;IF(NOT(ISNUMBER(E226)),"Duración vacía o en texto; ","")&amp;IF(NOT(ISNUMBER(G226)),"Valor vacío o en texto; ","")&amp;IF(ISNUMBER(M226),IF(M226&lt;1000000,"Valor inferior a $1.000.000: verificar; ",""),"Valor no interpretable; ")&amp;IF(N226="[PENDIENTE DE VERIFICAR]","Modalidad no identificable; ","")&amp;IF(OR(ISERROR(SEARCH("@itc.edu.co",J226)),SUMPRODUCT(--ISNUMBER(SEARCH({"á","é","í","ó","ú","ñ"},J226)))&gt;0),"Correo vacío o no institucional válido; ","")&amp;IF(LEN(TRIM(D226))=0,"Sin objeto contractual; ","")&amp;IF(AND(ISNUMBER(M226),N226="Mínima cuantía"),IF(M226&gt;39850000,"Mínima cuantía con valor superior al tope citado en el instructivo 2026 ($39.850.000): verificar modalidad; ",""),"")&amp;IF(AND(ISNUMBER(M226),OR(ISNUMBER(SEARCH("prestación de servicios",D226)),ISNUMBER(SEARCH("prestar servicios",D226)),ISNUMBER(SEARCH("prestar los servicios",D226)))),IF(M226&gt;=500000000,"Prestación de servicios por $500 millones o más: posible error de digitación; ",""),""))</f>
        <v xml:space="preserve">UNSPSC vacío, en texto, con varios códigos o sin 8 dígitos; Duración vacía o en texto; Valor vacío o en texto; </v>
      </c>
    </row>
    <row r="227" spans="1:15" ht="22.8" x14ac:dyDescent="0.3">
      <c r="A227" s="15" t="s">
        <v>718</v>
      </c>
      <c r="B227" s="15">
        <v>86141701</v>
      </c>
      <c r="C227" s="15" t="s">
        <v>392</v>
      </c>
      <c r="D227" s="15" t="s">
        <v>1336</v>
      </c>
      <c r="E227" s="15"/>
      <c r="F227" s="15" t="s">
        <v>1334</v>
      </c>
      <c r="G227" s="29" t="s">
        <v>1337</v>
      </c>
      <c r="H227" s="15" t="s">
        <v>1329</v>
      </c>
      <c r="I227" s="15"/>
      <c r="J227" s="15" t="s">
        <v>1330</v>
      </c>
      <c r="K227" s="15"/>
      <c r="L227" s="30" t="s">
        <v>1331</v>
      </c>
      <c r="M227" s="31">
        <v>35000000</v>
      </c>
      <c r="N227" s="30" t="s">
        <v>800</v>
      </c>
      <c r="O227" s="30" t="str">
        <f>IF(LEN(IF(OR(NOT(ISNUMBER(B227)),LEN(B227)&lt;&gt;8),"UNSPSC vacío, en texto, con varios códigos o sin 8 dígitos; ","")&amp;IF(AND(ISNUMBER(B227),LEN(B227)=8),IF(MOD(B227,10000)=0,"UNSPSC a nivel de segmento o familia; ",""),"")&amp;IF(NOT(ISNUMBER(E227)),"Duración vacía o en texto; ","")&amp;IF(NOT(ISNUMBER(G227)),"Valor vacío o en texto; ","")&amp;IF(ISNUMBER(M227),IF(M227&lt;1000000,"Valor inferior a $1.000.000: verificar; ",""),"Valor no interpretable; ")&amp;IF(N227="[PENDIENTE DE VERIFICAR]","Modalidad no identificable; ","")&amp;IF(OR(ISERROR(SEARCH("@itc.edu.co",J227)),SUMPRODUCT(--ISNUMBER(SEARCH({"á","é","í","ó","ú","ñ"},J227)))&gt;0),"Correo vacío o no institucional válido; ","")&amp;IF(LEN(TRIM(D227))=0,"Sin objeto contractual; ","")&amp;IF(AND(ISNUMBER(M227),N227="Mínima cuantía"),IF(M227&gt;39850000,"Mínima cuantía con valor superior al tope citado en el instructivo 2026 ($39.850.000): verificar modalidad; ",""),"")&amp;IF(AND(ISNUMBER(M227),OR(ISNUMBER(SEARCH("prestación de servicios",D227)),ISNUMBER(SEARCH("prestar servicios",D227)),ISNUMBER(SEARCH("prestar los servicios",D227)))),IF(M227&gt;=500000000,"Prestación de servicios por $500 millones o más: posible error de digitación; ",""),""))=0,"Sin observaciones",IF(OR(NOT(ISNUMBER(B227)),LEN(B227)&lt;&gt;8),"UNSPSC vacío, en texto, con varios códigos o sin 8 dígitos; ","")&amp;IF(AND(ISNUMBER(B227),LEN(B227)=8),IF(MOD(B227,10000)=0,"UNSPSC a nivel de segmento o familia; ",""),"")&amp;IF(NOT(ISNUMBER(E227)),"Duración vacía o en texto; ","")&amp;IF(NOT(ISNUMBER(G227)),"Valor vacío o en texto; ","")&amp;IF(ISNUMBER(M227),IF(M227&lt;1000000,"Valor inferior a $1.000.000: verificar; ",""),"Valor no interpretable; ")&amp;IF(N227="[PENDIENTE DE VERIFICAR]","Modalidad no identificable; ","")&amp;IF(OR(ISERROR(SEARCH("@itc.edu.co",J227)),SUMPRODUCT(--ISNUMBER(SEARCH({"á","é","í","ó","ú","ñ"},J227)))&gt;0),"Correo vacío o no institucional válido; ","")&amp;IF(LEN(TRIM(D227))=0,"Sin objeto contractual; ","")&amp;IF(AND(ISNUMBER(M227),N227="Mínima cuantía"),IF(M227&gt;39850000,"Mínima cuantía con valor superior al tope citado en el instructivo 2026 ($39.850.000): verificar modalidad; ",""),"")&amp;IF(AND(ISNUMBER(M227),OR(ISNUMBER(SEARCH("prestación de servicios",D227)),ISNUMBER(SEARCH("prestar servicios",D227)),ISNUMBER(SEARCH("prestar los servicios",D227)))),IF(M227&gt;=500000000,"Prestación de servicios por $500 millones o más: posible error de digitación; ",""),""))</f>
        <v xml:space="preserve">Duración vacía o en texto; Valor vacío o en texto; </v>
      </c>
    </row>
    <row r="228" spans="1:15" ht="22.8" x14ac:dyDescent="0.3">
      <c r="A228" s="15" t="s">
        <v>573</v>
      </c>
      <c r="B228" s="15">
        <v>43211500</v>
      </c>
      <c r="C228" s="15" t="s">
        <v>392</v>
      </c>
      <c r="D228" s="15" t="s">
        <v>572</v>
      </c>
      <c r="E228" s="15"/>
      <c r="F228" s="15" t="s">
        <v>1202</v>
      </c>
      <c r="G228" s="29" t="s">
        <v>1143</v>
      </c>
      <c r="H228" s="15" t="s">
        <v>1329</v>
      </c>
      <c r="I228" s="15"/>
      <c r="J228" s="15" t="s">
        <v>1330</v>
      </c>
      <c r="K228" s="15"/>
      <c r="L228" s="30" t="s">
        <v>1331</v>
      </c>
      <c r="M228" s="31">
        <v>15000000</v>
      </c>
      <c r="N228" s="30" t="s">
        <v>792</v>
      </c>
      <c r="O228" s="30" t="str">
        <f>IF(LEN(IF(OR(NOT(ISNUMBER(B228)),LEN(B228)&lt;&gt;8),"UNSPSC vacío, en texto, con varios códigos o sin 8 dígitos; ","")&amp;IF(AND(ISNUMBER(B228),LEN(B228)=8),IF(MOD(B228,10000)=0,"UNSPSC a nivel de segmento o familia; ",""),"")&amp;IF(NOT(ISNUMBER(E228)),"Duración vacía o en texto; ","")&amp;IF(NOT(ISNUMBER(G228)),"Valor vacío o en texto; ","")&amp;IF(ISNUMBER(M228),IF(M228&lt;1000000,"Valor inferior a $1.000.000: verificar; ",""),"Valor no interpretable; ")&amp;IF(N228="[PENDIENTE DE VERIFICAR]","Modalidad no identificable; ","")&amp;IF(OR(ISERROR(SEARCH("@itc.edu.co",J228)),SUMPRODUCT(--ISNUMBER(SEARCH({"á","é","í","ó","ú","ñ"},J228)))&gt;0),"Correo vacío o no institucional válido; ","")&amp;IF(LEN(TRIM(D228))=0,"Sin objeto contractual; ","")&amp;IF(AND(ISNUMBER(M228),N228="Mínima cuantía"),IF(M228&gt;39850000,"Mínima cuantía con valor superior al tope citado en el instructivo 2026 ($39.850.000): verificar modalidad; ",""),"")&amp;IF(AND(ISNUMBER(M228),OR(ISNUMBER(SEARCH("prestación de servicios",D228)),ISNUMBER(SEARCH("prestar servicios",D228)),ISNUMBER(SEARCH("prestar los servicios",D228)))),IF(M228&gt;=500000000,"Prestación de servicios por $500 millones o más: posible error de digitación; ",""),""))=0,"Sin observaciones",IF(OR(NOT(ISNUMBER(B228)),LEN(B228)&lt;&gt;8),"UNSPSC vacío, en texto, con varios códigos o sin 8 dígitos; ","")&amp;IF(AND(ISNUMBER(B228),LEN(B228)=8),IF(MOD(B228,10000)=0,"UNSPSC a nivel de segmento o familia; ",""),"")&amp;IF(NOT(ISNUMBER(E228)),"Duración vacía o en texto; ","")&amp;IF(NOT(ISNUMBER(G228)),"Valor vacío o en texto; ","")&amp;IF(ISNUMBER(M228),IF(M228&lt;1000000,"Valor inferior a $1.000.000: verificar; ",""),"Valor no interpretable; ")&amp;IF(N228="[PENDIENTE DE VERIFICAR]","Modalidad no identificable; ","")&amp;IF(OR(ISERROR(SEARCH("@itc.edu.co",J228)),SUMPRODUCT(--ISNUMBER(SEARCH({"á","é","í","ó","ú","ñ"},J228)))&gt;0),"Correo vacío o no institucional válido; ","")&amp;IF(LEN(TRIM(D228))=0,"Sin objeto contractual; ","")&amp;IF(AND(ISNUMBER(M228),N228="Mínima cuantía"),IF(M228&gt;39850000,"Mínima cuantía con valor superior al tope citado en el instructivo 2026 ($39.850.000): verificar modalidad; ",""),"")&amp;IF(AND(ISNUMBER(M228),OR(ISNUMBER(SEARCH("prestación de servicios",D228)),ISNUMBER(SEARCH("prestar servicios",D228)),ISNUMBER(SEARCH("prestar los servicios",D228)))),IF(M228&gt;=500000000,"Prestación de servicios por $500 millones o más: posible error de digitación; ",""),""))</f>
        <v xml:space="preserve">Duración vacía o en texto; Valor vacío o en texto; </v>
      </c>
    </row>
    <row r="229" spans="1:15" ht="45.6" x14ac:dyDescent="0.3">
      <c r="A229" s="15" t="s">
        <v>446</v>
      </c>
      <c r="B229" s="15" t="s">
        <v>1338</v>
      </c>
      <c r="C229" s="15" t="s">
        <v>392</v>
      </c>
      <c r="D229" s="15" t="s">
        <v>445</v>
      </c>
      <c r="E229" s="15"/>
      <c r="F229" s="15" t="s">
        <v>1339</v>
      </c>
      <c r="G229" s="29" t="s">
        <v>1149</v>
      </c>
      <c r="H229" s="15" t="s">
        <v>1329</v>
      </c>
      <c r="I229" s="15"/>
      <c r="J229" s="15"/>
      <c r="K229" s="15"/>
      <c r="L229" s="30" t="s">
        <v>1331</v>
      </c>
      <c r="M229" s="31">
        <v>30000000</v>
      </c>
      <c r="N229" s="30" t="s">
        <v>1157</v>
      </c>
      <c r="O229" s="30" t="str">
        <f>IF(LEN(IF(OR(NOT(ISNUMBER(B229)),LEN(B229)&lt;&gt;8),"UNSPSC vacío, en texto, con varios códigos o sin 8 dígitos; ","")&amp;IF(AND(ISNUMBER(B229),LEN(B229)=8),IF(MOD(B229,10000)=0,"UNSPSC a nivel de segmento o familia; ",""),"")&amp;IF(NOT(ISNUMBER(E229)),"Duración vacía o en texto; ","")&amp;IF(NOT(ISNUMBER(G229)),"Valor vacío o en texto; ","")&amp;IF(ISNUMBER(M229),IF(M229&lt;1000000,"Valor inferior a $1.000.000: verificar; ",""),"Valor no interpretable; ")&amp;IF(N229="[PENDIENTE DE VERIFICAR]","Modalidad no identificable; ","")&amp;IF(OR(ISERROR(SEARCH("@itc.edu.co",J229)),SUMPRODUCT(--ISNUMBER(SEARCH({"á","é","í","ó","ú","ñ"},J229)))&gt;0),"Correo vacío o no institucional válido; ","")&amp;IF(LEN(TRIM(D229))=0,"Sin objeto contractual; ","")&amp;IF(AND(ISNUMBER(M229),N229="Mínima cuantía"),IF(M229&gt;39850000,"Mínima cuantía con valor superior al tope citado en el instructivo 2026 ($39.850.000): verificar modalidad; ",""),"")&amp;IF(AND(ISNUMBER(M229),OR(ISNUMBER(SEARCH("prestación de servicios",D229)),ISNUMBER(SEARCH("prestar servicios",D229)),ISNUMBER(SEARCH("prestar los servicios",D229)))),IF(M229&gt;=500000000,"Prestación de servicios por $500 millones o más: posible error de digitación; ",""),""))=0,"Sin observaciones",IF(OR(NOT(ISNUMBER(B229)),LEN(B229)&lt;&gt;8),"UNSPSC vacío, en texto, con varios códigos o sin 8 dígitos; ","")&amp;IF(AND(ISNUMBER(B229),LEN(B229)=8),IF(MOD(B229,10000)=0,"UNSPSC a nivel de segmento o familia; ",""),"")&amp;IF(NOT(ISNUMBER(E229)),"Duración vacía o en texto; ","")&amp;IF(NOT(ISNUMBER(G229)),"Valor vacío o en texto; ","")&amp;IF(ISNUMBER(M229),IF(M229&lt;1000000,"Valor inferior a $1.000.000: verificar; ",""),"Valor no interpretable; ")&amp;IF(N229="[PENDIENTE DE VERIFICAR]","Modalidad no identificable; ","")&amp;IF(OR(ISERROR(SEARCH("@itc.edu.co",J229)),SUMPRODUCT(--ISNUMBER(SEARCH({"á","é","í","ó","ú","ñ"},J229)))&gt;0),"Correo vacío o no institucional válido; ","")&amp;IF(LEN(TRIM(D229))=0,"Sin objeto contractual; ","")&amp;IF(AND(ISNUMBER(M229),N229="Mínima cuantía"),IF(M229&gt;39850000,"Mínima cuantía con valor superior al tope citado en el instructivo 2026 ($39.850.000): verificar modalidad; ",""),"")&amp;IF(AND(ISNUMBER(M229),OR(ISNUMBER(SEARCH("prestación de servicios",D229)),ISNUMBER(SEARCH("prestar servicios",D229)),ISNUMBER(SEARCH("prestar los servicios",D229)))),IF(M229&gt;=500000000,"Prestación de servicios por $500 millones o más: posible error de digitación; ",""),""))</f>
        <v xml:space="preserve">UNSPSC vacío, en texto, con varios códigos o sin 8 dígitos; Duración vacía o en texto; Valor vacío o en texto; Modalidad no identificable; Correo vacío o no institucional válido; </v>
      </c>
    </row>
    <row r="230" spans="1:15" ht="34.200000000000003" x14ac:dyDescent="0.3">
      <c r="A230" s="15" t="s">
        <v>394</v>
      </c>
      <c r="B230" s="15" t="s">
        <v>1340</v>
      </c>
      <c r="C230" s="15" t="s">
        <v>392</v>
      </c>
      <c r="D230" s="15" t="s">
        <v>393</v>
      </c>
      <c r="E230" s="15"/>
      <c r="F230" s="15" t="s">
        <v>1202</v>
      </c>
      <c r="G230" s="29" t="s">
        <v>1341</v>
      </c>
      <c r="H230" s="15" t="s">
        <v>1329</v>
      </c>
      <c r="I230" s="15"/>
      <c r="J230" s="15" t="s">
        <v>1330</v>
      </c>
      <c r="K230" s="15"/>
      <c r="L230" s="30" t="s">
        <v>1331</v>
      </c>
      <c r="M230" s="31">
        <v>3000000</v>
      </c>
      <c r="N230" s="30" t="s">
        <v>792</v>
      </c>
      <c r="O230" s="30" t="str">
        <f>IF(LEN(IF(OR(NOT(ISNUMBER(B230)),LEN(B230)&lt;&gt;8),"UNSPSC vacío, en texto, con varios códigos o sin 8 dígitos; ","")&amp;IF(AND(ISNUMBER(B230),LEN(B230)=8),IF(MOD(B230,10000)=0,"UNSPSC a nivel de segmento o familia; ",""),"")&amp;IF(NOT(ISNUMBER(E230)),"Duración vacía o en texto; ","")&amp;IF(NOT(ISNUMBER(G230)),"Valor vacío o en texto; ","")&amp;IF(ISNUMBER(M230),IF(M230&lt;1000000,"Valor inferior a $1.000.000: verificar; ",""),"Valor no interpretable; ")&amp;IF(N230="[PENDIENTE DE VERIFICAR]","Modalidad no identificable; ","")&amp;IF(OR(ISERROR(SEARCH("@itc.edu.co",J230)),SUMPRODUCT(--ISNUMBER(SEARCH({"á","é","í","ó","ú","ñ"},J230)))&gt;0),"Correo vacío o no institucional válido; ","")&amp;IF(LEN(TRIM(D230))=0,"Sin objeto contractual; ","")&amp;IF(AND(ISNUMBER(M230),N230="Mínima cuantía"),IF(M230&gt;39850000,"Mínima cuantía con valor superior al tope citado en el instructivo 2026 ($39.850.000): verificar modalidad; ",""),"")&amp;IF(AND(ISNUMBER(M230),OR(ISNUMBER(SEARCH("prestación de servicios",D230)),ISNUMBER(SEARCH("prestar servicios",D230)),ISNUMBER(SEARCH("prestar los servicios",D230)))),IF(M230&gt;=500000000,"Prestación de servicios por $500 millones o más: posible error de digitación; ",""),""))=0,"Sin observaciones",IF(OR(NOT(ISNUMBER(B230)),LEN(B230)&lt;&gt;8),"UNSPSC vacío, en texto, con varios códigos o sin 8 dígitos; ","")&amp;IF(AND(ISNUMBER(B230),LEN(B230)=8),IF(MOD(B230,10000)=0,"UNSPSC a nivel de segmento o familia; ",""),"")&amp;IF(NOT(ISNUMBER(E230)),"Duración vacía o en texto; ","")&amp;IF(NOT(ISNUMBER(G230)),"Valor vacío o en texto; ","")&amp;IF(ISNUMBER(M230),IF(M230&lt;1000000,"Valor inferior a $1.000.000: verificar; ",""),"Valor no interpretable; ")&amp;IF(N230="[PENDIENTE DE VERIFICAR]","Modalidad no identificable; ","")&amp;IF(OR(ISERROR(SEARCH("@itc.edu.co",J230)),SUMPRODUCT(--ISNUMBER(SEARCH({"á","é","í","ó","ú","ñ"},J230)))&gt;0),"Correo vacío o no institucional válido; ","")&amp;IF(LEN(TRIM(D230))=0,"Sin objeto contractual; ","")&amp;IF(AND(ISNUMBER(M230),N230="Mínima cuantía"),IF(M230&gt;39850000,"Mínima cuantía con valor superior al tope citado en el instructivo 2026 ($39.850.000): verificar modalidad; ",""),"")&amp;IF(AND(ISNUMBER(M230),OR(ISNUMBER(SEARCH("prestación de servicios",D230)),ISNUMBER(SEARCH("prestar servicios",D230)),ISNUMBER(SEARCH("prestar los servicios",D230)))),IF(M230&gt;=500000000,"Prestación de servicios por $500 millones o más: posible error de digitación; ",""),""))</f>
        <v xml:space="preserve">UNSPSC vacío, en texto, con varios códigos o sin 8 dígitos; Duración vacía o en texto; Valor vacío o en texto; </v>
      </c>
    </row>
    <row r="231" spans="1:15" ht="57" x14ac:dyDescent="0.3">
      <c r="A231" s="15" t="s">
        <v>414</v>
      </c>
      <c r="B231" s="15">
        <v>32000000</v>
      </c>
      <c r="C231" s="15" t="s">
        <v>392</v>
      </c>
      <c r="D231" s="15" t="s">
        <v>1342</v>
      </c>
      <c r="E231" s="15"/>
      <c r="F231" s="15" t="s">
        <v>1202</v>
      </c>
      <c r="G231" s="29" t="s">
        <v>1343</v>
      </c>
      <c r="H231" s="15" t="s">
        <v>1329</v>
      </c>
      <c r="I231" s="15"/>
      <c r="J231" s="15" t="s">
        <v>1330</v>
      </c>
      <c r="K231" s="15"/>
      <c r="L231" s="30" t="s">
        <v>1331</v>
      </c>
      <c r="M231" s="31">
        <v>10000000</v>
      </c>
      <c r="N231" s="30" t="s">
        <v>792</v>
      </c>
      <c r="O231" s="30" t="str">
        <f>IF(LEN(IF(OR(NOT(ISNUMBER(B231)),LEN(B231)&lt;&gt;8),"UNSPSC vacío, en texto, con varios códigos o sin 8 dígitos; ","")&amp;IF(AND(ISNUMBER(B231),LEN(B231)=8),IF(MOD(B231,10000)=0,"UNSPSC a nivel de segmento o familia; ",""),"")&amp;IF(NOT(ISNUMBER(E231)),"Duración vacía o en texto; ","")&amp;IF(NOT(ISNUMBER(G231)),"Valor vacío o en texto; ","")&amp;IF(ISNUMBER(M231),IF(M231&lt;1000000,"Valor inferior a $1.000.000: verificar; ",""),"Valor no interpretable; ")&amp;IF(N231="[PENDIENTE DE VERIFICAR]","Modalidad no identificable; ","")&amp;IF(OR(ISERROR(SEARCH("@itc.edu.co",J231)),SUMPRODUCT(--ISNUMBER(SEARCH({"á","é","í","ó","ú","ñ"},J231)))&gt;0),"Correo vacío o no institucional válido; ","")&amp;IF(LEN(TRIM(D231))=0,"Sin objeto contractual; ","")&amp;IF(AND(ISNUMBER(M231),N231="Mínima cuantía"),IF(M231&gt;39850000,"Mínima cuantía con valor superior al tope citado en el instructivo 2026 ($39.850.000): verificar modalidad; ",""),"")&amp;IF(AND(ISNUMBER(M231),OR(ISNUMBER(SEARCH("prestación de servicios",D231)),ISNUMBER(SEARCH("prestar servicios",D231)),ISNUMBER(SEARCH("prestar los servicios",D231)))),IF(M231&gt;=500000000,"Prestación de servicios por $500 millones o más: posible error de digitación; ",""),""))=0,"Sin observaciones",IF(OR(NOT(ISNUMBER(B231)),LEN(B231)&lt;&gt;8),"UNSPSC vacío, en texto, con varios códigos o sin 8 dígitos; ","")&amp;IF(AND(ISNUMBER(B231),LEN(B231)=8),IF(MOD(B231,10000)=0,"UNSPSC a nivel de segmento o familia; ",""),"")&amp;IF(NOT(ISNUMBER(E231)),"Duración vacía o en texto; ","")&amp;IF(NOT(ISNUMBER(G231)),"Valor vacío o en texto; ","")&amp;IF(ISNUMBER(M231),IF(M231&lt;1000000,"Valor inferior a $1.000.000: verificar; ",""),"Valor no interpretable; ")&amp;IF(N231="[PENDIENTE DE VERIFICAR]","Modalidad no identificable; ","")&amp;IF(OR(ISERROR(SEARCH("@itc.edu.co",J231)),SUMPRODUCT(--ISNUMBER(SEARCH({"á","é","í","ó","ú","ñ"},J231)))&gt;0),"Correo vacío o no institucional válido; ","")&amp;IF(LEN(TRIM(D231))=0,"Sin objeto contractual; ","")&amp;IF(AND(ISNUMBER(M231),N231="Mínima cuantía"),IF(M231&gt;39850000,"Mínima cuantía con valor superior al tope citado en el instructivo 2026 ($39.850.000): verificar modalidad; ",""),"")&amp;IF(AND(ISNUMBER(M231),OR(ISNUMBER(SEARCH("prestación de servicios",D231)),ISNUMBER(SEARCH("prestar servicios",D231)),ISNUMBER(SEARCH("prestar los servicios",D231)))),IF(M231&gt;=500000000,"Prestación de servicios por $500 millones o más: posible error de digitación; ",""),""))</f>
        <v xml:space="preserve">UNSPSC a nivel de segmento o familia; Duración vacía o en texto; Valor vacío o en texto; </v>
      </c>
    </row>
    <row r="232" spans="1:15" ht="22.8" x14ac:dyDescent="0.3">
      <c r="A232" s="15" t="s">
        <v>1344</v>
      </c>
      <c r="B232" s="15">
        <v>85451200</v>
      </c>
      <c r="C232" s="15" t="s">
        <v>392</v>
      </c>
      <c r="D232" s="15" t="s">
        <v>1345</v>
      </c>
      <c r="E232" s="15"/>
      <c r="F232" s="15" t="s">
        <v>802</v>
      </c>
      <c r="G232" s="29" t="s">
        <v>1341</v>
      </c>
      <c r="H232" s="15" t="s">
        <v>1329</v>
      </c>
      <c r="I232" s="15"/>
      <c r="J232" s="15" t="s">
        <v>1330</v>
      </c>
      <c r="K232" s="15"/>
      <c r="L232" s="30" t="s">
        <v>1331</v>
      </c>
      <c r="M232" s="31">
        <v>3000000</v>
      </c>
      <c r="N232" s="30" t="s">
        <v>803</v>
      </c>
      <c r="O232" s="30" t="str">
        <f>IF(LEN(IF(OR(NOT(ISNUMBER(B232)),LEN(B232)&lt;&gt;8),"UNSPSC vacío, en texto, con varios códigos o sin 8 dígitos; ","")&amp;IF(AND(ISNUMBER(B232),LEN(B232)=8),IF(MOD(B232,10000)=0,"UNSPSC a nivel de segmento o familia; ",""),"")&amp;IF(NOT(ISNUMBER(E232)),"Duración vacía o en texto; ","")&amp;IF(NOT(ISNUMBER(G232)),"Valor vacío o en texto; ","")&amp;IF(ISNUMBER(M232),IF(M232&lt;1000000,"Valor inferior a $1.000.000: verificar; ",""),"Valor no interpretable; ")&amp;IF(N232="[PENDIENTE DE VERIFICAR]","Modalidad no identificable; ","")&amp;IF(OR(ISERROR(SEARCH("@itc.edu.co",J232)),SUMPRODUCT(--ISNUMBER(SEARCH({"á","é","í","ó","ú","ñ"},J232)))&gt;0),"Correo vacío o no institucional válido; ","")&amp;IF(LEN(TRIM(D232))=0,"Sin objeto contractual; ","")&amp;IF(AND(ISNUMBER(M232),N232="Mínima cuantía"),IF(M232&gt;39850000,"Mínima cuantía con valor superior al tope citado en el instructivo 2026 ($39.850.000): verificar modalidad; ",""),"")&amp;IF(AND(ISNUMBER(M232),OR(ISNUMBER(SEARCH("prestación de servicios",D232)),ISNUMBER(SEARCH("prestar servicios",D232)),ISNUMBER(SEARCH("prestar los servicios",D232)))),IF(M232&gt;=500000000,"Prestación de servicios por $500 millones o más: posible error de digitación; ",""),""))=0,"Sin observaciones",IF(OR(NOT(ISNUMBER(B232)),LEN(B232)&lt;&gt;8),"UNSPSC vacío, en texto, con varios códigos o sin 8 dígitos; ","")&amp;IF(AND(ISNUMBER(B232),LEN(B232)=8),IF(MOD(B232,10000)=0,"UNSPSC a nivel de segmento o familia; ",""),"")&amp;IF(NOT(ISNUMBER(E232)),"Duración vacía o en texto; ","")&amp;IF(NOT(ISNUMBER(G232)),"Valor vacío o en texto; ","")&amp;IF(ISNUMBER(M232),IF(M232&lt;1000000,"Valor inferior a $1.000.000: verificar; ",""),"Valor no interpretable; ")&amp;IF(N232="[PENDIENTE DE VERIFICAR]","Modalidad no identificable; ","")&amp;IF(OR(ISERROR(SEARCH("@itc.edu.co",J232)),SUMPRODUCT(--ISNUMBER(SEARCH({"á","é","í","ó","ú","ñ"},J232)))&gt;0),"Correo vacío o no institucional válido; ","")&amp;IF(LEN(TRIM(D232))=0,"Sin objeto contractual; ","")&amp;IF(AND(ISNUMBER(M232),N232="Mínima cuantía"),IF(M232&gt;39850000,"Mínima cuantía con valor superior al tope citado en el instructivo 2026 ($39.850.000): verificar modalidad; ",""),"")&amp;IF(AND(ISNUMBER(M232),OR(ISNUMBER(SEARCH("prestación de servicios",D232)),ISNUMBER(SEARCH("prestar servicios",D232)),ISNUMBER(SEARCH("prestar los servicios",D232)))),IF(M232&gt;=500000000,"Prestación de servicios por $500 millones o más: posible error de digitación; ",""),""))</f>
        <v xml:space="preserve">Duración vacía o en texto; Valor vacío o en texto; </v>
      </c>
    </row>
    <row r="233" spans="1:15" ht="22.8" x14ac:dyDescent="0.3">
      <c r="A233" s="15" t="s">
        <v>391</v>
      </c>
      <c r="B233" s="15">
        <v>60000000</v>
      </c>
      <c r="C233" s="15" t="s">
        <v>392</v>
      </c>
      <c r="D233" s="15" t="s">
        <v>390</v>
      </c>
      <c r="E233" s="15"/>
      <c r="F233" s="15" t="s">
        <v>1202</v>
      </c>
      <c r="G233" s="29" t="s">
        <v>1346</v>
      </c>
      <c r="H233" s="15" t="s">
        <v>1329</v>
      </c>
      <c r="I233" s="15"/>
      <c r="J233" s="15" t="s">
        <v>1330</v>
      </c>
      <c r="K233" s="15"/>
      <c r="L233" s="30" t="s">
        <v>1331</v>
      </c>
      <c r="M233" s="31">
        <v>25000000</v>
      </c>
      <c r="N233" s="30" t="s">
        <v>792</v>
      </c>
      <c r="O233" s="30" t="str">
        <f>IF(LEN(IF(OR(NOT(ISNUMBER(B233)),LEN(B233)&lt;&gt;8),"UNSPSC vacío, en texto, con varios códigos o sin 8 dígitos; ","")&amp;IF(AND(ISNUMBER(B233),LEN(B233)=8),IF(MOD(B233,10000)=0,"UNSPSC a nivel de segmento o familia; ",""),"")&amp;IF(NOT(ISNUMBER(E233)),"Duración vacía o en texto; ","")&amp;IF(NOT(ISNUMBER(G233)),"Valor vacío o en texto; ","")&amp;IF(ISNUMBER(M233),IF(M233&lt;1000000,"Valor inferior a $1.000.000: verificar; ",""),"Valor no interpretable; ")&amp;IF(N233="[PENDIENTE DE VERIFICAR]","Modalidad no identificable; ","")&amp;IF(OR(ISERROR(SEARCH("@itc.edu.co",J233)),SUMPRODUCT(--ISNUMBER(SEARCH({"á","é","í","ó","ú","ñ"},J233)))&gt;0),"Correo vacío o no institucional válido; ","")&amp;IF(LEN(TRIM(D233))=0,"Sin objeto contractual; ","")&amp;IF(AND(ISNUMBER(M233),N233="Mínima cuantía"),IF(M233&gt;39850000,"Mínima cuantía con valor superior al tope citado en el instructivo 2026 ($39.850.000): verificar modalidad; ",""),"")&amp;IF(AND(ISNUMBER(M233),OR(ISNUMBER(SEARCH("prestación de servicios",D233)),ISNUMBER(SEARCH("prestar servicios",D233)),ISNUMBER(SEARCH("prestar los servicios",D233)))),IF(M233&gt;=500000000,"Prestación de servicios por $500 millones o más: posible error de digitación; ",""),""))=0,"Sin observaciones",IF(OR(NOT(ISNUMBER(B233)),LEN(B233)&lt;&gt;8),"UNSPSC vacío, en texto, con varios códigos o sin 8 dígitos; ","")&amp;IF(AND(ISNUMBER(B233),LEN(B233)=8),IF(MOD(B233,10000)=0,"UNSPSC a nivel de segmento o familia; ",""),"")&amp;IF(NOT(ISNUMBER(E233)),"Duración vacía o en texto; ","")&amp;IF(NOT(ISNUMBER(G233)),"Valor vacío o en texto; ","")&amp;IF(ISNUMBER(M233),IF(M233&lt;1000000,"Valor inferior a $1.000.000: verificar; ",""),"Valor no interpretable; ")&amp;IF(N233="[PENDIENTE DE VERIFICAR]","Modalidad no identificable; ","")&amp;IF(OR(ISERROR(SEARCH("@itc.edu.co",J233)),SUMPRODUCT(--ISNUMBER(SEARCH({"á","é","í","ó","ú","ñ"},J233)))&gt;0),"Correo vacío o no institucional válido; ","")&amp;IF(LEN(TRIM(D233))=0,"Sin objeto contractual; ","")&amp;IF(AND(ISNUMBER(M233),N233="Mínima cuantía"),IF(M233&gt;39850000,"Mínima cuantía con valor superior al tope citado en el instructivo 2026 ($39.850.000): verificar modalidad; ",""),"")&amp;IF(AND(ISNUMBER(M233),OR(ISNUMBER(SEARCH("prestación de servicios",D233)),ISNUMBER(SEARCH("prestar servicios",D233)),ISNUMBER(SEARCH("prestar los servicios",D233)))),IF(M233&gt;=500000000,"Prestación de servicios por $500 millones o más: posible error de digitación; ",""),""))</f>
        <v xml:space="preserve">UNSPSC a nivel de segmento o familia; Duración vacía o en texto; Valor vacío o en texto; </v>
      </c>
    </row>
    <row r="234" spans="1:15" ht="22.8" x14ac:dyDescent="0.3">
      <c r="A234" s="15" t="s">
        <v>1347</v>
      </c>
      <c r="B234" s="15">
        <v>60000000</v>
      </c>
      <c r="C234" s="15" t="s">
        <v>392</v>
      </c>
      <c r="D234" s="15" t="s">
        <v>1348</v>
      </c>
      <c r="E234" s="15"/>
      <c r="F234" s="15" t="s">
        <v>1202</v>
      </c>
      <c r="G234" s="29" t="s">
        <v>1349</v>
      </c>
      <c r="H234" s="15" t="s">
        <v>1329</v>
      </c>
      <c r="I234" s="15"/>
      <c r="J234" s="15" t="s">
        <v>1330</v>
      </c>
      <c r="K234" s="15"/>
      <c r="L234" s="30" t="s">
        <v>1331</v>
      </c>
      <c r="M234" s="31">
        <v>13000000</v>
      </c>
      <c r="N234" s="30" t="s">
        <v>792</v>
      </c>
      <c r="O234" s="30" t="str">
        <f>IF(LEN(IF(OR(NOT(ISNUMBER(B234)),LEN(B234)&lt;&gt;8),"UNSPSC vacío, en texto, con varios códigos o sin 8 dígitos; ","")&amp;IF(AND(ISNUMBER(B234),LEN(B234)=8),IF(MOD(B234,10000)=0,"UNSPSC a nivel de segmento o familia; ",""),"")&amp;IF(NOT(ISNUMBER(E234)),"Duración vacía o en texto; ","")&amp;IF(NOT(ISNUMBER(G234)),"Valor vacío o en texto; ","")&amp;IF(ISNUMBER(M234),IF(M234&lt;1000000,"Valor inferior a $1.000.000: verificar; ",""),"Valor no interpretable; ")&amp;IF(N234="[PENDIENTE DE VERIFICAR]","Modalidad no identificable; ","")&amp;IF(OR(ISERROR(SEARCH("@itc.edu.co",J234)),SUMPRODUCT(--ISNUMBER(SEARCH({"á","é","í","ó","ú","ñ"},J234)))&gt;0),"Correo vacío o no institucional válido; ","")&amp;IF(LEN(TRIM(D234))=0,"Sin objeto contractual; ","")&amp;IF(AND(ISNUMBER(M234),N234="Mínima cuantía"),IF(M234&gt;39850000,"Mínima cuantía con valor superior al tope citado en el instructivo 2026 ($39.850.000): verificar modalidad; ",""),"")&amp;IF(AND(ISNUMBER(M234),OR(ISNUMBER(SEARCH("prestación de servicios",D234)),ISNUMBER(SEARCH("prestar servicios",D234)),ISNUMBER(SEARCH("prestar los servicios",D234)))),IF(M234&gt;=500000000,"Prestación de servicios por $500 millones o más: posible error de digitación; ",""),""))=0,"Sin observaciones",IF(OR(NOT(ISNUMBER(B234)),LEN(B234)&lt;&gt;8),"UNSPSC vacío, en texto, con varios códigos o sin 8 dígitos; ","")&amp;IF(AND(ISNUMBER(B234),LEN(B234)=8),IF(MOD(B234,10000)=0,"UNSPSC a nivel de segmento o familia; ",""),"")&amp;IF(NOT(ISNUMBER(E234)),"Duración vacía o en texto; ","")&amp;IF(NOT(ISNUMBER(G234)),"Valor vacío o en texto; ","")&amp;IF(ISNUMBER(M234),IF(M234&lt;1000000,"Valor inferior a $1.000.000: verificar; ",""),"Valor no interpretable; ")&amp;IF(N234="[PENDIENTE DE VERIFICAR]","Modalidad no identificable; ","")&amp;IF(OR(ISERROR(SEARCH("@itc.edu.co",J234)),SUMPRODUCT(--ISNUMBER(SEARCH({"á","é","í","ó","ú","ñ"},J234)))&gt;0),"Correo vacío o no institucional válido; ","")&amp;IF(LEN(TRIM(D234))=0,"Sin objeto contractual; ","")&amp;IF(AND(ISNUMBER(M234),N234="Mínima cuantía"),IF(M234&gt;39850000,"Mínima cuantía con valor superior al tope citado en el instructivo 2026 ($39.850.000): verificar modalidad; ",""),"")&amp;IF(AND(ISNUMBER(M234),OR(ISNUMBER(SEARCH("prestación de servicios",D234)),ISNUMBER(SEARCH("prestar servicios",D234)),ISNUMBER(SEARCH("prestar los servicios",D234)))),IF(M234&gt;=500000000,"Prestación de servicios por $500 millones o más: posible error de digitación; ",""),""))</f>
        <v xml:space="preserve">UNSPSC a nivel de segmento o familia; Duración vacía o en texto; Valor vacío o en texto; </v>
      </c>
    </row>
    <row r="235" spans="1:15" ht="22.8" x14ac:dyDescent="0.3">
      <c r="A235" s="15" t="s">
        <v>1350</v>
      </c>
      <c r="B235" s="15">
        <v>53102700</v>
      </c>
      <c r="C235" s="15" t="s">
        <v>392</v>
      </c>
      <c r="D235" s="15" t="s">
        <v>1351</v>
      </c>
      <c r="E235" s="15"/>
      <c r="F235" s="15" t="s">
        <v>1202</v>
      </c>
      <c r="G235" s="29" t="s">
        <v>1143</v>
      </c>
      <c r="H235" s="15" t="s">
        <v>1329</v>
      </c>
      <c r="I235" s="15"/>
      <c r="J235" s="15" t="s">
        <v>1330</v>
      </c>
      <c r="K235" s="15"/>
      <c r="L235" s="30" t="s">
        <v>1331</v>
      </c>
      <c r="M235" s="31">
        <v>15000000</v>
      </c>
      <c r="N235" s="30" t="s">
        <v>792</v>
      </c>
      <c r="O235" s="30" t="str">
        <f>IF(LEN(IF(OR(NOT(ISNUMBER(B235)),LEN(B235)&lt;&gt;8),"UNSPSC vacío, en texto, con varios códigos o sin 8 dígitos; ","")&amp;IF(AND(ISNUMBER(B235),LEN(B235)=8),IF(MOD(B235,10000)=0,"UNSPSC a nivel de segmento o familia; ",""),"")&amp;IF(NOT(ISNUMBER(E235)),"Duración vacía o en texto; ","")&amp;IF(NOT(ISNUMBER(G235)),"Valor vacío o en texto; ","")&amp;IF(ISNUMBER(M235),IF(M235&lt;1000000,"Valor inferior a $1.000.000: verificar; ",""),"Valor no interpretable; ")&amp;IF(N235="[PENDIENTE DE VERIFICAR]","Modalidad no identificable; ","")&amp;IF(OR(ISERROR(SEARCH("@itc.edu.co",J235)),SUMPRODUCT(--ISNUMBER(SEARCH({"á","é","í","ó","ú","ñ"},J235)))&gt;0),"Correo vacío o no institucional válido; ","")&amp;IF(LEN(TRIM(D235))=0,"Sin objeto contractual; ","")&amp;IF(AND(ISNUMBER(M235),N235="Mínima cuantía"),IF(M235&gt;39850000,"Mínima cuantía con valor superior al tope citado en el instructivo 2026 ($39.850.000): verificar modalidad; ",""),"")&amp;IF(AND(ISNUMBER(M235),OR(ISNUMBER(SEARCH("prestación de servicios",D235)),ISNUMBER(SEARCH("prestar servicios",D235)),ISNUMBER(SEARCH("prestar los servicios",D235)))),IF(M235&gt;=500000000,"Prestación de servicios por $500 millones o más: posible error de digitación; ",""),""))=0,"Sin observaciones",IF(OR(NOT(ISNUMBER(B235)),LEN(B235)&lt;&gt;8),"UNSPSC vacío, en texto, con varios códigos o sin 8 dígitos; ","")&amp;IF(AND(ISNUMBER(B235),LEN(B235)=8),IF(MOD(B235,10000)=0,"UNSPSC a nivel de segmento o familia; ",""),"")&amp;IF(NOT(ISNUMBER(E235)),"Duración vacía o en texto; ","")&amp;IF(NOT(ISNUMBER(G235)),"Valor vacío o en texto; ","")&amp;IF(ISNUMBER(M235),IF(M235&lt;1000000,"Valor inferior a $1.000.000: verificar; ",""),"Valor no interpretable; ")&amp;IF(N235="[PENDIENTE DE VERIFICAR]","Modalidad no identificable; ","")&amp;IF(OR(ISERROR(SEARCH("@itc.edu.co",J235)),SUMPRODUCT(--ISNUMBER(SEARCH({"á","é","í","ó","ú","ñ"},J235)))&gt;0),"Correo vacío o no institucional válido; ","")&amp;IF(LEN(TRIM(D235))=0,"Sin objeto contractual; ","")&amp;IF(AND(ISNUMBER(M235),N235="Mínima cuantía"),IF(M235&gt;39850000,"Mínima cuantía con valor superior al tope citado en el instructivo 2026 ($39.850.000): verificar modalidad; ",""),"")&amp;IF(AND(ISNUMBER(M235),OR(ISNUMBER(SEARCH("prestación de servicios",D235)),ISNUMBER(SEARCH("prestar servicios",D235)),ISNUMBER(SEARCH("prestar los servicios",D235)))),IF(M235&gt;=500000000,"Prestación de servicios por $500 millones o más: posible error de digitación; ",""),""))</f>
        <v xml:space="preserve">Duración vacía o en texto; Valor vacío o en texto; </v>
      </c>
    </row>
    <row r="236" spans="1:15" ht="34.200000000000003" x14ac:dyDescent="0.3">
      <c r="A236" s="15" t="s">
        <v>1352</v>
      </c>
      <c r="B236" s="15"/>
      <c r="C236" s="15" t="s">
        <v>392</v>
      </c>
      <c r="D236" s="15" t="s">
        <v>1353</v>
      </c>
      <c r="E236" s="15"/>
      <c r="F236" s="15" t="s">
        <v>1202</v>
      </c>
      <c r="G236" s="29" t="s">
        <v>1341</v>
      </c>
      <c r="H236" s="15" t="s">
        <v>1329</v>
      </c>
      <c r="I236" s="15"/>
      <c r="J236" s="15" t="s">
        <v>1330</v>
      </c>
      <c r="K236" s="15"/>
      <c r="L236" s="30" t="s">
        <v>1331</v>
      </c>
      <c r="M236" s="31">
        <v>3000000</v>
      </c>
      <c r="N236" s="30" t="s">
        <v>792</v>
      </c>
      <c r="O236" s="30" t="str">
        <f>IF(LEN(IF(OR(NOT(ISNUMBER(B236)),LEN(B236)&lt;&gt;8),"UNSPSC vacío, en texto, con varios códigos o sin 8 dígitos; ","")&amp;IF(AND(ISNUMBER(B236),LEN(B236)=8),IF(MOD(B236,10000)=0,"UNSPSC a nivel de segmento o familia; ",""),"")&amp;IF(NOT(ISNUMBER(E236)),"Duración vacía o en texto; ","")&amp;IF(NOT(ISNUMBER(G236)),"Valor vacío o en texto; ","")&amp;IF(ISNUMBER(M236),IF(M236&lt;1000000,"Valor inferior a $1.000.000: verificar; ",""),"Valor no interpretable; ")&amp;IF(N236="[PENDIENTE DE VERIFICAR]","Modalidad no identificable; ","")&amp;IF(OR(ISERROR(SEARCH("@itc.edu.co",J236)),SUMPRODUCT(--ISNUMBER(SEARCH({"á","é","í","ó","ú","ñ"},J236)))&gt;0),"Correo vacío o no institucional válido; ","")&amp;IF(LEN(TRIM(D236))=0,"Sin objeto contractual; ","")&amp;IF(AND(ISNUMBER(M236),N236="Mínima cuantía"),IF(M236&gt;39850000,"Mínima cuantía con valor superior al tope citado en el instructivo 2026 ($39.850.000): verificar modalidad; ",""),"")&amp;IF(AND(ISNUMBER(M236),OR(ISNUMBER(SEARCH("prestación de servicios",D236)),ISNUMBER(SEARCH("prestar servicios",D236)),ISNUMBER(SEARCH("prestar los servicios",D236)))),IF(M236&gt;=500000000,"Prestación de servicios por $500 millones o más: posible error de digitación; ",""),""))=0,"Sin observaciones",IF(OR(NOT(ISNUMBER(B236)),LEN(B236)&lt;&gt;8),"UNSPSC vacío, en texto, con varios códigos o sin 8 dígitos; ","")&amp;IF(AND(ISNUMBER(B236),LEN(B236)=8),IF(MOD(B236,10000)=0,"UNSPSC a nivel de segmento o familia; ",""),"")&amp;IF(NOT(ISNUMBER(E236)),"Duración vacía o en texto; ","")&amp;IF(NOT(ISNUMBER(G236)),"Valor vacío o en texto; ","")&amp;IF(ISNUMBER(M236),IF(M236&lt;1000000,"Valor inferior a $1.000.000: verificar; ",""),"Valor no interpretable; ")&amp;IF(N236="[PENDIENTE DE VERIFICAR]","Modalidad no identificable; ","")&amp;IF(OR(ISERROR(SEARCH("@itc.edu.co",J236)),SUMPRODUCT(--ISNUMBER(SEARCH({"á","é","í","ó","ú","ñ"},J236)))&gt;0),"Correo vacío o no institucional válido; ","")&amp;IF(LEN(TRIM(D236))=0,"Sin objeto contractual; ","")&amp;IF(AND(ISNUMBER(M236),N236="Mínima cuantía"),IF(M236&gt;39850000,"Mínima cuantía con valor superior al tope citado en el instructivo 2026 ($39.850.000): verificar modalidad; ",""),"")&amp;IF(AND(ISNUMBER(M236),OR(ISNUMBER(SEARCH("prestación de servicios",D236)),ISNUMBER(SEARCH("prestar servicios",D236)),ISNUMBER(SEARCH("prestar los servicios",D236)))),IF(M236&gt;=500000000,"Prestación de servicios por $500 millones o más: posible error de digitación; ",""),""))</f>
        <v xml:space="preserve">UNSPSC vacío, en texto, con varios códigos o sin 8 dígitos; Duración vacía o en texto; Valor vacío o en texto; </v>
      </c>
    </row>
    <row r="237" spans="1:15" ht="22.8" x14ac:dyDescent="0.3">
      <c r="A237" s="15" t="s">
        <v>1354</v>
      </c>
      <c r="B237" s="15">
        <v>60000000</v>
      </c>
      <c r="C237" s="15" t="s">
        <v>392</v>
      </c>
      <c r="D237" s="15" t="s">
        <v>1355</v>
      </c>
      <c r="E237" s="15"/>
      <c r="F237" s="15" t="s">
        <v>1202</v>
      </c>
      <c r="G237" s="29" t="s">
        <v>1343</v>
      </c>
      <c r="H237" s="15" t="s">
        <v>1329</v>
      </c>
      <c r="I237" s="15"/>
      <c r="J237" s="15" t="s">
        <v>1330</v>
      </c>
      <c r="K237" s="15"/>
      <c r="L237" s="30" t="s">
        <v>1331</v>
      </c>
      <c r="M237" s="31">
        <v>10000000</v>
      </c>
      <c r="N237" s="30" t="s">
        <v>792</v>
      </c>
      <c r="O237" s="30" t="str">
        <f>IF(LEN(IF(OR(NOT(ISNUMBER(B237)),LEN(B237)&lt;&gt;8),"UNSPSC vacío, en texto, con varios códigos o sin 8 dígitos; ","")&amp;IF(AND(ISNUMBER(B237),LEN(B237)=8),IF(MOD(B237,10000)=0,"UNSPSC a nivel de segmento o familia; ",""),"")&amp;IF(NOT(ISNUMBER(E237)),"Duración vacía o en texto; ","")&amp;IF(NOT(ISNUMBER(G237)),"Valor vacío o en texto; ","")&amp;IF(ISNUMBER(M237),IF(M237&lt;1000000,"Valor inferior a $1.000.000: verificar; ",""),"Valor no interpretable; ")&amp;IF(N237="[PENDIENTE DE VERIFICAR]","Modalidad no identificable; ","")&amp;IF(OR(ISERROR(SEARCH("@itc.edu.co",J237)),SUMPRODUCT(--ISNUMBER(SEARCH({"á","é","í","ó","ú","ñ"},J237)))&gt;0),"Correo vacío o no institucional válido; ","")&amp;IF(LEN(TRIM(D237))=0,"Sin objeto contractual; ","")&amp;IF(AND(ISNUMBER(M237),N237="Mínima cuantía"),IF(M237&gt;39850000,"Mínima cuantía con valor superior al tope citado en el instructivo 2026 ($39.850.000): verificar modalidad; ",""),"")&amp;IF(AND(ISNUMBER(M237),OR(ISNUMBER(SEARCH("prestación de servicios",D237)),ISNUMBER(SEARCH("prestar servicios",D237)),ISNUMBER(SEARCH("prestar los servicios",D237)))),IF(M237&gt;=500000000,"Prestación de servicios por $500 millones o más: posible error de digitación; ",""),""))=0,"Sin observaciones",IF(OR(NOT(ISNUMBER(B237)),LEN(B237)&lt;&gt;8),"UNSPSC vacío, en texto, con varios códigos o sin 8 dígitos; ","")&amp;IF(AND(ISNUMBER(B237),LEN(B237)=8),IF(MOD(B237,10000)=0,"UNSPSC a nivel de segmento o familia; ",""),"")&amp;IF(NOT(ISNUMBER(E237)),"Duración vacía o en texto; ","")&amp;IF(NOT(ISNUMBER(G237)),"Valor vacío o en texto; ","")&amp;IF(ISNUMBER(M237),IF(M237&lt;1000000,"Valor inferior a $1.000.000: verificar; ",""),"Valor no interpretable; ")&amp;IF(N237="[PENDIENTE DE VERIFICAR]","Modalidad no identificable; ","")&amp;IF(OR(ISERROR(SEARCH("@itc.edu.co",J237)),SUMPRODUCT(--ISNUMBER(SEARCH({"á","é","í","ó","ú","ñ"},J237)))&gt;0),"Correo vacío o no institucional válido; ","")&amp;IF(LEN(TRIM(D237))=0,"Sin objeto contractual; ","")&amp;IF(AND(ISNUMBER(M237),N237="Mínima cuantía"),IF(M237&gt;39850000,"Mínima cuantía con valor superior al tope citado en el instructivo 2026 ($39.850.000): verificar modalidad; ",""),"")&amp;IF(AND(ISNUMBER(M237),OR(ISNUMBER(SEARCH("prestación de servicios",D237)),ISNUMBER(SEARCH("prestar servicios",D237)),ISNUMBER(SEARCH("prestar los servicios",D237)))),IF(M237&gt;=500000000,"Prestación de servicios por $500 millones o más: posible error de digitación; ",""),""))</f>
        <v xml:space="preserve">UNSPSC a nivel de segmento o familia; Duración vacía o en texto; Valor vacío o en texto; </v>
      </c>
    </row>
    <row r="238" spans="1:15" ht="34.200000000000003" x14ac:dyDescent="0.3">
      <c r="A238" s="15" t="s">
        <v>1356</v>
      </c>
      <c r="B238" s="15">
        <v>90000000</v>
      </c>
      <c r="C238" s="15" t="s">
        <v>392</v>
      </c>
      <c r="D238" s="15" t="s">
        <v>1357</v>
      </c>
      <c r="E238" s="15"/>
      <c r="F238" s="15" t="s">
        <v>1358</v>
      </c>
      <c r="G238" s="29" t="s">
        <v>1359</v>
      </c>
      <c r="H238" s="15" t="s">
        <v>1329</v>
      </c>
      <c r="I238" s="15"/>
      <c r="J238" s="15" t="s">
        <v>1330</v>
      </c>
      <c r="K238" s="15"/>
      <c r="L238" s="30" t="s">
        <v>1331</v>
      </c>
      <c r="M238" s="31">
        <v>2000000</v>
      </c>
      <c r="N238" s="30" t="s">
        <v>1157</v>
      </c>
      <c r="O238" s="30" t="str">
        <f>IF(LEN(IF(OR(NOT(ISNUMBER(B238)),LEN(B238)&lt;&gt;8),"UNSPSC vacío, en texto, con varios códigos o sin 8 dígitos; ","")&amp;IF(AND(ISNUMBER(B238),LEN(B238)=8),IF(MOD(B238,10000)=0,"UNSPSC a nivel de segmento o familia; ",""),"")&amp;IF(NOT(ISNUMBER(E238)),"Duración vacía o en texto; ","")&amp;IF(NOT(ISNUMBER(G238)),"Valor vacío o en texto; ","")&amp;IF(ISNUMBER(M238),IF(M238&lt;1000000,"Valor inferior a $1.000.000: verificar; ",""),"Valor no interpretable; ")&amp;IF(N238="[PENDIENTE DE VERIFICAR]","Modalidad no identificable; ","")&amp;IF(OR(ISERROR(SEARCH("@itc.edu.co",J238)),SUMPRODUCT(--ISNUMBER(SEARCH({"á","é","í","ó","ú","ñ"},J238)))&gt;0),"Correo vacío o no institucional válido; ","")&amp;IF(LEN(TRIM(D238))=0,"Sin objeto contractual; ","")&amp;IF(AND(ISNUMBER(M238),N238="Mínima cuantía"),IF(M238&gt;39850000,"Mínima cuantía con valor superior al tope citado en el instructivo 2026 ($39.850.000): verificar modalidad; ",""),"")&amp;IF(AND(ISNUMBER(M238),OR(ISNUMBER(SEARCH("prestación de servicios",D238)),ISNUMBER(SEARCH("prestar servicios",D238)),ISNUMBER(SEARCH("prestar los servicios",D238)))),IF(M238&gt;=500000000,"Prestación de servicios por $500 millones o más: posible error de digitación; ",""),""))=0,"Sin observaciones",IF(OR(NOT(ISNUMBER(B238)),LEN(B238)&lt;&gt;8),"UNSPSC vacío, en texto, con varios códigos o sin 8 dígitos; ","")&amp;IF(AND(ISNUMBER(B238),LEN(B238)=8),IF(MOD(B238,10000)=0,"UNSPSC a nivel de segmento o familia; ",""),"")&amp;IF(NOT(ISNUMBER(E238)),"Duración vacía o en texto; ","")&amp;IF(NOT(ISNUMBER(G238)),"Valor vacío o en texto; ","")&amp;IF(ISNUMBER(M238),IF(M238&lt;1000000,"Valor inferior a $1.000.000: verificar; ",""),"Valor no interpretable; ")&amp;IF(N238="[PENDIENTE DE VERIFICAR]","Modalidad no identificable; ","")&amp;IF(OR(ISERROR(SEARCH("@itc.edu.co",J238)),SUMPRODUCT(--ISNUMBER(SEARCH({"á","é","í","ó","ú","ñ"},J238)))&gt;0),"Correo vacío o no institucional válido; ","")&amp;IF(LEN(TRIM(D238))=0,"Sin objeto contractual; ","")&amp;IF(AND(ISNUMBER(M238),N238="Mínima cuantía"),IF(M238&gt;39850000,"Mínima cuantía con valor superior al tope citado en el instructivo 2026 ($39.850.000): verificar modalidad; ",""),"")&amp;IF(AND(ISNUMBER(M238),OR(ISNUMBER(SEARCH("prestación de servicios",D238)),ISNUMBER(SEARCH("prestar servicios",D238)),ISNUMBER(SEARCH("prestar los servicios",D238)))),IF(M238&gt;=500000000,"Prestación de servicios por $500 millones o más: posible error de digitación; ",""),""))</f>
        <v xml:space="preserve">UNSPSC a nivel de segmento o familia; Duración vacía o en texto; Valor vacío o en texto; Modalidad no identificable; </v>
      </c>
    </row>
    <row r="239" spans="1:15" ht="22.8" x14ac:dyDescent="0.3">
      <c r="A239" s="15" t="s">
        <v>598</v>
      </c>
      <c r="B239" s="15">
        <v>45000000</v>
      </c>
      <c r="C239" s="15" t="s">
        <v>392</v>
      </c>
      <c r="D239" s="15" t="s">
        <v>597</v>
      </c>
      <c r="E239" s="15"/>
      <c r="F239" s="15" t="s">
        <v>1202</v>
      </c>
      <c r="G239" s="29" t="s">
        <v>1149</v>
      </c>
      <c r="H239" s="15" t="s">
        <v>1329</v>
      </c>
      <c r="I239" s="15"/>
      <c r="J239" s="15" t="s">
        <v>1330</v>
      </c>
      <c r="K239" s="15"/>
      <c r="L239" s="30" t="s">
        <v>1331</v>
      </c>
      <c r="M239" s="31">
        <v>30000000</v>
      </c>
      <c r="N239" s="30" t="s">
        <v>792</v>
      </c>
      <c r="O239" s="30" t="str">
        <f>IF(LEN(IF(OR(NOT(ISNUMBER(B239)),LEN(B239)&lt;&gt;8),"UNSPSC vacío, en texto, con varios códigos o sin 8 dígitos; ","")&amp;IF(AND(ISNUMBER(B239),LEN(B239)=8),IF(MOD(B239,10000)=0,"UNSPSC a nivel de segmento o familia; ",""),"")&amp;IF(NOT(ISNUMBER(E239)),"Duración vacía o en texto; ","")&amp;IF(NOT(ISNUMBER(G239)),"Valor vacío o en texto; ","")&amp;IF(ISNUMBER(M239),IF(M239&lt;1000000,"Valor inferior a $1.000.000: verificar; ",""),"Valor no interpretable; ")&amp;IF(N239="[PENDIENTE DE VERIFICAR]","Modalidad no identificable; ","")&amp;IF(OR(ISERROR(SEARCH("@itc.edu.co",J239)),SUMPRODUCT(--ISNUMBER(SEARCH({"á","é","í","ó","ú","ñ"},J239)))&gt;0),"Correo vacío o no institucional válido; ","")&amp;IF(LEN(TRIM(D239))=0,"Sin objeto contractual; ","")&amp;IF(AND(ISNUMBER(M239),N239="Mínima cuantía"),IF(M239&gt;39850000,"Mínima cuantía con valor superior al tope citado en el instructivo 2026 ($39.850.000): verificar modalidad; ",""),"")&amp;IF(AND(ISNUMBER(M239),OR(ISNUMBER(SEARCH("prestación de servicios",D239)),ISNUMBER(SEARCH("prestar servicios",D239)),ISNUMBER(SEARCH("prestar los servicios",D239)))),IF(M239&gt;=500000000,"Prestación de servicios por $500 millones o más: posible error de digitación; ",""),""))=0,"Sin observaciones",IF(OR(NOT(ISNUMBER(B239)),LEN(B239)&lt;&gt;8),"UNSPSC vacío, en texto, con varios códigos o sin 8 dígitos; ","")&amp;IF(AND(ISNUMBER(B239),LEN(B239)=8),IF(MOD(B239,10000)=0,"UNSPSC a nivel de segmento o familia; ",""),"")&amp;IF(NOT(ISNUMBER(E239)),"Duración vacía o en texto; ","")&amp;IF(NOT(ISNUMBER(G239)),"Valor vacío o en texto; ","")&amp;IF(ISNUMBER(M239),IF(M239&lt;1000000,"Valor inferior a $1.000.000: verificar; ",""),"Valor no interpretable; ")&amp;IF(N239="[PENDIENTE DE VERIFICAR]","Modalidad no identificable; ","")&amp;IF(OR(ISERROR(SEARCH("@itc.edu.co",J239)),SUMPRODUCT(--ISNUMBER(SEARCH({"á","é","í","ó","ú","ñ"},J239)))&gt;0),"Correo vacío o no institucional válido; ","")&amp;IF(LEN(TRIM(D239))=0,"Sin objeto contractual; ","")&amp;IF(AND(ISNUMBER(M239),N239="Mínima cuantía"),IF(M239&gt;39850000,"Mínima cuantía con valor superior al tope citado en el instructivo 2026 ($39.850.000): verificar modalidad; ",""),"")&amp;IF(AND(ISNUMBER(M239),OR(ISNUMBER(SEARCH("prestación de servicios",D239)),ISNUMBER(SEARCH("prestar servicios",D239)),ISNUMBER(SEARCH("prestar los servicios",D239)))),IF(M239&gt;=500000000,"Prestación de servicios por $500 millones o más: posible error de digitación; ",""),""))</f>
        <v xml:space="preserve">UNSPSC a nivel de segmento o familia; Duración vacía o en texto; Valor vacío o en texto; </v>
      </c>
    </row>
    <row r="240" spans="1:15" ht="409.6" x14ac:dyDescent="0.3">
      <c r="A240" s="15" t="s">
        <v>715</v>
      </c>
      <c r="B240" s="15">
        <v>86132103</v>
      </c>
      <c r="C240" s="15" t="s">
        <v>716</v>
      </c>
      <c r="D240" s="15" t="s">
        <v>1360</v>
      </c>
      <c r="E240" s="15" t="s">
        <v>1361</v>
      </c>
      <c r="F240" s="15" t="s">
        <v>1362</v>
      </c>
      <c r="G240" s="29" t="s">
        <v>1363</v>
      </c>
      <c r="H240" s="15" t="s">
        <v>1364</v>
      </c>
      <c r="I240" s="15" t="s">
        <v>1211</v>
      </c>
      <c r="J240" s="15" t="s">
        <v>1139</v>
      </c>
      <c r="K240" s="15" t="s">
        <v>1365</v>
      </c>
      <c r="L240" s="30" t="s">
        <v>1140</v>
      </c>
      <c r="M240" s="31">
        <v>90000000</v>
      </c>
      <c r="N240" s="30" t="s">
        <v>796</v>
      </c>
      <c r="O240" s="30" t="str">
        <f>IF(LEN(IF(OR(NOT(ISNUMBER(B240)),LEN(B240)&lt;&gt;8),"UNSPSC vacío, en texto, con varios códigos o sin 8 dígitos; ","")&amp;IF(AND(ISNUMBER(B240),LEN(B240)=8),IF(MOD(B240,10000)=0,"UNSPSC a nivel de segmento o familia; ",""),"")&amp;IF(NOT(ISNUMBER(E240)),"Duración vacía o en texto; ","")&amp;IF(NOT(ISNUMBER(G240)),"Valor vacío o en texto; ","")&amp;IF(ISNUMBER(M240),IF(M240&lt;1000000,"Valor inferior a $1.000.000: verificar; ",""),"Valor no interpretable; ")&amp;IF(N240="[PENDIENTE DE VERIFICAR]","Modalidad no identificable; ","")&amp;IF(OR(ISERROR(SEARCH("@itc.edu.co",J240)),SUMPRODUCT(--ISNUMBER(SEARCH({"á","é","í","ó","ú","ñ"},J240)))&gt;0),"Correo vacío o no institucional válido; ","")&amp;IF(LEN(TRIM(D240))=0,"Sin objeto contractual; ","")&amp;IF(AND(ISNUMBER(M240),N240="Mínima cuantía"),IF(M240&gt;39850000,"Mínima cuantía con valor superior al tope citado en el instructivo 2026 ($39.850.000): verificar modalidad; ",""),"")&amp;IF(AND(ISNUMBER(M240),OR(ISNUMBER(SEARCH("prestación de servicios",D240)),ISNUMBER(SEARCH("prestar servicios",D240)),ISNUMBER(SEARCH("prestar los servicios",D240)))),IF(M240&gt;=500000000,"Prestación de servicios por $500 millones o más: posible error de digitación; ",""),""))=0,"Sin observaciones",IF(OR(NOT(ISNUMBER(B240)),LEN(B240)&lt;&gt;8),"UNSPSC vacío, en texto, con varios códigos o sin 8 dígitos; ","")&amp;IF(AND(ISNUMBER(B240),LEN(B240)=8),IF(MOD(B240,10000)=0,"UNSPSC a nivel de segmento o familia; ",""),"")&amp;IF(NOT(ISNUMBER(E240)),"Duración vacía o en texto; ","")&amp;IF(NOT(ISNUMBER(G240)),"Valor vacío o en texto; ","")&amp;IF(ISNUMBER(M240),IF(M240&lt;1000000,"Valor inferior a $1.000.000: verificar; ",""),"Valor no interpretable; ")&amp;IF(N240="[PENDIENTE DE VERIFICAR]","Modalidad no identificable; ","")&amp;IF(OR(ISERROR(SEARCH("@itc.edu.co",J240)),SUMPRODUCT(--ISNUMBER(SEARCH({"á","é","í","ó","ú","ñ"},J240)))&gt;0),"Correo vacío o no institucional válido; ","")&amp;IF(LEN(TRIM(D240))=0,"Sin objeto contractual; ","")&amp;IF(AND(ISNUMBER(M240),N240="Mínima cuantía"),IF(M240&gt;39850000,"Mínima cuantía con valor superior al tope citado en el instructivo 2026 ($39.850.000): verificar modalidad; ",""),"")&amp;IF(AND(ISNUMBER(M240),OR(ISNUMBER(SEARCH("prestación de servicios",D240)),ISNUMBER(SEARCH("prestar servicios",D240)),ISNUMBER(SEARCH("prestar los servicios",D240)))),IF(M240&gt;=500000000,"Prestación de servicios por $500 millones o más: posible error de digitación; ",""),""))</f>
        <v xml:space="preserve">Duración vacía o en texto; Valor vacío o en texto; </v>
      </c>
    </row>
    <row r="241" spans="1:15" ht="45.6" x14ac:dyDescent="0.3">
      <c r="A241" s="15" t="s">
        <v>1366</v>
      </c>
      <c r="B241" s="15">
        <v>43211503</v>
      </c>
      <c r="C241" s="15" t="s">
        <v>576</v>
      </c>
      <c r="D241" s="15" t="s">
        <v>1367</v>
      </c>
      <c r="E241" s="15"/>
      <c r="F241" s="15" t="s">
        <v>1202</v>
      </c>
      <c r="G241" s="29" t="s">
        <v>1368</v>
      </c>
      <c r="H241" s="15" t="s">
        <v>1369</v>
      </c>
      <c r="I241" s="15" t="s">
        <v>1370</v>
      </c>
      <c r="J241" s="15" t="s">
        <v>1371</v>
      </c>
      <c r="K241" s="15"/>
      <c r="L241" s="30" t="s">
        <v>1372</v>
      </c>
      <c r="M241" s="31">
        <v>4000000</v>
      </c>
      <c r="N241" s="30" t="s">
        <v>792</v>
      </c>
      <c r="O241" s="30" t="str">
        <f>IF(LEN(IF(OR(NOT(ISNUMBER(B241)),LEN(B241)&lt;&gt;8),"UNSPSC vacío, en texto, con varios códigos o sin 8 dígitos; ","")&amp;IF(AND(ISNUMBER(B241),LEN(B241)=8),IF(MOD(B241,10000)=0,"UNSPSC a nivel de segmento o familia; ",""),"")&amp;IF(NOT(ISNUMBER(E241)),"Duración vacía o en texto; ","")&amp;IF(NOT(ISNUMBER(G241)),"Valor vacío o en texto; ","")&amp;IF(ISNUMBER(M241),IF(M241&lt;1000000,"Valor inferior a $1.000.000: verificar; ",""),"Valor no interpretable; ")&amp;IF(N241="[PENDIENTE DE VERIFICAR]","Modalidad no identificable; ","")&amp;IF(OR(ISERROR(SEARCH("@itc.edu.co",J241)),SUMPRODUCT(--ISNUMBER(SEARCH({"á","é","í","ó","ú","ñ"},J241)))&gt;0),"Correo vacío o no institucional válido; ","")&amp;IF(LEN(TRIM(D241))=0,"Sin objeto contractual; ","")&amp;IF(AND(ISNUMBER(M241),N241="Mínima cuantía"),IF(M241&gt;39850000,"Mínima cuantía con valor superior al tope citado en el instructivo 2026 ($39.850.000): verificar modalidad; ",""),"")&amp;IF(AND(ISNUMBER(M241),OR(ISNUMBER(SEARCH("prestación de servicios",D241)),ISNUMBER(SEARCH("prestar servicios",D241)),ISNUMBER(SEARCH("prestar los servicios",D241)))),IF(M241&gt;=500000000,"Prestación de servicios por $500 millones o más: posible error de digitación; ",""),""))=0,"Sin observaciones",IF(OR(NOT(ISNUMBER(B241)),LEN(B241)&lt;&gt;8),"UNSPSC vacío, en texto, con varios códigos o sin 8 dígitos; ","")&amp;IF(AND(ISNUMBER(B241),LEN(B241)=8),IF(MOD(B241,10000)=0,"UNSPSC a nivel de segmento o familia; ",""),"")&amp;IF(NOT(ISNUMBER(E241)),"Duración vacía o en texto; ","")&amp;IF(NOT(ISNUMBER(G241)),"Valor vacío o en texto; ","")&amp;IF(ISNUMBER(M241),IF(M241&lt;1000000,"Valor inferior a $1.000.000: verificar; ",""),"Valor no interpretable; ")&amp;IF(N241="[PENDIENTE DE VERIFICAR]","Modalidad no identificable; ","")&amp;IF(OR(ISERROR(SEARCH("@itc.edu.co",J241)),SUMPRODUCT(--ISNUMBER(SEARCH({"á","é","í","ó","ú","ñ"},J241)))&gt;0),"Correo vacío o no institucional válido; ","")&amp;IF(LEN(TRIM(D241))=0,"Sin objeto contractual; ","")&amp;IF(AND(ISNUMBER(M241),N241="Mínima cuantía"),IF(M241&gt;39850000,"Mínima cuantía con valor superior al tope citado en el instructivo 2026 ($39.850.000): verificar modalidad; ",""),"")&amp;IF(AND(ISNUMBER(M241),OR(ISNUMBER(SEARCH("prestación de servicios",D241)),ISNUMBER(SEARCH("prestar servicios",D241)),ISNUMBER(SEARCH("prestar los servicios",D241)))),IF(M241&gt;=500000000,"Prestación de servicios por $500 millones o más: posible error de digitación; ",""),""))</f>
        <v xml:space="preserve">Duración vacía o en texto; Valor vacío o en texto; </v>
      </c>
    </row>
    <row r="242" spans="1:15" ht="22.8" x14ac:dyDescent="0.3">
      <c r="A242" s="15" t="s">
        <v>575</v>
      </c>
      <c r="B242" s="15">
        <v>43211507</v>
      </c>
      <c r="C242" s="15" t="s">
        <v>576</v>
      </c>
      <c r="D242" s="15" t="s">
        <v>1373</v>
      </c>
      <c r="E242" s="15"/>
      <c r="F242" s="15" t="s">
        <v>1202</v>
      </c>
      <c r="G242" s="29" t="s">
        <v>1374</v>
      </c>
      <c r="H242" s="15" t="s">
        <v>1369</v>
      </c>
      <c r="I242" s="15" t="s">
        <v>1370</v>
      </c>
      <c r="J242" s="15" t="s">
        <v>1371</v>
      </c>
      <c r="K242" s="15"/>
      <c r="L242" s="30" t="s">
        <v>1372</v>
      </c>
      <c r="M242" s="31">
        <v>2500000</v>
      </c>
      <c r="N242" s="30" t="s">
        <v>792</v>
      </c>
      <c r="O242" s="30" t="str">
        <f>IF(LEN(IF(OR(NOT(ISNUMBER(B242)),LEN(B242)&lt;&gt;8),"UNSPSC vacío, en texto, con varios códigos o sin 8 dígitos; ","")&amp;IF(AND(ISNUMBER(B242),LEN(B242)=8),IF(MOD(B242,10000)=0,"UNSPSC a nivel de segmento o familia; ",""),"")&amp;IF(NOT(ISNUMBER(E242)),"Duración vacía o en texto; ","")&amp;IF(NOT(ISNUMBER(G242)),"Valor vacío o en texto; ","")&amp;IF(ISNUMBER(M242),IF(M242&lt;1000000,"Valor inferior a $1.000.000: verificar; ",""),"Valor no interpretable; ")&amp;IF(N242="[PENDIENTE DE VERIFICAR]","Modalidad no identificable; ","")&amp;IF(OR(ISERROR(SEARCH("@itc.edu.co",J242)),SUMPRODUCT(--ISNUMBER(SEARCH({"á","é","í","ó","ú","ñ"},J242)))&gt;0),"Correo vacío o no institucional válido; ","")&amp;IF(LEN(TRIM(D242))=0,"Sin objeto contractual; ","")&amp;IF(AND(ISNUMBER(M242),N242="Mínima cuantía"),IF(M242&gt;39850000,"Mínima cuantía con valor superior al tope citado en el instructivo 2026 ($39.850.000): verificar modalidad; ",""),"")&amp;IF(AND(ISNUMBER(M242),OR(ISNUMBER(SEARCH("prestación de servicios",D242)),ISNUMBER(SEARCH("prestar servicios",D242)),ISNUMBER(SEARCH("prestar los servicios",D242)))),IF(M242&gt;=500000000,"Prestación de servicios por $500 millones o más: posible error de digitación; ",""),""))=0,"Sin observaciones",IF(OR(NOT(ISNUMBER(B242)),LEN(B242)&lt;&gt;8),"UNSPSC vacío, en texto, con varios códigos o sin 8 dígitos; ","")&amp;IF(AND(ISNUMBER(B242),LEN(B242)=8),IF(MOD(B242,10000)=0,"UNSPSC a nivel de segmento o familia; ",""),"")&amp;IF(NOT(ISNUMBER(E242)),"Duración vacía o en texto; ","")&amp;IF(NOT(ISNUMBER(G242)),"Valor vacío o en texto; ","")&amp;IF(ISNUMBER(M242),IF(M242&lt;1000000,"Valor inferior a $1.000.000: verificar; ",""),"Valor no interpretable; ")&amp;IF(N242="[PENDIENTE DE VERIFICAR]","Modalidad no identificable; ","")&amp;IF(OR(ISERROR(SEARCH("@itc.edu.co",J242)),SUMPRODUCT(--ISNUMBER(SEARCH({"á","é","í","ó","ú","ñ"},J242)))&gt;0),"Correo vacío o no institucional válido; ","")&amp;IF(LEN(TRIM(D242))=0,"Sin objeto contractual; ","")&amp;IF(AND(ISNUMBER(M242),N242="Mínima cuantía"),IF(M242&gt;39850000,"Mínima cuantía con valor superior al tope citado en el instructivo 2026 ($39.850.000): verificar modalidad; ",""),"")&amp;IF(AND(ISNUMBER(M242),OR(ISNUMBER(SEARCH("prestación de servicios",D242)),ISNUMBER(SEARCH("prestar servicios",D242)),ISNUMBER(SEARCH("prestar los servicios",D242)))),IF(M242&gt;=500000000,"Prestación de servicios por $500 millones o más: posible error de digitación; ",""),""))</f>
        <v xml:space="preserve">Duración vacía o en texto; Valor vacío o en texto; </v>
      </c>
    </row>
    <row r="243" spans="1:15" ht="22.8" x14ac:dyDescent="0.3">
      <c r="A243" s="15" t="s">
        <v>633</v>
      </c>
      <c r="B243" s="15">
        <v>56101720</v>
      </c>
      <c r="C243" s="15" t="s">
        <v>576</v>
      </c>
      <c r="D243" s="15" t="s">
        <v>632</v>
      </c>
      <c r="E243" s="15"/>
      <c r="F243" s="15" t="s">
        <v>1202</v>
      </c>
      <c r="G243" s="29" t="s">
        <v>1341</v>
      </c>
      <c r="H243" s="15" t="s">
        <v>1369</v>
      </c>
      <c r="I243" s="15" t="s">
        <v>1370</v>
      </c>
      <c r="J243" s="15" t="s">
        <v>1371</v>
      </c>
      <c r="K243" s="15"/>
      <c r="L243" s="30" t="s">
        <v>1372</v>
      </c>
      <c r="M243" s="31">
        <v>3000000</v>
      </c>
      <c r="N243" s="30" t="s">
        <v>792</v>
      </c>
      <c r="O243" s="30" t="str">
        <f>IF(LEN(IF(OR(NOT(ISNUMBER(B243)),LEN(B243)&lt;&gt;8),"UNSPSC vacío, en texto, con varios códigos o sin 8 dígitos; ","")&amp;IF(AND(ISNUMBER(B243),LEN(B243)=8),IF(MOD(B243,10000)=0,"UNSPSC a nivel de segmento o familia; ",""),"")&amp;IF(NOT(ISNUMBER(E243)),"Duración vacía o en texto; ","")&amp;IF(NOT(ISNUMBER(G243)),"Valor vacío o en texto; ","")&amp;IF(ISNUMBER(M243),IF(M243&lt;1000000,"Valor inferior a $1.000.000: verificar; ",""),"Valor no interpretable; ")&amp;IF(N243="[PENDIENTE DE VERIFICAR]","Modalidad no identificable; ","")&amp;IF(OR(ISERROR(SEARCH("@itc.edu.co",J243)),SUMPRODUCT(--ISNUMBER(SEARCH({"á","é","í","ó","ú","ñ"},J243)))&gt;0),"Correo vacío o no institucional válido; ","")&amp;IF(LEN(TRIM(D243))=0,"Sin objeto contractual; ","")&amp;IF(AND(ISNUMBER(M243),N243="Mínima cuantía"),IF(M243&gt;39850000,"Mínima cuantía con valor superior al tope citado en el instructivo 2026 ($39.850.000): verificar modalidad; ",""),"")&amp;IF(AND(ISNUMBER(M243),OR(ISNUMBER(SEARCH("prestación de servicios",D243)),ISNUMBER(SEARCH("prestar servicios",D243)),ISNUMBER(SEARCH("prestar los servicios",D243)))),IF(M243&gt;=500000000,"Prestación de servicios por $500 millones o más: posible error de digitación; ",""),""))=0,"Sin observaciones",IF(OR(NOT(ISNUMBER(B243)),LEN(B243)&lt;&gt;8),"UNSPSC vacío, en texto, con varios códigos o sin 8 dígitos; ","")&amp;IF(AND(ISNUMBER(B243),LEN(B243)=8),IF(MOD(B243,10000)=0,"UNSPSC a nivel de segmento o familia; ",""),"")&amp;IF(NOT(ISNUMBER(E243)),"Duración vacía o en texto; ","")&amp;IF(NOT(ISNUMBER(G243)),"Valor vacío o en texto; ","")&amp;IF(ISNUMBER(M243),IF(M243&lt;1000000,"Valor inferior a $1.000.000: verificar; ",""),"Valor no interpretable; ")&amp;IF(N243="[PENDIENTE DE VERIFICAR]","Modalidad no identificable; ","")&amp;IF(OR(ISERROR(SEARCH("@itc.edu.co",J243)),SUMPRODUCT(--ISNUMBER(SEARCH({"á","é","í","ó","ú","ñ"},J243)))&gt;0),"Correo vacío o no institucional válido; ","")&amp;IF(LEN(TRIM(D243))=0,"Sin objeto contractual; ","")&amp;IF(AND(ISNUMBER(M243),N243="Mínima cuantía"),IF(M243&gt;39850000,"Mínima cuantía con valor superior al tope citado en el instructivo 2026 ($39.850.000): verificar modalidad; ",""),"")&amp;IF(AND(ISNUMBER(M243),OR(ISNUMBER(SEARCH("prestación de servicios",D243)),ISNUMBER(SEARCH("prestar servicios",D243)),ISNUMBER(SEARCH("prestar los servicios",D243)))),IF(M243&gt;=500000000,"Prestación de servicios por $500 millones o más: posible error de digitación; ",""),""))</f>
        <v xml:space="preserve">Duración vacía o en texto; Valor vacío o en texto; </v>
      </c>
    </row>
    <row r="244" spans="1:15" ht="22.8" x14ac:dyDescent="0.3">
      <c r="A244" s="15" t="s">
        <v>685</v>
      </c>
      <c r="B244" s="15">
        <v>80161500</v>
      </c>
      <c r="C244" s="15" t="s">
        <v>576</v>
      </c>
      <c r="D244" s="15" t="s">
        <v>684</v>
      </c>
      <c r="E244" s="15" t="s">
        <v>1375</v>
      </c>
      <c r="F244" s="15" t="s">
        <v>802</v>
      </c>
      <c r="G244" s="29">
        <v>21000000</v>
      </c>
      <c r="H244" s="15" t="s">
        <v>1369</v>
      </c>
      <c r="I244" s="15" t="s">
        <v>1370</v>
      </c>
      <c r="J244" s="15" t="s">
        <v>1371</v>
      </c>
      <c r="K244" s="15"/>
      <c r="L244" s="30" t="s">
        <v>1372</v>
      </c>
      <c r="M244" s="31">
        <v>21000000</v>
      </c>
      <c r="N244" s="30" t="s">
        <v>803</v>
      </c>
      <c r="O244" s="30" t="str">
        <f>IF(LEN(IF(OR(NOT(ISNUMBER(B244)),LEN(B244)&lt;&gt;8),"UNSPSC vacío, en texto, con varios códigos o sin 8 dígitos; ","")&amp;IF(AND(ISNUMBER(B244),LEN(B244)=8),IF(MOD(B244,10000)=0,"UNSPSC a nivel de segmento o familia; ",""),"")&amp;IF(NOT(ISNUMBER(E244)),"Duración vacía o en texto; ","")&amp;IF(NOT(ISNUMBER(G244)),"Valor vacío o en texto; ","")&amp;IF(ISNUMBER(M244),IF(M244&lt;1000000,"Valor inferior a $1.000.000: verificar; ",""),"Valor no interpretable; ")&amp;IF(N244="[PENDIENTE DE VERIFICAR]","Modalidad no identificable; ","")&amp;IF(OR(ISERROR(SEARCH("@itc.edu.co",J244)),SUMPRODUCT(--ISNUMBER(SEARCH({"á","é","í","ó","ú","ñ"},J244)))&gt;0),"Correo vacío o no institucional válido; ","")&amp;IF(LEN(TRIM(D244))=0,"Sin objeto contractual; ","")&amp;IF(AND(ISNUMBER(M244),N244="Mínima cuantía"),IF(M244&gt;39850000,"Mínima cuantía con valor superior al tope citado en el instructivo 2026 ($39.850.000): verificar modalidad; ",""),"")&amp;IF(AND(ISNUMBER(M244),OR(ISNUMBER(SEARCH("prestación de servicios",D244)),ISNUMBER(SEARCH("prestar servicios",D244)),ISNUMBER(SEARCH("prestar los servicios",D244)))),IF(M244&gt;=500000000,"Prestación de servicios por $500 millones o más: posible error de digitación; ",""),""))=0,"Sin observaciones",IF(OR(NOT(ISNUMBER(B244)),LEN(B244)&lt;&gt;8),"UNSPSC vacío, en texto, con varios códigos o sin 8 dígitos; ","")&amp;IF(AND(ISNUMBER(B244),LEN(B244)=8),IF(MOD(B244,10000)=0,"UNSPSC a nivel de segmento o familia; ",""),"")&amp;IF(NOT(ISNUMBER(E244)),"Duración vacía o en texto; ","")&amp;IF(NOT(ISNUMBER(G244)),"Valor vacío o en texto; ","")&amp;IF(ISNUMBER(M244),IF(M244&lt;1000000,"Valor inferior a $1.000.000: verificar; ",""),"Valor no interpretable; ")&amp;IF(N244="[PENDIENTE DE VERIFICAR]","Modalidad no identificable; ","")&amp;IF(OR(ISERROR(SEARCH("@itc.edu.co",J244)),SUMPRODUCT(--ISNUMBER(SEARCH({"á","é","í","ó","ú","ñ"},J244)))&gt;0),"Correo vacío o no institucional válido; ","")&amp;IF(LEN(TRIM(D244))=0,"Sin objeto contractual; ","")&amp;IF(AND(ISNUMBER(M244),N244="Mínima cuantía"),IF(M244&gt;39850000,"Mínima cuantía con valor superior al tope citado en el instructivo 2026 ($39.850.000): verificar modalidad; ",""),"")&amp;IF(AND(ISNUMBER(M244),OR(ISNUMBER(SEARCH("prestación de servicios",D244)),ISNUMBER(SEARCH("prestar servicios",D244)),ISNUMBER(SEARCH("prestar los servicios",D244)))),IF(M244&gt;=500000000,"Prestación de servicios por $500 millones o más: posible error de digitación; ",""),""))</f>
        <v xml:space="preserve">Duración vacía o en texto; </v>
      </c>
    </row>
    <row r="245" spans="1:15" ht="45.6" x14ac:dyDescent="0.3">
      <c r="A245" s="15" t="s">
        <v>705</v>
      </c>
      <c r="B245" s="15">
        <v>82101500</v>
      </c>
      <c r="C245" s="15" t="s">
        <v>389</v>
      </c>
      <c r="D245" s="15" t="s">
        <v>704</v>
      </c>
      <c r="E245" s="15" t="s">
        <v>1361</v>
      </c>
      <c r="F245" s="15" t="s">
        <v>1362</v>
      </c>
      <c r="G245" s="29">
        <v>98000000</v>
      </c>
      <c r="H245" s="15" t="s">
        <v>1376</v>
      </c>
      <c r="I245" s="15"/>
      <c r="J245" s="15" t="s">
        <v>1377</v>
      </c>
      <c r="K245" s="15"/>
      <c r="L245" s="30" t="s">
        <v>814</v>
      </c>
      <c r="M245" s="31">
        <v>98000000</v>
      </c>
      <c r="N245" s="30" t="s">
        <v>796</v>
      </c>
      <c r="O245" s="30" t="str">
        <f>IF(LEN(IF(OR(NOT(ISNUMBER(B245)),LEN(B245)&lt;&gt;8),"UNSPSC vacío, en texto, con varios códigos o sin 8 dígitos; ","")&amp;IF(AND(ISNUMBER(B245),LEN(B245)=8),IF(MOD(B245,10000)=0,"UNSPSC a nivel de segmento o familia; ",""),"")&amp;IF(NOT(ISNUMBER(E245)),"Duración vacía o en texto; ","")&amp;IF(NOT(ISNUMBER(G245)),"Valor vacío o en texto; ","")&amp;IF(ISNUMBER(M245),IF(M245&lt;1000000,"Valor inferior a $1.000.000: verificar; ",""),"Valor no interpretable; ")&amp;IF(N245="[PENDIENTE DE VERIFICAR]","Modalidad no identificable; ","")&amp;IF(OR(ISERROR(SEARCH("@itc.edu.co",J245)),SUMPRODUCT(--ISNUMBER(SEARCH({"á","é","í","ó","ú","ñ"},J245)))&gt;0),"Correo vacío o no institucional válido; ","")&amp;IF(LEN(TRIM(D245))=0,"Sin objeto contractual; ","")&amp;IF(AND(ISNUMBER(M245),N245="Mínima cuantía"),IF(M245&gt;39850000,"Mínima cuantía con valor superior al tope citado en el instructivo 2026 ($39.850.000): verificar modalidad; ",""),"")&amp;IF(AND(ISNUMBER(M245),OR(ISNUMBER(SEARCH("prestación de servicios",D245)),ISNUMBER(SEARCH("prestar servicios",D245)),ISNUMBER(SEARCH("prestar los servicios",D245)))),IF(M245&gt;=500000000,"Prestación de servicios por $500 millones o más: posible error de digitación; ",""),""))=0,"Sin observaciones",IF(OR(NOT(ISNUMBER(B245)),LEN(B245)&lt;&gt;8),"UNSPSC vacío, en texto, con varios códigos o sin 8 dígitos; ","")&amp;IF(AND(ISNUMBER(B245),LEN(B245)=8),IF(MOD(B245,10000)=0,"UNSPSC a nivel de segmento o familia; ",""),"")&amp;IF(NOT(ISNUMBER(E245)),"Duración vacía o en texto; ","")&amp;IF(NOT(ISNUMBER(G245)),"Valor vacío o en texto; ","")&amp;IF(ISNUMBER(M245),IF(M245&lt;1000000,"Valor inferior a $1.000.000: verificar; ",""),"Valor no interpretable; ")&amp;IF(N245="[PENDIENTE DE VERIFICAR]","Modalidad no identificable; ","")&amp;IF(OR(ISERROR(SEARCH("@itc.edu.co",J245)),SUMPRODUCT(--ISNUMBER(SEARCH({"á","é","í","ó","ú","ñ"},J245)))&gt;0),"Correo vacío o no institucional válido; ","")&amp;IF(LEN(TRIM(D245))=0,"Sin objeto contractual; ","")&amp;IF(AND(ISNUMBER(M245),N245="Mínima cuantía"),IF(M245&gt;39850000,"Mínima cuantía con valor superior al tope citado en el instructivo 2026 ($39.850.000): verificar modalidad; ",""),"")&amp;IF(AND(ISNUMBER(M245),OR(ISNUMBER(SEARCH("prestación de servicios",D245)),ISNUMBER(SEARCH("prestar servicios",D245)),ISNUMBER(SEARCH("prestar los servicios",D245)))),IF(M245&gt;=500000000,"Prestación de servicios por $500 millones o más: posible error de digitación; ",""),""))</f>
        <v xml:space="preserve">Duración vacía o en texto; Correo vacío o no institucional válido; </v>
      </c>
    </row>
    <row r="246" spans="1:15" ht="136.80000000000001" x14ac:dyDescent="0.3">
      <c r="A246" s="15" t="s">
        <v>1378</v>
      </c>
      <c r="B246" s="15">
        <v>80111600</v>
      </c>
      <c r="C246" s="15" t="s">
        <v>389</v>
      </c>
      <c r="D246" s="15" t="s">
        <v>1379</v>
      </c>
      <c r="E246" s="15" t="s">
        <v>1361</v>
      </c>
      <c r="F246" s="15" t="s">
        <v>802</v>
      </c>
      <c r="G246" s="29" t="s">
        <v>1380</v>
      </c>
      <c r="H246" s="15" t="s">
        <v>1376</v>
      </c>
      <c r="I246" s="15"/>
      <c r="J246" s="15" t="s">
        <v>1377</v>
      </c>
      <c r="K246" s="15"/>
      <c r="L246" s="30" t="s">
        <v>814</v>
      </c>
      <c r="M246" s="31">
        <v>80000000</v>
      </c>
      <c r="N246" s="30" t="s">
        <v>803</v>
      </c>
      <c r="O246" s="30" t="str">
        <f>IF(LEN(IF(OR(NOT(ISNUMBER(B246)),LEN(B246)&lt;&gt;8),"UNSPSC vacío, en texto, con varios códigos o sin 8 dígitos; ","")&amp;IF(AND(ISNUMBER(B246),LEN(B246)=8),IF(MOD(B246,10000)=0,"UNSPSC a nivel de segmento o familia; ",""),"")&amp;IF(NOT(ISNUMBER(E246)),"Duración vacía o en texto; ","")&amp;IF(NOT(ISNUMBER(G246)),"Valor vacío o en texto; ","")&amp;IF(ISNUMBER(M246),IF(M246&lt;1000000,"Valor inferior a $1.000.000: verificar; ",""),"Valor no interpretable; ")&amp;IF(N246="[PENDIENTE DE VERIFICAR]","Modalidad no identificable; ","")&amp;IF(OR(ISERROR(SEARCH("@itc.edu.co",J246)),SUMPRODUCT(--ISNUMBER(SEARCH({"á","é","í","ó","ú","ñ"},J246)))&gt;0),"Correo vacío o no institucional válido; ","")&amp;IF(LEN(TRIM(D246))=0,"Sin objeto contractual; ","")&amp;IF(AND(ISNUMBER(M246),N246="Mínima cuantía"),IF(M246&gt;39850000,"Mínima cuantía con valor superior al tope citado en el instructivo 2026 ($39.850.000): verificar modalidad; ",""),"")&amp;IF(AND(ISNUMBER(M246),OR(ISNUMBER(SEARCH("prestación de servicios",D246)),ISNUMBER(SEARCH("prestar servicios",D246)),ISNUMBER(SEARCH("prestar los servicios",D246)))),IF(M246&gt;=500000000,"Prestación de servicios por $500 millones o más: posible error de digitación; ",""),""))=0,"Sin observaciones",IF(OR(NOT(ISNUMBER(B246)),LEN(B246)&lt;&gt;8),"UNSPSC vacío, en texto, con varios códigos o sin 8 dígitos; ","")&amp;IF(AND(ISNUMBER(B246),LEN(B246)=8),IF(MOD(B246,10000)=0,"UNSPSC a nivel de segmento o familia; ",""),"")&amp;IF(NOT(ISNUMBER(E246)),"Duración vacía o en texto; ","")&amp;IF(NOT(ISNUMBER(G246)),"Valor vacío o en texto; ","")&amp;IF(ISNUMBER(M246),IF(M246&lt;1000000,"Valor inferior a $1.000.000: verificar; ",""),"Valor no interpretable; ")&amp;IF(N246="[PENDIENTE DE VERIFICAR]","Modalidad no identificable; ","")&amp;IF(OR(ISERROR(SEARCH("@itc.edu.co",J246)),SUMPRODUCT(--ISNUMBER(SEARCH({"á","é","í","ó","ú","ñ"},J246)))&gt;0),"Correo vacío o no institucional válido; ","")&amp;IF(LEN(TRIM(D246))=0,"Sin objeto contractual; ","")&amp;IF(AND(ISNUMBER(M246),N246="Mínima cuantía"),IF(M246&gt;39850000,"Mínima cuantía con valor superior al tope citado en el instructivo 2026 ($39.850.000): verificar modalidad; ",""),"")&amp;IF(AND(ISNUMBER(M246),OR(ISNUMBER(SEARCH("prestación de servicios",D246)),ISNUMBER(SEARCH("prestar servicios",D246)),ISNUMBER(SEARCH("prestar los servicios",D246)))),IF(M246&gt;=500000000,"Prestación de servicios por $500 millones o más: posible error de digitación; ",""),""))</f>
        <v xml:space="preserve">Duración vacía o en texto; Valor vacío o en texto; Correo vacío o no institucional válido; </v>
      </c>
    </row>
    <row r="247" spans="1:15" ht="57" x14ac:dyDescent="0.3">
      <c r="A247" s="15" t="s">
        <v>591</v>
      </c>
      <c r="B247" s="15">
        <v>43231500</v>
      </c>
      <c r="C247" s="15" t="s">
        <v>389</v>
      </c>
      <c r="D247" s="15" t="s">
        <v>1381</v>
      </c>
      <c r="E247" s="15" t="s">
        <v>1382</v>
      </c>
      <c r="F247" s="15" t="s">
        <v>1202</v>
      </c>
      <c r="G247" s="29">
        <v>5000000</v>
      </c>
      <c r="H247" s="15" t="s">
        <v>1376</v>
      </c>
      <c r="I247" s="15"/>
      <c r="J247" s="15" t="s">
        <v>1377</v>
      </c>
      <c r="K247" s="15"/>
      <c r="L247" s="30" t="s">
        <v>814</v>
      </c>
      <c r="M247" s="31">
        <v>5000000</v>
      </c>
      <c r="N247" s="30" t="s">
        <v>792</v>
      </c>
      <c r="O247" s="30" t="str">
        <f>IF(LEN(IF(OR(NOT(ISNUMBER(B247)),LEN(B247)&lt;&gt;8),"UNSPSC vacío, en texto, con varios códigos o sin 8 dígitos; ","")&amp;IF(AND(ISNUMBER(B247),LEN(B247)=8),IF(MOD(B247,10000)=0,"UNSPSC a nivel de segmento o familia; ",""),"")&amp;IF(NOT(ISNUMBER(E247)),"Duración vacía o en texto; ","")&amp;IF(NOT(ISNUMBER(G247)),"Valor vacío o en texto; ","")&amp;IF(ISNUMBER(M247),IF(M247&lt;1000000,"Valor inferior a $1.000.000: verificar; ",""),"Valor no interpretable; ")&amp;IF(N247="[PENDIENTE DE VERIFICAR]","Modalidad no identificable; ","")&amp;IF(OR(ISERROR(SEARCH("@itc.edu.co",J247)),SUMPRODUCT(--ISNUMBER(SEARCH({"á","é","í","ó","ú","ñ"},J247)))&gt;0),"Correo vacío o no institucional válido; ","")&amp;IF(LEN(TRIM(D247))=0,"Sin objeto contractual; ","")&amp;IF(AND(ISNUMBER(M247),N247="Mínima cuantía"),IF(M247&gt;39850000,"Mínima cuantía con valor superior al tope citado en el instructivo 2026 ($39.850.000): verificar modalidad; ",""),"")&amp;IF(AND(ISNUMBER(M247),OR(ISNUMBER(SEARCH("prestación de servicios",D247)),ISNUMBER(SEARCH("prestar servicios",D247)),ISNUMBER(SEARCH("prestar los servicios",D247)))),IF(M247&gt;=500000000,"Prestación de servicios por $500 millones o más: posible error de digitación; ",""),""))=0,"Sin observaciones",IF(OR(NOT(ISNUMBER(B247)),LEN(B247)&lt;&gt;8),"UNSPSC vacío, en texto, con varios códigos o sin 8 dígitos; ","")&amp;IF(AND(ISNUMBER(B247),LEN(B247)=8),IF(MOD(B247,10000)=0,"UNSPSC a nivel de segmento o familia; ",""),"")&amp;IF(NOT(ISNUMBER(E247)),"Duración vacía o en texto; ","")&amp;IF(NOT(ISNUMBER(G247)),"Valor vacío o en texto; ","")&amp;IF(ISNUMBER(M247),IF(M247&lt;1000000,"Valor inferior a $1.000.000: verificar; ",""),"Valor no interpretable; ")&amp;IF(N247="[PENDIENTE DE VERIFICAR]","Modalidad no identificable; ","")&amp;IF(OR(ISERROR(SEARCH("@itc.edu.co",J247)),SUMPRODUCT(--ISNUMBER(SEARCH({"á","é","í","ó","ú","ñ"},J247)))&gt;0),"Correo vacío o no institucional válido; ","")&amp;IF(LEN(TRIM(D247))=0,"Sin objeto contractual; ","")&amp;IF(AND(ISNUMBER(M247),N247="Mínima cuantía"),IF(M247&gt;39850000,"Mínima cuantía con valor superior al tope citado en el instructivo 2026 ($39.850.000): verificar modalidad; ",""),"")&amp;IF(AND(ISNUMBER(M247),OR(ISNUMBER(SEARCH("prestación de servicios",D247)),ISNUMBER(SEARCH("prestar servicios",D247)),ISNUMBER(SEARCH("prestar los servicios",D247)))),IF(M247&gt;=500000000,"Prestación de servicios por $500 millones o más: posible error de digitación; ",""),""))</f>
        <v xml:space="preserve">Duración vacía o en texto; Correo vacío o no institucional válido; </v>
      </c>
    </row>
    <row r="248" spans="1:15" ht="45.6" x14ac:dyDescent="0.3">
      <c r="A248" s="15" t="s">
        <v>388</v>
      </c>
      <c r="B248" s="15">
        <v>56121902</v>
      </c>
      <c r="C248" s="15" t="s">
        <v>389</v>
      </c>
      <c r="D248" s="15" t="s">
        <v>1383</v>
      </c>
      <c r="E248" s="15" t="s">
        <v>1361</v>
      </c>
      <c r="F248" s="15" t="s">
        <v>1202</v>
      </c>
      <c r="G248" s="29">
        <v>40000000</v>
      </c>
      <c r="H248" s="15" t="s">
        <v>1376</v>
      </c>
      <c r="I248" s="15"/>
      <c r="J248" s="15" t="s">
        <v>1377</v>
      </c>
      <c r="K248" s="15"/>
      <c r="L248" s="30" t="s">
        <v>814</v>
      </c>
      <c r="M248" s="31">
        <v>40000000</v>
      </c>
      <c r="N248" s="30" t="s">
        <v>792</v>
      </c>
      <c r="O248" s="30" t="str">
        <f>IF(LEN(IF(OR(NOT(ISNUMBER(B248)),LEN(B248)&lt;&gt;8),"UNSPSC vacío, en texto, con varios códigos o sin 8 dígitos; ","")&amp;IF(AND(ISNUMBER(B248),LEN(B248)=8),IF(MOD(B248,10000)=0,"UNSPSC a nivel de segmento o familia; ",""),"")&amp;IF(NOT(ISNUMBER(E248)),"Duración vacía o en texto; ","")&amp;IF(NOT(ISNUMBER(G248)),"Valor vacío o en texto; ","")&amp;IF(ISNUMBER(M248),IF(M248&lt;1000000,"Valor inferior a $1.000.000: verificar; ",""),"Valor no interpretable; ")&amp;IF(N248="[PENDIENTE DE VERIFICAR]","Modalidad no identificable; ","")&amp;IF(OR(ISERROR(SEARCH("@itc.edu.co",J248)),SUMPRODUCT(--ISNUMBER(SEARCH({"á","é","í","ó","ú","ñ"},J248)))&gt;0),"Correo vacío o no institucional válido; ","")&amp;IF(LEN(TRIM(D248))=0,"Sin objeto contractual; ","")&amp;IF(AND(ISNUMBER(M248),N248="Mínima cuantía"),IF(M248&gt;39850000,"Mínima cuantía con valor superior al tope citado en el instructivo 2026 ($39.850.000): verificar modalidad; ",""),"")&amp;IF(AND(ISNUMBER(M248),OR(ISNUMBER(SEARCH("prestación de servicios",D248)),ISNUMBER(SEARCH("prestar servicios",D248)),ISNUMBER(SEARCH("prestar los servicios",D248)))),IF(M248&gt;=500000000,"Prestación de servicios por $500 millones o más: posible error de digitación; ",""),""))=0,"Sin observaciones",IF(OR(NOT(ISNUMBER(B248)),LEN(B248)&lt;&gt;8),"UNSPSC vacío, en texto, con varios códigos o sin 8 dígitos; ","")&amp;IF(AND(ISNUMBER(B248),LEN(B248)=8),IF(MOD(B248,10000)=0,"UNSPSC a nivel de segmento o familia; ",""),"")&amp;IF(NOT(ISNUMBER(E248)),"Duración vacía o en texto; ","")&amp;IF(NOT(ISNUMBER(G248)),"Valor vacío o en texto; ","")&amp;IF(ISNUMBER(M248),IF(M248&lt;1000000,"Valor inferior a $1.000.000: verificar; ",""),"Valor no interpretable; ")&amp;IF(N248="[PENDIENTE DE VERIFICAR]","Modalidad no identificable; ","")&amp;IF(OR(ISERROR(SEARCH("@itc.edu.co",J248)),SUMPRODUCT(--ISNUMBER(SEARCH({"á","é","í","ó","ú","ñ"},J248)))&gt;0),"Correo vacío o no institucional válido; ","")&amp;IF(LEN(TRIM(D248))=0,"Sin objeto contractual; ","")&amp;IF(AND(ISNUMBER(M248),N248="Mínima cuantía"),IF(M248&gt;39850000,"Mínima cuantía con valor superior al tope citado en el instructivo 2026 ($39.850.000): verificar modalidad; ",""),"")&amp;IF(AND(ISNUMBER(M248),OR(ISNUMBER(SEARCH("prestación de servicios",D248)),ISNUMBER(SEARCH("prestar servicios",D248)),ISNUMBER(SEARCH("prestar los servicios",D248)))),IF(M248&gt;=500000000,"Prestación de servicios por $500 millones o más: posible error de digitación; ",""),""))</f>
        <v xml:space="preserve">Duración vacía o en texto; Correo vacío o no institucional válido; Mínima cuantía con valor superior al tope citado en el instructivo 2026 ($39.850.000): verificar modalidad; </v>
      </c>
    </row>
    <row r="249" spans="1:15" ht="45.6" x14ac:dyDescent="0.3">
      <c r="A249" s="15" t="s">
        <v>1384</v>
      </c>
      <c r="B249" s="15">
        <v>56121902</v>
      </c>
      <c r="C249" s="15" t="s">
        <v>389</v>
      </c>
      <c r="D249" s="15" t="s">
        <v>1385</v>
      </c>
      <c r="E249" s="15" t="s">
        <v>1386</v>
      </c>
      <c r="F249" s="15" t="s">
        <v>802</v>
      </c>
      <c r="G249" s="29">
        <v>35000000</v>
      </c>
      <c r="H249" s="15" t="s">
        <v>1376</v>
      </c>
      <c r="I249" s="15"/>
      <c r="J249" s="15" t="s">
        <v>1377</v>
      </c>
      <c r="K249" s="15"/>
      <c r="L249" s="30" t="s">
        <v>814</v>
      </c>
      <c r="M249" s="31">
        <v>35000000</v>
      </c>
      <c r="N249" s="30" t="s">
        <v>803</v>
      </c>
      <c r="O249" s="30" t="str">
        <f>IF(LEN(IF(OR(NOT(ISNUMBER(B249)),LEN(B249)&lt;&gt;8),"UNSPSC vacío, en texto, con varios códigos o sin 8 dígitos; ","")&amp;IF(AND(ISNUMBER(B249),LEN(B249)=8),IF(MOD(B249,10000)=0,"UNSPSC a nivel de segmento o familia; ",""),"")&amp;IF(NOT(ISNUMBER(E249)),"Duración vacía o en texto; ","")&amp;IF(NOT(ISNUMBER(G249)),"Valor vacío o en texto; ","")&amp;IF(ISNUMBER(M249),IF(M249&lt;1000000,"Valor inferior a $1.000.000: verificar; ",""),"Valor no interpretable; ")&amp;IF(N249="[PENDIENTE DE VERIFICAR]","Modalidad no identificable; ","")&amp;IF(OR(ISERROR(SEARCH("@itc.edu.co",J249)),SUMPRODUCT(--ISNUMBER(SEARCH({"á","é","í","ó","ú","ñ"},J249)))&gt;0),"Correo vacío o no institucional válido; ","")&amp;IF(LEN(TRIM(D249))=0,"Sin objeto contractual; ","")&amp;IF(AND(ISNUMBER(M249),N249="Mínima cuantía"),IF(M249&gt;39850000,"Mínima cuantía con valor superior al tope citado en el instructivo 2026 ($39.850.000): verificar modalidad; ",""),"")&amp;IF(AND(ISNUMBER(M249),OR(ISNUMBER(SEARCH("prestación de servicios",D249)),ISNUMBER(SEARCH("prestar servicios",D249)),ISNUMBER(SEARCH("prestar los servicios",D249)))),IF(M249&gt;=500000000,"Prestación de servicios por $500 millones o más: posible error de digitación; ",""),""))=0,"Sin observaciones",IF(OR(NOT(ISNUMBER(B249)),LEN(B249)&lt;&gt;8),"UNSPSC vacío, en texto, con varios códigos o sin 8 dígitos; ","")&amp;IF(AND(ISNUMBER(B249),LEN(B249)=8),IF(MOD(B249,10000)=0,"UNSPSC a nivel de segmento o familia; ",""),"")&amp;IF(NOT(ISNUMBER(E249)),"Duración vacía o en texto; ","")&amp;IF(NOT(ISNUMBER(G249)),"Valor vacío o en texto; ","")&amp;IF(ISNUMBER(M249),IF(M249&lt;1000000,"Valor inferior a $1.000.000: verificar; ",""),"Valor no interpretable; ")&amp;IF(N249="[PENDIENTE DE VERIFICAR]","Modalidad no identificable; ","")&amp;IF(OR(ISERROR(SEARCH("@itc.edu.co",J249)),SUMPRODUCT(--ISNUMBER(SEARCH({"á","é","í","ó","ú","ñ"},J249)))&gt;0),"Correo vacío o no institucional válido; ","")&amp;IF(LEN(TRIM(D249))=0,"Sin objeto contractual; ","")&amp;IF(AND(ISNUMBER(M249),N249="Mínima cuantía"),IF(M249&gt;39850000,"Mínima cuantía con valor superior al tope citado en el instructivo 2026 ($39.850.000): verificar modalidad; ",""),"")&amp;IF(AND(ISNUMBER(M249),OR(ISNUMBER(SEARCH("prestación de servicios",D249)),ISNUMBER(SEARCH("prestar servicios",D249)),ISNUMBER(SEARCH("prestar los servicios",D249)))),IF(M249&gt;=500000000,"Prestación de servicios por $500 millones o más: posible error de digitación; ",""),""))</f>
        <v xml:space="preserve">Duración vacía o en texto; Correo vacío o no institucional válido; </v>
      </c>
    </row>
    <row r="250" spans="1:15" ht="34.200000000000003" x14ac:dyDescent="0.3">
      <c r="A250" s="15" t="s">
        <v>1387</v>
      </c>
      <c r="B250" s="15">
        <v>56121902</v>
      </c>
      <c r="C250" s="15" t="s">
        <v>389</v>
      </c>
      <c r="D250" s="15" t="s">
        <v>1388</v>
      </c>
      <c r="E250" s="15" t="s">
        <v>1386</v>
      </c>
      <c r="F250" s="15" t="s">
        <v>802</v>
      </c>
      <c r="G250" s="29">
        <v>35000000</v>
      </c>
      <c r="H250" s="15" t="s">
        <v>1376</v>
      </c>
      <c r="I250" s="15"/>
      <c r="J250" s="15" t="s">
        <v>1377</v>
      </c>
      <c r="K250" s="15"/>
      <c r="L250" s="30" t="s">
        <v>814</v>
      </c>
      <c r="M250" s="31">
        <v>35000000</v>
      </c>
      <c r="N250" s="30" t="s">
        <v>803</v>
      </c>
      <c r="O250" s="30" t="str">
        <f>IF(LEN(IF(OR(NOT(ISNUMBER(B250)),LEN(B250)&lt;&gt;8),"UNSPSC vacío, en texto, con varios códigos o sin 8 dígitos; ","")&amp;IF(AND(ISNUMBER(B250),LEN(B250)=8),IF(MOD(B250,10000)=0,"UNSPSC a nivel de segmento o familia; ",""),"")&amp;IF(NOT(ISNUMBER(E250)),"Duración vacía o en texto; ","")&amp;IF(NOT(ISNUMBER(G250)),"Valor vacío o en texto; ","")&amp;IF(ISNUMBER(M250),IF(M250&lt;1000000,"Valor inferior a $1.000.000: verificar; ",""),"Valor no interpretable; ")&amp;IF(N250="[PENDIENTE DE VERIFICAR]","Modalidad no identificable; ","")&amp;IF(OR(ISERROR(SEARCH("@itc.edu.co",J250)),SUMPRODUCT(--ISNUMBER(SEARCH({"á","é","í","ó","ú","ñ"},J250)))&gt;0),"Correo vacío o no institucional válido; ","")&amp;IF(LEN(TRIM(D250))=0,"Sin objeto contractual; ","")&amp;IF(AND(ISNUMBER(M250),N250="Mínima cuantía"),IF(M250&gt;39850000,"Mínima cuantía con valor superior al tope citado en el instructivo 2026 ($39.850.000): verificar modalidad; ",""),"")&amp;IF(AND(ISNUMBER(M250),OR(ISNUMBER(SEARCH("prestación de servicios",D250)),ISNUMBER(SEARCH("prestar servicios",D250)),ISNUMBER(SEARCH("prestar los servicios",D250)))),IF(M250&gt;=500000000,"Prestación de servicios por $500 millones o más: posible error de digitación; ",""),""))=0,"Sin observaciones",IF(OR(NOT(ISNUMBER(B250)),LEN(B250)&lt;&gt;8),"UNSPSC vacío, en texto, con varios códigos o sin 8 dígitos; ","")&amp;IF(AND(ISNUMBER(B250),LEN(B250)=8),IF(MOD(B250,10000)=0,"UNSPSC a nivel de segmento o familia; ",""),"")&amp;IF(NOT(ISNUMBER(E250)),"Duración vacía o en texto; ","")&amp;IF(NOT(ISNUMBER(G250)),"Valor vacío o en texto; ","")&amp;IF(ISNUMBER(M250),IF(M250&lt;1000000,"Valor inferior a $1.000.000: verificar; ",""),"Valor no interpretable; ")&amp;IF(N250="[PENDIENTE DE VERIFICAR]","Modalidad no identificable; ","")&amp;IF(OR(ISERROR(SEARCH("@itc.edu.co",J250)),SUMPRODUCT(--ISNUMBER(SEARCH({"á","é","í","ó","ú","ñ"},J250)))&gt;0),"Correo vacío o no institucional válido; ","")&amp;IF(LEN(TRIM(D250))=0,"Sin objeto contractual; ","")&amp;IF(AND(ISNUMBER(M250),N250="Mínima cuantía"),IF(M250&gt;39850000,"Mínima cuantía con valor superior al tope citado en el instructivo 2026 ($39.850.000): verificar modalidad; ",""),"")&amp;IF(AND(ISNUMBER(M250),OR(ISNUMBER(SEARCH("prestación de servicios",D250)),ISNUMBER(SEARCH("prestar servicios",D250)),ISNUMBER(SEARCH("prestar los servicios",D250)))),IF(M250&gt;=500000000,"Prestación de servicios por $500 millones o más: posible error de digitación; ",""),""))</f>
        <v xml:space="preserve">Duración vacía o en texto; Correo vacío o no institucional válido; </v>
      </c>
    </row>
    <row r="251" spans="1:15" ht="114" x14ac:dyDescent="0.3">
      <c r="A251" s="15" t="s">
        <v>625</v>
      </c>
      <c r="B251" s="15">
        <v>55121715</v>
      </c>
      <c r="C251" s="15" t="s">
        <v>1389</v>
      </c>
      <c r="D251" s="15" t="s">
        <v>1390</v>
      </c>
      <c r="E251" s="15" t="s">
        <v>1391</v>
      </c>
      <c r="F251" s="15" t="s">
        <v>1202</v>
      </c>
      <c r="G251" s="29" t="s">
        <v>1171</v>
      </c>
      <c r="H251" s="15" t="s">
        <v>1392</v>
      </c>
      <c r="I251" s="15"/>
      <c r="J251" s="15" t="s">
        <v>1393</v>
      </c>
      <c r="K251" s="15"/>
      <c r="L251" s="30" t="s">
        <v>1103</v>
      </c>
      <c r="M251" s="31">
        <v>18000000</v>
      </c>
      <c r="N251" s="30" t="s">
        <v>792</v>
      </c>
      <c r="O251" s="30" t="str">
        <f>IF(LEN(IF(OR(NOT(ISNUMBER(B251)),LEN(B251)&lt;&gt;8),"UNSPSC vacío, en texto, con varios códigos o sin 8 dígitos; ","")&amp;IF(AND(ISNUMBER(B251),LEN(B251)=8),IF(MOD(B251,10000)=0,"UNSPSC a nivel de segmento o familia; ",""),"")&amp;IF(NOT(ISNUMBER(E251)),"Duración vacía o en texto; ","")&amp;IF(NOT(ISNUMBER(G251)),"Valor vacío o en texto; ","")&amp;IF(ISNUMBER(M251),IF(M251&lt;1000000,"Valor inferior a $1.000.000: verificar; ",""),"Valor no interpretable; ")&amp;IF(N251="[PENDIENTE DE VERIFICAR]","Modalidad no identificable; ","")&amp;IF(OR(ISERROR(SEARCH("@itc.edu.co",J251)),SUMPRODUCT(--ISNUMBER(SEARCH({"á","é","í","ó","ú","ñ"},J251)))&gt;0),"Correo vacío o no institucional válido; ","")&amp;IF(LEN(TRIM(D251))=0,"Sin objeto contractual; ","")&amp;IF(AND(ISNUMBER(M251),N251="Mínima cuantía"),IF(M251&gt;39850000,"Mínima cuantía con valor superior al tope citado en el instructivo 2026 ($39.850.000): verificar modalidad; ",""),"")&amp;IF(AND(ISNUMBER(M251),OR(ISNUMBER(SEARCH("prestación de servicios",D251)),ISNUMBER(SEARCH("prestar servicios",D251)),ISNUMBER(SEARCH("prestar los servicios",D251)))),IF(M251&gt;=500000000,"Prestación de servicios por $500 millones o más: posible error de digitación; ",""),""))=0,"Sin observaciones",IF(OR(NOT(ISNUMBER(B251)),LEN(B251)&lt;&gt;8),"UNSPSC vacío, en texto, con varios códigos o sin 8 dígitos; ","")&amp;IF(AND(ISNUMBER(B251),LEN(B251)=8),IF(MOD(B251,10000)=0,"UNSPSC a nivel de segmento o familia; ",""),"")&amp;IF(NOT(ISNUMBER(E251)),"Duración vacía o en texto; ","")&amp;IF(NOT(ISNUMBER(G251)),"Valor vacío o en texto; ","")&amp;IF(ISNUMBER(M251),IF(M251&lt;1000000,"Valor inferior a $1.000.000: verificar; ",""),"Valor no interpretable; ")&amp;IF(N251="[PENDIENTE DE VERIFICAR]","Modalidad no identificable; ","")&amp;IF(OR(ISERROR(SEARCH("@itc.edu.co",J251)),SUMPRODUCT(--ISNUMBER(SEARCH({"á","é","í","ó","ú","ñ"},J251)))&gt;0),"Correo vacío o no institucional válido; ","")&amp;IF(LEN(TRIM(D251))=0,"Sin objeto contractual; ","")&amp;IF(AND(ISNUMBER(M251),N251="Mínima cuantía"),IF(M251&gt;39850000,"Mínima cuantía con valor superior al tope citado en el instructivo 2026 ($39.850.000): verificar modalidad; ",""),"")&amp;IF(AND(ISNUMBER(M251),OR(ISNUMBER(SEARCH("prestación de servicios",D251)),ISNUMBER(SEARCH("prestar servicios",D251)),ISNUMBER(SEARCH("prestar los servicios",D251)))),IF(M251&gt;=500000000,"Prestación de servicios por $500 millones o más: posible error de digitación; ",""),""))</f>
        <v xml:space="preserve">Duración vacía o en texto; Valor vacío o en texto; </v>
      </c>
    </row>
    <row r="252" spans="1:15" ht="68.400000000000006" x14ac:dyDescent="0.3">
      <c r="A252" s="15" t="s">
        <v>462</v>
      </c>
      <c r="B252" s="15">
        <v>81112200</v>
      </c>
      <c r="C252" s="15" t="s">
        <v>1389</v>
      </c>
      <c r="D252" s="15" t="s">
        <v>1394</v>
      </c>
      <c r="E252" s="15" t="s">
        <v>1391</v>
      </c>
      <c r="F252" s="15" t="s">
        <v>1202</v>
      </c>
      <c r="G252" s="29" t="s">
        <v>1149</v>
      </c>
      <c r="H252" s="15" t="s">
        <v>1392</v>
      </c>
      <c r="I252" s="15"/>
      <c r="J252" s="15" t="s">
        <v>1393</v>
      </c>
      <c r="K252" s="15"/>
      <c r="L252" s="30" t="s">
        <v>1103</v>
      </c>
      <c r="M252" s="31">
        <v>30000000</v>
      </c>
      <c r="N252" s="30" t="s">
        <v>792</v>
      </c>
      <c r="O252" s="30" t="str">
        <f>IF(LEN(IF(OR(NOT(ISNUMBER(B252)),LEN(B252)&lt;&gt;8),"UNSPSC vacío, en texto, con varios códigos o sin 8 dígitos; ","")&amp;IF(AND(ISNUMBER(B252),LEN(B252)=8),IF(MOD(B252,10000)=0,"UNSPSC a nivel de segmento o familia; ",""),"")&amp;IF(NOT(ISNUMBER(E252)),"Duración vacía o en texto; ","")&amp;IF(NOT(ISNUMBER(G252)),"Valor vacío o en texto; ","")&amp;IF(ISNUMBER(M252),IF(M252&lt;1000000,"Valor inferior a $1.000.000: verificar; ",""),"Valor no interpretable; ")&amp;IF(N252="[PENDIENTE DE VERIFICAR]","Modalidad no identificable; ","")&amp;IF(OR(ISERROR(SEARCH("@itc.edu.co",J252)),SUMPRODUCT(--ISNUMBER(SEARCH({"á","é","í","ó","ú","ñ"},J252)))&gt;0),"Correo vacío o no institucional válido; ","")&amp;IF(LEN(TRIM(D252))=0,"Sin objeto contractual; ","")&amp;IF(AND(ISNUMBER(M252),N252="Mínima cuantía"),IF(M252&gt;39850000,"Mínima cuantía con valor superior al tope citado en el instructivo 2026 ($39.850.000): verificar modalidad; ",""),"")&amp;IF(AND(ISNUMBER(M252),OR(ISNUMBER(SEARCH("prestación de servicios",D252)),ISNUMBER(SEARCH("prestar servicios",D252)),ISNUMBER(SEARCH("prestar los servicios",D252)))),IF(M252&gt;=500000000,"Prestación de servicios por $500 millones o más: posible error de digitación; ",""),""))=0,"Sin observaciones",IF(OR(NOT(ISNUMBER(B252)),LEN(B252)&lt;&gt;8),"UNSPSC vacío, en texto, con varios códigos o sin 8 dígitos; ","")&amp;IF(AND(ISNUMBER(B252),LEN(B252)=8),IF(MOD(B252,10000)=0,"UNSPSC a nivel de segmento o familia; ",""),"")&amp;IF(NOT(ISNUMBER(E252)),"Duración vacía o en texto; ","")&amp;IF(NOT(ISNUMBER(G252)),"Valor vacío o en texto; ","")&amp;IF(ISNUMBER(M252),IF(M252&lt;1000000,"Valor inferior a $1.000.000: verificar; ",""),"Valor no interpretable; ")&amp;IF(N252="[PENDIENTE DE VERIFICAR]","Modalidad no identificable; ","")&amp;IF(OR(ISERROR(SEARCH("@itc.edu.co",J252)),SUMPRODUCT(--ISNUMBER(SEARCH({"á","é","í","ó","ú","ñ"},J252)))&gt;0),"Correo vacío o no institucional válido; ","")&amp;IF(LEN(TRIM(D252))=0,"Sin objeto contractual; ","")&amp;IF(AND(ISNUMBER(M252),N252="Mínima cuantía"),IF(M252&gt;39850000,"Mínima cuantía con valor superior al tope citado en el instructivo 2026 ($39.850.000): verificar modalidad; ",""),"")&amp;IF(AND(ISNUMBER(M252),OR(ISNUMBER(SEARCH("prestación de servicios",D252)),ISNUMBER(SEARCH("prestar servicios",D252)),ISNUMBER(SEARCH("prestar los servicios",D252)))),IF(M252&gt;=500000000,"Prestación de servicios por $500 millones o más: posible error de digitación; ",""),""))</f>
        <v xml:space="preserve">Duración vacía o en texto; Valor vacío o en texto; </v>
      </c>
    </row>
    <row r="253" spans="1:15" ht="45.6" x14ac:dyDescent="0.3">
      <c r="A253" s="15" t="s">
        <v>627</v>
      </c>
      <c r="B253" s="15">
        <v>55121718</v>
      </c>
      <c r="C253" s="15" t="s">
        <v>1389</v>
      </c>
      <c r="D253" s="15" t="s">
        <v>1395</v>
      </c>
      <c r="E253" s="15" t="s">
        <v>1396</v>
      </c>
      <c r="F253" s="15" t="s">
        <v>1202</v>
      </c>
      <c r="G253" s="29" t="s">
        <v>1346</v>
      </c>
      <c r="H253" s="15" t="s">
        <v>1392</v>
      </c>
      <c r="I253" s="15"/>
      <c r="J253" s="15" t="s">
        <v>1393</v>
      </c>
      <c r="K253" s="15"/>
      <c r="L253" s="30" t="s">
        <v>1103</v>
      </c>
      <c r="M253" s="31">
        <v>25000000</v>
      </c>
      <c r="N253" s="30" t="s">
        <v>792</v>
      </c>
      <c r="O253" s="30" t="str">
        <f>IF(LEN(IF(OR(NOT(ISNUMBER(B253)),LEN(B253)&lt;&gt;8),"UNSPSC vacío, en texto, con varios códigos o sin 8 dígitos; ","")&amp;IF(AND(ISNUMBER(B253),LEN(B253)=8),IF(MOD(B253,10000)=0,"UNSPSC a nivel de segmento o familia; ",""),"")&amp;IF(NOT(ISNUMBER(E253)),"Duración vacía o en texto; ","")&amp;IF(NOT(ISNUMBER(G253)),"Valor vacío o en texto; ","")&amp;IF(ISNUMBER(M253),IF(M253&lt;1000000,"Valor inferior a $1.000.000: verificar; ",""),"Valor no interpretable; ")&amp;IF(N253="[PENDIENTE DE VERIFICAR]","Modalidad no identificable; ","")&amp;IF(OR(ISERROR(SEARCH("@itc.edu.co",J253)),SUMPRODUCT(--ISNUMBER(SEARCH({"á","é","í","ó","ú","ñ"},J253)))&gt;0),"Correo vacío o no institucional válido; ","")&amp;IF(LEN(TRIM(D253))=0,"Sin objeto contractual; ","")&amp;IF(AND(ISNUMBER(M253),N253="Mínima cuantía"),IF(M253&gt;39850000,"Mínima cuantía con valor superior al tope citado en el instructivo 2026 ($39.850.000): verificar modalidad; ",""),"")&amp;IF(AND(ISNUMBER(M253),OR(ISNUMBER(SEARCH("prestación de servicios",D253)),ISNUMBER(SEARCH("prestar servicios",D253)),ISNUMBER(SEARCH("prestar los servicios",D253)))),IF(M253&gt;=500000000,"Prestación de servicios por $500 millones o más: posible error de digitación; ",""),""))=0,"Sin observaciones",IF(OR(NOT(ISNUMBER(B253)),LEN(B253)&lt;&gt;8),"UNSPSC vacío, en texto, con varios códigos o sin 8 dígitos; ","")&amp;IF(AND(ISNUMBER(B253),LEN(B253)=8),IF(MOD(B253,10000)=0,"UNSPSC a nivel de segmento o familia; ",""),"")&amp;IF(NOT(ISNUMBER(E253)),"Duración vacía o en texto; ","")&amp;IF(NOT(ISNUMBER(G253)),"Valor vacío o en texto; ","")&amp;IF(ISNUMBER(M253),IF(M253&lt;1000000,"Valor inferior a $1.000.000: verificar; ",""),"Valor no interpretable; ")&amp;IF(N253="[PENDIENTE DE VERIFICAR]","Modalidad no identificable; ","")&amp;IF(OR(ISERROR(SEARCH("@itc.edu.co",J253)),SUMPRODUCT(--ISNUMBER(SEARCH({"á","é","í","ó","ú","ñ"},J253)))&gt;0),"Correo vacío o no institucional válido; ","")&amp;IF(LEN(TRIM(D253))=0,"Sin objeto contractual; ","")&amp;IF(AND(ISNUMBER(M253),N253="Mínima cuantía"),IF(M253&gt;39850000,"Mínima cuantía con valor superior al tope citado en el instructivo 2026 ($39.850.000): verificar modalidad; ",""),"")&amp;IF(AND(ISNUMBER(M253),OR(ISNUMBER(SEARCH("prestación de servicios",D253)),ISNUMBER(SEARCH("prestar servicios",D253)),ISNUMBER(SEARCH("prestar los servicios",D253)))),IF(M253&gt;=500000000,"Prestación de servicios por $500 millones o más: posible error de digitación; ",""),""))</f>
        <v xml:space="preserve">Duración vacía o en texto; Valor vacío o en texto; </v>
      </c>
    </row>
    <row r="254" spans="1:15" ht="148.19999999999999" x14ac:dyDescent="0.3">
      <c r="A254" s="15" t="s">
        <v>602</v>
      </c>
      <c r="B254" s="15">
        <v>46181500</v>
      </c>
      <c r="C254" s="15" t="s">
        <v>1389</v>
      </c>
      <c r="D254" s="15" t="s">
        <v>1397</v>
      </c>
      <c r="E254" s="15" t="s">
        <v>1396</v>
      </c>
      <c r="F254" s="15" t="s">
        <v>1202</v>
      </c>
      <c r="G254" s="29" t="s">
        <v>1143</v>
      </c>
      <c r="H254" s="15" t="s">
        <v>1392</v>
      </c>
      <c r="I254" s="15"/>
      <c r="J254" s="15" t="s">
        <v>1393</v>
      </c>
      <c r="K254" s="15"/>
      <c r="L254" s="30" t="s">
        <v>1103</v>
      </c>
      <c r="M254" s="31">
        <v>15000000</v>
      </c>
      <c r="N254" s="30" t="s">
        <v>792</v>
      </c>
      <c r="O254" s="30" t="str">
        <f>IF(LEN(IF(OR(NOT(ISNUMBER(B254)),LEN(B254)&lt;&gt;8),"UNSPSC vacío, en texto, con varios códigos o sin 8 dígitos; ","")&amp;IF(AND(ISNUMBER(B254),LEN(B254)=8),IF(MOD(B254,10000)=0,"UNSPSC a nivel de segmento o familia; ",""),"")&amp;IF(NOT(ISNUMBER(E254)),"Duración vacía o en texto; ","")&amp;IF(NOT(ISNUMBER(G254)),"Valor vacío o en texto; ","")&amp;IF(ISNUMBER(M254),IF(M254&lt;1000000,"Valor inferior a $1.000.000: verificar; ",""),"Valor no interpretable; ")&amp;IF(N254="[PENDIENTE DE VERIFICAR]","Modalidad no identificable; ","")&amp;IF(OR(ISERROR(SEARCH("@itc.edu.co",J254)),SUMPRODUCT(--ISNUMBER(SEARCH({"á","é","í","ó","ú","ñ"},J254)))&gt;0),"Correo vacío o no institucional válido; ","")&amp;IF(LEN(TRIM(D254))=0,"Sin objeto contractual; ","")&amp;IF(AND(ISNUMBER(M254),N254="Mínima cuantía"),IF(M254&gt;39850000,"Mínima cuantía con valor superior al tope citado en el instructivo 2026 ($39.850.000): verificar modalidad; ",""),"")&amp;IF(AND(ISNUMBER(M254),OR(ISNUMBER(SEARCH("prestación de servicios",D254)),ISNUMBER(SEARCH("prestar servicios",D254)),ISNUMBER(SEARCH("prestar los servicios",D254)))),IF(M254&gt;=500000000,"Prestación de servicios por $500 millones o más: posible error de digitación; ",""),""))=0,"Sin observaciones",IF(OR(NOT(ISNUMBER(B254)),LEN(B254)&lt;&gt;8),"UNSPSC vacío, en texto, con varios códigos o sin 8 dígitos; ","")&amp;IF(AND(ISNUMBER(B254),LEN(B254)=8),IF(MOD(B254,10000)=0,"UNSPSC a nivel de segmento o familia; ",""),"")&amp;IF(NOT(ISNUMBER(E254)),"Duración vacía o en texto; ","")&amp;IF(NOT(ISNUMBER(G254)),"Valor vacío o en texto; ","")&amp;IF(ISNUMBER(M254),IF(M254&lt;1000000,"Valor inferior a $1.000.000: verificar; ",""),"Valor no interpretable; ")&amp;IF(N254="[PENDIENTE DE VERIFICAR]","Modalidad no identificable; ","")&amp;IF(OR(ISERROR(SEARCH("@itc.edu.co",J254)),SUMPRODUCT(--ISNUMBER(SEARCH({"á","é","í","ó","ú","ñ"},J254)))&gt;0),"Correo vacío o no institucional válido; ","")&amp;IF(LEN(TRIM(D254))=0,"Sin objeto contractual; ","")&amp;IF(AND(ISNUMBER(M254),N254="Mínima cuantía"),IF(M254&gt;39850000,"Mínima cuantía con valor superior al tope citado en el instructivo 2026 ($39.850.000): verificar modalidad; ",""),"")&amp;IF(AND(ISNUMBER(M254),OR(ISNUMBER(SEARCH("prestación de servicios",D254)),ISNUMBER(SEARCH("prestar servicios",D254)),ISNUMBER(SEARCH("prestar los servicios",D254)))),IF(M254&gt;=500000000,"Prestación de servicios por $500 millones o más: posible error de digitación; ",""),""))</f>
        <v xml:space="preserve">Duración vacía o en texto; Valor vacío o en texto; </v>
      </c>
    </row>
    <row r="255" spans="1:15" ht="136.80000000000001" x14ac:dyDescent="0.3">
      <c r="A255" s="15" t="s">
        <v>1398</v>
      </c>
      <c r="B255" s="15">
        <v>47121700</v>
      </c>
      <c r="C255" s="15" t="s">
        <v>1389</v>
      </c>
      <c r="D255" s="15" t="s">
        <v>1399</v>
      </c>
      <c r="E255" s="15" t="s">
        <v>1400</v>
      </c>
      <c r="F255" s="15" t="s">
        <v>1202</v>
      </c>
      <c r="G255" s="29" t="s">
        <v>1343</v>
      </c>
      <c r="H255" s="15" t="s">
        <v>1392</v>
      </c>
      <c r="I255" s="15"/>
      <c r="J255" s="15" t="s">
        <v>1393</v>
      </c>
      <c r="K255" s="15"/>
      <c r="L255" s="30" t="s">
        <v>1103</v>
      </c>
      <c r="M255" s="31">
        <v>10000000</v>
      </c>
      <c r="N255" s="30" t="s">
        <v>792</v>
      </c>
      <c r="O255" s="30" t="str">
        <f>IF(LEN(IF(OR(NOT(ISNUMBER(B255)),LEN(B255)&lt;&gt;8),"UNSPSC vacío, en texto, con varios códigos o sin 8 dígitos; ","")&amp;IF(AND(ISNUMBER(B255),LEN(B255)=8),IF(MOD(B255,10000)=0,"UNSPSC a nivel de segmento o familia; ",""),"")&amp;IF(NOT(ISNUMBER(E255)),"Duración vacía o en texto; ","")&amp;IF(NOT(ISNUMBER(G255)),"Valor vacío o en texto; ","")&amp;IF(ISNUMBER(M255),IF(M255&lt;1000000,"Valor inferior a $1.000.000: verificar; ",""),"Valor no interpretable; ")&amp;IF(N255="[PENDIENTE DE VERIFICAR]","Modalidad no identificable; ","")&amp;IF(OR(ISERROR(SEARCH("@itc.edu.co",J255)),SUMPRODUCT(--ISNUMBER(SEARCH({"á","é","í","ó","ú","ñ"},J255)))&gt;0),"Correo vacío o no institucional válido; ","")&amp;IF(LEN(TRIM(D255))=0,"Sin objeto contractual; ","")&amp;IF(AND(ISNUMBER(M255),N255="Mínima cuantía"),IF(M255&gt;39850000,"Mínima cuantía con valor superior al tope citado en el instructivo 2026 ($39.850.000): verificar modalidad; ",""),"")&amp;IF(AND(ISNUMBER(M255),OR(ISNUMBER(SEARCH("prestación de servicios",D255)),ISNUMBER(SEARCH("prestar servicios",D255)),ISNUMBER(SEARCH("prestar los servicios",D255)))),IF(M255&gt;=500000000,"Prestación de servicios por $500 millones o más: posible error de digitación; ",""),""))=0,"Sin observaciones",IF(OR(NOT(ISNUMBER(B255)),LEN(B255)&lt;&gt;8),"UNSPSC vacío, en texto, con varios códigos o sin 8 dígitos; ","")&amp;IF(AND(ISNUMBER(B255),LEN(B255)=8),IF(MOD(B255,10000)=0,"UNSPSC a nivel de segmento o familia; ",""),"")&amp;IF(NOT(ISNUMBER(E255)),"Duración vacía o en texto; ","")&amp;IF(NOT(ISNUMBER(G255)),"Valor vacío o en texto; ","")&amp;IF(ISNUMBER(M255),IF(M255&lt;1000000,"Valor inferior a $1.000.000: verificar; ",""),"Valor no interpretable; ")&amp;IF(N255="[PENDIENTE DE VERIFICAR]","Modalidad no identificable; ","")&amp;IF(OR(ISERROR(SEARCH("@itc.edu.co",J255)),SUMPRODUCT(--ISNUMBER(SEARCH({"á","é","í","ó","ú","ñ"},J255)))&gt;0),"Correo vacío o no institucional válido; ","")&amp;IF(LEN(TRIM(D255))=0,"Sin objeto contractual; ","")&amp;IF(AND(ISNUMBER(M255),N255="Mínima cuantía"),IF(M255&gt;39850000,"Mínima cuantía con valor superior al tope citado en el instructivo 2026 ($39.850.000): verificar modalidad; ",""),"")&amp;IF(AND(ISNUMBER(M255),OR(ISNUMBER(SEARCH("prestación de servicios",D255)),ISNUMBER(SEARCH("prestar servicios",D255)),ISNUMBER(SEARCH("prestar los servicios",D255)))),IF(M255&gt;=500000000,"Prestación de servicios por $500 millones o más: posible error de digitación; ",""),""))</f>
        <v xml:space="preserve">Duración vacía o en texto; Valor vacío o en texto; </v>
      </c>
    </row>
    <row r="256" spans="1:15" ht="193.8" x14ac:dyDescent="0.3">
      <c r="A256" s="15" t="s">
        <v>453</v>
      </c>
      <c r="B256" s="15">
        <v>81111500</v>
      </c>
      <c r="C256" s="15" t="s">
        <v>1389</v>
      </c>
      <c r="D256" s="15" t="s">
        <v>1401</v>
      </c>
      <c r="E256" s="15" t="s">
        <v>1396</v>
      </c>
      <c r="F256" s="15" t="s">
        <v>1402</v>
      </c>
      <c r="G256" s="29" t="s">
        <v>1403</v>
      </c>
      <c r="H256" s="15" t="s">
        <v>1392</v>
      </c>
      <c r="I256" s="15"/>
      <c r="J256" s="15" t="s">
        <v>1393</v>
      </c>
      <c r="K256" s="15"/>
      <c r="L256" s="30" t="s">
        <v>1103</v>
      </c>
      <c r="M256" s="31">
        <v>3000000</v>
      </c>
      <c r="N256" s="30" t="s">
        <v>1111</v>
      </c>
      <c r="O256" s="30" t="str">
        <f>IF(LEN(IF(OR(NOT(ISNUMBER(B256)),LEN(B256)&lt;&gt;8),"UNSPSC vacío, en texto, con varios códigos o sin 8 dígitos; ","")&amp;IF(AND(ISNUMBER(B256),LEN(B256)=8),IF(MOD(B256,10000)=0,"UNSPSC a nivel de segmento o familia; ",""),"")&amp;IF(NOT(ISNUMBER(E256)),"Duración vacía o en texto; ","")&amp;IF(NOT(ISNUMBER(G256)),"Valor vacío o en texto; ","")&amp;IF(ISNUMBER(M256),IF(M256&lt;1000000,"Valor inferior a $1.000.000: verificar; ",""),"Valor no interpretable; ")&amp;IF(N256="[PENDIENTE DE VERIFICAR]","Modalidad no identificable; ","")&amp;IF(OR(ISERROR(SEARCH("@itc.edu.co",J256)),SUMPRODUCT(--ISNUMBER(SEARCH({"á","é","í","ó","ú","ñ"},J256)))&gt;0),"Correo vacío o no institucional válido; ","")&amp;IF(LEN(TRIM(D256))=0,"Sin objeto contractual; ","")&amp;IF(AND(ISNUMBER(M256),N256="Mínima cuantía"),IF(M256&gt;39850000,"Mínima cuantía con valor superior al tope citado en el instructivo 2026 ($39.850.000): verificar modalidad; ",""),"")&amp;IF(AND(ISNUMBER(M256),OR(ISNUMBER(SEARCH("prestación de servicios",D256)),ISNUMBER(SEARCH("prestar servicios",D256)),ISNUMBER(SEARCH("prestar los servicios",D256)))),IF(M256&gt;=500000000,"Prestación de servicios por $500 millones o más: posible error de digitación; ",""),""))=0,"Sin observaciones",IF(OR(NOT(ISNUMBER(B256)),LEN(B256)&lt;&gt;8),"UNSPSC vacío, en texto, con varios códigos o sin 8 dígitos; ","")&amp;IF(AND(ISNUMBER(B256),LEN(B256)=8),IF(MOD(B256,10000)=0,"UNSPSC a nivel de segmento o familia; ",""),"")&amp;IF(NOT(ISNUMBER(E256)),"Duración vacía o en texto; ","")&amp;IF(NOT(ISNUMBER(G256)),"Valor vacío o en texto; ","")&amp;IF(ISNUMBER(M256),IF(M256&lt;1000000,"Valor inferior a $1.000.000: verificar; ",""),"Valor no interpretable; ")&amp;IF(N256="[PENDIENTE DE VERIFICAR]","Modalidad no identificable; ","")&amp;IF(OR(ISERROR(SEARCH("@itc.edu.co",J256)),SUMPRODUCT(--ISNUMBER(SEARCH({"á","é","í","ó","ú","ñ"},J256)))&gt;0),"Correo vacío o no institucional válido; ","")&amp;IF(LEN(TRIM(D256))=0,"Sin objeto contractual; ","")&amp;IF(AND(ISNUMBER(M256),N256="Mínima cuantía"),IF(M256&gt;39850000,"Mínima cuantía con valor superior al tope citado en el instructivo 2026 ($39.850.000): verificar modalidad; ",""),"")&amp;IF(AND(ISNUMBER(M256),OR(ISNUMBER(SEARCH("prestación de servicios",D256)),ISNUMBER(SEARCH("prestar servicios",D256)),ISNUMBER(SEARCH("prestar los servicios",D256)))),IF(M256&gt;=500000000,"Prestación de servicios por $500 millones o más: posible error de digitación; ",""),""))</f>
        <v xml:space="preserve">Duración vacía o en texto; Valor vacío o en texto; </v>
      </c>
    </row>
    <row r="257" spans="1:15" ht="319.2" x14ac:dyDescent="0.3">
      <c r="A257" s="15" t="s">
        <v>1404</v>
      </c>
      <c r="B257" s="15">
        <v>81111500</v>
      </c>
      <c r="C257" s="15" t="s">
        <v>1389</v>
      </c>
      <c r="D257" s="15" t="s">
        <v>1405</v>
      </c>
      <c r="E257" s="15" t="s">
        <v>1406</v>
      </c>
      <c r="F257" s="15" t="s">
        <v>1402</v>
      </c>
      <c r="G257" s="29" t="s">
        <v>1380</v>
      </c>
      <c r="H257" s="15" t="s">
        <v>1392</v>
      </c>
      <c r="I257" s="15"/>
      <c r="J257" s="15" t="s">
        <v>1393</v>
      </c>
      <c r="K257" s="15"/>
      <c r="L257" s="30" t="s">
        <v>1103</v>
      </c>
      <c r="M257" s="31">
        <v>80000000</v>
      </c>
      <c r="N257" s="30" t="s">
        <v>1111</v>
      </c>
      <c r="O257" s="30" t="str">
        <f>IF(LEN(IF(OR(NOT(ISNUMBER(B257)),LEN(B257)&lt;&gt;8),"UNSPSC vacío, en texto, con varios códigos o sin 8 dígitos; ","")&amp;IF(AND(ISNUMBER(B257),LEN(B257)=8),IF(MOD(B257,10000)=0,"UNSPSC a nivel de segmento o familia; ",""),"")&amp;IF(NOT(ISNUMBER(E257)),"Duración vacía o en texto; ","")&amp;IF(NOT(ISNUMBER(G257)),"Valor vacío o en texto; ","")&amp;IF(ISNUMBER(M257),IF(M257&lt;1000000,"Valor inferior a $1.000.000: verificar; ",""),"Valor no interpretable; ")&amp;IF(N257="[PENDIENTE DE VERIFICAR]","Modalidad no identificable; ","")&amp;IF(OR(ISERROR(SEARCH("@itc.edu.co",J257)),SUMPRODUCT(--ISNUMBER(SEARCH({"á","é","í","ó","ú","ñ"},J257)))&gt;0),"Correo vacío o no institucional válido; ","")&amp;IF(LEN(TRIM(D257))=0,"Sin objeto contractual; ","")&amp;IF(AND(ISNUMBER(M257),N257="Mínima cuantía"),IF(M257&gt;39850000,"Mínima cuantía con valor superior al tope citado en el instructivo 2026 ($39.850.000): verificar modalidad; ",""),"")&amp;IF(AND(ISNUMBER(M257),OR(ISNUMBER(SEARCH("prestación de servicios",D257)),ISNUMBER(SEARCH("prestar servicios",D257)),ISNUMBER(SEARCH("prestar los servicios",D257)))),IF(M257&gt;=500000000,"Prestación de servicios por $500 millones o más: posible error de digitación; ",""),""))=0,"Sin observaciones",IF(OR(NOT(ISNUMBER(B257)),LEN(B257)&lt;&gt;8),"UNSPSC vacío, en texto, con varios códigos o sin 8 dígitos; ","")&amp;IF(AND(ISNUMBER(B257),LEN(B257)=8),IF(MOD(B257,10000)=0,"UNSPSC a nivel de segmento o familia; ",""),"")&amp;IF(NOT(ISNUMBER(E257)),"Duración vacía o en texto; ","")&amp;IF(NOT(ISNUMBER(G257)),"Valor vacío o en texto; ","")&amp;IF(ISNUMBER(M257),IF(M257&lt;1000000,"Valor inferior a $1.000.000: verificar; ",""),"Valor no interpretable; ")&amp;IF(N257="[PENDIENTE DE VERIFICAR]","Modalidad no identificable; ","")&amp;IF(OR(ISERROR(SEARCH("@itc.edu.co",J257)),SUMPRODUCT(--ISNUMBER(SEARCH({"á","é","í","ó","ú","ñ"},J257)))&gt;0),"Correo vacío o no institucional válido; ","")&amp;IF(LEN(TRIM(D257))=0,"Sin objeto contractual; ","")&amp;IF(AND(ISNUMBER(M257),N257="Mínima cuantía"),IF(M257&gt;39850000,"Mínima cuantía con valor superior al tope citado en el instructivo 2026 ($39.850.000): verificar modalidad; ",""),"")&amp;IF(AND(ISNUMBER(M257),OR(ISNUMBER(SEARCH("prestación de servicios",D257)),ISNUMBER(SEARCH("prestar servicios",D257)),ISNUMBER(SEARCH("prestar los servicios",D257)))),IF(M257&gt;=500000000,"Prestación de servicios por $500 millones o más: posible error de digitación; ",""),""))</f>
        <v xml:space="preserve">Duración vacía o en texto; Valor vacío o en texto; </v>
      </c>
    </row>
    <row r="258" spans="1:15" ht="148.19999999999999" x14ac:dyDescent="0.3">
      <c r="A258" s="15" t="s">
        <v>637</v>
      </c>
      <c r="B258" s="15">
        <v>56112102</v>
      </c>
      <c r="C258" s="15" t="s">
        <v>1389</v>
      </c>
      <c r="D258" s="15" t="s">
        <v>1407</v>
      </c>
      <c r="E258" s="15" t="s">
        <v>1406</v>
      </c>
      <c r="F258" s="15" t="s">
        <v>1202</v>
      </c>
      <c r="G258" s="29" t="s">
        <v>1408</v>
      </c>
      <c r="H258" s="15" t="s">
        <v>1392</v>
      </c>
      <c r="I258" s="15"/>
      <c r="J258" s="15" t="s">
        <v>1393</v>
      </c>
      <c r="K258" s="15"/>
      <c r="L258" s="30" t="s">
        <v>1103</v>
      </c>
      <c r="M258" s="31">
        <v>15000000</v>
      </c>
      <c r="N258" s="30" t="s">
        <v>792</v>
      </c>
      <c r="O258" s="30" t="str">
        <f>IF(LEN(IF(OR(NOT(ISNUMBER(B258)),LEN(B258)&lt;&gt;8),"UNSPSC vacío, en texto, con varios códigos o sin 8 dígitos; ","")&amp;IF(AND(ISNUMBER(B258),LEN(B258)=8),IF(MOD(B258,10000)=0,"UNSPSC a nivel de segmento o familia; ",""),"")&amp;IF(NOT(ISNUMBER(E258)),"Duración vacía o en texto; ","")&amp;IF(NOT(ISNUMBER(G258)),"Valor vacío o en texto; ","")&amp;IF(ISNUMBER(M258),IF(M258&lt;1000000,"Valor inferior a $1.000.000: verificar; ",""),"Valor no interpretable; ")&amp;IF(N258="[PENDIENTE DE VERIFICAR]","Modalidad no identificable; ","")&amp;IF(OR(ISERROR(SEARCH("@itc.edu.co",J258)),SUMPRODUCT(--ISNUMBER(SEARCH({"á","é","í","ó","ú","ñ"},J258)))&gt;0),"Correo vacío o no institucional válido; ","")&amp;IF(LEN(TRIM(D258))=0,"Sin objeto contractual; ","")&amp;IF(AND(ISNUMBER(M258),N258="Mínima cuantía"),IF(M258&gt;39850000,"Mínima cuantía con valor superior al tope citado en el instructivo 2026 ($39.850.000): verificar modalidad; ",""),"")&amp;IF(AND(ISNUMBER(M258),OR(ISNUMBER(SEARCH("prestación de servicios",D258)),ISNUMBER(SEARCH("prestar servicios",D258)),ISNUMBER(SEARCH("prestar los servicios",D258)))),IF(M258&gt;=500000000,"Prestación de servicios por $500 millones o más: posible error de digitación; ",""),""))=0,"Sin observaciones",IF(OR(NOT(ISNUMBER(B258)),LEN(B258)&lt;&gt;8),"UNSPSC vacío, en texto, con varios códigos o sin 8 dígitos; ","")&amp;IF(AND(ISNUMBER(B258),LEN(B258)=8),IF(MOD(B258,10000)=0,"UNSPSC a nivel de segmento o familia; ",""),"")&amp;IF(NOT(ISNUMBER(E258)),"Duración vacía o en texto; ","")&amp;IF(NOT(ISNUMBER(G258)),"Valor vacío o en texto; ","")&amp;IF(ISNUMBER(M258),IF(M258&lt;1000000,"Valor inferior a $1.000.000: verificar; ",""),"Valor no interpretable; ")&amp;IF(N258="[PENDIENTE DE VERIFICAR]","Modalidad no identificable; ","")&amp;IF(OR(ISERROR(SEARCH("@itc.edu.co",J258)),SUMPRODUCT(--ISNUMBER(SEARCH({"á","é","í","ó","ú","ñ"},J258)))&gt;0),"Correo vacío o no institucional válido; ","")&amp;IF(LEN(TRIM(D258))=0,"Sin objeto contractual; ","")&amp;IF(AND(ISNUMBER(M258),N258="Mínima cuantía"),IF(M258&gt;39850000,"Mínima cuantía con valor superior al tope citado en el instructivo 2026 ($39.850.000): verificar modalidad; ",""),"")&amp;IF(AND(ISNUMBER(M258),OR(ISNUMBER(SEARCH("prestación de servicios",D258)),ISNUMBER(SEARCH("prestar servicios",D258)),ISNUMBER(SEARCH("prestar los servicios",D258)))),IF(M258&gt;=500000000,"Prestación de servicios por $500 millones o más: posible error de digitación; ",""),""))</f>
        <v xml:space="preserve">Duración vacía o en texto; Valor vacío o en texto; </v>
      </c>
    </row>
    <row r="259" spans="1:15" ht="171" x14ac:dyDescent="0.3">
      <c r="A259" s="15" t="s">
        <v>610</v>
      </c>
      <c r="B259" s="15">
        <v>47121602</v>
      </c>
      <c r="C259" s="15" t="s">
        <v>1389</v>
      </c>
      <c r="D259" s="15" t="s">
        <v>1409</v>
      </c>
      <c r="E259" s="15" t="s">
        <v>1406</v>
      </c>
      <c r="F259" s="15" t="s">
        <v>1202</v>
      </c>
      <c r="G259" s="29" t="s">
        <v>1410</v>
      </c>
      <c r="H259" s="15" t="s">
        <v>1392</v>
      </c>
      <c r="I259" s="15"/>
      <c r="J259" s="15" t="s">
        <v>1393</v>
      </c>
      <c r="K259" s="15"/>
      <c r="L259" s="30" t="s">
        <v>1103</v>
      </c>
      <c r="M259" s="31">
        <v>6000000</v>
      </c>
      <c r="N259" s="30" t="s">
        <v>792</v>
      </c>
      <c r="O259" s="30" t="str">
        <f>IF(LEN(IF(OR(NOT(ISNUMBER(B259)),LEN(B259)&lt;&gt;8),"UNSPSC vacío, en texto, con varios códigos o sin 8 dígitos; ","")&amp;IF(AND(ISNUMBER(B259),LEN(B259)=8),IF(MOD(B259,10000)=0,"UNSPSC a nivel de segmento o familia; ",""),"")&amp;IF(NOT(ISNUMBER(E259)),"Duración vacía o en texto; ","")&amp;IF(NOT(ISNUMBER(G259)),"Valor vacío o en texto; ","")&amp;IF(ISNUMBER(M259),IF(M259&lt;1000000,"Valor inferior a $1.000.000: verificar; ",""),"Valor no interpretable; ")&amp;IF(N259="[PENDIENTE DE VERIFICAR]","Modalidad no identificable; ","")&amp;IF(OR(ISERROR(SEARCH("@itc.edu.co",J259)),SUMPRODUCT(--ISNUMBER(SEARCH({"á","é","í","ó","ú","ñ"},J259)))&gt;0),"Correo vacío o no institucional válido; ","")&amp;IF(LEN(TRIM(D259))=0,"Sin objeto contractual; ","")&amp;IF(AND(ISNUMBER(M259),N259="Mínima cuantía"),IF(M259&gt;39850000,"Mínima cuantía con valor superior al tope citado en el instructivo 2026 ($39.850.000): verificar modalidad; ",""),"")&amp;IF(AND(ISNUMBER(M259),OR(ISNUMBER(SEARCH("prestación de servicios",D259)),ISNUMBER(SEARCH("prestar servicios",D259)),ISNUMBER(SEARCH("prestar los servicios",D259)))),IF(M259&gt;=500000000,"Prestación de servicios por $500 millones o más: posible error de digitación; ",""),""))=0,"Sin observaciones",IF(OR(NOT(ISNUMBER(B259)),LEN(B259)&lt;&gt;8),"UNSPSC vacío, en texto, con varios códigos o sin 8 dígitos; ","")&amp;IF(AND(ISNUMBER(B259),LEN(B259)=8),IF(MOD(B259,10000)=0,"UNSPSC a nivel de segmento o familia; ",""),"")&amp;IF(NOT(ISNUMBER(E259)),"Duración vacía o en texto; ","")&amp;IF(NOT(ISNUMBER(G259)),"Valor vacío o en texto; ","")&amp;IF(ISNUMBER(M259),IF(M259&lt;1000000,"Valor inferior a $1.000.000: verificar; ",""),"Valor no interpretable; ")&amp;IF(N259="[PENDIENTE DE VERIFICAR]","Modalidad no identificable; ","")&amp;IF(OR(ISERROR(SEARCH("@itc.edu.co",J259)),SUMPRODUCT(--ISNUMBER(SEARCH({"á","é","í","ó","ú","ñ"},J259)))&gt;0),"Correo vacío o no institucional válido; ","")&amp;IF(LEN(TRIM(D259))=0,"Sin objeto contractual; ","")&amp;IF(AND(ISNUMBER(M259),N259="Mínima cuantía"),IF(M259&gt;39850000,"Mínima cuantía con valor superior al tope citado en el instructivo 2026 ($39.850.000): verificar modalidad; ",""),"")&amp;IF(AND(ISNUMBER(M259),OR(ISNUMBER(SEARCH("prestación de servicios",D259)),ISNUMBER(SEARCH("prestar servicios",D259)),ISNUMBER(SEARCH("prestar los servicios",D259)))),IF(M259&gt;=500000000,"Prestación de servicios por $500 millones o más: posible error de digitación; ",""),""))</f>
        <v xml:space="preserve">Duración vacía o en texto; Valor vacío o en texto; </v>
      </c>
    </row>
    <row r="260" spans="1:15" ht="171" x14ac:dyDescent="0.3">
      <c r="A260" s="15" t="s">
        <v>510</v>
      </c>
      <c r="B260" s="15">
        <v>24101504</v>
      </c>
      <c r="C260" s="15" t="s">
        <v>1389</v>
      </c>
      <c r="D260" s="15" t="s">
        <v>1411</v>
      </c>
      <c r="E260" s="15" t="s">
        <v>1406</v>
      </c>
      <c r="F260" s="15" t="s">
        <v>1412</v>
      </c>
      <c r="G260" s="29" t="s">
        <v>1413</v>
      </c>
      <c r="H260" s="15" t="s">
        <v>1392</v>
      </c>
      <c r="I260" s="15"/>
      <c r="J260" s="15" t="s">
        <v>1393</v>
      </c>
      <c r="K260" s="15"/>
      <c r="L260" s="30" t="s">
        <v>1103</v>
      </c>
      <c r="M260" s="31">
        <v>1200000</v>
      </c>
      <c r="N260" s="30" t="s">
        <v>792</v>
      </c>
      <c r="O260" s="30" t="str">
        <f>IF(LEN(IF(OR(NOT(ISNUMBER(B260)),LEN(B260)&lt;&gt;8),"UNSPSC vacío, en texto, con varios códigos o sin 8 dígitos; ","")&amp;IF(AND(ISNUMBER(B260),LEN(B260)=8),IF(MOD(B260,10000)=0,"UNSPSC a nivel de segmento o familia; ",""),"")&amp;IF(NOT(ISNUMBER(E260)),"Duración vacía o en texto; ","")&amp;IF(NOT(ISNUMBER(G260)),"Valor vacío o en texto; ","")&amp;IF(ISNUMBER(M260),IF(M260&lt;1000000,"Valor inferior a $1.000.000: verificar; ",""),"Valor no interpretable; ")&amp;IF(N260="[PENDIENTE DE VERIFICAR]","Modalidad no identificable; ","")&amp;IF(OR(ISERROR(SEARCH("@itc.edu.co",J260)),SUMPRODUCT(--ISNUMBER(SEARCH({"á","é","í","ó","ú","ñ"},J260)))&gt;0),"Correo vacío o no institucional válido; ","")&amp;IF(LEN(TRIM(D260))=0,"Sin objeto contractual; ","")&amp;IF(AND(ISNUMBER(M260),N260="Mínima cuantía"),IF(M260&gt;39850000,"Mínima cuantía con valor superior al tope citado en el instructivo 2026 ($39.850.000): verificar modalidad; ",""),"")&amp;IF(AND(ISNUMBER(M260),OR(ISNUMBER(SEARCH("prestación de servicios",D260)),ISNUMBER(SEARCH("prestar servicios",D260)),ISNUMBER(SEARCH("prestar los servicios",D260)))),IF(M260&gt;=500000000,"Prestación de servicios por $500 millones o más: posible error de digitación; ",""),""))=0,"Sin observaciones",IF(OR(NOT(ISNUMBER(B260)),LEN(B260)&lt;&gt;8),"UNSPSC vacío, en texto, con varios códigos o sin 8 dígitos; ","")&amp;IF(AND(ISNUMBER(B260),LEN(B260)=8),IF(MOD(B260,10000)=0,"UNSPSC a nivel de segmento o familia; ",""),"")&amp;IF(NOT(ISNUMBER(E260)),"Duración vacía o en texto; ","")&amp;IF(NOT(ISNUMBER(G260)),"Valor vacío o en texto; ","")&amp;IF(ISNUMBER(M260),IF(M260&lt;1000000,"Valor inferior a $1.000.000: verificar; ",""),"Valor no interpretable; ")&amp;IF(N260="[PENDIENTE DE VERIFICAR]","Modalidad no identificable; ","")&amp;IF(OR(ISERROR(SEARCH("@itc.edu.co",J260)),SUMPRODUCT(--ISNUMBER(SEARCH({"á","é","í","ó","ú","ñ"},J260)))&gt;0),"Correo vacío o no institucional válido; ","")&amp;IF(LEN(TRIM(D260))=0,"Sin objeto contractual; ","")&amp;IF(AND(ISNUMBER(M260),N260="Mínima cuantía"),IF(M260&gt;39850000,"Mínima cuantía con valor superior al tope citado en el instructivo 2026 ($39.850.000): verificar modalidad; ",""),"")&amp;IF(AND(ISNUMBER(M260),OR(ISNUMBER(SEARCH("prestación de servicios",D260)),ISNUMBER(SEARCH("prestar servicios",D260)),ISNUMBER(SEARCH("prestar los servicios",D260)))),IF(M260&gt;=500000000,"Prestación de servicios por $500 millones o más: posible error de digitación; ",""),""))</f>
        <v xml:space="preserve">Duración vacía o en texto; Valor vacío o en texto; </v>
      </c>
    </row>
    <row r="261" spans="1:15" ht="159.6" x14ac:dyDescent="0.3">
      <c r="A261" s="15" t="s">
        <v>548</v>
      </c>
      <c r="B261" s="15">
        <v>41112209</v>
      </c>
      <c r="C261" s="15" t="s">
        <v>1389</v>
      </c>
      <c r="D261" s="15" t="s">
        <v>1414</v>
      </c>
      <c r="E261" s="15" t="s">
        <v>1406</v>
      </c>
      <c r="F261" s="15" t="s">
        <v>1412</v>
      </c>
      <c r="G261" s="29" t="s">
        <v>1415</v>
      </c>
      <c r="H261" s="15" t="s">
        <v>1392</v>
      </c>
      <c r="I261" s="15"/>
      <c r="J261" s="15" t="s">
        <v>1393</v>
      </c>
      <c r="K261" s="15"/>
      <c r="L261" s="30" t="s">
        <v>1103</v>
      </c>
      <c r="M261" s="31">
        <v>6000000</v>
      </c>
      <c r="N261" s="30" t="s">
        <v>792</v>
      </c>
      <c r="O261" s="30" t="str">
        <f>IF(LEN(IF(OR(NOT(ISNUMBER(B261)),LEN(B261)&lt;&gt;8),"UNSPSC vacío, en texto, con varios códigos o sin 8 dígitos; ","")&amp;IF(AND(ISNUMBER(B261),LEN(B261)=8),IF(MOD(B261,10000)=0,"UNSPSC a nivel de segmento o familia; ",""),"")&amp;IF(NOT(ISNUMBER(E261)),"Duración vacía o en texto; ","")&amp;IF(NOT(ISNUMBER(G261)),"Valor vacío o en texto; ","")&amp;IF(ISNUMBER(M261),IF(M261&lt;1000000,"Valor inferior a $1.000.000: verificar; ",""),"Valor no interpretable; ")&amp;IF(N261="[PENDIENTE DE VERIFICAR]","Modalidad no identificable; ","")&amp;IF(OR(ISERROR(SEARCH("@itc.edu.co",J261)),SUMPRODUCT(--ISNUMBER(SEARCH({"á","é","í","ó","ú","ñ"},J261)))&gt;0),"Correo vacío o no institucional válido; ","")&amp;IF(LEN(TRIM(D261))=0,"Sin objeto contractual; ","")&amp;IF(AND(ISNUMBER(M261),N261="Mínima cuantía"),IF(M261&gt;39850000,"Mínima cuantía con valor superior al tope citado en el instructivo 2026 ($39.850.000): verificar modalidad; ",""),"")&amp;IF(AND(ISNUMBER(M261),OR(ISNUMBER(SEARCH("prestación de servicios",D261)),ISNUMBER(SEARCH("prestar servicios",D261)),ISNUMBER(SEARCH("prestar los servicios",D261)))),IF(M261&gt;=500000000,"Prestación de servicios por $500 millones o más: posible error de digitación; ",""),""))=0,"Sin observaciones",IF(OR(NOT(ISNUMBER(B261)),LEN(B261)&lt;&gt;8),"UNSPSC vacío, en texto, con varios códigos o sin 8 dígitos; ","")&amp;IF(AND(ISNUMBER(B261),LEN(B261)=8),IF(MOD(B261,10000)=0,"UNSPSC a nivel de segmento o familia; ",""),"")&amp;IF(NOT(ISNUMBER(E261)),"Duración vacía o en texto; ","")&amp;IF(NOT(ISNUMBER(G261)),"Valor vacío o en texto; ","")&amp;IF(ISNUMBER(M261),IF(M261&lt;1000000,"Valor inferior a $1.000.000: verificar; ",""),"Valor no interpretable; ")&amp;IF(N261="[PENDIENTE DE VERIFICAR]","Modalidad no identificable; ","")&amp;IF(OR(ISERROR(SEARCH("@itc.edu.co",J261)),SUMPRODUCT(--ISNUMBER(SEARCH({"á","é","í","ó","ú","ñ"},J261)))&gt;0),"Correo vacío o no institucional válido; ","")&amp;IF(LEN(TRIM(D261))=0,"Sin objeto contractual; ","")&amp;IF(AND(ISNUMBER(M261),N261="Mínima cuantía"),IF(M261&gt;39850000,"Mínima cuantía con valor superior al tope citado en el instructivo 2026 ($39.850.000): verificar modalidad; ",""),"")&amp;IF(AND(ISNUMBER(M261),OR(ISNUMBER(SEARCH("prestación de servicios",D261)),ISNUMBER(SEARCH("prestar servicios",D261)),ISNUMBER(SEARCH("prestar los servicios",D261)))),IF(M261&gt;=500000000,"Prestación de servicios por $500 millones o más: posible error de digitación; ",""),""))</f>
        <v xml:space="preserve">Duración vacía o en texto; Valor vacío o en texto; </v>
      </c>
    </row>
    <row r="262" spans="1:15" ht="159.6" x14ac:dyDescent="0.3">
      <c r="A262" s="15" t="s">
        <v>537</v>
      </c>
      <c r="B262" s="15">
        <v>40101902</v>
      </c>
      <c r="C262" s="15" t="s">
        <v>1389</v>
      </c>
      <c r="D262" s="15" t="s">
        <v>1416</v>
      </c>
      <c r="E262" s="15" t="s">
        <v>1406</v>
      </c>
      <c r="F262" s="15" t="s">
        <v>1412</v>
      </c>
      <c r="G262" s="29" t="s">
        <v>1417</v>
      </c>
      <c r="H262" s="15" t="s">
        <v>1392</v>
      </c>
      <c r="I262" s="15"/>
      <c r="J262" s="15" t="s">
        <v>1393</v>
      </c>
      <c r="K262" s="15"/>
      <c r="L262" s="30" t="s">
        <v>1103</v>
      </c>
      <c r="M262" s="31">
        <v>12000000</v>
      </c>
      <c r="N262" s="30" t="s">
        <v>792</v>
      </c>
      <c r="O262" s="30" t="str">
        <f>IF(LEN(IF(OR(NOT(ISNUMBER(B262)),LEN(B262)&lt;&gt;8),"UNSPSC vacío, en texto, con varios códigos o sin 8 dígitos; ","")&amp;IF(AND(ISNUMBER(B262),LEN(B262)=8),IF(MOD(B262,10000)=0,"UNSPSC a nivel de segmento o familia; ",""),"")&amp;IF(NOT(ISNUMBER(E262)),"Duración vacía o en texto; ","")&amp;IF(NOT(ISNUMBER(G262)),"Valor vacío o en texto; ","")&amp;IF(ISNUMBER(M262),IF(M262&lt;1000000,"Valor inferior a $1.000.000: verificar; ",""),"Valor no interpretable; ")&amp;IF(N262="[PENDIENTE DE VERIFICAR]","Modalidad no identificable; ","")&amp;IF(OR(ISERROR(SEARCH("@itc.edu.co",J262)),SUMPRODUCT(--ISNUMBER(SEARCH({"á","é","í","ó","ú","ñ"},J262)))&gt;0),"Correo vacío o no institucional válido; ","")&amp;IF(LEN(TRIM(D262))=0,"Sin objeto contractual; ","")&amp;IF(AND(ISNUMBER(M262),N262="Mínima cuantía"),IF(M262&gt;39850000,"Mínima cuantía con valor superior al tope citado en el instructivo 2026 ($39.850.000): verificar modalidad; ",""),"")&amp;IF(AND(ISNUMBER(M262),OR(ISNUMBER(SEARCH("prestación de servicios",D262)),ISNUMBER(SEARCH("prestar servicios",D262)),ISNUMBER(SEARCH("prestar los servicios",D262)))),IF(M262&gt;=500000000,"Prestación de servicios por $500 millones o más: posible error de digitación; ",""),""))=0,"Sin observaciones",IF(OR(NOT(ISNUMBER(B262)),LEN(B262)&lt;&gt;8),"UNSPSC vacío, en texto, con varios códigos o sin 8 dígitos; ","")&amp;IF(AND(ISNUMBER(B262),LEN(B262)=8),IF(MOD(B262,10000)=0,"UNSPSC a nivel de segmento o familia; ",""),"")&amp;IF(NOT(ISNUMBER(E262)),"Duración vacía o en texto; ","")&amp;IF(NOT(ISNUMBER(G262)),"Valor vacío o en texto; ","")&amp;IF(ISNUMBER(M262),IF(M262&lt;1000000,"Valor inferior a $1.000.000: verificar; ",""),"Valor no interpretable; ")&amp;IF(N262="[PENDIENTE DE VERIFICAR]","Modalidad no identificable; ","")&amp;IF(OR(ISERROR(SEARCH("@itc.edu.co",J262)),SUMPRODUCT(--ISNUMBER(SEARCH({"á","é","í","ó","ú","ñ"},J262)))&gt;0),"Correo vacío o no institucional válido; ","")&amp;IF(LEN(TRIM(D262))=0,"Sin objeto contractual; ","")&amp;IF(AND(ISNUMBER(M262),N262="Mínima cuantía"),IF(M262&gt;39850000,"Mínima cuantía con valor superior al tope citado en el instructivo 2026 ($39.850.000): verificar modalidad; ",""),"")&amp;IF(AND(ISNUMBER(M262),OR(ISNUMBER(SEARCH("prestación de servicios",D262)),ISNUMBER(SEARCH("prestar servicios",D262)),ISNUMBER(SEARCH("prestar los servicios",D262)))),IF(M262&gt;=500000000,"Prestación de servicios por $500 millones o más: posible error de digitación; ",""),""))</f>
        <v xml:space="preserve">Duración vacía o en texto; Valor vacío o en texto; </v>
      </c>
    </row>
    <row r="263" spans="1:15" ht="136.80000000000001" x14ac:dyDescent="0.3">
      <c r="A263" s="15" t="s">
        <v>635</v>
      </c>
      <c r="B263" s="15">
        <v>56102005</v>
      </c>
      <c r="C263" s="15" t="s">
        <v>454</v>
      </c>
      <c r="D263" s="15" t="s">
        <v>1418</v>
      </c>
      <c r="E263" s="15" t="s">
        <v>1419</v>
      </c>
      <c r="F263" s="15" t="s">
        <v>1412</v>
      </c>
      <c r="G263" s="29" t="s">
        <v>1420</v>
      </c>
      <c r="H263" s="15" t="s">
        <v>1392</v>
      </c>
      <c r="I263" s="15"/>
      <c r="J263" s="15" t="s">
        <v>1393</v>
      </c>
      <c r="K263" s="15"/>
      <c r="L263" s="30" t="s">
        <v>1103</v>
      </c>
      <c r="M263" s="31">
        <v>16000000</v>
      </c>
      <c r="N263" s="30" t="s">
        <v>792</v>
      </c>
      <c r="O263" s="30" t="str">
        <f>IF(LEN(IF(OR(NOT(ISNUMBER(B263)),LEN(B263)&lt;&gt;8),"UNSPSC vacío, en texto, con varios códigos o sin 8 dígitos; ","")&amp;IF(AND(ISNUMBER(B263),LEN(B263)=8),IF(MOD(B263,10000)=0,"UNSPSC a nivel de segmento o familia; ",""),"")&amp;IF(NOT(ISNUMBER(E263)),"Duración vacía o en texto; ","")&amp;IF(NOT(ISNUMBER(G263)),"Valor vacío o en texto; ","")&amp;IF(ISNUMBER(M263),IF(M263&lt;1000000,"Valor inferior a $1.000.000: verificar; ",""),"Valor no interpretable; ")&amp;IF(N263="[PENDIENTE DE VERIFICAR]","Modalidad no identificable; ","")&amp;IF(OR(ISERROR(SEARCH("@itc.edu.co",J263)),SUMPRODUCT(--ISNUMBER(SEARCH({"á","é","í","ó","ú","ñ"},J263)))&gt;0),"Correo vacío o no institucional válido; ","")&amp;IF(LEN(TRIM(D263))=0,"Sin objeto contractual; ","")&amp;IF(AND(ISNUMBER(M263),N263="Mínima cuantía"),IF(M263&gt;39850000,"Mínima cuantía con valor superior al tope citado en el instructivo 2026 ($39.850.000): verificar modalidad; ",""),"")&amp;IF(AND(ISNUMBER(M263),OR(ISNUMBER(SEARCH("prestación de servicios",D263)),ISNUMBER(SEARCH("prestar servicios",D263)),ISNUMBER(SEARCH("prestar los servicios",D263)))),IF(M263&gt;=500000000,"Prestación de servicios por $500 millones o más: posible error de digitación; ",""),""))=0,"Sin observaciones",IF(OR(NOT(ISNUMBER(B263)),LEN(B263)&lt;&gt;8),"UNSPSC vacío, en texto, con varios códigos o sin 8 dígitos; ","")&amp;IF(AND(ISNUMBER(B263),LEN(B263)=8),IF(MOD(B263,10000)=0,"UNSPSC a nivel de segmento o familia; ",""),"")&amp;IF(NOT(ISNUMBER(E263)),"Duración vacía o en texto; ","")&amp;IF(NOT(ISNUMBER(G263)),"Valor vacío o en texto; ","")&amp;IF(ISNUMBER(M263),IF(M263&lt;1000000,"Valor inferior a $1.000.000: verificar; ",""),"Valor no interpretable; ")&amp;IF(N263="[PENDIENTE DE VERIFICAR]","Modalidad no identificable; ","")&amp;IF(OR(ISERROR(SEARCH("@itc.edu.co",J263)),SUMPRODUCT(--ISNUMBER(SEARCH({"á","é","í","ó","ú","ñ"},J263)))&gt;0),"Correo vacío o no institucional válido; ","")&amp;IF(LEN(TRIM(D263))=0,"Sin objeto contractual; ","")&amp;IF(AND(ISNUMBER(M263),N263="Mínima cuantía"),IF(M263&gt;39850000,"Mínima cuantía con valor superior al tope citado en el instructivo 2026 ($39.850.000): verificar modalidad; ",""),"")&amp;IF(AND(ISNUMBER(M263),OR(ISNUMBER(SEARCH("prestación de servicios",D263)),ISNUMBER(SEARCH("prestar servicios",D263)),ISNUMBER(SEARCH("prestar los servicios",D263)))),IF(M263&gt;=500000000,"Prestación de servicios por $500 millones o más: posible error de digitación; ",""),""))</f>
        <v xml:space="preserve">Duración vacía o en texto; Valor vacío o en texto; </v>
      </c>
    </row>
    <row r="264" spans="1:15" ht="114" x14ac:dyDescent="0.3">
      <c r="A264" s="15" t="s">
        <v>589</v>
      </c>
      <c r="B264" s="15">
        <v>43212108</v>
      </c>
      <c r="C264" s="15" t="s">
        <v>1389</v>
      </c>
      <c r="D264" s="15" t="s">
        <v>1421</v>
      </c>
      <c r="E264" s="15" t="s">
        <v>1406</v>
      </c>
      <c r="F264" s="15" t="s">
        <v>1412</v>
      </c>
      <c r="G264" s="29" t="s">
        <v>1417</v>
      </c>
      <c r="H264" s="15" t="s">
        <v>1392</v>
      </c>
      <c r="I264" s="15"/>
      <c r="J264" s="15" t="s">
        <v>1393</v>
      </c>
      <c r="K264" s="15"/>
      <c r="L264" s="30" t="s">
        <v>1103</v>
      </c>
      <c r="M264" s="31">
        <v>12000000</v>
      </c>
      <c r="N264" s="30" t="s">
        <v>792</v>
      </c>
      <c r="O264" s="30" t="str">
        <f>IF(LEN(IF(OR(NOT(ISNUMBER(B264)),LEN(B264)&lt;&gt;8),"UNSPSC vacío, en texto, con varios códigos o sin 8 dígitos; ","")&amp;IF(AND(ISNUMBER(B264),LEN(B264)=8),IF(MOD(B264,10000)=0,"UNSPSC a nivel de segmento o familia; ",""),"")&amp;IF(NOT(ISNUMBER(E264)),"Duración vacía o en texto; ","")&amp;IF(NOT(ISNUMBER(G264)),"Valor vacío o en texto; ","")&amp;IF(ISNUMBER(M264),IF(M264&lt;1000000,"Valor inferior a $1.000.000: verificar; ",""),"Valor no interpretable; ")&amp;IF(N264="[PENDIENTE DE VERIFICAR]","Modalidad no identificable; ","")&amp;IF(OR(ISERROR(SEARCH("@itc.edu.co",J264)),SUMPRODUCT(--ISNUMBER(SEARCH({"á","é","í","ó","ú","ñ"},J264)))&gt;0),"Correo vacío o no institucional válido; ","")&amp;IF(LEN(TRIM(D264))=0,"Sin objeto contractual; ","")&amp;IF(AND(ISNUMBER(M264),N264="Mínima cuantía"),IF(M264&gt;39850000,"Mínima cuantía con valor superior al tope citado en el instructivo 2026 ($39.850.000): verificar modalidad; ",""),"")&amp;IF(AND(ISNUMBER(M264),OR(ISNUMBER(SEARCH("prestación de servicios",D264)),ISNUMBER(SEARCH("prestar servicios",D264)),ISNUMBER(SEARCH("prestar los servicios",D264)))),IF(M264&gt;=500000000,"Prestación de servicios por $500 millones o más: posible error de digitación; ",""),""))=0,"Sin observaciones",IF(OR(NOT(ISNUMBER(B264)),LEN(B264)&lt;&gt;8),"UNSPSC vacío, en texto, con varios códigos o sin 8 dígitos; ","")&amp;IF(AND(ISNUMBER(B264),LEN(B264)=8),IF(MOD(B264,10000)=0,"UNSPSC a nivel de segmento o familia; ",""),"")&amp;IF(NOT(ISNUMBER(E264)),"Duración vacía o en texto; ","")&amp;IF(NOT(ISNUMBER(G264)),"Valor vacío o en texto; ","")&amp;IF(ISNUMBER(M264),IF(M264&lt;1000000,"Valor inferior a $1.000.000: verificar; ",""),"Valor no interpretable; ")&amp;IF(N264="[PENDIENTE DE VERIFICAR]","Modalidad no identificable; ","")&amp;IF(OR(ISERROR(SEARCH("@itc.edu.co",J264)),SUMPRODUCT(--ISNUMBER(SEARCH({"á","é","í","ó","ú","ñ"},J264)))&gt;0),"Correo vacío o no institucional válido; ","")&amp;IF(LEN(TRIM(D264))=0,"Sin objeto contractual; ","")&amp;IF(AND(ISNUMBER(M264),N264="Mínima cuantía"),IF(M264&gt;39850000,"Mínima cuantía con valor superior al tope citado en el instructivo 2026 ($39.850.000): verificar modalidad; ",""),"")&amp;IF(AND(ISNUMBER(M264),OR(ISNUMBER(SEARCH("prestación de servicios",D264)),ISNUMBER(SEARCH("prestar servicios",D264)),ISNUMBER(SEARCH("prestar los servicios",D264)))),IF(M264&gt;=500000000,"Prestación de servicios por $500 millones o más: posible error de digitación; ",""),""))</f>
        <v xml:space="preserve">Duración vacía o en texto; Valor vacío o en texto; </v>
      </c>
    </row>
    <row r="265" spans="1:15" ht="342" x14ac:dyDescent="0.3">
      <c r="A265" s="15" t="s">
        <v>1422</v>
      </c>
      <c r="B265" s="15">
        <v>43211508</v>
      </c>
      <c r="C265" s="15" t="s">
        <v>1389</v>
      </c>
      <c r="D265" s="15" t="s">
        <v>1423</v>
      </c>
      <c r="E265" s="15" t="s">
        <v>1406</v>
      </c>
      <c r="F265" s="15" t="s">
        <v>1412</v>
      </c>
      <c r="G265" s="29" t="s">
        <v>1424</v>
      </c>
      <c r="H265" s="15" t="s">
        <v>1392</v>
      </c>
      <c r="I265" s="15"/>
      <c r="J265" s="15" t="s">
        <v>1393</v>
      </c>
      <c r="K265" s="15"/>
      <c r="L265" s="30" t="s">
        <v>1103</v>
      </c>
      <c r="M265" s="31">
        <v>15000000</v>
      </c>
      <c r="N265" s="30" t="s">
        <v>792</v>
      </c>
      <c r="O265" s="30" t="str">
        <f>IF(LEN(IF(OR(NOT(ISNUMBER(B265)),LEN(B265)&lt;&gt;8),"UNSPSC vacío, en texto, con varios códigos o sin 8 dígitos; ","")&amp;IF(AND(ISNUMBER(B265),LEN(B265)=8),IF(MOD(B265,10000)=0,"UNSPSC a nivel de segmento o familia; ",""),"")&amp;IF(NOT(ISNUMBER(E265)),"Duración vacía o en texto; ","")&amp;IF(NOT(ISNUMBER(G265)),"Valor vacío o en texto; ","")&amp;IF(ISNUMBER(M265),IF(M265&lt;1000000,"Valor inferior a $1.000.000: verificar; ",""),"Valor no interpretable; ")&amp;IF(N265="[PENDIENTE DE VERIFICAR]","Modalidad no identificable; ","")&amp;IF(OR(ISERROR(SEARCH("@itc.edu.co",J265)),SUMPRODUCT(--ISNUMBER(SEARCH({"á","é","í","ó","ú","ñ"},J265)))&gt;0),"Correo vacío o no institucional válido; ","")&amp;IF(LEN(TRIM(D265))=0,"Sin objeto contractual; ","")&amp;IF(AND(ISNUMBER(M265),N265="Mínima cuantía"),IF(M265&gt;39850000,"Mínima cuantía con valor superior al tope citado en el instructivo 2026 ($39.850.000): verificar modalidad; ",""),"")&amp;IF(AND(ISNUMBER(M265),OR(ISNUMBER(SEARCH("prestación de servicios",D265)),ISNUMBER(SEARCH("prestar servicios",D265)),ISNUMBER(SEARCH("prestar los servicios",D265)))),IF(M265&gt;=500000000,"Prestación de servicios por $500 millones o más: posible error de digitación; ",""),""))=0,"Sin observaciones",IF(OR(NOT(ISNUMBER(B265)),LEN(B265)&lt;&gt;8),"UNSPSC vacío, en texto, con varios códigos o sin 8 dígitos; ","")&amp;IF(AND(ISNUMBER(B265),LEN(B265)=8),IF(MOD(B265,10000)=0,"UNSPSC a nivel de segmento o familia; ",""),"")&amp;IF(NOT(ISNUMBER(E265)),"Duración vacía o en texto; ","")&amp;IF(NOT(ISNUMBER(G265)),"Valor vacío o en texto; ","")&amp;IF(ISNUMBER(M265),IF(M265&lt;1000000,"Valor inferior a $1.000.000: verificar; ",""),"Valor no interpretable; ")&amp;IF(N265="[PENDIENTE DE VERIFICAR]","Modalidad no identificable; ","")&amp;IF(OR(ISERROR(SEARCH("@itc.edu.co",J265)),SUMPRODUCT(--ISNUMBER(SEARCH({"á","é","í","ó","ú","ñ"},J265)))&gt;0),"Correo vacío o no institucional válido; ","")&amp;IF(LEN(TRIM(D265))=0,"Sin objeto contractual; ","")&amp;IF(AND(ISNUMBER(M265),N265="Mínima cuantía"),IF(M265&gt;39850000,"Mínima cuantía con valor superior al tope citado en el instructivo 2026 ($39.850.000): verificar modalidad; ",""),"")&amp;IF(AND(ISNUMBER(M265),OR(ISNUMBER(SEARCH("prestación de servicios",D265)),ISNUMBER(SEARCH("prestar servicios",D265)),ISNUMBER(SEARCH("prestar los servicios",D265)))),IF(M265&gt;=500000000,"Prestación de servicios por $500 millones o más: posible error de digitación; ",""),""))</f>
        <v xml:space="preserve">Duración vacía o en texto; Valor vacío o en texto; </v>
      </c>
    </row>
    <row r="266" spans="1:15" ht="182.4" x14ac:dyDescent="0.3">
      <c r="A266" s="15" t="s">
        <v>1425</v>
      </c>
      <c r="B266" s="15">
        <v>43211503</v>
      </c>
      <c r="C266" s="15" t="s">
        <v>1389</v>
      </c>
      <c r="D266" s="15" t="s">
        <v>1426</v>
      </c>
      <c r="E266" s="15" t="s">
        <v>1406</v>
      </c>
      <c r="F266" s="15" t="s">
        <v>1412</v>
      </c>
      <c r="G266" s="29" t="s">
        <v>1427</v>
      </c>
      <c r="H266" s="15" t="s">
        <v>1392</v>
      </c>
      <c r="I266" s="15"/>
      <c r="J266" s="15" t="s">
        <v>1392</v>
      </c>
      <c r="K266" s="15"/>
      <c r="L266" s="30" t="s">
        <v>1103</v>
      </c>
      <c r="M266" s="31">
        <v>8000000</v>
      </c>
      <c r="N266" s="30" t="s">
        <v>792</v>
      </c>
      <c r="O266" s="30" t="str">
        <f>IF(LEN(IF(OR(NOT(ISNUMBER(B266)),LEN(B266)&lt;&gt;8),"UNSPSC vacío, en texto, con varios códigos o sin 8 dígitos; ","")&amp;IF(AND(ISNUMBER(B266),LEN(B266)=8),IF(MOD(B266,10000)=0,"UNSPSC a nivel de segmento o familia; ",""),"")&amp;IF(NOT(ISNUMBER(E266)),"Duración vacía o en texto; ","")&amp;IF(NOT(ISNUMBER(G266)),"Valor vacío o en texto; ","")&amp;IF(ISNUMBER(M266),IF(M266&lt;1000000,"Valor inferior a $1.000.000: verificar; ",""),"Valor no interpretable; ")&amp;IF(N266="[PENDIENTE DE VERIFICAR]","Modalidad no identificable; ","")&amp;IF(OR(ISERROR(SEARCH("@itc.edu.co",J266)),SUMPRODUCT(--ISNUMBER(SEARCH({"á","é","í","ó","ú","ñ"},J266)))&gt;0),"Correo vacío o no institucional válido; ","")&amp;IF(LEN(TRIM(D266))=0,"Sin objeto contractual; ","")&amp;IF(AND(ISNUMBER(M266),N266="Mínima cuantía"),IF(M266&gt;39850000,"Mínima cuantía con valor superior al tope citado en el instructivo 2026 ($39.850.000): verificar modalidad; ",""),"")&amp;IF(AND(ISNUMBER(M266),OR(ISNUMBER(SEARCH("prestación de servicios",D266)),ISNUMBER(SEARCH("prestar servicios",D266)),ISNUMBER(SEARCH("prestar los servicios",D266)))),IF(M266&gt;=500000000,"Prestación de servicios por $500 millones o más: posible error de digitación; ",""),""))=0,"Sin observaciones",IF(OR(NOT(ISNUMBER(B266)),LEN(B266)&lt;&gt;8),"UNSPSC vacío, en texto, con varios códigos o sin 8 dígitos; ","")&amp;IF(AND(ISNUMBER(B266),LEN(B266)=8),IF(MOD(B266,10000)=0,"UNSPSC a nivel de segmento o familia; ",""),"")&amp;IF(NOT(ISNUMBER(E266)),"Duración vacía o en texto; ","")&amp;IF(NOT(ISNUMBER(G266)),"Valor vacío o en texto; ","")&amp;IF(ISNUMBER(M266),IF(M266&lt;1000000,"Valor inferior a $1.000.000: verificar; ",""),"Valor no interpretable; ")&amp;IF(N266="[PENDIENTE DE VERIFICAR]","Modalidad no identificable; ","")&amp;IF(OR(ISERROR(SEARCH("@itc.edu.co",J266)),SUMPRODUCT(--ISNUMBER(SEARCH({"á","é","í","ó","ú","ñ"},J266)))&gt;0),"Correo vacío o no institucional válido; ","")&amp;IF(LEN(TRIM(D266))=0,"Sin objeto contractual; ","")&amp;IF(AND(ISNUMBER(M266),N266="Mínima cuantía"),IF(M266&gt;39850000,"Mínima cuantía con valor superior al tope citado en el instructivo 2026 ($39.850.000): verificar modalidad; ",""),"")&amp;IF(AND(ISNUMBER(M266),OR(ISNUMBER(SEARCH("prestación de servicios",D266)),ISNUMBER(SEARCH("prestar servicios",D266)),ISNUMBER(SEARCH("prestar los servicios",D266)))),IF(M266&gt;=500000000,"Prestación de servicios por $500 millones o más: posible error de digitación; ",""),""))</f>
        <v xml:space="preserve">Duración vacía o en texto; Valor vacío o en texto; Correo vacío o no institucional válido; </v>
      </c>
    </row>
    <row r="267" spans="1:15" ht="239.4" x14ac:dyDescent="0.3">
      <c r="A267" s="15" t="s">
        <v>600</v>
      </c>
      <c r="B267" s="15">
        <v>45121504</v>
      </c>
      <c r="C267" s="15" t="s">
        <v>1389</v>
      </c>
      <c r="D267" s="15" t="s">
        <v>1428</v>
      </c>
      <c r="E267" s="15" t="s">
        <v>1406</v>
      </c>
      <c r="F267" s="15" t="s">
        <v>1412</v>
      </c>
      <c r="G267" s="29" t="s">
        <v>1180</v>
      </c>
      <c r="H267" s="15" t="s">
        <v>1392</v>
      </c>
      <c r="I267" s="15"/>
      <c r="J267" s="15" t="s">
        <v>1393</v>
      </c>
      <c r="K267" s="15"/>
      <c r="L267" s="30" t="s">
        <v>1103</v>
      </c>
      <c r="M267" s="31">
        <v>20000000</v>
      </c>
      <c r="N267" s="30" t="s">
        <v>792</v>
      </c>
      <c r="O267" s="30" t="str">
        <f>IF(LEN(IF(OR(NOT(ISNUMBER(B267)),LEN(B267)&lt;&gt;8),"UNSPSC vacío, en texto, con varios códigos o sin 8 dígitos; ","")&amp;IF(AND(ISNUMBER(B267),LEN(B267)=8),IF(MOD(B267,10000)=0,"UNSPSC a nivel de segmento o familia; ",""),"")&amp;IF(NOT(ISNUMBER(E267)),"Duración vacía o en texto; ","")&amp;IF(NOT(ISNUMBER(G267)),"Valor vacío o en texto; ","")&amp;IF(ISNUMBER(M267),IF(M267&lt;1000000,"Valor inferior a $1.000.000: verificar; ",""),"Valor no interpretable; ")&amp;IF(N267="[PENDIENTE DE VERIFICAR]","Modalidad no identificable; ","")&amp;IF(OR(ISERROR(SEARCH("@itc.edu.co",J267)),SUMPRODUCT(--ISNUMBER(SEARCH({"á","é","í","ó","ú","ñ"},J267)))&gt;0),"Correo vacío o no institucional válido; ","")&amp;IF(LEN(TRIM(D267))=0,"Sin objeto contractual; ","")&amp;IF(AND(ISNUMBER(M267),N267="Mínima cuantía"),IF(M267&gt;39850000,"Mínima cuantía con valor superior al tope citado en el instructivo 2026 ($39.850.000): verificar modalidad; ",""),"")&amp;IF(AND(ISNUMBER(M267),OR(ISNUMBER(SEARCH("prestación de servicios",D267)),ISNUMBER(SEARCH("prestar servicios",D267)),ISNUMBER(SEARCH("prestar los servicios",D267)))),IF(M267&gt;=500000000,"Prestación de servicios por $500 millones o más: posible error de digitación; ",""),""))=0,"Sin observaciones",IF(OR(NOT(ISNUMBER(B267)),LEN(B267)&lt;&gt;8),"UNSPSC vacío, en texto, con varios códigos o sin 8 dígitos; ","")&amp;IF(AND(ISNUMBER(B267),LEN(B267)=8),IF(MOD(B267,10000)=0,"UNSPSC a nivel de segmento o familia; ",""),"")&amp;IF(NOT(ISNUMBER(E267)),"Duración vacía o en texto; ","")&amp;IF(NOT(ISNUMBER(G267)),"Valor vacío o en texto; ","")&amp;IF(ISNUMBER(M267),IF(M267&lt;1000000,"Valor inferior a $1.000.000: verificar; ",""),"Valor no interpretable; ")&amp;IF(N267="[PENDIENTE DE VERIFICAR]","Modalidad no identificable; ","")&amp;IF(OR(ISERROR(SEARCH("@itc.edu.co",J267)),SUMPRODUCT(--ISNUMBER(SEARCH({"á","é","í","ó","ú","ñ"},J267)))&gt;0),"Correo vacío o no institucional válido; ","")&amp;IF(LEN(TRIM(D267))=0,"Sin objeto contractual; ","")&amp;IF(AND(ISNUMBER(M267),N267="Mínima cuantía"),IF(M267&gt;39850000,"Mínima cuantía con valor superior al tope citado en el instructivo 2026 ($39.850.000): verificar modalidad; ",""),"")&amp;IF(AND(ISNUMBER(M267),OR(ISNUMBER(SEARCH("prestación de servicios",D267)),ISNUMBER(SEARCH("prestar servicios",D267)),ISNUMBER(SEARCH("prestar los servicios",D267)))),IF(M267&gt;=500000000,"Prestación de servicios por $500 millones o más: posible error de digitación; ",""),""))</f>
        <v xml:space="preserve">Duración vacía o en texto; Valor vacío o en texto; </v>
      </c>
    </row>
    <row r="268" spans="1:15" ht="205.2" x14ac:dyDescent="0.3">
      <c r="A268" s="15" t="s">
        <v>587</v>
      </c>
      <c r="B268" s="15">
        <v>43211711</v>
      </c>
      <c r="C268" s="15" t="s">
        <v>1389</v>
      </c>
      <c r="D268" s="15" t="s">
        <v>1429</v>
      </c>
      <c r="E268" s="15" t="s">
        <v>1406</v>
      </c>
      <c r="F268" s="15" t="s">
        <v>1412</v>
      </c>
      <c r="G268" s="29" t="s">
        <v>1430</v>
      </c>
      <c r="H268" s="15" t="s">
        <v>1392</v>
      </c>
      <c r="I268" s="15"/>
      <c r="J268" s="15" t="s">
        <v>1393</v>
      </c>
      <c r="K268" s="15"/>
      <c r="L268" s="30" t="s">
        <v>1103</v>
      </c>
      <c r="M268" s="31">
        <v>18000000</v>
      </c>
      <c r="N268" s="30" t="s">
        <v>792</v>
      </c>
      <c r="O268" s="30" t="str">
        <f>IF(LEN(IF(OR(NOT(ISNUMBER(B268)),LEN(B268)&lt;&gt;8),"UNSPSC vacío, en texto, con varios códigos o sin 8 dígitos; ","")&amp;IF(AND(ISNUMBER(B268),LEN(B268)=8),IF(MOD(B268,10000)=0,"UNSPSC a nivel de segmento o familia; ",""),"")&amp;IF(NOT(ISNUMBER(E268)),"Duración vacía o en texto; ","")&amp;IF(NOT(ISNUMBER(G268)),"Valor vacío o en texto; ","")&amp;IF(ISNUMBER(M268),IF(M268&lt;1000000,"Valor inferior a $1.000.000: verificar; ",""),"Valor no interpretable; ")&amp;IF(N268="[PENDIENTE DE VERIFICAR]","Modalidad no identificable; ","")&amp;IF(OR(ISERROR(SEARCH("@itc.edu.co",J268)),SUMPRODUCT(--ISNUMBER(SEARCH({"á","é","í","ó","ú","ñ"},J268)))&gt;0),"Correo vacío o no institucional válido; ","")&amp;IF(LEN(TRIM(D268))=0,"Sin objeto contractual; ","")&amp;IF(AND(ISNUMBER(M268),N268="Mínima cuantía"),IF(M268&gt;39850000,"Mínima cuantía con valor superior al tope citado en el instructivo 2026 ($39.850.000): verificar modalidad; ",""),"")&amp;IF(AND(ISNUMBER(M268),OR(ISNUMBER(SEARCH("prestación de servicios",D268)),ISNUMBER(SEARCH("prestar servicios",D268)),ISNUMBER(SEARCH("prestar los servicios",D268)))),IF(M268&gt;=500000000,"Prestación de servicios por $500 millones o más: posible error de digitación; ",""),""))=0,"Sin observaciones",IF(OR(NOT(ISNUMBER(B268)),LEN(B268)&lt;&gt;8),"UNSPSC vacío, en texto, con varios códigos o sin 8 dígitos; ","")&amp;IF(AND(ISNUMBER(B268),LEN(B268)=8),IF(MOD(B268,10000)=0,"UNSPSC a nivel de segmento o familia; ",""),"")&amp;IF(NOT(ISNUMBER(E268)),"Duración vacía o en texto; ","")&amp;IF(NOT(ISNUMBER(G268)),"Valor vacío o en texto; ","")&amp;IF(ISNUMBER(M268),IF(M268&lt;1000000,"Valor inferior a $1.000.000: verificar; ",""),"Valor no interpretable; ")&amp;IF(N268="[PENDIENTE DE VERIFICAR]","Modalidad no identificable; ","")&amp;IF(OR(ISERROR(SEARCH("@itc.edu.co",J268)),SUMPRODUCT(--ISNUMBER(SEARCH({"á","é","í","ó","ú","ñ"},J268)))&gt;0),"Correo vacío o no institucional válido; ","")&amp;IF(LEN(TRIM(D268))=0,"Sin objeto contractual; ","")&amp;IF(AND(ISNUMBER(M268),N268="Mínima cuantía"),IF(M268&gt;39850000,"Mínima cuantía con valor superior al tope citado en el instructivo 2026 ($39.850.000): verificar modalidad; ",""),"")&amp;IF(AND(ISNUMBER(M268),OR(ISNUMBER(SEARCH("prestación de servicios",D268)),ISNUMBER(SEARCH("prestar servicios",D268)),ISNUMBER(SEARCH("prestar los servicios",D268)))),IF(M268&gt;=500000000,"Prestación de servicios por $500 millones o más: posible error de digitación; ",""),""))</f>
        <v xml:space="preserve">Duración vacía o en texto; Valor vacío o en texto; </v>
      </c>
    </row>
    <row r="269" spans="1:15" ht="102.6" x14ac:dyDescent="0.3">
      <c r="A269" s="15" t="s">
        <v>416</v>
      </c>
      <c r="B269" s="15" t="s">
        <v>1431</v>
      </c>
      <c r="C269" s="15" t="s">
        <v>1432</v>
      </c>
      <c r="D269" s="15" t="s">
        <v>1433</v>
      </c>
      <c r="E269" s="15" t="s">
        <v>1434</v>
      </c>
      <c r="F269" s="15" t="s">
        <v>1435</v>
      </c>
      <c r="G269" s="29" t="s">
        <v>1436</v>
      </c>
      <c r="H269" s="15" t="s">
        <v>1437</v>
      </c>
      <c r="I269" s="15" t="s">
        <v>1438</v>
      </c>
      <c r="J269" s="15" t="s">
        <v>1439</v>
      </c>
      <c r="K269" s="15"/>
      <c r="L269" s="30" t="s">
        <v>1440</v>
      </c>
      <c r="M269" s="31">
        <v>75000000</v>
      </c>
      <c r="N269" s="30" t="s">
        <v>792</v>
      </c>
      <c r="O269" s="30" t="str">
        <f>IF(LEN(IF(OR(NOT(ISNUMBER(B269)),LEN(B269)&lt;&gt;8),"UNSPSC vacío, en texto, con varios códigos o sin 8 dígitos; ","")&amp;IF(AND(ISNUMBER(B269),LEN(B269)=8),IF(MOD(B269,10000)=0,"UNSPSC a nivel de segmento o familia; ",""),"")&amp;IF(NOT(ISNUMBER(E269)),"Duración vacía o en texto; ","")&amp;IF(NOT(ISNUMBER(G269)),"Valor vacío o en texto; ","")&amp;IF(ISNUMBER(M269),IF(M269&lt;1000000,"Valor inferior a $1.000.000: verificar; ",""),"Valor no interpretable; ")&amp;IF(N269="[PENDIENTE DE VERIFICAR]","Modalidad no identificable; ","")&amp;IF(OR(ISERROR(SEARCH("@itc.edu.co",J269)),SUMPRODUCT(--ISNUMBER(SEARCH({"á","é","í","ó","ú","ñ"},J269)))&gt;0),"Correo vacío o no institucional válido; ","")&amp;IF(LEN(TRIM(D269))=0,"Sin objeto contractual; ","")&amp;IF(AND(ISNUMBER(M269),N269="Mínima cuantía"),IF(M269&gt;39850000,"Mínima cuantía con valor superior al tope citado en el instructivo 2026 ($39.850.000): verificar modalidad; ",""),"")&amp;IF(AND(ISNUMBER(M269),OR(ISNUMBER(SEARCH("prestación de servicios",D269)),ISNUMBER(SEARCH("prestar servicios",D269)),ISNUMBER(SEARCH("prestar los servicios",D269)))),IF(M269&gt;=500000000,"Prestación de servicios por $500 millones o más: posible error de digitación; ",""),""))=0,"Sin observaciones",IF(OR(NOT(ISNUMBER(B269)),LEN(B269)&lt;&gt;8),"UNSPSC vacío, en texto, con varios códigos o sin 8 dígitos; ","")&amp;IF(AND(ISNUMBER(B269),LEN(B269)=8),IF(MOD(B269,10000)=0,"UNSPSC a nivel de segmento o familia; ",""),"")&amp;IF(NOT(ISNUMBER(E269)),"Duración vacía o en texto; ","")&amp;IF(NOT(ISNUMBER(G269)),"Valor vacío o en texto; ","")&amp;IF(ISNUMBER(M269),IF(M269&lt;1000000,"Valor inferior a $1.000.000: verificar; ",""),"Valor no interpretable; ")&amp;IF(N269="[PENDIENTE DE VERIFICAR]","Modalidad no identificable; ","")&amp;IF(OR(ISERROR(SEARCH("@itc.edu.co",J269)),SUMPRODUCT(--ISNUMBER(SEARCH({"á","é","í","ó","ú","ñ"},J269)))&gt;0),"Correo vacío o no institucional válido; ","")&amp;IF(LEN(TRIM(D269))=0,"Sin objeto contractual; ","")&amp;IF(AND(ISNUMBER(M269),N269="Mínima cuantía"),IF(M269&gt;39850000,"Mínima cuantía con valor superior al tope citado en el instructivo 2026 ($39.850.000): verificar modalidad; ",""),"")&amp;IF(AND(ISNUMBER(M269),OR(ISNUMBER(SEARCH("prestación de servicios",D269)),ISNUMBER(SEARCH("prestar servicios",D269)),ISNUMBER(SEARCH("prestar los servicios",D269)))),IF(M269&gt;=500000000,"Prestación de servicios por $500 millones o más: posible error de digitación; ",""),""))</f>
        <v xml:space="preserve">UNSPSC vacío, en texto, con varios códigos o sin 8 dígitos; Duración vacía o en texto; Valor vacío o en texto; Mínima cuantía con valor superior al tope citado en el instructivo 2026 ($39.850.000): verificar modalidad; </v>
      </c>
    </row>
    <row r="270" spans="1:15" ht="125.4" x14ac:dyDescent="0.3">
      <c r="A270" s="15" t="s">
        <v>444</v>
      </c>
      <c r="B270" s="15" t="s">
        <v>1441</v>
      </c>
      <c r="C270" s="15" t="s">
        <v>1432</v>
      </c>
      <c r="D270" s="15" t="s">
        <v>1442</v>
      </c>
      <c r="E270" s="15" t="s">
        <v>1443</v>
      </c>
      <c r="F270" s="15" t="s">
        <v>1435</v>
      </c>
      <c r="G270" s="29" t="s">
        <v>1444</v>
      </c>
      <c r="H270" s="15" t="s">
        <v>1437</v>
      </c>
      <c r="I270" s="15" t="s">
        <v>1438</v>
      </c>
      <c r="J270" s="15" t="s">
        <v>1439</v>
      </c>
      <c r="K270" s="15"/>
      <c r="L270" s="30" t="s">
        <v>1440</v>
      </c>
      <c r="M270" s="31">
        <v>300000000</v>
      </c>
      <c r="N270" s="30" t="s">
        <v>792</v>
      </c>
      <c r="O270" s="30" t="str">
        <f>IF(LEN(IF(OR(NOT(ISNUMBER(B270)),LEN(B270)&lt;&gt;8),"UNSPSC vacío, en texto, con varios códigos o sin 8 dígitos; ","")&amp;IF(AND(ISNUMBER(B270),LEN(B270)=8),IF(MOD(B270,10000)=0,"UNSPSC a nivel de segmento o familia; ",""),"")&amp;IF(NOT(ISNUMBER(E270)),"Duración vacía o en texto; ","")&amp;IF(NOT(ISNUMBER(G270)),"Valor vacío o en texto; ","")&amp;IF(ISNUMBER(M270),IF(M270&lt;1000000,"Valor inferior a $1.000.000: verificar; ",""),"Valor no interpretable; ")&amp;IF(N270="[PENDIENTE DE VERIFICAR]","Modalidad no identificable; ","")&amp;IF(OR(ISERROR(SEARCH("@itc.edu.co",J270)),SUMPRODUCT(--ISNUMBER(SEARCH({"á","é","í","ó","ú","ñ"},J270)))&gt;0),"Correo vacío o no institucional válido; ","")&amp;IF(LEN(TRIM(D270))=0,"Sin objeto contractual; ","")&amp;IF(AND(ISNUMBER(M270),N270="Mínima cuantía"),IF(M270&gt;39850000,"Mínima cuantía con valor superior al tope citado en el instructivo 2026 ($39.850.000): verificar modalidad; ",""),"")&amp;IF(AND(ISNUMBER(M270),OR(ISNUMBER(SEARCH("prestación de servicios",D270)),ISNUMBER(SEARCH("prestar servicios",D270)),ISNUMBER(SEARCH("prestar los servicios",D270)))),IF(M270&gt;=500000000,"Prestación de servicios por $500 millones o más: posible error de digitación; ",""),""))=0,"Sin observaciones",IF(OR(NOT(ISNUMBER(B270)),LEN(B270)&lt;&gt;8),"UNSPSC vacío, en texto, con varios códigos o sin 8 dígitos; ","")&amp;IF(AND(ISNUMBER(B270),LEN(B270)=8),IF(MOD(B270,10000)=0,"UNSPSC a nivel de segmento o familia; ",""),"")&amp;IF(NOT(ISNUMBER(E270)),"Duración vacía o en texto; ","")&amp;IF(NOT(ISNUMBER(G270)),"Valor vacío o en texto; ","")&amp;IF(ISNUMBER(M270),IF(M270&lt;1000000,"Valor inferior a $1.000.000: verificar; ",""),"Valor no interpretable; ")&amp;IF(N270="[PENDIENTE DE VERIFICAR]","Modalidad no identificable; ","")&amp;IF(OR(ISERROR(SEARCH("@itc.edu.co",J270)),SUMPRODUCT(--ISNUMBER(SEARCH({"á","é","í","ó","ú","ñ"},J270)))&gt;0),"Correo vacío o no institucional válido; ","")&amp;IF(LEN(TRIM(D270))=0,"Sin objeto contractual; ","")&amp;IF(AND(ISNUMBER(M270),N270="Mínima cuantía"),IF(M270&gt;39850000,"Mínima cuantía con valor superior al tope citado en el instructivo 2026 ($39.850.000): verificar modalidad; ",""),"")&amp;IF(AND(ISNUMBER(M270),OR(ISNUMBER(SEARCH("prestación de servicios",D270)),ISNUMBER(SEARCH("prestar servicios",D270)),ISNUMBER(SEARCH("prestar los servicios",D270)))),IF(M270&gt;=500000000,"Prestación de servicios por $500 millones o más: posible error de digitación; ",""),""))</f>
        <v xml:space="preserve">UNSPSC vacío, en texto, con varios códigos o sin 8 dígitos; Duración vacía o en texto; Valor vacío o en texto; Mínima cuantía con valor superior al tope citado en el instructivo 2026 ($39.850.000): verificar modalidad; </v>
      </c>
    </row>
    <row r="271" spans="1:15" ht="79.8" x14ac:dyDescent="0.3">
      <c r="A271" s="15" t="s">
        <v>1445</v>
      </c>
      <c r="B271" s="15">
        <v>32000000</v>
      </c>
      <c r="C271" s="15" t="s">
        <v>1432</v>
      </c>
      <c r="D271" s="15" t="s">
        <v>1446</v>
      </c>
      <c r="E271" s="15" t="s">
        <v>1447</v>
      </c>
      <c r="F271" s="15" t="s">
        <v>1435</v>
      </c>
      <c r="G271" s="29" t="s">
        <v>1448</v>
      </c>
      <c r="H271" s="15" t="s">
        <v>1437</v>
      </c>
      <c r="I271" s="15" t="s">
        <v>1438</v>
      </c>
      <c r="J271" s="15" t="s">
        <v>1439</v>
      </c>
      <c r="K271" s="15"/>
      <c r="L271" s="30" t="s">
        <v>1440</v>
      </c>
      <c r="M271" s="31">
        <v>1200000000</v>
      </c>
      <c r="N271" s="30" t="s">
        <v>792</v>
      </c>
      <c r="O271" s="30" t="str">
        <f>IF(LEN(IF(OR(NOT(ISNUMBER(B271)),LEN(B271)&lt;&gt;8),"UNSPSC vacío, en texto, con varios códigos o sin 8 dígitos; ","")&amp;IF(AND(ISNUMBER(B271),LEN(B271)=8),IF(MOD(B271,10000)=0,"UNSPSC a nivel de segmento o familia; ",""),"")&amp;IF(NOT(ISNUMBER(E271)),"Duración vacía o en texto; ","")&amp;IF(NOT(ISNUMBER(G271)),"Valor vacío o en texto; ","")&amp;IF(ISNUMBER(M271),IF(M271&lt;1000000,"Valor inferior a $1.000.000: verificar; ",""),"Valor no interpretable; ")&amp;IF(N271="[PENDIENTE DE VERIFICAR]","Modalidad no identificable; ","")&amp;IF(OR(ISERROR(SEARCH("@itc.edu.co",J271)),SUMPRODUCT(--ISNUMBER(SEARCH({"á","é","í","ó","ú","ñ"},J271)))&gt;0),"Correo vacío o no institucional válido; ","")&amp;IF(LEN(TRIM(D271))=0,"Sin objeto contractual; ","")&amp;IF(AND(ISNUMBER(M271),N271="Mínima cuantía"),IF(M271&gt;39850000,"Mínima cuantía con valor superior al tope citado en el instructivo 2026 ($39.850.000): verificar modalidad; ",""),"")&amp;IF(AND(ISNUMBER(M271),OR(ISNUMBER(SEARCH("prestación de servicios",D271)),ISNUMBER(SEARCH("prestar servicios",D271)),ISNUMBER(SEARCH("prestar los servicios",D271)))),IF(M271&gt;=500000000,"Prestación de servicios por $500 millones o más: posible error de digitación; ",""),""))=0,"Sin observaciones",IF(OR(NOT(ISNUMBER(B271)),LEN(B271)&lt;&gt;8),"UNSPSC vacío, en texto, con varios códigos o sin 8 dígitos; ","")&amp;IF(AND(ISNUMBER(B271),LEN(B271)=8),IF(MOD(B271,10000)=0,"UNSPSC a nivel de segmento o familia; ",""),"")&amp;IF(NOT(ISNUMBER(E271)),"Duración vacía o en texto; ","")&amp;IF(NOT(ISNUMBER(G271)),"Valor vacío o en texto; ","")&amp;IF(ISNUMBER(M271),IF(M271&lt;1000000,"Valor inferior a $1.000.000: verificar; ",""),"Valor no interpretable; ")&amp;IF(N271="[PENDIENTE DE VERIFICAR]","Modalidad no identificable; ","")&amp;IF(OR(ISERROR(SEARCH("@itc.edu.co",J271)),SUMPRODUCT(--ISNUMBER(SEARCH({"á","é","í","ó","ú","ñ"},J271)))&gt;0),"Correo vacío o no institucional válido; ","")&amp;IF(LEN(TRIM(D271))=0,"Sin objeto contractual; ","")&amp;IF(AND(ISNUMBER(M271),N271="Mínima cuantía"),IF(M271&gt;39850000,"Mínima cuantía con valor superior al tope citado en el instructivo 2026 ($39.850.000): verificar modalidad; ",""),"")&amp;IF(AND(ISNUMBER(M271),OR(ISNUMBER(SEARCH("prestación de servicios",D271)),ISNUMBER(SEARCH("prestar servicios",D271)),ISNUMBER(SEARCH("prestar los servicios",D271)))),IF(M271&gt;=500000000,"Prestación de servicios por $500 millones o más: posible error de digitación; ",""),""))</f>
        <v xml:space="preserve">UNSPSC a nivel de segmento o familia; Duración vacía o en texto; Valor vacío o en texto; Mínima cuantía con valor superior al tope citado en el instructivo 2026 ($39.850.000): verificar modalidad; </v>
      </c>
    </row>
    <row r="272" spans="1:15" ht="45.6" x14ac:dyDescent="0.3">
      <c r="A272" s="15" t="s">
        <v>1449</v>
      </c>
      <c r="B272" s="15">
        <v>72151500</v>
      </c>
      <c r="C272" s="15" t="s">
        <v>1450</v>
      </c>
      <c r="D272" s="15" t="s">
        <v>1451</v>
      </c>
      <c r="E272" s="15" t="s">
        <v>1452</v>
      </c>
      <c r="F272" s="15" t="s">
        <v>1435</v>
      </c>
      <c r="G272" s="29" t="s">
        <v>1453</v>
      </c>
      <c r="H272" s="15" t="s">
        <v>1437</v>
      </c>
      <c r="I272" s="15" t="s">
        <v>1438</v>
      </c>
      <c r="J272" s="15" t="s">
        <v>1439</v>
      </c>
      <c r="K272" s="15"/>
      <c r="L272" s="30" t="s">
        <v>1440</v>
      </c>
      <c r="M272" s="31">
        <v>800000000</v>
      </c>
      <c r="N272" s="30" t="s">
        <v>792</v>
      </c>
      <c r="O272" s="30" t="str">
        <f>IF(LEN(IF(OR(NOT(ISNUMBER(B272)),LEN(B272)&lt;&gt;8),"UNSPSC vacío, en texto, con varios códigos o sin 8 dígitos; ","")&amp;IF(AND(ISNUMBER(B272),LEN(B272)=8),IF(MOD(B272,10000)=0,"UNSPSC a nivel de segmento o familia; ",""),"")&amp;IF(NOT(ISNUMBER(E272)),"Duración vacía o en texto; ","")&amp;IF(NOT(ISNUMBER(G272)),"Valor vacío o en texto; ","")&amp;IF(ISNUMBER(M272),IF(M272&lt;1000000,"Valor inferior a $1.000.000: verificar; ",""),"Valor no interpretable; ")&amp;IF(N272="[PENDIENTE DE VERIFICAR]","Modalidad no identificable; ","")&amp;IF(OR(ISERROR(SEARCH("@itc.edu.co",J272)),SUMPRODUCT(--ISNUMBER(SEARCH({"á","é","í","ó","ú","ñ"},J272)))&gt;0),"Correo vacío o no institucional válido; ","")&amp;IF(LEN(TRIM(D272))=0,"Sin objeto contractual; ","")&amp;IF(AND(ISNUMBER(M272),N272="Mínima cuantía"),IF(M272&gt;39850000,"Mínima cuantía con valor superior al tope citado en el instructivo 2026 ($39.850.000): verificar modalidad; ",""),"")&amp;IF(AND(ISNUMBER(M272),OR(ISNUMBER(SEARCH("prestación de servicios",D272)),ISNUMBER(SEARCH("prestar servicios",D272)),ISNUMBER(SEARCH("prestar los servicios",D272)))),IF(M272&gt;=500000000,"Prestación de servicios por $500 millones o más: posible error de digitación; ",""),""))=0,"Sin observaciones",IF(OR(NOT(ISNUMBER(B272)),LEN(B272)&lt;&gt;8),"UNSPSC vacío, en texto, con varios códigos o sin 8 dígitos; ","")&amp;IF(AND(ISNUMBER(B272),LEN(B272)=8),IF(MOD(B272,10000)=0,"UNSPSC a nivel de segmento o familia; ",""),"")&amp;IF(NOT(ISNUMBER(E272)),"Duración vacía o en texto; ","")&amp;IF(NOT(ISNUMBER(G272)),"Valor vacío o en texto; ","")&amp;IF(ISNUMBER(M272),IF(M272&lt;1000000,"Valor inferior a $1.000.000: verificar; ",""),"Valor no interpretable; ")&amp;IF(N272="[PENDIENTE DE VERIFICAR]","Modalidad no identificable; ","")&amp;IF(OR(ISERROR(SEARCH("@itc.edu.co",J272)),SUMPRODUCT(--ISNUMBER(SEARCH({"á","é","í","ó","ú","ñ"},J272)))&gt;0),"Correo vacío o no institucional válido; ","")&amp;IF(LEN(TRIM(D272))=0,"Sin objeto contractual; ","")&amp;IF(AND(ISNUMBER(M272),N272="Mínima cuantía"),IF(M272&gt;39850000,"Mínima cuantía con valor superior al tope citado en el instructivo 2026 ($39.850.000): verificar modalidad; ",""),"")&amp;IF(AND(ISNUMBER(M272),OR(ISNUMBER(SEARCH("prestación de servicios",D272)),ISNUMBER(SEARCH("prestar servicios",D272)),ISNUMBER(SEARCH("prestar los servicios",D272)))),IF(M272&gt;=500000000,"Prestación de servicios por $500 millones o más: posible error de digitación; ",""),""))</f>
        <v xml:space="preserve">Duración vacía o en texto; Valor vacío o en texto; Mínima cuantía con valor superior al tope citado en el instructivo 2026 ($39.850.000): verificar modalidad; </v>
      </c>
    </row>
    <row r="273" spans="1:15" ht="57" x14ac:dyDescent="0.3">
      <c r="A273" s="15" t="s">
        <v>550</v>
      </c>
      <c r="B273" s="15" t="s">
        <v>1454</v>
      </c>
      <c r="C273" s="15" t="s">
        <v>1455</v>
      </c>
      <c r="D273" s="15" t="s">
        <v>1456</v>
      </c>
      <c r="E273" s="15" t="s">
        <v>1457</v>
      </c>
      <c r="F273" s="15" t="s">
        <v>1458</v>
      </c>
      <c r="G273" s="29" t="s">
        <v>1459</v>
      </c>
      <c r="H273" s="15" t="s">
        <v>1437</v>
      </c>
      <c r="I273" s="15" t="s">
        <v>1438</v>
      </c>
      <c r="J273" s="15" t="s">
        <v>1439</v>
      </c>
      <c r="K273" s="15"/>
      <c r="L273" s="30" t="s">
        <v>1440</v>
      </c>
      <c r="M273" s="31">
        <v>850000000</v>
      </c>
      <c r="N273" s="30" t="s">
        <v>792</v>
      </c>
      <c r="O273" s="30" t="str">
        <f>IF(LEN(IF(OR(NOT(ISNUMBER(B273)),LEN(B273)&lt;&gt;8),"UNSPSC vacío, en texto, con varios códigos o sin 8 dígitos; ","")&amp;IF(AND(ISNUMBER(B273),LEN(B273)=8),IF(MOD(B273,10000)=0,"UNSPSC a nivel de segmento o familia; ",""),"")&amp;IF(NOT(ISNUMBER(E273)),"Duración vacía o en texto; ","")&amp;IF(NOT(ISNUMBER(G273)),"Valor vacío o en texto; ","")&amp;IF(ISNUMBER(M273),IF(M273&lt;1000000,"Valor inferior a $1.000.000: verificar; ",""),"Valor no interpretable; ")&amp;IF(N273="[PENDIENTE DE VERIFICAR]","Modalidad no identificable; ","")&amp;IF(OR(ISERROR(SEARCH("@itc.edu.co",J273)),SUMPRODUCT(--ISNUMBER(SEARCH({"á","é","í","ó","ú","ñ"},J273)))&gt;0),"Correo vacío o no institucional válido; ","")&amp;IF(LEN(TRIM(D273))=0,"Sin objeto contractual; ","")&amp;IF(AND(ISNUMBER(M273),N273="Mínima cuantía"),IF(M273&gt;39850000,"Mínima cuantía con valor superior al tope citado en el instructivo 2026 ($39.850.000): verificar modalidad; ",""),"")&amp;IF(AND(ISNUMBER(M273),OR(ISNUMBER(SEARCH("prestación de servicios",D273)),ISNUMBER(SEARCH("prestar servicios",D273)),ISNUMBER(SEARCH("prestar los servicios",D273)))),IF(M273&gt;=500000000,"Prestación de servicios por $500 millones o más: posible error de digitación; ",""),""))=0,"Sin observaciones",IF(OR(NOT(ISNUMBER(B273)),LEN(B273)&lt;&gt;8),"UNSPSC vacío, en texto, con varios códigos o sin 8 dígitos; ","")&amp;IF(AND(ISNUMBER(B273),LEN(B273)=8),IF(MOD(B273,10000)=0,"UNSPSC a nivel de segmento o familia; ",""),"")&amp;IF(NOT(ISNUMBER(E273)),"Duración vacía o en texto; ","")&amp;IF(NOT(ISNUMBER(G273)),"Valor vacío o en texto; ","")&amp;IF(ISNUMBER(M273),IF(M273&lt;1000000,"Valor inferior a $1.000.000: verificar; ",""),"Valor no interpretable; ")&amp;IF(N273="[PENDIENTE DE VERIFICAR]","Modalidad no identificable; ","")&amp;IF(OR(ISERROR(SEARCH("@itc.edu.co",J273)),SUMPRODUCT(--ISNUMBER(SEARCH({"á","é","í","ó","ú","ñ"},J273)))&gt;0),"Correo vacío o no institucional válido; ","")&amp;IF(LEN(TRIM(D273))=0,"Sin objeto contractual; ","")&amp;IF(AND(ISNUMBER(M273),N273="Mínima cuantía"),IF(M273&gt;39850000,"Mínima cuantía con valor superior al tope citado en el instructivo 2026 ($39.850.000): verificar modalidad; ",""),"")&amp;IF(AND(ISNUMBER(M273),OR(ISNUMBER(SEARCH("prestación de servicios",D273)),ISNUMBER(SEARCH("prestar servicios",D273)),ISNUMBER(SEARCH("prestar los servicios",D273)))),IF(M273&gt;=500000000,"Prestación de servicios por $500 millones o más: posible error de digitación; ",""),""))</f>
        <v xml:space="preserve">UNSPSC vacío, en texto, con varios códigos o sin 8 dígitos; Duración vacía o en texto; Valor vacío o en texto; Mínima cuantía con valor superior al tope citado en el instructivo 2026 ($39.850.000): verificar modalidad; </v>
      </c>
    </row>
    <row r="274" spans="1:15" ht="79.8" x14ac:dyDescent="0.3">
      <c r="A274" s="15" t="s">
        <v>649</v>
      </c>
      <c r="B274" s="15" t="s">
        <v>1460</v>
      </c>
      <c r="C274" s="15" t="s">
        <v>1455</v>
      </c>
      <c r="D274" s="15" t="s">
        <v>1461</v>
      </c>
      <c r="E274" s="15" t="s">
        <v>1462</v>
      </c>
      <c r="F274" s="15" t="s">
        <v>788</v>
      </c>
      <c r="G274" s="29" t="s">
        <v>1463</v>
      </c>
      <c r="H274" s="15" t="s">
        <v>1437</v>
      </c>
      <c r="I274" s="15" t="s">
        <v>1438</v>
      </c>
      <c r="J274" s="15" t="s">
        <v>1439</v>
      </c>
      <c r="K274" s="15"/>
      <c r="L274" s="30" t="s">
        <v>1440</v>
      </c>
      <c r="M274" s="31">
        <v>800000000</v>
      </c>
      <c r="N274" s="30" t="s">
        <v>792</v>
      </c>
      <c r="O274" s="30" t="str">
        <f>IF(LEN(IF(OR(NOT(ISNUMBER(B274)),LEN(B274)&lt;&gt;8),"UNSPSC vacío, en texto, con varios códigos o sin 8 dígitos; ","")&amp;IF(AND(ISNUMBER(B274),LEN(B274)=8),IF(MOD(B274,10000)=0,"UNSPSC a nivel de segmento o familia; ",""),"")&amp;IF(NOT(ISNUMBER(E274)),"Duración vacía o en texto; ","")&amp;IF(NOT(ISNUMBER(G274)),"Valor vacío o en texto; ","")&amp;IF(ISNUMBER(M274),IF(M274&lt;1000000,"Valor inferior a $1.000.000: verificar; ",""),"Valor no interpretable; ")&amp;IF(N274="[PENDIENTE DE VERIFICAR]","Modalidad no identificable; ","")&amp;IF(OR(ISERROR(SEARCH("@itc.edu.co",J274)),SUMPRODUCT(--ISNUMBER(SEARCH({"á","é","í","ó","ú","ñ"},J274)))&gt;0),"Correo vacío o no institucional válido; ","")&amp;IF(LEN(TRIM(D274))=0,"Sin objeto contractual; ","")&amp;IF(AND(ISNUMBER(M274),N274="Mínima cuantía"),IF(M274&gt;39850000,"Mínima cuantía con valor superior al tope citado en el instructivo 2026 ($39.850.000): verificar modalidad; ",""),"")&amp;IF(AND(ISNUMBER(M274),OR(ISNUMBER(SEARCH("prestación de servicios",D274)),ISNUMBER(SEARCH("prestar servicios",D274)),ISNUMBER(SEARCH("prestar los servicios",D274)))),IF(M274&gt;=500000000,"Prestación de servicios por $500 millones o más: posible error de digitación; ",""),""))=0,"Sin observaciones",IF(OR(NOT(ISNUMBER(B274)),LEN(B274)&lt;&gt;8),"UNSPSC vacío, en texto, con varios códigos o sin 8 dígitos; ","")&amp;IF(AND(ISNUMBER(B274),LEN(B274)=8),IF(MOD(B274,10000)=0,"UNSPSC a nivel de segmento o familia; ",""),"")&amp;IF(NOT(ISNUMBER(E274)),"Duración vacía o en texto; ","")&amp;IF(NOT(ISNUMBER(G274)),"Valor vacío o en texto; ","")&amp;IF(ISNUMBER(M274),IF(M274&lt;1000000,"Valor inferior a $1.000.000: verificar; ",""),"Valor no interpretable; ")&amp;IF(N274="[PENDIENTE DE VERIFICAR]","Modalidad no identificable; ","")&amp;IF(OR(ISERROR(SEARCH("@itc.edu.co",J274)),SUMPRODUCT(--ISNUMBER(SEARCH({"á","é","í","ó","ú","ñ"},J274)))&gt;0),"Correo vacío o no institucional válido; ","")&amp;IF(LEN(TRIM(D274))=0,"Sin objeto contractual; ","")&amp;IF(AND(ISNUMBER(M274),N274="Mínima cuantía"),IF(M274&gt;39850000,"Mínima cuantía con valor superior al tope citado en el instructivo 2026 ($39.850.000): verificar modalidad; ",""),"")&amp;IF(AND(ISNUMBER(M274),OR(ISNUMBER(SEARCH("prestación de servicios",D274)),ISNUMBER(SEARCH("prestar servicios",D274)),ISNUMBER(SEARCH("prestar los servicios",D274)))),IF(M274&gt;=500000000,"Prestación de servicios por $500 millones o más: posible error de digitación; ",""),""))</f>
        <v xml:space="preserve">UNSPSC vacío, en texto, con varios códigos o sin 8 dígitos; Duración vacía o en texto; Valor vacío o en texto; Mínima cuantía con valor superior al tope citado en el instructivo 2026 ($39.850.000): verificar modalidad; </v>
      </c>
    </row>
    <row r="275" spans="1:15" ht="102.6" x14ac:dyDescent="0.3">
      <c r="A275" s="15" t="s">
        <v>659</v>
      </c>
      <c r="B275" s="15">
        <v>73152108</v>
      </c>
      <c r="C275" s="15" t="s">
        <v>1455</v>
      </c>
      <c r="D275" s="15" t="s">
        <v>1464</v>
      </c>
      <c r="E275" s="15" t="s">
        <v>1465</v>
      </c>
      <c r="F275" s="15" t="s">
        <v>788</v>
      </c>
      <c r="G275" s="29" t="s">
        <v>1466</v>
      </c>
      <c r="H275" s="15" t="s">
        <v>1437</v>
      </c>
      <c r="I275" s="15" t="s">
        <v>1438</v>
      </c>
      <c r="J275" s="15" t="s">
        <v>1439</v>
      </c>
      <c r="K275" s="15"/>
      <c r="L275" s="30" t="s">
        <v>1440</v>
      </c>
      <c r="M275" s="31">
        <v>210000000</v>
      </c>
      <c r="N275" s="30" t="s">
        <v>792</v>
      </c>
      <c r="O275" s="30" t="str">
        <f>IF(LEN(IF(OR(NOT(ISNUMBER(B275)),LEN(B275)&lt;&gt;8),"UNSPSC vacío, en texto, con varios códigos o sin 8 dígitos; ","")&amp;IF(AND(ISNUMBER(B275),LEN(B275)=8),IF(MOD(B275,10000)=0,"UNSPSC a nivel de segmento o familia; ",""),"")&amp;IF(NOT(ISNUMBER(E275)),"Duración vacía o en texto; ","")&amp;IF(NOT(ISNUMBER(G275)),"Valor vacío o en texto; ","")&amp;IF(ISNUMBER(M275),IF(M275&lt;1000000,"Valor inferior a $1.000.000: verificar; ",""),"Valor no interpretable; ")&amp;IF(N275="[PENDIENTE DE VERIFICAR]","Modalidad no identificable; ","")&amp;IF(OR(ISERROR(SEARCH("@itc.edu.co",J275)),SUMPRODUCT(--ISNUMBER(SEARCH({"á","é","í","ó","ú","ñ"},J275)))&gt;0),"Correo vacío o no institucional válido; ","")&amp;IF(LEN(TRIM(D275))=0,"Sin objeto contractual; ","")&amp;IF(AND(ISNUMBER(M275),N275="Mínima cuantía"),IF(M275&gt;39850000,"Mínima cuantía con valor superior al tope citado en el instructivo 2026 ($39.850.000): verificar modalidad; ",""),"")&amp;IF(AND(ISNUMBER(M275),OR(ISNUMBER(SEARCH("prestación de servicios",D275)),ISNUMBER(SEARCH("prestar servicios",D275)),ISNUMBER(SEARCH("prestar los servicios",D275)))),IF(M275&gt;=500000000,"Prestación de servicios por $500 millones o más: posible error de digitación; ",""),""))=0,"Sin observaciones",IF(OR(NOT(ISNUMBER(B275)),LEN(B275)&lt;&gt;8),"UNSPSC vacío, en texto, con varios códigos o sin 8 dígitos; ","")&amp;IF(AND(ISNUMBER(B275),LEN(B275)=8),IF(MOD(B275,10000)=0,"UNSPSC a nivel de segmento o familia; ",""),"")&amp;IF(NOT(ISNUMBER(E275)),"Duración vacía o en texto; ","")&amp;IF(NOT(ISNUMBER(G275)),"Valor vacío o en texto; ","")&amp;IF(ISNUMBER(M275),IF(M275&lt;1000000,"Valor inferior a $1.000.000: verificar; ",""),"Valor no interpretable; ")&amp;IF(N275="[PENDIENTE DE VERIFICAR]","Modalidad no identificable; ","")&amp;IF(OR(ISERROR(SEARCH("@itc.edu.co",J275)),SUMPRODUCT(--ISNUMBER(SEARCH({"á","é","í","ó","ú","ñ"},J275)))&gt;0),"Correo vacío o no institucional válido; ","")&amp;IF(LEN(TRIM(D275))=0,"Sin objeto contractual; ","")&amp;IF(AND(ISNUMBER(M275),N275="Mínima cuantía"),IF(M275&gt;39850000,"Mínima cuantía con valor superior al tope citado en el instructivo 2026 ($39.850.000): verificar modalidad; ",""),"")&amp;IF(AND(ISNUMBER(M275),OR(ISNUMBER(SEARCH("prestación de servicios",D275)),ISNUMBER(SEARCH("prestar servicios",D275)),ISNUMBER(SEARCH("prestar los servicios",D275)))),IF(M275&gt;=500000000,"Prestación de servicios por $500 millones o más: posible error de digitación; ",""),""))</f>
        <v xml:space="preserve">Duración vacía o en texto; Valor vacío o en texto; Mínima cuantía con valor superior al tope citado en el instructivo 2026 ($39.850.000): verificar modalidad; </v>
      </c>
    </row>
    <row r="276" spans="1:15" ht="34.200000000000003" x14ac:dyDescent="0.3">
      <c r="A276" s="15" t="s">
        <v>539</v>
      </c>
      <c r="B276" s="15">
        <v>40151609</v>
      </c>
      <c r="C276" s="15" t="s">
        <v>1467</v>
      </c>
      <c r="D276" s="15" t="s">
        <v>1468</v>
      </c>
      <c r="E276" s="15" t="s">
        <v>1469</v>
      </c>
      <c r="F276" s="15" t="s">
        <v>1470</v>
      </c>
      <c r="G276" s="29" t="s">
        <v>1150</v>
      </c>
      <c r="H276" s="15" t="s">
        <v>1437</v>
      </c>
      <c r="I276" s="15" t="s">
        <v>1438</v>
      </c>
      <c r="J276" s="15" t="s">
        <v>1439</v>
      </c>
      <c r="K276" s="15"/>
      <c r="L276" s="30" t="s">
        <v>1440</v>
      </c>
      <c r="M276" s="31">
        <v>200000000</v>
      </c>
      <c r="N276" s="30" t="s">
        <v>803</v>
      </c>
      <c r="O276" s="30" t="str">
        <f>IF(LEN(IF(OR(NOT(ISNUMBER(B276)),LEN(B276)&lt;&gt;8),"UNSPSC vacío, en texto, con varios códigos o sin 8 dígitos; ","")&amp;IF(AND(ISNUMBER(B276),LEN(B276)=8),IF(MOD(B276,10000)=0,"UNSPSC a nivel de segmento o familia; ",""),"")&amp;IF(NOT(ISNUMBER(E276)),"Duración vacía o en texto; ","")&amp;IF(NOT(ISNUMBER(G276)),"Valor vacío o en texto; ","")&amp;IF(ISNUMBER(M276),IF(M276&lt;1000000,"Valor inferior a $1.000.000: verificar; ",""),"Valor no interpretable; ")&amp;IF(N276="[PENDIENTE DE VERIFICAR]","Modalidad no identificable; ","")&amp;IF(OR(ISERROR(SEARCH("@itc.edu.co",J276)),SUMPRODUCT(--ISNUMBER(SEARCH({"á","é","í","ó","ú","ñ"},J276)))&gt;0),"Correo vacío o no institucional válido; ","")&amp;IF(LEN(TRIM(D276))=0,"Sin objeto contractual; ","")&amp;IF(AND(ISNUMBER(M276),N276="Mínima cuantía"),IF(M276&gt;39850000,"Mínima cuantía con valor superior al tope citado en el instructivo 2026 ($39.850.000): verificar modalidad; ",""),"")&amp;IF(AND(ISNUMBER(M276),OR(ISNUMBER(SEARCH("prestación de servicios",D276)),ISNUMBER(SEARCH("prestar servicios",D276)),ISNUMBER(SEARCH("prestar los servicios",D276)))),IF(M276&gt;=500000000,"Prestación de servicios por $500 millones o más: posible error de digitación; ",""),""))=0,"Sin observaciones",IF(OR(NOT(ISNUMBER(B276)),LEN(B276)&lt;&gt;8),"UNSPSC vacío, en texto, con varios códigos o sin 8 dígitos; ","")&amp;IF(AND(ISNUMBER(B276),LEN(B276)=8),IF(MOD(B276,10000)=0,"UNSPSC a nivel de segmento o familia; ",""),"")&amp;IF(NOT(ISNUMBER(E276)),"Duración vacía o en texto; ","")&amp;IF(NOT(ISNUMBER(G276)),"Valor vacío o en texto; ","")&amp;IF(ISNUMBER(M276),IF(M276&lt;1000000,"Valor inferior a $1.000.000: verificar; ",""),"Valor no interpretable; ")&amp;IF(N276="[PENDIENTE DE VERIFICAR]","Modalidad no identificable; ","")&amp;IF(OR(ISERROR(SEARCH("@itc.edu.co",J276)),SUMPRODUCT(--ISNUMBER(SEARCH({"á","é","í","ó","ú","ñ"},J276)))&gt;0),"Correo vacío o no institucional válido; ","")&amp;IF(LEN(TRIM(D276))=0,"Sin objeto contractual; ","")&amp;IF(AND(ISNUMBER(M276),N276="Mínima cuantía"),IF(M276&gt;39850000,"Mínima cuantía con valor superior al tope citado en el instructivo 2026 ($39.850.000): verificar modalidad; ",""),"")&amp;IF(AND(ISNUMBER(M276),OR(ISNUMBER(SEARCH("prestación de servicios",D276)),ISNUMBER(SEARCH("prestar servicios",D276)),ISNUMBER(SEARCH("prestar los servicios",D276)))),IF(M276&gt;=500000000,"Prestación de servicios por $500 millones o más: posible error de digitación; ",""),""))</f>
        <v xml:space="preserve">Duración vacía o en texto; Valor vacío o en texto; </v>
      </c>
    </row>
    <row r="277" spans="1:15" ht="34.200000000000003" x14ac:dyDescent="0.3">
      <c r="A277" s="15" t="s">
        <v>381</v>
      </c>
      <c r="B277" s="15" t="s">
        <v>1471</v>
      </c>
      <c r="C277" s="15" t="s">
        <v>1472</v>
      </c>
      <c r="D277" s="15" t="s">
        <v>1473</v>
      </c>
      <c r="E277" s="15" t="s">
        <v>1469</v>
      </c>
      <c r="F277" s="15" t="s">
        <v>1474</v>
      </c>
      <c r="G277" s="29" t="s">
        <v>1343</v>
      </c>
      <c r="H277" s="15" t="s">
        <v>1437</v>
      </c>
      <c r="I277" s="15" t="s">
        <v>1438</v>
      </c>
      <c r="J277" s="15" t="s">
        <v>1439</v>
      </c>
      <c r="K277" s="15"/>
      <c r="L277" s="30" t="s">
        <v>1440</v>
      </c>
      <c r="M277" s="31">
        <v>10000000</v>
      </c>
      <c r="N277" s="30" t="s">
        <v>1111</v>
      </c>
      <c r="O277" s="30" t="str">
        <f>IF(LEN(IF(OR(NOT(ISNUMBER(B277)),LEN(B277)&lt;&gt;8),"UNSPSC vacío, en texto, con varios códigos o sin 8 dígitos; ","")&amp;IF(AND(ISNUMBER(B277),LEN(B277)=8),IF(MOD(B277,10000)=0,"UNSPSC a nivel de segmento o familia; ",""),"")&amp;IF(NOT(ISNUMBER(E277)),"Duración vacía o en texto; ","")&amp;IF(NOT(ISNUMBER(G277)),"Valor vacío o en texto; ","")&amp;IF(ISNUMBER(M277),IF(M277&lt;1000000,"Valor inferior a $1.000.000: verificar; ",""),"Valor no interpretable; ")&amp;IF(N277="[PENDIENTE DE VERIFICAR]","Modalidad no identificable; ","")&amp;IF(OR(ISERROR(SEARCH("@itc.edu.co",J277)),SUMPRODUCT(--ISNUMBER(SEARCH({"á","é","í","ó","ú","ñ"},J277)))&gt;0),"Correo vacío o no institucional válido; ","")&amp;IF(LEN(TRIM(D277))=0,"Sin objeto contractual; ","")&amp;IF(AND(ISNUMBER(M277),N277="Mínima cuantía"),IF(M277&gt;39850000,"Mínima cuantía con valor superior al tope citado en el instructivo 2026 ($39.850.000): verificar modalidad; ",""),"")&amp;IF(AND(ISNUMBER(M277),OR(ISNUMBER(SEARCH("prestación de servicios",D277)),ISNUMBER(SEARCH("prestar servicios",D277)),ISNUMBER(SEARCH("prestar los servicios",D277)))),IF(M277&gt;=500000000,"Prestación de servicios por $500 millones o más: posible error de digitación; ",""),""))=0,"Sin observaciones",IF(OR(NOT(ISNUMBER(B277)),LEN(B277)&lt;&gt;8),"UNSPSC vacío, en texto, con varios códigos o sin 8 dígitos; ","")&amp;IF(AND(ISNUMBER(B277),LEN(B277)=8),IF(MOD(B277,10000)=0,"UNSPSC a nivel de segmento o familia; ",""),"")&amp;IF(NOT(ISNUMBER(E277)),"Duración vacía o en texto; ","")&amp;IF(NOT(ISNUMBER(G277)),"Valor vacío o en texto; ","")&amp;IF(ISNUMBER(M277),IF(M277&lt;1000000,"Valor inferior a $1.000.000: verificar; ",""),"Valor no interpretable; ")&amp;IF(N277="[PENDIENTE DE VERIFICAR]","Modalidad no identificable; ","")&amp;IF(OR(ISERROR(SEARCH("@itc.edu.co",J277)),SUMPRODUCT(--ISNUMBER(SEARCH({"á","é","í","ó","ú","ñ"},J277)))&gt;0),"Correo vacío o no institucional válido; ","")&amp;IF(LEN(TRIM(D277))=0,"Sin objeto contractual; ","")&amp;IF(AND(ISNUMBER(M277),N277="Mínima cuantía"),IF(M277&gt;39850000,"Mínima cuantía con valor superior al tope citado en el instructivo 2026 ($39.850.000): verificar modalidad; ",""),"")&amp;IF(AND(ISNUMBER(M277),OR(ISNUMBER(SEARCH("prestación de servicios",D277)),ISNUMBER(SEARCH("prestar servicios",D277)),ISNUMBER(SEARCH("prestar los servicios",D277)))),IF(M277&gt;=500000000,"Prestación de servicios por $500 millones o más: posible error de digitación; ",""),""))</f>
        <v xml:space="preserve">UNSPSC vacío, en texto, con varios códigos o sin 8 dígitos; Duración vacía o en texto; Valor vacío o en texto; </v>
      </c>
    </row>
    <row r="278" spans="1:15" ht="45.6" x14ac:dyDescent="0.3">
      <c r="A278" s="15" t="s">
        <v>1475</v>
      </c>
      <c r="B278" s="15">
        <v>43211503</v>
      </c>
      <c r="C278" s="15" t="s">
        <v>1472</v>
      </c>
      <c r="D278" s="15" t="s">
        <v>1476</v>
      </c>
      <c r="E278" s="15" t="s">
        <v>1469</v>
      </c>
      <c r="F278" s="15" t="s">
        <v>788</v>
      </c>
      <c r="G278" s="29" t="s">
        <v>1477</v>
      </c>
      <c r="H278" s="15" t="s">
        <v>1437</v>
      </c>
      <c r="I278" s="15" t="s">
        <v>1438</v>
      </c>
      <c r="J278" s="15" t="s">
        <v>1439</v>
      </c>
      <c r="K278" s="15"/>
      <c r="L278" s="30" t="s">
        <v>1440</v>
      </c>
      <c r="M278" s="31">
        <v>500000000</v>
      </c>
      <c r="N278" s="30" t="s">
        <v>792</v>
      </c>
      <c r="O278" s="30" t="str">
        <f>IF(LEN(IF(OR(NOT(ISNUMBER(B278)),LEN(B278)&lt;&gt;8),"UNSPSC vacío, en texto, con varios códigos o sin 8 dígitos; ","")&amp;IF(AND(ISNUMBER(B278),LEN(B278)=8),IF(MOD(B278,10000)=0,"UNSPSC a nivel de segmento o familia; ",""),"")&amp;IF(NOT(ISNUMBER(E278)),"Duración vacía o en texto; ","")&amp;IF(NOT(ISNUMBER(G278)),"Valor vacío o en texto; ","")&amp;IF(ISNUMBER(M278),IF(M278&lt;1000000,"Valor inferior a $1.000.000: verificar; ",""),"Valor no interpretable; ")&amp;IF(N278="[PENDIENTE DE VERIFICAR]","Modalidad no identificable; ","")&amp;IF(OR(ISERROR(SEARCH("@itc.edu.co",J278)),SUMPRODUCT(--ISNUMBER(SEARCH({"á","é","í","ó","ú","ñ"},J278)))&gt;0),"Correo vacío o no institucional válido; ","")&amp;IF(LEN(TRIM(D278))=0,"Sin objeto contractual; ","")&amp;IF(AND(ISNUMBER(M278),N278="Mínima cuantía"),IF(M278&gt;39850000,"Mínima cuantía con valor superior al tope citado en el instructivo 2026 ($39.850.000): verificar modalidad; ",""),"")&amp;IF(AND(ISNUMBER(M278),OR(ISNUMBER(SEARCH("prestación de servicios",D278)),ISNUMBER(SEARCH("prestar servicios",D278)),ISNUMBER(SEARCH("prestar los servicios",D278)))),IF(M278&gt;=500000000,"Prestación de servicios por $500 millones o más: posible error de digitación; ",""),""))=0,"Sin observaciones",IF(OR(NOT(ISNUMBER(B278)),LEN(B278)&lt;&gt;8),"UNSPSC vacío, en texto, con varios códigos o sin 8 dígitos; ","")&amp;IF(AND(ISNUMBER(B278),LEN(B278)=8),IF(MOD(B278,10000)=0,"UNSPSC a nivel de segmento o familia; ",""),"")&amp;IF(NOT(ISNUMBER(E278)),"Duración vacía o en texto; ","")&amp;IF(NOT(ISNUMBER(G278)),"Valor vacío o en texto; ","")&amp;IF(ISNUMBER(M278),IF(M278&lt;1000000,"Valor inferior a $1.000.000: verificar; ",""),"Valor no interpretable; ")&amp;IF(N278="[PENDIENTE DE VERIFICAR]","Modalidad no identificable; ","")&amp;IF(OR(ISERROR(SEARCH("@itc.edu.co",J278)),SUMPRODUCT(--ISNUMBER(SEARCH({"á","é","í","ó","ú","ñ"},J278)))&gt;0),"Correo vacío o no institucional válido; ","")&amp;IF(LEN(TRIM(D278))=0,"Sin objeto contractual; ","")&amp;IF(AND(ISNUMBER(M278),N278="Mínima cuantía"),IF(M278&gt;39850000,"Mínima cuantía con valor superior al tope citado en el instructivo 2026 ($39.850.000): verificar modalidad; ",""),"")&amp;IF(AND(ISNUMBER(M278),OR(ISNUMBER(SEARCH("prestación de servicios",D278)),ISNUMBER(SEARCH("prestar servicios",D278)),ISNUMBER(SEARCH("prestar los servicios",D278)))),IF(M278&gt;=500000000,"Prestación de servicios por $500 millones o más: posible error de digitación; ",""),""))</f>
        <v xml:space="preserve">Duración vacía o en texto; Valor vacío o en texto; Mínima cuantía con valor superior al tope citado en el instructivo 2026 ($39.850.000): verificar modalidad; </v>
      </c>
    </row>
    <row r="279" spans="1:15" ht="34.200000000000003" x14ac:dyDescent="0.3">
      <c r="A279" s="15" t="s">
        <v>386</v>
      </c>
      <c r="B279" s="15" t="s">
        <v>1478</v>
      </c>
      <c r="C279" s="15" t="s">
        <v>1472</v>
      </c>
      <c r="D279" s="15" t="s">
        <v>385</v>
      </c>
      <c r="E279" s="15" t="s">
        <v>1479</v>
      </c>
      <c r="F279" s="15" t="s">
        <v>1470</v>
      </c>
      <c r="G279" s="29" t="s">
        <v>1173</v>
      </c>
      <c r="H279" s="15" t="s">
        <v>1437</v>
      </c>
      <c r="I279" s="15" t="s">
        <v>1438</v>
      </c>
      <c r="J279" s="15" t="s">
        <v>1439</v>
      </c>
      <c r="K279" s="15"/>
      <c r="L279" s="30" t="s">
        <v>1440</v>
      </c>
      <c r="M279" s="31">
        <v>100000000</v>
      </c>
      <c r="N279" s="30" t="s">
        <v>803</v>
      </c>
      <c r="O279" s="30" t="str">
        <f>IF(LEN(IF(OR(NOT(ISNUMBER(B279)),LEN(B279)&lt;&gt;8),"UNSPSC vacío, en texto, con varios códigos o sin 8 dígitos; ","")&amp;IF(AND(ISNUMBER(B279),LEN(B279)=8),IF(MOD(B279,10000)=0,"UNSPSC a nivel de segmento o familia; ",""),"")&amp;IF(NOT(ISNUMBER(E279)),"Duración vacía o en texto; ","")&amp;IF(NOT(ISNUMBER(G279)),"Valor vacío o en texto; ","")&amp;IF(ISNUMBER(M279),IF(M279&lt;1000000,"Valor inferior a $1.000.000: verificar; ",""),"Valor no interpretable; ")&amp;IF(N279="[PENDIENTE DE VERIFICAR]","Modalidad no identificable; ","")&amp;IF(OR(ISERROR(SEARCH("@itc.edu.co",J279)),SUMPRODUCT(--ISNUMBER(SEARCH({"á","é","í","ó","ú","ñ"},J279)))&gt;0),"Correo vacío o no institucional válido; ","")&amp;IF(LEN(TRIM(D279))=0,"Sin objeto contractual; ","")&amp;IF(AND(ISNUMBER(M279),N279="Mínima cuantía"),IF(M279&gt;39850000,"Mínima cuantía con valor superior al tope citado en el instructivo 2026 ($39.850.000): verificar modalidad; ",""),"")&amp;IF(AND(ISNUMBER(M279),OR(ISNUMBER(SEARCH("prestación de servicios",D279)),ISNUMBER(SEARCH("prestar servicios",D279)),ISNUMBER(SEARCH("prestar los servicios",D279)))),IF(M279&gt;=500000000,"Prestación de servicios por $500 millones o más: posible error de digitación; ",""),""))=0,"Sin observaciones",IF(OR(NOT(ISNUMBER(B279)),LEN(B279)&lt;&gt;8),"UNSPSC vacío, en texto, con varios códigos o sin 8 dígitos; ","")&amp;IF(AND(ISNUMBER(B279),LEN(B279)=8),IF(MOD(B279,10000)=0,"UNSPSC a nivel de segmento o familia; ",""),"")&amp;IF(NOT(ISNUMBER(E279)),"Duración vacía o en texto; ","")&amp;IF(NOT(ISNUMBER(G279)),"Valor vacío o en texto; ","")&amp;IF(ISNUMBER(M279),IF(M279&lt;1000000,"Valor inferior a $1.000.000: verificar; ",""),"Valor no interpretable; ")&amp;IF(N279="[PENDIENTE DE VERIFICAR]","Modalidad no identificable; ","")&amp;IF(OR(ISERROR(SEARCH("@itc.edu.co",J279)),SUMPRODUCT(--ISNUMBER(SEARCH({"á","é","í","ó","ú","ñ"},J279)))&gt;0),"Correo vacío o no institucional válido; ","")&amp;IF(LEN(TRIM(D279))=0,"Sin objeto contractual; ","")&amp;IF(AND(ISNUMBER(M279),N279="Mínima cuantía"),IF(M279&gt;39850000,"Mínima cuantía con valor superior al tope citado en el instructivo 2026 ($39.850.000): verificar modalidad; ",""),"")&amp;IF(AND(ISNUMBER(M279),OR(ISNUMBER(SEARCH("prestación de servicios",D279)),ISNUMBER(SEARCH("prestar servicios",D279)),ISNUMBER(SEARCH("prestar los servicios",D279)))),IF(M279&gt;=500000000,"Prestación de servicios por $500 millones o más: posible error de digitación; ",""),""))</f>
        <v xml:space="preserve">UNSPSC vacío, en texto, con varios códigos o sin 8 dígitos; Duración vacía o en texto; Valor vacío o en texto; </v>
      </c>
    </row>
    <row r="280" spans="1:15" ht="45.6" x14ac:dyDescent="0.3">
      <c r="A280" s="15" t="s">
        <v>639</v>
      </c>
      <c r="B280" s="15" t="s">
        <v>1480</v>
      </c>
      <c r="C280" s="15" t="s">
        <v>1472</v>
      </c>
      <c r="D280" s="15" t="s">
        <v>1481</v>
      </c>
      <c r="E280" s="15" t="s">
        <v>1469</v>
      </c>
      <c r="F280" s="15" t="s">
        <v>1470</v>
      </c>
      <c r="G280" s="29" t="s">
        <v>1482</v>
      </c>
      <c r="H280" s="15" t="s">
        <v>1437</v>
      </c>
      <c r="I280" s="15" t="s">
        <v>1438</v>
      </c>
      <c r="J280" s="15" t="s">
        <v>1439</v>
      </c>
      <c r="K280" s="15"/>
      <c r="L280" s="30" t="s">
        <v>1440</v>
      </c>
      <c r="M280" s="31">
        <v>300000000</v>
      </c>
      <c r="N280" s="30" t="s">
        <v>803</v>
      </c>
      <c r="O280" s="30" t="str">
        <f>IF(LEN(IF(OR(NOT(ISNUMBER(B280)),LEN(B280)&lt;&gt;8),"UNSPSC vacío, en texto, con varios códigos o sin 8 dígitos; ","")&amp;IF(AND(ISNUMBER(B280),LEN(B280)=8),IF(MOD(B280,10000)=0,"UNSPSC a nivel de segmento o familia; ",""),"")&amp;IF(NOT(ISNUMBER(E280)),"Duración vacía o en texto; ","")&amp;IF(NOT(ISNUMBER(G280)),"Valor vacío o en texto; ","")&amp;IF(ISNUMBER(M280),IF(M280&lt;1000000,"Valor inferior a $1.000.000: verificar; ",""),"Valor no interpretable; ")&amp;IF(N280="[PENDIENTE DE VERIFICAR]","Modalidad no identificable; ","")&amp;IF(OR(ISERROR(SEARCH("@itc.edu.co",J280)),SUMPRODUCT(--ISNUMBER(SEARCH({"á","é","í","ó","ú","ñ"},J280)))&gt;0),"Correo vacío o no institucional válido; ","")&amp;IF(LEN(TRIM(D280))=0,"Sin objeto contractual; ","")&amp;IF(AND(ISNUMBER(M280),N280="Mínima cuantía"),IF(M280&gt;39850000,"Mínima cuantía con valor superior al tope citado en el instructivo 2026 ($39.850.000): verificar modalidad; ",""),"")&amp;IF(AND(ISNUMBER(M280),OR(ISNUMBER(SEARCH("prestación de servicios",D280)),ISNUMBER(SEARCH("prestar servicios",D280)),ISNUMBER(SEARCH("prestar los servicios",D280)))),IF(M280&gt;=500000000,"Prestación de servicios por $500 millones o más: posible error de digitación; ",""),""))=0,"Sin observaciones",IF(OR(NOT(ISNUMBER(B280)),LEN(B280)&lt;&gt;8),"UNSPSC vacío, en texto, con varios códigos o sin 8 dígitos; ","")&amp;IF(AND(ISNUMBER(B280),LEN(B280)=8),IF(MOD(B280,10000)=0,"UNSPSC a nivel de segmento o familia; ",""),"")&amp;IF(NOT(ISNUMBER(E280)),"Duración vacía o en texto; ","")&amp;IF(NOT(ISNUMBER(G280)),"Valor vacío o en texto; ","")&amp;IF(ISNUMBER(M280),IF(M280&lt;1000000,"Valor inferior a $1.000.000: verificar; ",""),"Valor no interpretable; ")&amp;IF(N280="[PENDIENTE DE VERIFICAR]","Modalidad no identificable; ","")&amp;IF(OR(ISERROR(SEARCH("@itc.edu.co",J280)),SUMPRODUCT(--ISNUMBER(SEARCH({"á","é","í","ó","ú","ñ"},J280)))&gt;0),"Correo vacío o no institucional válido; ","")&amp;IF(LEN(TRIM(D280))=0,"Sin objeto contractual; ","")&amp;IF(AND(ISNUMBER(M280),N280="Mínima cuantía"),IF(M280&gt;39850000,"Mínima cuantía con valor superior al tope citado en el instructivo 2026 ($39.850.000): verificar modalidad; ",""),"")&amp;IF(AND(ISNUMBER(M280),OR(ISNUMBER(SEARCH("prestación de servicios",D280)),ISNUMBER(SEARCH("prestar servicios",D280)),ISNUMBER(SEARCH("prestar los servicios",D280)))),IF(M280&gt;=500000000,"Prestación de servicios por $500 millones o más: posible error de digitación; ",""),""))</f>
        <v xml:space="preserve">UNSPSC vacío, en texto, con varios códigos o sin 8 dígitos; Duración vacía o en texto; Valor vacío o en texto; </v>
      </c>
    </row>
    <row r="281" spans="1:15" ht="79.8" x14ac:dyDescent="0.3">
      <c r="A281" s="15" t="s">
        <v>384</v>
      </c>
      <c r="B281" s="15" t="s">
        <v>1483</v>
      </c>
      <c r="C281" s="15" t="s">
        <v>1484</v>
      </c>
      <c r="D281" s="15" t="s">
        <v>1485</v>
      </c>
      <c r="E281" s="15" t="s">
        <v>1479</v>
      </c>
      <c r="F281" s="15" t="s">
        <v>788</v>
      </c>
      <c r="G281" s="29" t="s">
        <v>1149</v>
      </c>
      <c r="H281" s="15" t="s">
        <v>1437</v>
      </c>
      <c r="I281" s="15" t="s">
        <v>1438</v>
      </c>
      <c r="J281" s="15" t="s">
        <v>1439</v>
      </c>
      <c r="K281" s="15"/>
      <c r="L281" s="30" t="s">
        <v>1440</v>
      </c>
      <c r="M281" s="31">
        <v>30000000</v>
      </c>
      <c r="N281" s="30" t="s">
        <v>792</v>
      </c>
      <c r="O281" s="30" t="str">
        <f>IF(LEN(IF(OR(NOT(ISNUMBER(B281)),LEN(B281)&lt;&gt;8),"UNSPSC vacío, en texto, con varios códigos o sin 8 dígitos; ","")&amp;IF(AND(ISNUMBER(B281),LEN(B281)=8),IF(MOD(B281,10000)=0,"UNSPSC a nivel de segmento o familia; ",""),"")&amp;IF(NOT(ISNUMBER(E281)),"Duración vacía o en texto; ","")&amp;IF(NOT(ISNUMBER(G281)),"Valor vacío o en texto; ","")&amp;IF(ISNUMBER(M281),IF(M281&lt;1000000,"Valor inferior a $1.000.000: verificar; ",""),"Valor no interpretable; ")&amp;IF(N281="[PENDIENTE DE VERIFICAR]","Modalidad no identificable; ","")&amp;IF(OR(ISERROR(SEARCH("@itc.edu.co",J281)),SUMPRODUCT(--ISNUMBER(SEARCH({"á","é","í","ó","ú","ñ"},J281)))&gt;0),"Correo vacío o no institucional válido; ","")&amp;IF(LEN(TRIM(D281))=0,"Sin objeto contractual; ","")&amp;IF(AND(ISNUMBER(M281),N281="Mínima cuantía"),IF(M281&gt;39850000,"Mínima cuantía con valor superior al tope citado en el instructivo 2026 ($39.850.000): verificar modalidad; ",""),"")&amp;IF(AND(ISNUMBER(M281),OR(ISNUMBER(SEARCH("prestación de servicios",D281)),ISNUMBER(SEARCH("prestar servicios",D281)),ISNUMBER(SEARCH("prestar los servicios",D281)))),IF(M281&gt;=500000000,"Prestación de servicios por $500 millones o más: posible error de digitación; ",""),""))=0,"Sin observaciones",IF(OR(NOT(ISNUMBER(B281)),LEN(B281)&lt;&gt;8),"UNSPSC vacío, en texto, con varios códigos o sin 8 dígitos; ","")&amp;IF(AND(ISNUMBER(B281),LEN(B281)=8),IF(MOD(B281,10000)=0,"UNSPSC a nivel de segmento o familia; ",""),"")&amp;IF(NOT(ISNUMBER(E281)),"Duración vacía o en texto; ","")&amp;IF(NOT(ISNUMBER(G281)),"Valor vacío o en texto; ","")&amp;IF(ISNUMBER(M281),IF(M281&lt;1000000,"Valor inferior a $1.000.000: verificar; ",""),"Valor no interpretable; ")&amp;IF(N281="[PENDIENTE DE VERIFICAR]","Modalidad no identificable; ","")&amp;IF(OR(ISERROR(SEARCH("@itc.edu.co",J281)),SUMPRODUCT(--ISNUMBER(SEARCH({"á","é","í","ó","ú","ñ"},J281)))&gt;0),"Correo vacío o no institucional válido; ","")&amp;IF(LEN(TRIM(D281))=0,"Sin objeto contractual; ","")&amp;IF(AND(ISNUMBER(M281),N281="Mínima cuantía"),IF(M281&gt;39850000,"Mínima cuantía con valor superior al tope citado en el instructivo 2026 ($39.850.000): verificar modalidad; ",""),"")&amp;IF(AND(ISNUMBER(M281),OR(ISNUMBER(SEARCH("prestación de servicios",D281)),ISNUMBER(SEARCH("prestar servicios",D281)),ISNUMBER(SEARCH("prestar los servicios",D281)))),IF(M281&gt;=500000000,"Prestación de servicios por $500 millones o más: posible error de digitación; ",""),""))</f>
        <v xml:space="preserve">UNSPSC vacío, en texto, con varios códigos o sin 8 dígitos; Duración vacía o en texto; Valor vacío o en texto; </v>
      </c>
    </row>
    <row r="282" spans="1:15" ht="79.8" x14ac:dyDescent="0.3">
      <c r="A282" s="15" t="s">
        <v>474</v>
      </c>
      <c r="B282" s="15">
        <v>12161500</v>
      </c>
      <c r="C282" s="15" t="s">
        <v>1484</v>
      </c>
      <c r="D282" s="15" t="s">
        <v>1486</v>
      </c>
      <c r="E282" s="15" t="s">
        <v>1487</v>
      </c>
      <c r="F282" s="15" t="s">
        <v>788</v>
      </c>
      <c r="G282" s="29" t="s">
        <v>1180</v>
      </c>
      <c r="H282" s="15" t="s">
        <v>1437</v>
      </c>
      <c r="I282" s="15" t="s">
        <v>1438</v>
      </c>
      <c r="J282" s="15" t="s">
        <v>1439</v>
      </c>
      <c r="K282" s="15"/>
      <c r="L282" s="30" t="s">
        <v>1440</v>
      </c>
      <c r="M282" s="31">
        <v>20000000</v>
      </c>
      <c r="N282" s="30" t="s">
        <v>792</v>
      </c>
      <c r="O282" s="30" t="str">
        <f>IF(LEN(IF(OR(NOT(ISNUMBER(B282)),LEN(B282)&lt;&gt;8),"UNSPSC vacío, en texto, con varios códigos o sin 8 dígitos; ","")&amp;IF(AND(ISNUMBER(B282),LEN(B282)=8),IF(MOD(B282,10000)=0,"UNSPSC a nivel de segmento o familia; ",""),"")&amp;IF(NOT(ISNUMBER(E282)),"Duración vacía o en texto; ","")&amp;IF(NOT(ISNUMBER(G282)),"Valor vacío o en texto; ","")&amp;IF(ISNUMBER(M282),IF(M282&lt;1000000,"Valor inferior a $1.000.000: verificar; ",""),"Valor no interpretable; ")&amp;IF(N282="[PENDIENTE DE VERIFICAR]","Modalidad no identificable; ","")&amp;IF(OR(ISERROR(SEARCH("@itc.edu.co",J282)),SUMPRODUCT(--ISNUMBER(SEARCH({"á","é","í","ó","ú","ñ"},J282)))&gt;0),"Correo vacío o no institucional válido; ","")&amp;IF(LEN(TRIM(D282))=0,"Sin objeto contractual; ","")&amp;IF(AND(ISNUMBER(M282),N282="Mínima cuantía"),IF(M282&gt;39850000,"Mínima cuantía con valor superior al tope citado en el instructivo 2026 ($39.850.000): verificar modalidad; ",""),"")&amp;IF(AND(ISNUMBER(M282),OR(ISNUMBER(SEARCH("prestación de servicios",D282)),ISNUMBER(SEARCH("prestar servicios",D282)),ISNUMBER(SEARCH("prestar los servicios",D282)))),IF(M282&gt;=500000000,"Prestación de servicios por $500 millones o más: posible error de digitación; ",""),""))=0,"Sin observaciones",IF(OR(NOT(ISNUMBER(B282)),LEN(B282)&lt;&gt;8),"UNSPSC vacío, en texto, con varios códigos o sin 8 dígitos; ","")&amp;IF(AND(ISNUMBER(B282),LEN(B282)=8),IF(MOD(B282,10000)=0,"UNSPSC a nivel de segmento o familia; ",""),"")&amp;IF(NOT(ISNUMBER(E282)),"Duración vacía o en texto; ","")&amp;IF(NOT(ISNUMBER(G282)),"Valor vacío o en texto; ","")&amp;IF(ISNUMBER(M282),IF(M282&lt;1000000,"Valor inferior a $1.000.000: verificar; ",""),"Valor no interpretable; ")&amp;IF(N282="[PENDIENTE DE VERIFICAR]","Modalidad no identificable; ","")&amp;IF(OR(ISERROR(SEARCH("@itc.edu.co",J282)),SUMPRODUCT(--ISNUMBER(SEARCH({"á","é","í","ó","ú","ñ"},J282)))&gt;0),"Correo vacío o no institucional válido; ","")&amp;IF(LEN(TRIM(D282))=0,"Sin objeto contractual; ","")&amp;IF(AND(ISNUMBER(M282),N282="Mínima cuantía"),IF(M282&gt;39850000,"Mínima cuantía con valor superior al tope citado en el instructivo 2026 ($39.850.000): verificar modalidad; ",""),"")&amp;IF(AND(ISNUMBER(M282),OR(ISNUMBER(SEARCH("prestación de servicios",D282)),ISNUMBER(SEARCH("prestar servicios",D282)),ISNUMBER(SEARCH("prestar los servicios",D282)))),IF(M282&gt;=500000000,"Prestación de servicios por $500 millones o más: posible error de digitación; ",""),""))</f>
        <v xml:space="preserve">Duración vacía o en texto; Valor vacío o en texto; </v>
      </c>
    </row>
    <row r="283" spans="1:15" ht="79.8" x14ac:dyDescent="0.3">
      <c r="A283" s="15" t="s">
        <v>361</v>
      </c>
      <c r="B283" s="15">
        <v>41000000</v>
      </c>
      <c r="C283" s="15" t="s">
        <v>1484</v>
      </c>
      <c r="D283" s="15" t="s">
        <v>1488</v>
      </c>
      <c r="E283" s="15" t="s">
        <v>1487</v>
      </c>
      <c r="F283" s="15" t="s">
        <v>788</v>
      </c>
      <c r="G283" s="29" t="s">
        <v>1143</v>
      </c>
      <c r="H283" s="15" t="s">
        <v>1437</v>
      </c>
      <c r="I283" s="15" t="s">
        <v>1438</v>
      </c>
      <c r="J283" s="15" t="s">
        <v>1439</v>
      </c>
      <c r="K283" s="15"/>
      <c r="L283" s="30" t="s">
        <v>1440</v>
      </c>
      <c r="M283" s="31">
        <v>15000000</v>
      </c>
      <c r="N283" s="30" t="s">
        <v>792</v>
      </c>
      <c r="O283" s="30" t="str">
        <f>IF(LEN(IF(OR(NOT(ISNUMBER(B283)),LEN(B283)&lt;&gt;8),"UNSPSC vacío, en texto, con varios códigos o sin 8 dígitos; ","")&amp;IF(AND(ISNUMBER(B283),LEN(B283)=8),IF(MOD(B283,10000)=0,"UNSPSC a nivel de segmento o familia; ",""),"")&amp;IF(NOT(ISNUMBER(E283)),"Duración vacía o en texto; ","")&amp;IF(NOT(ISNUMBER(G283)),"Valor vacío o en texto; ","")&amp;IF(ISNUMBER(M283),IF(M283&lt;1000000,"Valor inferior a $1.000.000: verificar; ",""),"Valor no interpretable; ")&amp;IF(N283="[PENDIENTE DE VERIFICAR]","Modalidad no identificable; ","")&amp;IF(OR(ISERROR(SEARCH("@itc.edu.co",J283)),SUMPRODUCT(--ISNUMBER(SEARCH({"á","é","í","ó","ú","ñ"},J283)))&gt;0),"Correo vacío o no institucional válido; ","")&amp;IF(LEN(TRIM(D283))=0,"Sin objeto contractual; ","")&amp;IF(AND(ISNUMBER(M283),N283="Mínima cuantía"),IF(M283&gt;39850000,"Mínima cuantía con valor superior al tope citado en el instructivo 2026 ($39.850.000): verificar modalidad; ",""),"")&amp;IF(AND(ISNUMBER(M283),OR(ISNUMBER(SEARCH("prestación de servicios",D283)),ISNUMBER(SEARCH("prestar servicios",D283)),ISNUMBER(SEARCH("prestar los servicios",D283)))),IF(M283&gt;=500000000,"Prestación de servicios por $500 millones o más: posible error de digitación; ",""),""))=0,"Sin observaciones",IF(OR(NOT(ISNUMBER(B283)),LEN(B283)&lt;&gt;8),"UNSPSC vacío, en texto, con varios códigos o sin 8 dígitos; ","")&amp;IF(AND(ISNUMBER(B283),LEN(B283)=8),IF(MOD(B283,10000)=0,"UNSPSC a nivel de segmento o familia; ",""),"")&amp;IF(NOT(ISNUMBER(E283)),"Duración vacía o en texto; ","")&amp;IF(NOT(ISNUMBER(G283)),"Valor vacío o en texto; ","")&amp;IF(ISNUMBER(M283),IF(M283&lt;1000000,"Valor inferior a $1.000.000: verificar; ",""),"Valor no interpretable; ")&amp;IF(N283="[PENDIENTE DE VERIFICAR]","Modalidad no identificable; ","")&amp;IF(OR(ISERROR(SEARCH("@itc.edu.co",J283)),SUMPRODUCT(--ISNUMBER(SEARCH({"á","é","í","ó","ú","ñ"},J283)))&gt;0),"Correo vacío o no institucional válido; ","")&amp;IF(LEN(TRIM(D283))=0,"Sin objeto contractual; ","")&amp;IF(AND(ISNUMBER(M283),N283="Mínima cuantía"),IF(M283&gt;39850000,"Mínima cuantía con valor superior al tope citado en el instructivo 2026 ($39.850.000): verificar modalidad; ",""),"")&amp;IF(AND(ISNUMBER(M283),OR(ISNUMBER(SEARCH("prestación de servicios",D283)),ISNUMBER(SEARCH("prestar servicios",D283)),ISNUMBER(SEARCH("prestar los servicios",D283)))),IF(M283&gt;=500000000,"Prestación de servicios por $500 millones o más: posible error de digitación; ",""),""))</f>
        <v xml:space="preserve">UNSPSC a nivel de segmento o familia; Duración vacía o en texto; Valor vacío o en texto; </v>
      </c>
    </row>
    <row r="284" spans="1:15" ht="91.2" x14ac:dyDescent="0.3">
      <c r="A284" s="15" t="s">
        <v>1489</v>
      </c>
      <c r="B284" s="15">
        <v>41000000</v>
      </c>
      <c r="C284" s="15" t="s">
        <v>1484</v>
      </c>
      <c r="D284" s="15" t="s">
        <v>1490</v>
      </c>
      <c r="E284" s="15" t="s">
        <v>1487</v>
      </c>
      <c r="F284" s="15" t="s">
        <v>788</v>
      </c>
      <c r="G284" s="29" t="s">
        <v>1337</v>
      </c>
      <c r="H284" s="15" t="s">
        <v>1437</v>
      </c>
      <c r="I284" s="15" t="s">
        <v>1438</v>
      </c>
      <c r="J284" s="15" t="s">
        <v>1439</v>
      </c>
      <c r="K284" s="15"/>
      <c r="L284" s="30" t="s">
        <v>1440</v>
      </c>
      <c r="M284" s="31">
        <v>35000000</v>
      </c>
      <c r="N284" s="30" t="s">
        <v>792</v>
      </c>
      <c r="O284" s="30" t="str">
        <f>IF(LEN(IF(OR(NOT(ISNUMBER(B284)),LEN(B284)&lt;&gt;8),"UNSPSC vacío, en texto, con varios códigos o sin 8 dígitos; ","")&amp;IF(AND(ISNUMBER(B284),LEN(B284)=8),IF(MOD(B284,10000)=0,"UNSPSC a nivel de segmento o familia; ",""),"")&amp;IF(NOT(ISNUMBER(E284)),"Duración vacía o en texto; ","")&amp;IF(NOT(ISNUMBER(G284)),"Valor vacío o en texto; ","")&amp;IF(ISNUMBER(M284),IF(M284&lt;1000000,"Valor inferior a $1.000.000: verificar; ",""),"Valor no interpretable; ")&amp;IF(N284="[PENDIENTE DE VERIFICAR]","Modalidad no identificable; ","")&amp;IF(OR(ISERROR(SEARCH("@itc.edu.co",J284)),SUMPRODUCT(--ISNUMBER(SEARCH({"á","é","í","ó","ú","ñ"},J284)))&gt;0),"Correo vacío o no institucional válido; ","")&amp;IF(LEN(TRIM(D284))=0,"Sin objeto contractual; ","")&amp;IF(AND(ISNUMBER(M284),N284="Mínima cuantía"),IF(M284&gt;39850000,"Mínima cuantía con valor superior al tope citado en el instructivo 2026 ($39.850.000): verificar modalidad; ",""),"")&amp;IF(AND(ISNUMBER(M284),OR(ISNUMBER(SEARCH("prestación de servicios",D284)),ISNUMBER(SEARCH("prestar servicios",D284)),ISNUMBER(SEARCH("prestar los servicios",D284)))),IF(M284&gt;=500000000,"Prestación de servicios por $500 millones o más: posible error de digitación; ",""),""))=0,"Sin observaciones",IF(OR(NOT(ISNUMBER(B284)),LEN(B284)&lt;&gt;8),"UNSPSC vacío, en texto, con varios códigos o sin 8 dígitos; ","")&amp;IF(AND(ISNUMBER(B284),LEN(B284)=8),IF(MOD(B284,10000)=0,"UNSPSC a nivel de segmento o familia; ",""),"")&amp;IF(NOT(ISNUMBER(E284)),"Duración vacía o en texto; ","")&amp;IF(NOT(ISNUMBER(G284)),"Valor vacío o en texto; ","")&amp;IF(ISNUMBER(M284),IF(M284&lt;1000000,"Valor inferior a $1.000.000: verificar; ",""),"Valor no interpretable; ")&amp;IF(N284="[PENDIENTE DE VERIFICAR]","Modalidad no identificable; ","")&amp;IF(OR(ISERROR(SEARCH("@itc.edu.co",J284)),SUMPRODUCT(--ISNUMBER(SEARCH({"á","é","í","ó","ú","ñ"},J284)))&gt;0),"Correo vacío o no institucional válido; ","")&amp;IF(LEN(TRIM(D284))=0,"Sin objeto contractual; ","")&amp;IF(AND(ISNUMBER(M284),N284="Mínima cuantía"),IF(M284&gt;39850000,"Mínima cuantía con valor superior al tope citado en el instructivo 2026 ($39.850.000): verificar modalidad; ",""),"")&amp;IF(AND(ISNUMBER(M284),OR(ISNUMBER(SEARCH("prestación de servicios",D284)),ISNUMBER(SEARCH("prestar servicios",D284)),ISNUMBER(SEARCH("prestar los servicios",D284)))),IF(M284&gt;=500000000,"Prestación de servicios por $500 millones o más: posible error de digitación; ",""),""))</f>
        <v xml:space="preserve">UNSPSC a nivel de segmento o familia; Duración vacía o en texto; Valor vacío o en texto; </v>
      </c>
    </row>
    <row r="285" spans="1:15" ht="79.8" x14ac:dyDescent="0.3">
      <c r="A285" s="15" t="s">
        <v>1491</v>
      </c>
      <c r="B285" s="15">
        <v>60100000</v>
      </c>
      <c r="C285" s="15" t="s">
        <v>1484</v>
      </c>
      <c r="D285" s="15" t="s">
        <v>1492</v>
      </c>
      <c r="E285" s="15" t="s">
        <v>1487</v>
      </c>
      <c r="F285" s="15" t="s">
        <v>788</v>
      </c>
      <c r="G285" s="29" t="s">
        <v>1180</v>
      </c>
      <c r="H285" s="15" t="s">
        <v>1437</v>
      </c>
      <c r="I285" s="15" t="s">
        <v>1438</v>
      </c>
      <c r="J285" s="15" t="s">
        <v>1439</v>
      </c>
      <c r="K285" s="15"/>
      <c r="L285" s="30" t="s">
        <v>1440</v>
      </c>
      <c r="M285" s="31">
        <v>20000000</v>
      </c>
      <c r="N285" s="30" t="s">
        <v>792</v>
      </c>
      <c r="O285" s="30" t="str">
        <f>IF(LEN(IF(OR(NOT(ISNUMBER(B285)),LEN(B285)&lt;&gt;8),"UNSPSC vacío, en texto, con varios códigos o sin 8 dígitos; ","")&amp;IF(AND(ISNUMBER(B285),LEN(B285)=8),IF(MOD(B285,10000)=0,"UNSPSC a nivel de segmento o familia; ",""),"")&amp;IF(NOT(ISNUMBER(E285)),"Duración vacía o en texto; ","")&amp;IF(NOT(ISNUMBER(G285)),"Valor vacío o en texto; ","")&amp;IF(ISNUMBER(M285),IF(M285&lt;1000000,"Valor inferior a $1.000.000: verificar; ",""),"Valor no interpretable; ")&amp;IF(N285="[PENDIENTE DE VERIFICAR]","Modalidad no identificable; ","")&amp;IF(OR(ISERROR(SEARCH("@itc.edu.co",J285)),SUMPRODUCT(--ISNUMBER(SEARCH({"á","é","í","ó","ú","ñ"},J285)))&gt;0),"Correo vacío o no institucional válido; ","")&amp;IF(LEN(TRIM(D285))=0,"Sin objeto contractual; ","")&amp;IF(AND(ISNUMBER(M285),N285="Mínima cuantía"),IF(M285&gt;39850000,"Mínima cuantía con valor superior al tope citado en el instructivo 2026 ($39.850.000): verificar modalidad; ",""),"")&amp;IF(AND(ISNUMBER(M285),OR(ISNUMBER(SEARCH("prestación de servicios",D285)),ISNUMBER(SEARCH("prestar servicios",D285)),ISNUMBER(SEARCH("prestar los servicios",D285)))),IF(M285&gt;=500000000,"Prestación de servicios por $500 millones o más: posible error de digitación; ",""),""))=0,"Sin observaciones",IF(OR(NOT(ISNUMBER(B285)),LEN(B285)&lt;&gt;8),"UNSPSC vacío, en texto, con varios códigos o sin 8 dígitos; ","")&amp;IF(AND(ISNUMBER(B285),LEN(B285)=8),IF(MOD(B285,10000)=0,"UNSPSC a nivel de segmento o familia; ",""),"")&amp;IF(NOT(ISNUMBER(E285)),"Duración vacía o en texto; ","")&amp;IF(NOT(ISNUMBER(G285)),"Valor vacío o en texto; ","")&amp;IF(ISNUMBER(M285),IF(M285&lt;1000000,"Valor inferior a $1.000.000: verificar; ",""),"Valor no interpretable; ")&amp;IF(N285="[PENDIENTE DE VERIFICAR]","Modalidad no identificable; ","")&amp;IF(OR(ISERROR(SEARCH("@itc.edu.co",J285)),SUMPRODUCT(--ISNUMBER(SEARCH({"á","é","í","ó","ú","ñ"},J285)))&gt;0),"Correo vacío o no institucional válido; ","")&amp;IF(LEN(TRIM(D285))=0,"Sin objeto contractual; ","")&amp;IF(AND(ISNUMBER(M285),N285="Mínima cuantía"),IF(M285&gt;39850000,"Mínima cuantía con valor superior al tope citado en el instructivo 2026 ($39.850.000): verificar modalidad; ",""),"")&amp;IF(AND(ISNUMBER(M285),OR(ISNUMBER(SEARCH("prestación de servicios",D285)),ISNUMBER(SEARCH("prestar servicios",D285)),ISNUMBER(SEARCH("prestar los servicios",D285)))),IF(M285&gt;=500000000,"Prestación de servicios por $500 millones o más: posible error de digitación; ",""),""))</f>
        <v xml:space="preserve">UNSPSC a nivel de segmento o familia; Duración vacía o en texto; Valor vacío o en texto; </v>
      </c>
    </row>
    <row r="286" spans="1:15" ht="79.8" x14ac:dyDescent="0.3">
      <c r="A286" s="15" t="s">
        <v>546</v>
      </c>
      <c r="B286" s="15">
        <v>41112200</v>
      </c>
      <c r="C286" s="15" t="s">
        <v>1484</v>
      </c>
      <c r="D286" s="15" t="s">
        <v>1493</v>
      </c>
      <c r="E286" s="15" t="s">
        <v>1487</v>
      </c>
      <c r="F286" s="15" t="s">
        <v>788</v>
      </c>
      <c r="G286" s="29" t="s">
        <v>1337</v>
      </c>
      <c r="H286" s="15" t="s">
        <v>1437</v>
      </c>
      <c r="I286" s="15" t="s">
        <v>1438</v>
      </c>
      <c r="J286" s="15" t="s">
        <v>1439</v>
      </c>
      <c r="K286" s="15"/>
      <c r="L286" s="30" t="s">
        <v>1440</v>
      </c>
      <c r="M286" s="31">
        <v>35000000</v>
      </c>
      <c r="N286" s="30" t="s">
        <v>792</v>
      </c>
      <c r="O286" s="30" t="str">
        <f>IF(LEN(IF(OR(NOT(ISNUMBER(B286)),LEN(B286)&lt;&gt;8),"UNSPSC vacío, en texto, con varios códigos o sin 8 dígitos; ","")&amp;IF(AND(ISNUMBER(B286),LEN(B286)=8),IF(MOD(B286,10000)=0,"UNSPSC a nivel de segmento o familia; ",""),"")&amp;IF(NOT(ISNUMBER(E286)),"Duración vacía o en texto; ","")&amp;IF(NOT(ISNUMBER(G286)),"Valor vacío o en texto; ","")&amp;IF(ISNUMBER(M286),IF(M286&lt;1000000,"Valor inferior a $1.000.000: verificar; ",""),"Valor no interpretable; ")&amp;IF(N286="[PENDIENTE DE VERIFICAR]","Modalidad no identificable; ","")&amp;IF(OR(ISERROR(SEARCH("@itc.edu.co",J286)),SUMPRODUCT(--ISNUMBER(SEARCH({"á","é","í","ó","ú","ñ"},J286)))&gt;0),"Correo vacío o no institucional válido; ","")&amp;IF(LEN(TRIM(D286))=0,"Sin objeto contractual; ","")&amp;IF(AND(ISNUMBER(M286),N286="Mínima cuantía"),IF(M286&gt;39850000,"Mínima cuantía con valor superior al tope citado en el instructivo 2026 ($39.850.000): verificar modalidad; ",""),"")&amp;IF(AND(ISNUMBER(M286),OR(ISNUMBER(SEARCH("prestación de servicios",D286)),ISNUMBER(SEARCH("prestar servicios",D286)),ISNUMBER(SEARCH("prestar los servicios",D286)))),IF(M286&gt;=500000000,"Prestación de servicios por $500 millones o más: posible error de digitación; ",""),""))=0,"Sin observaciones",IF(OR(NOT(ISNUMBER(B286)),LEN(B286)&lt;&gt;8),"UNSPSC vacío, en texto, con varios códigos o sin 8 dígitos; ","")&amp;IF(AND(ISNUMBER(B286),LEN(B286)=8),IF(MOD(B286,10000)=0,"UNSPSC a nivel de segmento o familia; ",""),"")&amp;IF(NOT(ISNUMBER(E286)),"Duración vacía o en texto; ","")&amp;IF(NOT(ISNUMBER(G286)),"Valor vacío o en texto; ","")&amp;IF(ISNUMBER(M286),IF(M286&lt;1000000,"Valor inferior a $1.000.000: verificar; ",""),"Valor no interpretable; ")&amp;IF(N286="[PENDIENTE DE VERIFICAR]","Modalidad no identificable; ","")&amp;IF(OR(ISERROR(SEARCH("@itc.edu.co",J286)),SUMPRODUCT(--ISNUMBER(SEARCH({"á","é","í","ó","ú","ñ"},J286)))&gt;0),"Correo vacío o no institucional válido; ","")&amp;IF(LEN(TRIM(D286))=0,"Sin objeto contractual; ","")&amp;IF(AND(ISNUMBER(M286),N286="Mínima cuantía"),IF(M286&gt;39850000,"Mínima cuantía con valor superior al tope citado en el instructivo 2026 ($39.850.000): verificar modalidad; ",""),"")&amp;IF(AND(ISNUMBER(M286),OR(ISNUMBER(SEARCH("prestación de servicios",D286)),ISNUMBER(SEARCH("prestar servicios",D286)),ISNUMBER(SEARCH("prestar los servicios",D286)))),IF(M286&gt;=500000000,"Prestación de servicios por $500 millones o más: posible error de digitación; ",""),""))</f>
        <v xml:space="preserve">Duración vacía o en texto; Valor vacío o en texto; </v>
      </c>
    </row>
    <row r="287" spans="1:15" ht="91.2" x14ac:dyDescent="0.3">
      <c r="A287" s="15" t="s">
        <v>1494</v>
      </c>
      <c r="B287" s="15">
        <v>41000000</v>
      </c>
      <c r="C287" s="15" t="s">
        <v>1484</v>
      </c>
      <c r="D287" s="15" t="s">
        <v>1495</v>
      </c>
      <c r="E287" s="15" t="s">
        <v>1487</v>
      </c>
      <c r="F287" s="15" t="s">
        <v>788</v>
      </c>
      <c r="G287" s="29" t="s">
        <v>1138</v>
      </c>
      <c r="H287" s="15" t="s">
        <v>1437</v>
      </c>
      <c r="I287" s="15" t="s">
        <v>1438</v>
      </c>
      <c r="J287" s="15" t="s">
        <v>1439</v>
      </c>
      <c r="K287" s="15"/>
      <c r="L287" s="30" t="s">
        <v>1440</v>
      </c>
      <c r="M287" s="31">
        <v>50000000</v>
      </c>
      <c r="N287" s="30" t="s">
        <v>792</v>
      </c>
      <c r="O287" s="30" t="str">
        <f>IF(LEN(IF(OR(NOT(ISNUMBER(B287)),LEN(B287)&lt;&gt;8),"UNSPSC vacío, en texto, con varios códigos o sin 8 dígitos; ","")&amp;IF(AND(ISNUMBER(B287),LEN(B287)=8),IF(MOD(B287,10000)=0,"UNSPSC a nivel de segmento o familia; ",""),"")&amp;IF(NOT(ISNUMBER(E287)),"Duración vacía o en texto; ","")&amp;IF(NOT(ISNUMBER(G287)),"Valor vacío o en texto; ","")&amp;IF(ISNUMBER(M287),IF(M287&lt;1000000,"Valor inferior a $1.000.000: verificar; ",""),"Valor no interpretable; ")&amp;IF(N287="[PENDIENTE DE VERIFICAR]","Modalidad no identificable; ","")&amp;IF(OR(ISERROR(SEARCH("@itc.edu.co",J287)),SUMPRODUCT(--ISNUMBER(SEARCH({"á","é","í","ó","ú","ñ"},J287)))&gt;0),"Correo vacío o no institucional válido; ","")&amp;IF(LEN(TRIM(D287))=0,"Sin objeto contractual; ","")&amp;IF(AND(ISNUMBER(M287),N287="Mínima cuantía"),IF(M287&gt;39850000,"Mínima cuantía con valor superior al tope citado en el instructivo 2026 ($39.850.000): verificar modalidad; ",""),"")&amp;IF(AND(ISNUMBER(M287),OR(ISNUMBER(SEARCH("prestación de servicios",D287)),ISNUMBER(SEARCH("prestar servicios",D287)),ISNUMBER(SEARCH("prestar los servicios",D287)))),IF(M287&gt;=500000000,"Prestación de servicios por $500 millones o más: posible error de digitación; ",""),""))=0,"Sin observaciones",IF(OR(NOT(ISNUMBER(B287)),LEN(B287)&lt;&gt;8),"UNSPSC vacío, en texto, con varios códigos o sin 8 dígitos; ","")&amp;IF(AND(ISNUMBER(B287),LEN(B287)=8),IF(MOD(B287,10000)=0,"UNSPSC a nivel de segmento o familia; ",""),"")&amp;IF(NOT(ISNUMBER(E287)),"Duración vacía o en texto; ","")&amp;IF(NOT(ISNUMBER(G287)),"Valor vacío o en texto; ","")&amp;IF(ISNUMBER(M287),IF(M287&lt;1000000,"Valor inferior a $1.000.000: verificar; ",""),"Valor no interpretable; ")&amp;IF(N287="[PENDIENTE DE VERIFICAR]","Modalidad no identificable; ","")&amp;IF(OR(ISERROR(SEARCH("@itc.edu.co",J287)),SUMPRODUCT(--ISNUMBER(SEARCH({"á","é","í","ó","ú","ñ"},J287)))&gt;0),"Correo vacío o no institucional válido; ","")&amp;IF(LEN(TRIM(D287))=0,"Sin objeto contractual; ","")&amp;IF(AND(ISNUMBER(M287),N287="Mínima cuantía"),IF(M287&gt;39850000,"Mínima cuantía con valor superior al tope citado en el instructivo 2026 ($39.850.000): verificar modalidad; ",""),"")&amp;IF(AND(ISNUMBER(M287),OR(ISNUMBER(SEARCH("prestación de servicios",D287)),ISNUMBER(SEARCH("prestar servicios",D287)),ISNUMBER(SEARCH("prestar los servicios",D287)))),IF(M287&gt;=500000000,"Prestación de servicios por $500 millones o más: posible error de digitación; ",""),""))</f>
        <v xml:space="preserve">UNSPSC a nivel de segmento o familia; Duración vacía o en texto; Valor vacío o en texto; Mínima cuantía con valor superior al tope citado en el instructivo 2026 ($39.850.000): verificar modalidad; </v>
      </c>
    </row>
    <row r="288" spans="1:15" ht="79.8" x14ac:dyDescent="0.3">
      <c r="A288" s="15" t="s">
        <v>1496</v>
      </c>
      <c r="B288" s="15">
        <v>41000000</v>
      </c>
      <c r="C288" s="15" t="s">
        <v>1484</v>
      </c>
      <c r="D288" s="15" t="s">
        <v>1497</v>
      </c>
      <c r="E288" s="15" t="s">
        <v>1487</v>
      </c>
      <c r="F288" s="15" t="s">
        <v>788</v>
      </c>
      <c r="G288" s="29" t="s">
        <v>1343</v>
      </c>
      <c r="H288" s="15" t="s">
        <v>1437</v>
      </c>
      <c r="I288" s="15" t="s">
        <v>1438</v>
      </c>
      <c r="J288" s="15" t="s">
        <v>1439</v>
      </c>
      <c r="K288" s="15"/>
      <c r="L288" s="30" t="s">
        <v>1440</v>
      </c>
      <c r="M288" s="31">
        <v>10000000</v>
      </c>
      <c r="N288" s="30" t="s">
        <v>792</v>
      </c>
      <c r="O288" s="30" t="str">
        <f>IF(LEN(IF(OR(NOT(ISNUMBER(B288)),LEN(B288)&lt;&gt;8),"UNSPSC vacío, en texto, con varios códigos o sin 8 dígitos; ","")&amp;IF(AND(ISNUMBER(B288),LEN(B288)=8),IF(MOD(B288,10000)=0,"UNSPSC a nivel de segmento o familia; ",""),"")&amp;IF(NOT(ISNUMBER(E288)),"Duración vacía o en texto; ","")&amp;IF(NOT(ISNUMBER(G288)),"Valor vacío o en texto; ","")&amp;IF(ISNUMBER(M288),IF(M288&lt;1000000,"Valor inferior a $1.000.000: verificar; ",""),"Valor no interpretable; ")&amp;IF(N288="[PENDIENTE DE VERIFICAR]","Modalidad no identificable; ","")&amp;IF(OR(ISERROR(SEARCH("@itc.edu.co",J288)),SUMPRODUCT(--ISNUMBER(SEARCH({"á","é","í","ó","ú","ñ"},J288)))&gt;0),"Correo vacío o no institucional válido; ","")&amp;IF(LEN(TRIM(D288))=0,"Sin objeto contractual; ","")&amp;IF(AND(ISNUMBER(M288),N288="Mínima cuantía"),IF(M288&gt;39850000,"Mínima cuantía con valor superior al tope citado en el instructivo 2026 ($39.850.000): verificar modalidad; ",""),"")&amp;IF(AND(ISNUMBER(M288),OR(ISNUMBER(SEARCH("prestación de servicios",D288)),ISNUMBER(SEARCH("prestar servicios",D288)),ISNUMBER(SEARCH("prestar los servicios",D288)))),IF(M288&gt;=500000000,"Prestación de servicios por $500 millones o más: posible error de digitación; ",""),""))=0,"Sin observaciones",IF(OR(NOT(ISNUMBER(B288)),LEN(B288)&lt;&gt;8),"UNSPSC vacío, en texto, con varios códigos o sin 8 dígitos; ","")&amp;IF(AND(ISNUMBER(B288),LEN(B288)=8),IF(MOD(B288,10000)=0,"UNSPSC a nivel de segmento o familia; ",""),"")&amp;IF(NOT(ISNUMBER(E288)),"Duración vacía o en texto; ","")&amp;IF(NOT(ISNUMBER(G288)),"Valor vacío o en texto; ","")&amp;IF(ISNUMBER(M288),IF(M288&lt;1000000,"Valor inferior a $1.000.000: verificar; ",""),"Valor no interpretable; ")&amp;IF(N288="[PENDIENTE DE VERIFICAR]","Modalidad no identificable; ","")&amp;IF(OR(ISERROR(SEARCH("@itc.edu.co",J288)),SUMPRODUCT(--ISNUMBER(SEARCH({"á","é","í","ó","ú","ñ"},J288)))&gt;0),"Correo vacío o no institucional válido; ","")&amp;IF(LEN(TRIM(D288))=0,"Sin objeto contractual; ","")&amp;IF(AND(ISNUMBER(M288),N288="Mínima cuantía"),IF(M288&gt;39850000,"Mínima cuantía con valor superior al tope citado en el instructivo 2026 ($39.850.000): verificar modalidad; ",""),"")&amp;IF(AND(ISNUMBER(M288),OR(ISNUMBER(SEARCH("prestación de servicios",D288)),ISNUMBER(SEARCH("prestar servicios",D288)),ISNUMBER(SEARCH("prestar los servicios",D288)))),IF(M288&gt;=500000000,"Prestación de servicios por $500 millones o más: posible error de digitación; ",""),""))</f>
        <v xml:space="preserve">UNSPSC a nivel de segmento o familia; Duración vacía o en texto; Valor vacío o en texto; </v>
      </c>
    </row>
    <row r="289" spans="1:15" ht="114" x14ac:dyDescent="0.3">
      <c r="A289" s="15" t="s">
        <v>1498</v>
      </c>
      <c r="B289" s="15">
        <v>60100000</v>
      </c>
      <c r="C289" s="15" t="s">
        <v>1484</v>
      </c>
      <c r="D289" s="15" t="s">
        <v>1499</v>
      </c>
      <c r="E289" s="15" t="s">
        <v>1487</v>
      </c>
      <c r="F289" s="15" t="s">
        <v>788</v>
      </c>
      <c r="G289" s="29" t="s">
        <v>1346</v>
      </c>
      <c r="H289" s="15" t="s">
        <v>1437</v>
      </c>
      <c r="I289" s="15" t="s">
        <v>1438</v>
      </c>
      <c r="J289" s="15" t="s">
        <v>1439</v>
      </c>
      <c r="K289" s="15"/>
      <c r="L289" s="30" t="s">
        <v>1440</v>
      </c>
      <c r="M289" s="31">
        <v>25000000</v>
      </c>
      <c r="N289" s="30" t="s">
        <v>792</v>
      </c>
      <c r="O289" s="30" t="str">
        <f>IF(LEN(IF(OR(NOT(ISNUMBER(B289)),LEN(B289)&lt;&gt;8),"UNSPSC vacío, en texto, con varios códigos o sin 8 dígitos; ","")&amp;IF(AND(ISNUMBER(B289),LEN(B289)=8),IF(MOD(B289,10000)=0,"UNSPSC a nivel de segmento o familia; ",""),"")&amp;IF(NOT(ISNUMBER(E289)),"Duración vacía o en texto; ","")&amp;IF(NOT(ISNUMBER(G289)),"Valor vacío o en texto; ","")&amp;IF(ISNUMBER(M289),IF(M289&lt;1000000,"Valor inferior a $1.000.000: verificar; ",""),"Valor no interpretable; ")&amp;IF(N289="[PENDIENTE DE VERIFICAR]","Modalidad no identificable; ","")&amp;IF(OR(ISERROR(SEARCH("@itc.edu.co",J289)),SUMPRODUCT(--ISNUMBER(SEARCH({"á","é","í","ó","ú","ñ"},J289)))&gt;0),"Correo vacío o no institucional válido; ","")&amp;IF(LEN(TRIM(D289))=0,"Sin objeto contractual; ","")&amp;IF(AND(ISNUMBER(M289),N289="Mínima cuantía"),IF(M289&gt;39850000,"Mínima cuantía con valor superior al tope citado en el instructivo 2026 ($39.850.000): verificar modalidad; ",""),"")&amp;IF(AND(ISNUMBER(M289),OR(ISNUMBER(SEARCH("prestación de servicios",D289)),ISNUMBER(SEARCH("prestar servicios",D289)),ISNUMBER(SEARCH("prestar los servicios",D289)))),IF(M289&gt;=500000000,"Prestación de servicios por $500 millones o más: posible error de digitación; ",""),""))=0,"Sin observaciones",IF(OR(NOT(ISNUMBER(B289)),LEN(B289)&lt;&gt;8),"UNSPSC vacío, en texto, con varios códigos o sin 8 dígitos; ","")&amp;IF(AND(ISNUMBER(B289),LEN(B289)=8),IF(MOD(B289,10000)=0,"UNSPSC a nivel de segmento o familia; ",""),"")&amp;IF(NOT(ISNUMBER(E289)),"Duración vacía o en texto; ","")&amp;IF(NOT(ISNUMBER(G289)),"Valor vacío o en texto; ","")&amp;IF(ISNUMBER(M289),IF(M289&lt;1000000,"Valor inferior a $1.000.000: verificar; ",""),"Valor no interpretable; ")&amp;IF(N289="[PENDIENTE DE VERIFICAR]","Modalidad no identificable; ","")&amp;IF(OR(ISERROR(SEARCH("@itc.edu.co",J289)),SUMPRODUCT(--ISNUMBER(SEARCH({"á","é","í","ó","ú","ñ"},J289)))&gt;0),"Correo vacío o no institucional válido; ","")&amp;IF(LEN(TRIM(D289))=0,"Sin objeto contractual; ","")&amp;IF(AND(ISNUMBER(M289),N289="Mínima cuantía"),IF(M289&gt;39850000,"Mínima cuantía con valor superior al tope citado en el instructivo 2026 ($39.850.000): verificar modalidad; ",""),"")&amp;IF(AND(ISNUMBER(M289),OR(ISNUMBER(SEARCH("prestación de servicios",D289)),ISNUMBER(SEARCH("prestar servicios",D289)),ISNUMBER(SEARCH("prestar los servicios",D289)))),IF(M289&gt;=500000000,"Prestación de servicios por $500 millones o más: posible error de digitación; ",""),""))</f>
        <v xml:space="preserve">UNSPSC a nivel de segmento o familia; Duración vacía o en texto; Valor vacío o en texto; </v>
      </c>
    </row>
    <row r="290" spans="1:15" ht="91.2" x14ac:dyDescent="0.3">
      <c r="A290" s="15" t="s">
        <v>544</v>
      </c>
      <c r="B290" s="15">
        <v>41104606</v>
      </c>
      <c r="C290" s="15" t="s">
        <v>1484</v>
      </c>
      <c r="D290" s="15" t="s">
        <v>1500</v>
      </c>
      <c r="E290" s="15" t="s">
        <v>1487</v>
      </c>
      <c r="F290" s="15" t="s">
        <v>788</v>
      </c>
      <c r="G290" s="29" t="s">
        <v>1143</v>
      </c>
      <c r="H290" s="15" t="s">
        <v>1437</v>
      </c>
      <c r="I290" s="15" t="s">
        <v>1438</v>
      </c>
      <c r="J290" s="15" t="s">
        <v>1439</v>
      </c>
      <c r="K290" s="15"/>
      <c r="L290" s="30" t="s">
        <v>1440</v>
      </c>
      <c r="M290" s="31">
        <v>15000000</v>
      </c>
      <c r="N290" s="30" t="s">
        <v>792</v>
      </c>
      <c r="O290" s="30" t="str">
        <f>IF(LEN(IF(OR(NOT(ISNUMBER(B290)),LEN(B290)&lt;&gt;8),"UNSPSC vacío, en texto, con varios códigos o sin 8 dígitos; ","")&amp;IF(AND(ISNUMBER(B290),LEN(B290)=8),IF(MOD(B290,10000)=0,"UNSPSC a nivel de segmento o familia; ",""),"")&amp;IF(NOT(ISNUMBER(E290)),"Duración vacía o en texto; ","")&amp;IF(NOT(ISNUMBER(G290)),"Valor vacío o en texto; ","")&amp;IF(ISNUMBER(M290),IF(M290&lt;1000000,"Valor inferior a $1.000.000: verificar; ",""),"Valor no interpretable; ")&amp;IF(N290="[PENDIENTE DE VERIFICAR]","Modalidad no identificable; ","")&amp;IF(OR(ISERROR(SEARCH("@itc.edu.co",J290)),SUMPRODUCT(--ISNUMBER(SEARCH({"á","é","í","ó","ú","ñ"},J290)))&gt;0),"Correo vacío o no institucional válido; ","")&amp;IF(LEN(TRIM(D290))=0,"Sin objeto contractual; ","")&amp;IF(AND(ISNUMBER(M290),N290="Mínima cuantía"),IF(M290&gt;39850000,"Mínima cuantía con valor superior al tope citado en el instructivo 2026 ($39.850.000): verificar modalidad; ",""),"")&amp;IF(AND(ISNUMBER(M290),OR(ISNUMBER(SEARCH("prestación de servicios",D290)),ISNUMBER(SEARCH("prestar servicios",D290)),ISNUMBER(SEARCH("prestar los servicios",D290)))),IF(M290&gt;=500000000,"Prestación de servicios por $500 millones o más: posible error de digitación; ",""),""))=0,"Sin observaciones",IF(OR(NOT(ISNUMBER(B290)),LEN(B290)&lt;&gt;8),"UNSPSC vacío, en texto, con varios códigos o sin 8 dígitos; ","")&amp;IF(AND(ISNUMBER(B290),LEN(B290)=8),IF(MOD(B290,10000)=0,"UNSPSC a nivel de segmento o familia; ",""),"")&amp;IF(NOT(ISNUMBER(E290)),"Duración vacía o en texto; ","")&amp;IF(NOT(ISNUMBER(G290)),"Valor vacío o en texto; ","")&amp;IF(ISNUMBER(M290),IF(M290&lt;1000000,"Valor inferior a $1.000.000: verificar; ",""),"Valor no interpretable; ")&amp;IF(N290="[PENDIENTE DE VERIFICAR]","Modalidad no identificable; ","")&amp;IF(OR(ISERROR(SEARCH("@itc.edu.co",J290)),SUMPRODUCT(--ISNUMBER(SEARCH({"á","é","í","ó","ú","ñ"},J290)))&gt;0),"Correo vacío o no institucional válido; ","")&amp;IF(LEN(TRIM(D290))=0,"Sin objeto contractual; ","")&amp;IF(AND(ISNUMBER(M290),N290="Mínima cuantía"),IF(M290&gt;39850000,"Mínima cuantía con valor superior al tope citado en el instructivo 2026 ($39.850.000): verificar modalidad; ",""),"")&amp;IF(AND(ISNUMBER(M290),OR(ISNUMBER(SEARCH("prestación de servicios",D290)),ISNUMBER(SEARCH("prestar servicios",D290)),ISNUMBER(SEARCH("prestar los servicios",D290)))),IF(M290&gt;=500000000,"Prestación de servicios por $500 millones o más: posible error de digitación; ",""),""))</f>
        <v xml:space="preserve">Duración vacía o en texto; Valor vacío o en texto; </v>
      </c>
    </row>
    <row r="291" spans="1:15" ht="79.8" x14ac:dyDescent="0.3">
      <c r="A291" s="15" t="s">
        <v>542</v>
      </c>
      <c r="B291" s="15">
        <v>41103409</v>
      </c>
      <c r="C291" s="15" t="s">
        <v>1484</v>
      </c>
      <c r="D291" s="15" t="s">
        <v>1501</v>
      </c>
      <c r="E291" s="15" t="s">
        <v>1487</v>
      </c>
      <c r="F291" s="15" t="s">
        <v>788</v>
      </c>
      <c r="G291" s="29" t="s">
        <v>1346</v>
      </c>
      <c r="H291" s="15" t="s">
        <v>1437</v>
      </c>
      <c r="I291" s="15" t="s">
        <v>1438</v>
      </c>
      <c r="J291" s="15" t="s">
        <v>1439</v>
      </c>
      <c r="K291" s="15"/>
      <c r="L291" s="30" t="s">
        <v>1440</v>
      </c>
      <c r="M291" s="31">
        <v>25000000</v>
      </c>
      <c r="N291" s="30" t="s">
        <v>792</v>
      </c>
      <c r="O291" s="30" t="str">
        <f>IF(LEN(IF(OR(NOT(ISNUMBER(B291)),LEN(B291)&lt;&gt;8),"UNSPSC vacío, en texto, con varios códigos o sin 8 dígitos; ","")&amp;IF(AND(ISNUMBER(B291),LEN(B291)=8),IF(MOD(B291,10000)=0,"UNSPSC a nivel de segmento o familia; ",""),"")&amp;IF(NOT(ISNUMBER(E291)),"Duración vacía o en texto; ","")&amp;IF(NOT(ISNUMBER(G291)),"Valor vacío o en texto; ","")&amp;IF(ISNUMBER(M291),IF(M291&lt;1000000,"Valor inferior a $1.000.000: verificar; ",""),"Valor no interpretable; ")&amp;IF(N291="[PENDIENTE DE VERIFICAR]","Modalidad no identificable; ","")&amp;IF(OR(ISERROR(SEARCH("@itc.edu.co",J291)),SUMPRODUCT(--ISNUMBER(SEARCH({"á","é","í","ó","ú","ñ"},J291)))&gt;0),"Correo vacío o no institucional válido; ","")&amp;IF(LEN(TRIM(D291))=0,"Sin objeto contractual; ","")&amp;IF(AND(ISNUMBER(M291),N291="Mínima cuantía"),IF(M291&gt;39850000,"Mínima cuantía con valor superior al tope citado en el instructivo 2026 ($39.850.000): verificar modalidad; ",""),"")&amp;IF(AND(ISNUMBER(M291),OR(ISNUMBER(SEARCH("prestación de servicios",D291)),ISNUMBER(SEARCH("prestar servicios",D291)),ISNUMBER(SEARCH("prestar los servicios",D291)))),IF(M291&gt;=500000000,"Prestación de servicios por $500 millones o más: posible error de digitación; ",""),""))=0,"Sin observaciones",IF(OR(NOT(ISNUMBER(B291)),LEN(B291)&lt;&gt;8),"UNSPSC vacío, en texto, con varios códigos o sin 8 dígitos; ","")&amp;IF(AND(ISNUMBER(B291),LEN(B291)=8),IF(MOD(B291,10000)=0,"UNSPSC a nivel de segmento o familia; ",""),"")&amp;IF(NOT(ISNUMBER(E291)),"Duración vacía o en texto; ","")&amp;IF(NOT(ISNUMBER(G291)),"Valor vacío o en texto; ","")&amp;IF(ISNUMBER(M291),IF(M291&lt;1000000,"Valor inferior a $1.000.000: verificar; ",""),"Valor no interpretable; ")&amp;IF(N291="[PENDIENTE DE VERIFICAR]","Modalidad no identificable; ","")&amp;IF(OR(ISERROR(SEARCH("@itc.edu.co",J291)),SUMPRODUCT(--ISNUMBER(SEARCH({"á","é","í","ó","ú","ñ"},J291)))&gt;0),"Correo vacío o no institucional válido; ","")&amp;IF(LEN(TRIM(D291))=0,"Sin objeto contractual; ","")&amp;IF(AND(ISNUMBER(M291),N291="Mínima cuantía"),IF(M291&gt;39850000,"Mínima cuantía con valor superior al tope citado en el instructivo 2026 ($39.850.000): verificar modalidad; ",""),"")&amp;IF(AND(ISNUMBER(M291),OR(ISNUMBER(SEARCH("prestación de servicios",D291)),ISNUMBER(SEARCH("prestar servicios",D291)),ISNUMBER(SEARCH("prestar los servicios",D291)))),IF(M291&gt;=500000000,"Prestación de servicios por $500 millones o más: posible error de digitación; ",""),""))</f>
        <v xml:space="preserve">Duración vacía o en texto; Valor vacío o en texto; </v>
      </c>
    </row>
    <row r="292" spans="1:15" ht="114" x14ac:dyDescent="0.3">
      <c r="A292" s="15" t="s">
        <v>1502</v>
      </c>
      <c r="B292" s="15">
        <v>41000000</v>
      </c>
      <c r="C292" s="15" t="s">
        <v>1484</v>
      </c>
      <c r="D292" s="15" t="s">
        <v>1503</v>
      </c>
      <c r="E292" s="15" t="s">
        <v>1487</v>
      </c>
      <c r="F292" s="15" t="s">
        <v>788</v>
      </c>
      <c r="G292" s="29" t="s">
        <v>1408</v>
      </c>
      <c r="H292" s="15" t="s">
        <v>1437</v>
      </c>
      <c r="I292" s="15" t="s">
        <v>1438</v>
      </c>
      <c r="J292" s="15" t="s">
        <v>1439</v>
      </c>
      <c r="K292" s="15"/>
      <c r="L292" s="30" t="s">
        <v>1440</v>
      </c>
      <c r="M292" s="31">
        <v>15000000</v>
      </c>
      <c r="N292" s="30" t="s">
        <v>792</v>
      </c>
      <c r="O292" s="30" t="str">
        <f>IF(LEN(IF(OR(NOT(ISNUMBER(B292)),LEN(B292)&lt;&gt;8),"UNSPSC vacío, en texto, con varios códigos o sin 8 dígitos; ","")&amp;IF(AND(ISNUMBER(B292),LEN(B292)=8),IF(MOD(B292,10000)=0,"UNSPSC a nivel de segmento o familia; ",""),"")&amp;IF(NOT(ISNUMBER(E292)),"Duración vacía o en texto; ","")&amp;IF(NOT(ISNUMBER(G292)),"Valor vacío o en texto; ","")&amp;IF(ISNUMBER(M292),IF(M292&lt;1000000,"Valor inferior a $1.000.000: verificar; ",""),"Valor no interpretable; ")&amp;IF(N292="[PENDIENTE DE VERIFICAR]","Modalidad no identificable; ","")&amp;IF(OR(ISERROR(SEARCH("@itc.edu.co",J292)),SUMPRODUCT(--ISNUMBER(SEARCH({"á","é","í","ó","ú","ñ"},J292)))&gt;0),"Correo vacío o no institucional válido; ","")&amp;IF(LEN(TRIM(D292))=0,"Sin objeto contractual; ","")&amp;IF(AND(ISNUMBER(M292),N292="Mínima cuantía"),IF(M292&gt;39850000,"Mínima cuantía con valor superior al tope citado en el instructivo 2026 ($39.850.000): verificar modalidad; ",""),"")&amp;IF(AND(ISNUMBER(M292),OR(ISNUMBER(SEARCH("prestación de servicios",D292)),ISNUMBER(SEARCH("prestar servicios",D292)),ISNUMBER(SEARCH("prestar los servicios",D292)))),IF(M292&gt;=500000000,"Prestación de servicios por $500 millones o más: posible error de digitación; ",""),""))=0,"Sin observaciones",IF(OR(NOT(ISNUMBER(B292)),LEN(B292)&lt;&gt;8),"UNSPSC vacío, en texto, con varios códigos o sin 8 dígitos; ","")&amp;IF(AND(ISNUMBER(B292),LEN(B292)=8),IF(MOD(B292,10000)=0,"UNSPSC a nivel de segmento o familia; ",""),"")&amp;IF(NOT(ISNUMBER(E292)),"Duración vacía o en texto; ","")&amp;IF(NOT(ISNUMBER(G292)),"Valor vacío o en texto; ","")&amp;IF(ISNUMBER(M292),IF(M292&lt;1000000,"Valor inferior a $1.000.000: verificar; ",""),"Valor no interpretable; ")&amp;IF(N292="[PENDIENTE DE VERIFICAR]","Modalidad no identificable; ","")&amp;IF(OR(ISERROR(SEARCH("@itc.edu.co",J292)),SUMPRODUCT(--ISNUMBER(SEARCH({"á","é","í","ó","ú","ñ"},J292)))&gt;0),"Correo vacío o no institucional válido; ","")&amp;IF(LEN(TRIM(D292))=0,"Sin objeto contractual; ","")&amp;IF(AND(ISNUMBER(M292),N292="Mínima cuantía"),IF(M292&gt;39850000,"Mínima cuantía con valor superior al tope citado en el instructivo 2026 ($39.850.000): verificar modalidad; ",""),"")&amp;IF(AND(ISNUMBER(M292),OR(ISNUMBER(SEARCH("prestación de servicios",D292)),ISNUMBER(SEARCH("prestar servicios",D292)),ISNUMBER(SEARCH("prestar los servicios",D292)))),IF(M292&gt;=500000000,"Prestación de servicios por $500 millones o más: posible error de digitación; ",""),""))</f>
        <v xml:space="preserve">UNSPSC a nivel de segmento o familia; Duración vacía o en texto; Valor vacío o en texto; </v>
      </c>
    </row>
    <row r="293" spans="1:15" ht="91.2" x14ac:dyDescent="0.3">
      <c r="A293" s="15" t="s">
        <v>358</v>
      </c>
      <c r="B293" s="15">
        <v>41104503</v>
      </c>
      <c r="C293" s="15" t="s">
        <v>1484</v>
      </c>
      <c r="D293" s="15" t="s">
        <v>1504</v>
      </c>
      <c r="E293" s="15" t="s">
        <v>1487</v>
      </c>
      <c r="F293" s="15" t="s">
        <v>788</v>
      </c>
      <c r="G293" s="29" t="s">
        <v>1417</v>
      </c>
      <c r="H293" s="15" t="s">
        <v>1437</v>
      </c>
      <c r="I293" s="15" t="s">
        <v>1438</v>
      </c>
      <c r="J293" s="15" t="s">
        <v>1439</v>
      </c>
      <c r="K293" s="15"/>
      <c r="L293" s="30" t="s">
        <v>1440</v>
      </c>
      <c r="M293" s="31">
        <v>12000000</v>
      </c>
      <c r="N293" s="30" t="s">
        <v>792</v>
      </c>
      <c r="O293" s="30" t="str">
        <f>IF(LEN(IF(OR(NOT(ISNUMBER(B293)),LEN(B293)&lt;&gt;8),"UNSPSC vacío, en texto, con varios códigos o sin 8 dígitos; ","")&amp;IF(AND(ISNUMBER(B293),LEN(B293)=8),IF(MOD(B293,10000)=0,"UNSPSC a nivel de segmento o familia; ",""),"")&amp;IF(NOT(ISNUMBER(E293)),"Duración vacía o en texto; ","")&amp;IF(NOT(ISNUMBER(G293)),"Valor vacío o en texto; ","")&amp;IF(ISNUMBER(M293),IF(M293&lt;1000000,"Valor inferior a $1.000.000: verificar; ",""),"Valor no interpretable; ")&amp;IF(N293="[PENDIENTE DE VERIFICAR]","Modalidad no identificable; ","")&amp;IF(OR(ISERROR(SEARCH("@itc.edu.co",J293)),SUMPRODUCT(--ISNUMBER(SEARCH({"á","é","í","ó","ú","ñ"},J293)))&gt;0),"Correo vacío o no institucional válido; ","")&amp;IF(LEN(TRIM(D293))=0,"Sin objeto contractual; ","")&amp;IF(AND(ISNUMBER(M293),N293="Mínima cuantía"),IF(M293&gt;39850000,"Mínima cuantía con valor superior al tope citado en el instructivo 2026 ($39.850.000): verificar modalidad; ",""),"")&amp;IF(AND(ISNUMBER(M293),OR(ISNUMBER(SEARCH("prestación de servicios",D293)),ISNUMBER(SEARCH("prestar servicios",D293)),ISNUMBER(SEARCH("prestar los servicios",D293)))),IF(M293&gt;=500000000,"Prestación de servicios por $500 millones o más: posible error de digitación; ",""),""))=0,"Sin observaciones",IF(OR(NOT(ISNUMBER(B293)),LEN(B293)&lt;&gt;8),"UNSPSC vacío, en texto, con varios códigos o sin 8 dígitos; ","")&amp;IF(AND(ISNUMBER(B293),LEN(B293)=8),IF(MOD(B293,10000)=0,"UNSPSC a nivel de segmento o familia; ",""),"")&amp;IF(NOT(ISNUMBER(E293)),"Duración vacía o en texto; ","")&amp;IF(NOT(ISNUMBER(G293)),"Valor vacío o en texto; ","")&amp;IF(ISNUMBER(M293),IF(M293&lt;1000000,"Valor inferior a $1.000.000: verificar; ",""),"Valor no interpretable; ")&amp;IF(N293="[PENDIENTE DE VERIFICAR]","Modalidad no identificable; ","")&amp;IF(OR(ISERROR(SEARCH("@itc.edu.co",J293)),SUMPRODUCT(--ISNUMBER(SEARCH({"á","é","í","ó","ú","ñ"},J293)))&gt;0),"Correo vacío o no institucional válido; ","")&amp;IF(LEN(TRIM(D293))=0,"Sin objeto contractual; ","")&amp;IF(AND(ISNUMBER(M293),N293="Mínima cuantía"),IF(M293&gt;39850000,"Mínima cuantía con valor superior al tope citado en el instructivo 2026 ($39.850.000): verificar modalidad; ",""),"")&amp;IF(AND(ISNUMBER(M293),OR(ISNUMBER(SEARCH("prestación de servicios",D293)),ISNUMBER(SEARCH("prestar servicios",D293)),ISNUMBER(SEARCH("prestar los servicios",D293)))),IF(M293&gt;=500000000,"Prestación de servicios por $500 millones o más: posible error de digitación; ",""),""))</f>
        <v xml:space="preserve">Duración vacía o en texto; Valor vacío o en texto; </v>
      </c>
    </row>
    <row r="294" spans="1:15" ht="57" x14ac:dyDescent="0.3">
      <c r="A294" s="15" t="s">
        <v>502</v>
      </c>
      <c r="B294" s="15" t="s">
        <v>1505</v>
      </c>
      <c r="C294" s="15" t="s">
        <v>1506</v>
      </c>
      <c r="D294" s="15" t="s">
        <v>1507</v>
      </c>
      <c r="E294" s="15" t="s">
        <v>1508</v>
      </c>
      <c r="F294" s="15" t="s">
        <v>788</v>
      </c>
      <c r="G294" s="29" t="s">
        <v>1509</v>
      </c>
      <c r="H294" s="15" t="s">
        <v>1437</v>
      </c>
      <c r="I294" s="15" t="s">
        <v>1438</v>
      </c>
      <c r="J294" s="15" t="s">
        <v>1439</v>
      </c>
      <c r="K294" s="15"/>
      <c r="L294" s="30" t="s">
        <v>1440</v>
      </c>
      <c r="M294" s="31">
        <v>67890000</v>
      </c>
      <c r="N294" s="30" t="s">
        <v>792</v>
      </c>
      <c r="O294" s="30" t="str">
        <f>IF(LEN(IF(OR(NOT(ISNUMBER(B294)),LEN(B294)&lt;&gt;8),"UNSPSC vacío, en texto, con varios códigos o sin 8 dígitos; ","")&amp;IF(AND(ISNUMBER(B294),LEN(B294)=8),IF(MOD(B294,10000)=0,"UNSPSC a nivel de segmento o familia; ",""),"")&amp;IF(NOT(ISNUMBER(E294)),"Duración vacía o en texto; ","")&amp;IF(NOT(ISNUMBER(G294)),"Valor vacío o en texto; ","")&amp;IF(ISNUMBER(M294),IF(M294&lt;1000000,"Valor inferior a $1.000.000: verificar; ",""),"Valor no interpretable; ")&amp;IF(N294="[PENDIENTE DE VERIFICAR]","Modalidad no identificable; ","")&amp;IF(OR(ISERROR(SEARCH("@itc.edu.co",J294)),SUMPRODUCT(--ISNUMBER(SEARCH({"á","é","í","ó","ú","ñ"},J294)))&gt;0),"Correo vacío o no institucional válido; ","")&amp;IF(LEN(TRIM(D294))=0,"Sin objeto contractual; ","")&amp;IF(AND(ISNUMBER(M294),N294="Mínima cuantía"),IF(M294&gt;39850000,"Mínima cuantía con valor superior al tope citado en el instructivo 2026 ($39.850.000): verificar modalidad; ",""),"")&amp;IF(AND(ISNUMBER(M294),OR(ISNUMBER(SEARCH("prestación de servicios",D294)),ISNUMBER(SEARCH("prestar servicios",D294)),ISNUMBER(SEARCH("prestar los servicios",D294)))),IF(M294&gt;=500000000,"Prestación de servicios por $500 millones o más: posible error de digitación; ",""),""))=0,"Sin observaciones",IF(OR(NOT(ISNUMBER(B294)),LEN(B294)&lt;&gt;8),"UNSPSC vacío, en texto, con varios códigos o sin 8 dígitos; ","")&amp;IF(AND(ISNUMBER(B294),LEN(B294)=8),IF(MOD(B294,10000)=0,"UNSPSC a nivel de segmento o familia; ",""),"")&amp;IF(NOT(ISNUMBER(E294)),"Duración vacía o en texto; ","")&amp;IF(NOT(ISNUMBER(G294)),"Valor vacío o en texto; ","")&amp;IF(ISNUMBER(M294),IF(M294&lt;1000000,"Valor inferior a $1.000.000: verificar; ",""),"Valor no interpretable; ")&amp;IF(N294="[PENDIENTE DE VERIFICAR]","Modalidad no identificable; ","")&amp;IF(OR(ISERROR(SEARCH("@itc.edu.co",J294)),SUMPRODUCT(--ISNUMBER(SEARCH({"á","é","í","ó","ú","ñ"},J294)))&gt;0),"Correo vacío o no institucional válido; ","")&amp;IF(LEN(TRIM(D294))=0,"Sin objeto contractual; ","")&amp;IF(AND(ISNUMBER(M294),N294="Mínima cuantía"),IF(M294&gt;39850000,"Mínima cuantía con valor superior al tope citado en el instructivo 2026 ($39.850.000): verificar modalidad; ",""),"")&amp;IF(AND(ISNUMBER(M294),OR(ISNUMBER(SEARCH("prestación de servicios",D294)),ISNUMBER(SEARCH("prestar servicios",D294)),ISNUMBER(SEARCH("prestar los servicios",D294)))),IF(M294&gt;=500000000,"Prestación de servicios por $500 millones o más: posible error de digitación; ",""),""))</f>
        <v xml:space="preserve">UNSPSC vacío, en texto, con varios códigos o sin 8 dígitos; Duración vacía o en texto; Valor vacío o en texto; Mínima cuantía con valor superior al tope citado en el instructivo 2026 ($39.850.000): verificar modalidad; </v>
      </c>
    </row>
    <row r="295" spans="1:15" ht="34.200000000000003" x14ac:dyDescent="0.3">
      <c r="A295" s="15" t="s">
        <v>505</v>
      </c>
      <c r="B295" s="15" t="s">
        <v>1510</v>
      </c>
      <c r="C295" s="15" t="s">
        <v>1506</v>
      </c>
      <c r="D295" s="15" t="s">
        <v>504</v>
      </c>
      <c r="E295" s="15" t="s">
        <v>1487</v>
      </c>
      <c r="F295" s="15" t="s">
        <v>788</v>
      </c>
      <c r="G295" s="29" t="s">
        <v>1511</v>
      </c>
      <c r="H295" s="15" t="s">
        <v>1437</v>
      </c>
      <c r="I295" s="15" t="s">
        <v>1438</v>
      </c>
      <c r="J295" s="15" t="s">
        <v>1439</v>
      </c>
      <c r="K295" s="15"/>
      <c r="L295" s="30" t="s">
        <v>1440</v>
      </c>
      <c r="M295" s="31">
        <v>16028600</v>
      </c>
      <c r="N295" s="30" t="s">
        <v>792</v>
      </c>
      <c r="O295" s="30" t="str">
        <f>IF(LEN(IF(OR(NOT(ISNUMBER(B295)),LEN(B295)&lt;&gt;8),"UNSPSC vacío, en texto, con varios códigos o sin 8 dígitos; ","")&amp;IF(AND(ISNUMBER(B295),LEN(B295)=8),IF(MOD(B295,10000)=0,"UNSPSC a nivel de segmento o familia; ",""),"")&amp;IF(NOT(ISNUMBER(E295)),"Duración vacía o en texto; ","")&amp;IF(NOT(ISNUMBER(G295)),"Valor vacío o en texto; ","")&amp;IF(ISNUMBER(M295),IF(M295&lt;1000000,"Valor inferior a $1.000.000: verificar; ",""),"Valor no interpretable; ")&amp;IF(N295="[PENDIENTE DE VERIFICAR]","Modalidad no identificable; ","")&amp;IF(OR(ISERROR(SEARCH("@itc.edu.co",J295)),SUMPRODUCT(--ISNUMBER(SEARCH({"á","é","í","ó","ú","ñ"},J295)))&gt;0),"Correo vacío o no institucional válido; ","")&amp;IF(LEN(TRIM(D295))=0,"Sin objeto contractual; ","")&amp;IF(AND(ISNUMBER(M295),N295="Mínima cuantía"),IF(M295&gt;39850000,"Mínima cuantía con valor superior al tope citado en el instructivo 2026 ($39.850.000): verificar modalidad; ",""),"")&amp;IF(AND(ISNUMBER(M295),OR(ISNUMBER(SEARCH("prestación de servicios",D295)),ISNUMBER(SEARCH("prestar servicios",D295)),ISNUMBER(SEARCH("prestar los servicios",D295)))),IF(M295&gt;=500000000,"Prestación de servicios por $500 millones o más: posible error de digitación; ",""),""))=0,"Sin observaciones",IF(OR(NOT(ISNUMBER(B295)),LEN(B295)&lt;&gt;8),"UNSPSC vacío, en texto, con varios códigos o sin 8 dígitos; ","")&amp;IF(AND(ISNUMBER(B295),LEN(B295)=8),IF(MOD(B295,10000)=0,"UNSPSC a nivel de segmento o familia; ",""),"")&amp;IF(NOT(ISNUMBER(E295)),"Duración vacía o en texto; ","")&amp;IF(NOT(ISNUMBER(G295)),"Valor vacío o en texto; ","")&amp;IF(ISNUMBER(M295),IF(M295&lt;1000000,"Valor inferior a $1.000.000: verificar; ",""),"Valor no interpretable; ")&amp;IF(N295="[PENDIENTE DE VERIFICAR]","Modalidad no identificable; ","")&amp;IF(OR(ISERROR(SEARCH("@itc.edu.co",J295)),SUMPRODUCT(--ISNUMBER(SEARCH({"á","é","í","ó","ú","ñ"},J295)))&gt;0),"Correo vacío o no institucional válido; ","")&amp;IF(LEN(TRIM(D295))=0,"Sin objeto contractual; ","")&amp;IF(AND(ISNUMBER(M295),N295="Mínima cuantía"),IF(M295&gt;39850000,"Mínima cuantía con valor superior al tope citado en el instructivo 2026 ($39.850.000): verificar modalidad; ",""),"")&amp;IF(AND(ISNUMBER(M295),OR(ISNUMBER(SEARCH("prestación de servicios",D295)),ISNUMBER(SEARCH("prestar servicios",D295)),ISNUMBER(SEARCH("prestar los servicios",D295)))),IF(M295&gt;=500000000,"Prestación de servicios por $500 millones o más: posible error de digitación; ",""),""))</f>
        <v xml:space="preserve">UNSPSC vacío, en texto, con varios códigos o sin 8 dígitos; Duración vacía o en texto; Valor vacío o en texto; </v>
      </c>
    </row>
    <row r="296" spans="1:15" ht="34.200000000000003" x14ac:dyDescent="0.3">
      <c r="A296" s="15" t="s">
        <v>687</v>
      </c>
      <c r="B296" s="15">
        <v>81101707</v>
      </c>
      <c r="C296" s="15" t="s">
        <v>1506</v>
      </c>
      <c r="D296" s="15" t="s">
        <v>1512</v>
      </c>
      <c r="E296" s="15" t="s">
        <v>1487</v>
      </c>
      <c r="F296" s="15" t="s">
        <v>788</v>
      </c>
      <c r="G296" s="29" t="s">
        <v>1513</v>
      </c>
      <c r="H296" s="15" t="s">
        <v>1437</v>
      </c>
      <c r="I296" s="15" t="s">
        <v>1438</v>
      </c>
      <c r="J296" s="15" t="s">
        <v>1439</v>
      </c>
      <c r="K296" s="15"/>
      <c r="L296" s="30" t="s">
        <v>1440</v>
      </c>
      <c r="M296" s="31">
        <v>12890000</v>
      </c>
      <c r="N296" s="30" t="s">
        <v>792</v>
      </c>
      <c r="O296" s="30" t="str">
        <f>IF(LEN(IF(OR(NOT(ISNUMBER(B296)),LEN(B296)&lt;&gt;8),"UNSPSC vacío, en texto, con varios códigos o sin 8 dígitos; ","")&amp;IF(AND(ISNUMBER(B296),LEN(B296)=8),IF(MOD(B296,10000)=0,"UNSPSC a nivel de segmento o familia; ",""),"")&amp;IF(NOT(ISNUMBER(E296)),"Duración vacía o en texto; ","")&amp;IF(NOT(ISNUMBER(G296)),"Valor vacío o en texto; ","")&amp;IF(ISNUMBER(M296),IF(M296&lt;1000000,"Valor inferior a $1.000.000: verificar; ",""),"Valor no interpretable; ")&amp;IF(N296="[PENDIENTE DE VERIFICAR]","Modalidad no identificable; ","")&amp;IF(OR(ISERROR(SEARCH("@itc.edu.co",J296)),SUMPRODUCT(--ISNUMBER(SEARCH({"á","é","í","ó","ú","ñ"},J296)))&gt;0),"Correo vacío o no institucional válido; ","")&amp;IF(LEN(TRIM(D296))=0,"Sin objeto contractual; ","")&amp;IF(AND(ISNUMBER(M296),N296="Mínima cuantía"),IF(M296&gt;39850000,"Mínima cuantía con valor superior al tope citado en el instructivo 2026 ($39.850.000): verificar modalidad; ",""),"")&amp;IF(AND(ISNUMBER(M296),OR(ISNUMBER(SEARCH("prestación de servicios",D296)),ISNUMBER(SEARCH("prestar servicios",D296)),ISNUMBER(SEARCH("prestar los servicios",D296)))),IF(M296&gt;=500000000,"Prestación de servicios por $500 millones o más: posible error de digitación; ",""),""))=0,"Sin observaciones",IF(OR(NOT(ISNUMBER(B296)),LEN(B296)&lt;&gt;8),"UNSPSC vacío, en texto, con varios códigos o sin 8 dígitos; ","")&amp;IF(AND(ISNUMBER(B296),LEN(B296)=8),IF(MOD(B296,10000)=0,"UNSPSC a nivel de segmento o familia; ",""),"")&amp;IF(NOT(ISNUMBER(E296)),"Duración vacía o en texto; ","")&amp;IF(NOT(ISNUMBER(G296)),"Valor vacío o en texto; ","")&amp;IF(ISNUMBER(M296),IF(M296&lt;1000000,"Valor inferior a $1.000.000: verificar; ",""),"Valor no interpretable; ")&amp;IF(N296="[PENDIENTE DE VERIFICAR]","Modalidad no identificable; ","")&amp;IF(OR(ISERROR(SEARCH("@itc.edu.co",J296)),SUMPRODUCT(--ISNUMBER(SEARCH({"á","é","í","ó","ú","ñ"},J296)))&gt;0),"Correo vacío o no institucional válido; ","")&amp;IF(LEN(TRIM(D296))=0,"Sin objeto contractual; ","")&amp;IF(AND(ISNUMBER(M296),N296="Mínima cuantía"),IF(M296&gt;39850000,"Mínima cuantía con valor superior al tope citado en el instructivo 2026 ($39.850.000): verificar modalidad; ",""),"")&amp;IF(AND(ISNUMBER(M296),OR(ISNUMBER(SEARCH("prestación de servicios",D296)),ISNUMBER(SEARCH("prestar servicios",D296)),ISNUMBER(SEARCH("prestar los servicios",D296)))),IF(M296&gt;=500000000,"Prestación de servicios por $500 millones o más: posible error de digitación; ",""),""))</f>
        <v xml:space="preserve">Duración vacía o en texto; Valor vacío o en texto; </v>
      </c>
    </row>
    <row r="297" spans="1:15" ht="34.200000000000003" x14ac:dyDescent="0.3">
      <c r="A297" s="15" t="s">
        <v>1514</v>
      </c>
      <c r="B297" s="15">
        <v>44121600</v>
      </c>
      <c r="C297" s="15" t="s">
        <v>1506</v>
      </c>
      <c r="D297" s="15" t="s">
        <v>1515</v>
      </c>
      <c r="E297" s="15" t="s">
        <v>1487</v>
      </c>
      <c r="F297" s="15" t="s">
        <v>788</v>
      </c>
      <c r="G297" s="29" t="s">
        <v>1410</v>
      </c>
      <c r="H297" s="15" t="s">
        <v>1437</v>
      </c>
      <c r="I297" s="15" t="s">
        <v>1438</v>
      </c>
      <c r="J297" s="15" t="s">
        <v>1439</v>
      </c>
      <c r="K297" s="15"/>
      <c r="L297" s="30" t="s">
        <v>1440</v>
      </c>
      <c r="M297" s="31">
        <v>6000000</v>
      </c>
      <c r="N297" s="30" t="s">
        <v>792</v>
      </c>
      <c r="O297" s="30" t="str">
        <f>IF(LEN(IF(OR(NOT(ISNUMBER(B297)),LEN(B297)&lt;&gt;8),"UNSPSC vacío, en texto, con varios códigos o sin 8 dígitos; ","")&amp;IF(AND(ISNUMBER(B297),LEN(B297)=8),IF(MOD(B297,10000)=0,"UNSPSC a nivel de segmento o familia; ",""),"")&amp;IF(NOT(ISNUMBER(E297)),"Duración vacía o en texto; ","")&amp;IF(NOT(ISNUMBER(G297)),"Valor vacío o en texto; ","")&amp;IF(ISNUMBER(M297),IF(M297&lt;1000000,"Valor inferior a $1.000.000: verificar; ",""),"Valor no interpretable; ")&amp;IF(N297="[PENDIENTE DE VERIFICAR]","Modalidad no identificable; ","")&amp;IF(OR(ISERROR(SEARCH("@itc.edu.co",J297)),SUMPRODUCT(--ISNUMBER(SEARCH({"á","é","í","ó","ú","ñ"},J297)))&gt;0),"Correo vacío o no institucional válido; ","")&amp;IF(LEN(TRIM(D297))=0,"Sin objeto contractual; ","")&amp;IF(AND(ISNUMBER(M297),N297="Mínima cuantía"),IF(M297&gt;39850000,"Mínima cuantía con valor superior al tope citado en el instructivo 2026 ($39.850.000): verificar modalidad; ",""),"")&amp;IF(AND(ISNUMBER(M297),OR(ISNUMBER(SEARCH("prestación de servicios",D297)),ISNUMBER(SEARCH("prestar servicios",D297)),ISNUMBER(SEARCH("prestar los servicios",D297)))),IF(M297&gt;=500000000,"Prestación de servicios por $500 millones o más: posible error de digitación; ",""),""))=0,"Sin observaciones",IF(OR(NOT(ISNUMBER(B297)),LEN(B297)&lt;&gt;8),"UNSPSC vacío, en texto, con varios códigos o sin 8 dígitos; ","")&amp;IF(AND(ISNUMBER(B297),LEN(B297)=8),IF(MOD(B297,10000)=0,"UNSPSC a nivel de segmento o familia; ",""),"")&amp;IF(NOT(ISNUMBER(E297)),"Duración vacía o en texto; ","")&amp;IF(NOT(ISNUMBER(G297)),"Valor vacío o en texto; ","")&amp;IF(ISNUMBER(M297),IF(M297&lt;1000000,"Valor inferior a $1.000.000: verificar; ",""),"Valor no interpretable; ")&amp;IF(N297="[PENDIENTE DE VERIFICAR]","Modalidad no identificable; ","")&amp;IF(OR(ISERROR(SEARCH("@itc.edu.co",J297)),SUMPRODUCT(--ISNUMBER(SEARCH({"á","é","í","ó","ú","ñ"},J297)))&gt;0),"Correo vacío o no institucional válido; ","")&amp;IF(LEN(TRIM(D297))=0,"Sin objeto contractual; ","")&amp;IF(AND(ISNUMBER(M297),N297="Mínima cuantía"),IF(M297&gt;39850000,"Mínima cuantía con valor superior al tope citado en el instructivo 2026 ($39.850.000): verificar modalidad; ",""),"")&amp;IF(AND(ISNUMBER(M297),OR(ISNUMBER(SEARCH("prestación de servicios",D297)),ISNUMBER(SEARCH("prestar servicios",D297)),ISNUMBER(SEARCH("prestar los servicios",D297)))),IF(M297&gt;=500000000,"Prestación de servicios por $500 millones o más: posible error de digitación; ",""),""))</f>
        <v xml:space="preserve">Duración vacía o en texto; Valor vacío o en texto; </v>
      </c>
    </row>
    <row r="298" spans="1:15" ht="34.200000000000003" x14ac:dyDescent="0.3">
      <c r="A298" s="15" t="s">
        <v>469</v>
      </c>
      <c r="B298" s="15">
        <v>11101767</v>
      </c>
      <c r="C298" s="15" t="s">
        <v>1516</v>
      </c>
      <c r="D298" s="15" t="s">
        <v>468</v>
      </c>
      <c r="E298" s="15" t="s">
        <v>1517</v>
      </c>
      <c r="F298" s="15" t="s">
        <v>1518</v>
      </c>
      <c r="G298" s="29" t="s">
        <v>1519</v>
      </c>
      <c r="H298" s="15" t="s">
        <v>1437</v>
      </c>
      <c r="I298" s="15" t="s">
        <v>1438</v>
      </c>
      <c r="J298" s="15" t="s">
        <v>1439</v>
      </c>
      <c r="K298" s="15"/>
      <c r="L298" s="30" t="s">
        <v>1440</v>
      </c>
      <c r="M298" s="31">
        <v>170000000</v>
      </c>
      <c r="N298" s="30" t="s">
        <v>1111</v>
      </c>
      <c r="O298" s="30" t="str">
        <f>IF(LEN(IF(OR(NOT(ISNUMBER(B298)),LEN(B298)&lt;&gt;8),"UNSPSC vacío, en texto, con varios códigos o sin 8 dígitos; ","")&amp;IF(AND(ISNUMBER(B298),LEN(B298)=8),IF(MOD(B298,10000)=0,"UNSPSC a nivel de segmento o familia; ",""),"")&amp;IF(NOT(ISNUMBER(E298)),"Duración vacía o en texto; ","")&amp;IF(NOT(ISNUMBER(G298)),"Valor vacío o en texto; ","")&amp;IF(ISNUMBER(M298),IF(M298&lt;1000000,"Valor inferior a $1.000.000: verificar; ",""),"Valor no interpretable; ")&amp;IF(N298="[PENDIENTE DE VERIFICAR]","Modalidad no identificable; ","")&amp;IF(OR(ISERROR(SEARCH("@itc.edu.co",J298)),SUMPRODUCT(--ISNUMBER(SEARCH({"á","é","í","ó","ú","ñ"},J298)))&gt;0),"Correo vacío o no institucional válido; ","")&amp;IF(LEN(TRIM(D298))=0,"Sin objeto contractual; ","")&amp;IF(AND(ISNUMBER(M298),N298="Mínima cuantía"),IF(M298&gt;39850000,"Mínima cuantía con valor superior al tope citado en el instructivo 2026 ($39.850.000): verificar modalidad; ",""),"")&amp;IF(AND(ISNUMBER(M298),OR(ISNUMBER(SEARCH("prestación de servicios",D298)),ISNUMBER(SEARCH("prestar servicios",D298)),ISNUMBER(SEARCH("prestar los servicios",D298)))),IF(M298&gt;=500000000,"Prestación de servicios por $500 millones o más: posible error de digitación; ",""),""))=0,"Sin observaciones",IF(OR(NOT(ISNUMBER(B298)),LEN(B298)&lt;&gt;8),"UNSPSC vacío, en texto, con varios códigos o sin 8 dígitos; ","")&amp;IF(AND(ISNUMBER(B298),LEN(B298)=8),IF(MOD(B298,10000)=0,"UNSPSC a nivel de segmento o familia; ",""),"")&amp;IF(NOT(ISNUMBER(E298)),"Duración vacía o en texto; ","")&amp;IF(NOT(ISNUMBER(G298)),"Valor vacío o en texto; ","")&amp;IF(ISNUMBER(M298),IF(M298&lt;1000000,"Valor inferior a $1.000.000: verificar; ",""),"Valor no interpretable; ")&amp;IF(N298="[PENDIENTE DE VERIFICAR]","Modalidad no identificable; ","")&amp;IF(OR(ISERROR(SEARCH("@itc.edu.co",J298)),SUMPRODUCT(--ISNUMBER(SEARCH({"á","é","í","ó","ú","ñ"},J298)))&gt;0),"Correo vacío o no institucional válido; ","")&amp;IF(LEN(TRIM(D298))=0,"Sin objeto contractual; ","")&amp;IF(AND(ISNUMBER(M298),N298="Mínima cuantía"),IF(M298&gt;39850000,"Mínima cuantía con valor superior al tope citado en el instructivo 2026 ($39.850.000): verificar modalidad; ",""),"")&amp;IF(AND(ISNUMBER(M298),OR(ISNUMBER(SEARCH("prestación de servicios",D298)),ISNUMBER(SEARCH("prestar servicios",D298)),ISNUMBER(SEARCH("prestar los servicios",D298)))),IF(M298&gt;=500000000,"Prestación de servicios por $500 millones o más: posible error de digitación; ",""),""))</f>
        <v xml:space="preserve">Duración vacía o en texto; Valor vacío o en texto; </v>
      </c>
    </row>
    <row r="299" spans="1:15" ht="182.4" x14ac:dyDescent="0.3">
      <c r="A299" s="15" t="s">
        <v>1520</v>
      </c>
      <c r="B299" s="15" t="s">
        <v>1441</v>
      </c>
      <c r="C299" s="15" t="s">
        <v>1521</v>
      </c>
      <c r="D299" s="15" t="s">
        <v>1522</v>
      </c>
      <c r="E299" s="15" t="s">
        <v>1523</v>
      </c>
      <c r="F299" s="15" t="s">
        <v>802</v>
      </c>
      <c r="G299" s="29">
        <v>100000000</v>
      </c>
      <c r="H299" s="15" t="s">
        <v>1437</v>
      </c>
      <c r="I299" s="15" t="s">
        <v>1438</v>
      </c>
      <c r="J299" s="15" t="s">
        <v>1439</v>
      </c>
      <c r="K299" s="15"/>
      <c r="L299" s="30" t="s">
        <v>1440</v>
      </c>
      <c r="M299" s="31">
        <v>100000000</v>
      </c>
      <c r="N299" s="30" t="s">
        <v>803</v>
      </c>
      <c r="O299" s="30" t="str">
        <f>IF(LEN(IF(OR(NOT(ISNUMBER(B299)),LEN(B299)&lt;&gt;8),"UNSPSC vacío, en texto, con varios códigos o sin 8 dígitos; ","")&amp;IF(AND(ISNUMBER(B299),LEN(B299)=8),IF(MOD(B299,10000)=0,"UNSPSC a nivel de segmento o familia; ",""),"")&amp;IF(NOT(ISNUMBER(E299)),"Duración vacía o en texto; ","")&amp;IF(NOT(ISNUMBER(G299)),"Valor vacío o en texto; ","")&amp;IF(ISNUMBER(M299),IF(M299&lt;1000000,"Valor inferior a $1.000.000: verificar; ",""),"Valor no interpretable; ")&amp;IF(N299="[PENDIENTE DE VERIFICAR]","Modalidad no identificable; ","")&amp;IF(OR(ISERROR(SEARCH("@itc.edu.co",J299)),SUMPRODUCT(--ISNUMBER(SEARCH({"á","é","í","ó","ú","ñ"},J299)))&gt;0),"Correo vacío o no institucional válido; ","")&amp;IF(LEN(TRIM(D299))=0,"Sin objeto contractual; ","")&amp;IF(AND(ISNUMBER(M299),N299="Mínima cuantía"),IF(M299&gt;39850000,"Mínima cuantía con valor superior al tope citado en el instructivo 2026 ($39.850.000): verificar modalidad; ",""),"")&amp;IF(AND(ISNUMBER(M299),OR(ISNUMBER(SEARCH("prestación de servicios",D299)),ISNUMBER(SEARCH("prestar servicios",D299)),ISNUMBER(SEARCH("prestar los servicios",D299)))),IF(M299&gt;=500000000,"Prestación de servicios por $500 millones o más: posible error de digitación; ",""),""))=0,"Sin observaciones",IF(OR(NOT(ISNUMBER(B299)),LEN(B299)&lt;&gt;8),"UNSPSC vacío, en texto, con varios códigos o sin 8 dígitos; ","")&amp;IF(AND(ISNUMBER(B299),LEN(B299)=8),IF(MOD(B299,10000)=0,"UNSPSC a nivel de segmento o familia; ",""),"")&amp;IF(NOT(ISNUMBER(E299)),"Duración vacía o en texto; ","")&amp;IF(NOT(ISNUMBER(G299)),"Valor vacío o en texto; ","")&amp;IF(ISNUMBER(M299),IF(M299&lt;1000000,"Valor inferior a $1.000.000: verificar; ",""),"Valor no interpretable; ")&amp;IF(N299="[PENDIENTE DE VERIFICAR]","Modalidad no identificable; ","")&amp;IF(OR(ISERROR(SEARCH("@itc.edu.co",J299)),SUMPRODUCT(--ISNUMBER(SEARCH({"á","é","í","ó","ú","ñ"},J299)))&gt;0),"Correo vacío o no institucional válido; ","")&amp;IF(LEN(TRIM(D299))=0,"Sin objeto contractual; ","")&amp;IF(AND(ISNUMBER(M299),N299="Mínima cuantía"),IF(M299&gt;39850000,"Mínima cuantía con valor superior al tope citado en el instructivo 2026 ($39.850.000): verificar modalidad; ",""),"")&amp;IF(AND(ISNUMBER(M299),OR(ISNUMBER(SEARCH("prestación de servicios",D299)),ISNUMBER(SEARCH("prestar servicios",D299)),ISNUMBER(SEARCH("prestar los servicios",D299)))),IF(M299&gt;=500000000,"Prestación de servicios por $500 millones o más: posible error de digitación; ",""),""))</f>
        <v xml:space="preserve">UNSPSC vacío, en texto, con varios códigos o sin 8 dígitos; Duración vacía o en texto; </v>
      </c>
    </row>
    <row r="300" spans="1:15" ht="57" x14ac:dyDescent="0.3">
      <c r="A300" s="15" t="s">
        <v>1524</v>
      </c>
      <c r="B300" s="15">
        <v>43211503</v>
      </c>
      <c r="C300" s="15" t="s">
        <v>1525</v>
      </c>
      <c r="D300" s="15" t="s">
        <v>1526</v>
      </c>
      <c r="E300" s="15" t="s">
        <v>1527</v>
      </c>
      <c r="F300" s="15" t="s">
        <v>1518</v>
      </c>
      <c r="G300" s="29" t="s">
        <v>1528</v>
      </c>
      <c r="H300" s="15" t="s">
        <v>1437</v>
      </c>
      <c r="I300" s="15" t="s">
        <v>1438</v>
      </c>
      <c r="J300" s="15" t="s">
        <v>1439</v>
      </c>
      <c r="K300" s="15"/>
      <c r="L300" s="30" t="s">
        <v>1440</v>
      </c>
      <c r="M300" s="31">
        <v>270000000</v>
      </c>
      <c r="N300" s="30" t="s">
        <v>1111</v>
      </c>
      <c r="O300" s="30" t="str">
        <f>IF(LEN(IF(OR(NOT(ISNUMBER(B300)),LEN(B300)&lt;&gt;8),"UNSPSC vacío, en texto, con varios códigos o sin 8 dígitos; ","")&amp;IF(AND(ISNUMBER(B300),LEN(B300)=8),IF(MOD(B300,10000)=0,"UNSPSC a nivel de segmento o familia; ",""),"")&amp;IF(NOT(ISNUMBER(E300)),"Duración vacía o en texto; ","")&amp;IF(NOT(ISNUMBER(G300)),"Valor vacío o en texto; ","")&amp;IF(ISNUMBER(M300),IF(M300&lt;1000000,"Valor inferior a $1.000.000: verificar; ",""),"Valor no interpretable; ")&amp;IF(N300="[PENDIENTE DE VERIFICAR]","Modalidad no identificable; ","")&amp;IF(OR(ISERROR(SEARCH("@itc.edu.co",J300)),SUMPRODUCT(--ISNUMBER(SEARCH({"á","é","í","ó","ú","ñ"},J300)))&gt;0),"Correo vacío o no institucional válido; ","")&amp;IF(LEN(TRIM(D300))=0,"Sin objeto contractual; ","")&amp;IF(AND(ISNUMBER(M300),N300="Mínima cuantía"),IF(M300&gt;39850000,"Mínima cuantía con valor superior al tope citado en el instructivo 2026 ($39.850.000): verificar modalidad; ",""),"")&amp;IF(AND(ISNUMBER(M300),OR(ISNUMBER(SEARCH("prestación de servicios",D300)),ISNUMBER(SEARCH("prestar servicios",D300)),ISNUMBER(SEARCH("prestar los servicios",D300)))),IF(M300&gt;=500000000,"Prestación de servicios por $500 millones o más: posible error de digitación; ",""),""))=0,"Sin observaciones",IF(OR(NOT(ISNUMBER(B300)),LEN(B300)&lt;&gt;8),"UNSPSC vacío, en texto, con varios códigos o sin 8 dígitos; ","")&amp;IF(AND(ISNUMBER(B300),LEN(B300)=8),IF(MOD(B300,10000)=0,"UNSPSC a nivel de segmento o familia; ",""),"")&amp;IF(NOT(ISNUMBER(E300)),"Duración vacía o en texto; ","")&amp;IF(NOT(ISNUMBER(G300)),"Valor vacío o en texto; ","")&amp;IF(ISNUMBER(M300),IF(M300&lt;1000000,"Valor inferior a $1.000.000: verificar; ",""),"Valor no interpretable; ")&amp;IF(N300="[PENDIENTE DE VERIFICAR]","Modalidad no identificable; ","")&amp;IF(OR(ISERROR(SEARCH("@itc.edu.co",J300)),SUMPRODUCT(--ISNUMBER(SEARCH({"á","é","í","ó","ú","ñ"},J300)))&gt;0),"Correo vacío o no institucional válido; ","")&amp;IF(LEN(TRIM(D300))=0,"Sin objeto contractual; ","")&amp;IF(AND(ISNUMBER(M300),N300="Mínima cuantía"),IF(M300&gt;39850000,"Mínima cuantía con valor superior al tope citado en el instructivo 2026 ($39.850.000): verificar modalidad; ",""),"")&amp;IF(AND(ISNUMBER(M300),OR(ISNUMBER(SEARCH("prestación de servicios",D300)),ISNUMBER(SEARCH("prestar servicios",D300)),ISNUMBER(SEARCH("prestar los servicios",D300)))),IF(M300&gt;=500000000,"Prestación de servicios por $500 millones o más: posible error de digitación; ",""),""))</f>
        <v xml:space="preserve">Duración vacía o en texto; Valor vacío o en texto; </v>
      </c>
    </row>
    <row r="301" spans="1:15" ht="34.200000000000003" x14ac:dyDescent="0.3">
      <c r="A301" s="15" t="s">
        <v>1529</v>
      </c>
      <c r="B301" s="15">
        <v>43231513</v>
      </c>
      <c r="C301" s="15" t="s">
        <v>1525</v>
      </c>
      <c r="D301" s="15" t="s">
        <v>1530</v>
      </c>
      <c r="E301" s="15" t="s">
        <v>1531</v>
      </c>
      <c r="F301" s="15" t="s">
        <v>1518</v>
      </c>
      <c r="G301" s="29" t="s">
        <v>1532</v>
      </c>
      <c r="H301" s="15" t="s">
        <v>1437</v>
      </c>
      <c r="I301" s="15" t="s">
        <v>1438</v>
      </c>
      <c r="J301" s="15" t="s">
        <v>1439</v>
      </c>
      <c r="K301" s="15"/>
      <c r="L301" s="30" t="s">
        <v>1440</v>
      </c>
      <c r="M301" s="31">
        <v>39000000</v>
      </c>
      <c r="N301" s="30" t="s">
        <v>1111</v>
      </c>
      <c r="O301" s="30" t="str">
        <f>IF(LEN(IF(OR(NOT(ISNUMBER(B301)),LEN(B301)&lt;&gt;8),"UNSPSC vacío, en texto, con varios códigos o sin 8 dígitos; ","")&amp;IF(AND(ISNUMBER(B301),LEN(B301)=8),IF(MOD(B301,10000)=0,"UNSPSC a nivel de segmento o familia; ",""),"")&amp;IF(NOT(ISNUMBER(E301)),"Duración vacía o en texto; ","")&amp;IF(NOT(ISNUMBER(G301)),"Valor vacío o en texto; ","")&amp;IF(ISNUMBER(M301),IF(M301&lt;1000000,"Valor inferior a $1.000.000: verificar; ",""),"Valor no interpretable; ")&amp;IF(N301="[PENDIENTE DE VERIFICAR]","Modalidad no identificable; ","")&amp;IF(OR(ISERROR(SEARCH("@itc.edu.co",J301)),SUMPRODUCT(--ISNUMBER(SEARCH({"á","é","í","ó","ú","ñ"},J301)))&gt;0),"Correo vacío o no institucional válido; ","")&amp;IF(LEN(TRIM(D301))=0,"Sin objeto contractual; ","")&amp;IF(AND(ISNUMBER(M301),N301="Mínima cuantía"),IF(M301&gt;39850000,"Mínima cuantía con valor superior al tope citado en el instructivo 2026 ($39.850.000): verificar modalidad; ",""),"")&amp;IF(AND(ISNUMBER(M301),OR(ISNUMBER(SEARCH("prestación de servicios",D301)),ISNUMBER(SEARCH("prestar servicios",D301)),ISNUMBER(SEARCH("prestar los servicios",D301)))),IF(M301&gt;=500000000,"Prestación de servicios por $500 millones o más: posible error de digitación; ",""),""))=0,"Sin observaciones",IF(OR(NOT(ISNUMBER(B301)),LEN(B301)&lt;&gt;8),"UNSPSC vacío, en texto, con varios códigos o sin 8 dígitos; ","")&amp;IF(AND(ISNUMBER(B301),LEN(B301)=8),IF(MOD(B301,10000)=0,"UNSPSC a nivel de segmento o familia; ",""),"")&amp;IF(NOT(ISNUMBER(E301)),"Duración vacía o en texto; ","")&amp;IF(NOT(ISNUMBER(G301)),"Valor vacío o en texto; ","")&amp;IF(ISNUMBER(M301),IF(M301&lt;1000000,"Valor inferior a $1.000.000: verificar; ",""),"Valor no interpretable; ")&amp;IF(N301="[PENDIENTE DE VERIFICAR]","Modalidad no identificable; ","")&amp;IF(OR(ISERROR(SEARCH("@itc.edu.co",J301)),SUMPRODUCT(--ISNUMBER(SEARCH({"á","é","í","ó","ú","ñ"},J301)))&gt;0),"Correo vacío o no institucional válido; ","")&amp;IF(LEN(TRIM(D301))=0,"Sin objeto contractual; ","")&amp;IF(AND(ISNUMBER(M301),N301="Mínima cuantía"),IF(M301&gt;39850000,"Mínima cuantía con valor superior al tope citado en el instructivo 2026 ($39.850.000): verificar modalidad; ",""),"")&amp;IF(AND(ISNUMBER(M301),OR(ISNUMBER(SEARCH("prestación de servicios",D301)),ISNUMBER(SEARCH("prestar servicios",D301)),ISNUMBER(SEARCH("prestar los servicios",D301)))),IF(M301&gt;=500000000,"Prestación de servicios por $500 millones o más: posible error de digitación; ",""),""))</f>
        <v xml:space="preserve">Duración vacía o en texto; Valor vacío o en texto; </v>
      </c>
    </row>
    <row r="302" spans="1:15" ht="34.200000000000003" x14ac:dyDescent="0.3">
      <c r="A302" s="15" t="s">
        <v>631</v>
      </c>
      <c r="B302" s="15">
        <v>56101504</v>
      </c>
      <c r="C302" s="15" t="s">
        <v>1525</v>
      </c>
      <c r="D302" s="15" t="s">
        <v>630</v>
      </c>
      <c r="E302" s="15" t="s">
        <v>1531</v>
      </c>
      <c r="F302" s="15" t="s">
        <v>1518</v>
      </c>
      <c r="G302" s="29" t="s">
        <v>1415</v>
      </c>
      <c r="H302" s="15" t="s">
        <v>1437</v>
      </c>
      <c r="I302" s="15" t="s">
        <v>1438</v>
      </c>
      <c r="J302" s="15" t="s">
        <v>1439</v>
      </c>
      <c r="K302" s="15"/>
      <c r="L302" s="30" t="s">
        <v>1440</v>
      </c>
      <c r="M302" s="31">
        <v>6000000</v>
      </c>
      <c r="N302" s="30" t="s">
        <v>1111</v>
      </c>
      <c r="O302" s="30" t="str">
        <f>IF(LEN(IF(OR(NOT(ISNUMBER(B302)),LEN(B302)&lt;&gt;8),"UNSPSC vacío, en texto, con varios códigos o sin 8 dígitos; ","")&amp;IF(AND(ISNUMBER(B302),LEN(B302)=8),IF(MOD(B302,10000)=0,"UNSPSC a nivel de segmento o familia; ",""),"")&amp;IF(NOT(ISNUMBER(E302)),"Duración vacía o en texto; ","")&amp;IF(NOT(ISNUMBER(G302)),"Valor vacío o en texto; ","")&amp;IF(ISNUMBER(M302),IF(M302&lt;1000000,"Valor inferior a $1.000.000: verificar; ",""),"Valor no interpretable; ")&amp;IF(N302="[PENDIENTE DE VERIFICAR]","Modalidad no identificable; ","")&amp;IF(OR(ISERROR(SEARCH("@itc.edu.co",J302)),SUMPRODUCT(--ISNUMBER(SEARCH({"á","é","í","ó","ú","ñ"},J302)))&gt;0),"Correo vacío o no institucional válido; ","")&amp;IF(LEN(TRIM(D302))=0,"Sin objeto contractual; ","")&amp;IF(AND(ISNUMBER(M302),N302="Mínima cuantía"),IF(M302&gt;39850000,"Mínima cuantía con valor superior al tope citado en el instructivo 2026 ($39.850.000): verificar modalidad; ",""),"")&amp;IF(AND(ISNUMBER(M302),OR(ISNUMBER(SEARCH("prestación de servicios",D302)),ISNUMBER(SEARCH("prestar servicios",D302)),ISNUMBER(SEARCH("prestar los servicios",D302)))),IF(M302&gt;=500000000,"Prestación de servicios por $500 millones o más: posible error de digitación; ",""),""))=0,"Sin observaciones",IF(OR(NOT(ISNUMBER(B302)),LEN(B302)&lt;&gt;8),"UNSPSC vacío, en texto, con varios códigos o sin 8 dígitos; ","")&amp;IF(AND(ISNUMBER(B302),LEN(B302)=8),IF(MOD(B302,10000)=0,"UNSPSC a nivel de segmento o familia; ",""),"")&amp;IF(NOT(ISNUMBER(E302)),"Duración vacía o en texto; ","")&amp;IF(NOT(ISNUMBER(G302)),"Valor vacío o en texto; ","")&amp;IF(ISNUMBER(M302),IF(M302&lt;1000000,"Valor inferior a $1.000.000: verificar; ",""),"Valor no interpretable; ")&amp;IF(N302="[PENDIENTE DE VERIFICAR]","Modalidad no identificable; ","")&amp;IF(OR(ISERROR(SEARCH("@itc.edu.co",J302)),SUMPRODUCT(--ISNUMBER(SEARCH({"á","é","í","ó","ú","ñ"},J302)))&gt;0),"Correo vacío o no institucional válido; ","")&amp;IF(LEN(TRIM(D302))=0,"Sin objeto contractual; ","")&amp;IF(AND(ISNUMBER(M302),N302="Mínima cuantía"),IF(M302&gt;39850000,"Mínima cuantía con valor superior al tope citado en el instructivo 2026 ($39.850.000): verificar modalidad; ",""),"")&amp;IF(AND(ISNUMBER(M302),OR(ISNUMBER(SEARCH("prestación de servicios",D302)),ISNUMBER(SEARCH("prestar servicios",D302)),ISNUMBER(SEARCH("prestar los servicios",D302)))),IF(M302&gt;=500000000,"Prestación de servicios por $500 millones o más: posible error de digitación; ",""),""))</f>
        <v xml:space="preserve">Duración vacía o en texto; Valor vacío o en texto; </v>
      </c>
    </row>
    <row r="303" spans="1:15" ht="34.200000000000003" x14ac:dyDescent="0.3">
      <c r="A303" s="15" t="s">
        <v>421</v>
      </c>
      <c r="B303" s="15">
        <v>43211903</v>
      </c>
      <c r="C303" s="15" t="s">
        <v>1525</v>
      </c>
      <c r="D303" s="15" t="s">
        <v>420</v>
      </c>
      <c r="E303" s="15" t="s">
        <v>1531</v>
      </c>
      <c r="F303" s="15" t="s">
        <v>1518</v>
      </c>
      <c r="G303" s="29" t="s">
        <v>1533</v>
      </c>
      <c r="H303" s="15" t="s">
        <v>1437</v>
      </c>
      <c r="I303" s="15" t="s">
        <v>1438</v>
      </c>
      <c r="J303" s="15" t="s">
        <v>1439</v>
      </c>
      <c r="K303" s="15"/>
      <c r="L303" s="30" t="s">
        <v>1440</v>
      </c>
      <c r="M303" s="31">
        <v>11000000</v>
      </c>
      <c r="N303" s="30" t="s">
        <v>1111</v>
      </c>
      <c r="O303" s="30" t="str">
        <f>IF(LEN(IF(OR(NOT(ISNUMBER(B303)),LEN(B303)&lt;&gt;8),"UNSPSC vacío, en texto, con varios códigos o sin 8 dígitos; ","")&amp;IF(AND(ISNUMBER(B303),LEN(B303)=8),IF(MOD(B303,10000)=0,"UNSPSC a nivel de segmento o familia; ",""),"")&amp;IF(NOT(ISNUMBER(E303)),"Duración vacía o en texto; ","")&amp;IF(NOT(ISNUMBER(G303)),"Valor vacío o en texto; ","")&amp;IF(ISNUMBER(M303),IF(M303&lt;1000000,"Valor inferior a $1.000.000: verificar; ",""),"Valor no interpretable; ")&amp;IF(N303="[PENDIENTE DE VERIFICAR]","Modalidad no identificable; ","")&amp;IF(OR(ISERROR(SEARCH("@itc.edu.co",J303)),SUMPRODUCT(--ISNUMBER(SEARCH({"á","é","í","ó","ú","ñ"},J303)))&gt;0),"Correo vacío o no institucional válido; ","")&amp;IF(LEN(TRIM(D303))=0,"Sin objeto contractual; ","")&amp;IF(AND(ISNUMBER(M303),N303="Mínima cuantía"),IF(M303&gt;39850000,"Mínima cuantía con valor superior al tope citado en el instructivo 2026 ($39.850.000): verificar modalidad; ",""),"")&amp;IF(AND(ISNUMBER(M303),OR(ISNUMBER(SEARCH("prestación de servicios",D303)),ISNUMBER(SEARCH("prestar servicios",D303)),ISNUMBER(SEARCH("prestar los servicios",D303)))),IF(M303&gt;=500000000,"Prestación de servicios por $500 millones o más: posible error de digitación; ",""),""))=0,"Sin observaciones",IF(OR(NOT(ISNUMBER(B303)),LEN(B303)&lt;&gt;8),"UNSPSC vacío, en texto, con varios códigos o sin 8 dígitos; ","")&amp;IF(AND(ISNUMBER(B303),LEN(B303)=8),IF(MOD(B303,10000)=0,"UNSPSC a nivel de segmento o familia; ",""),"")&amp;IF(NOT(ISNUMBER(E303)),"Duración vacía o en texto; ","")&amp;IF(NOT(ISNUMBER(G303)),"Valor vacío o en texto; ","")&amp;IF(ISNUMBER(M303),IF(M303&lt;1000000,"Valor inferior a $1.000.000: verificar; ",""),"Valor no interpretable; ")&amp;IF(N303="[PENDIENTE DE VERIFICAR]","Modalidad no identificable; ","")&amp;IF(OR(ISERROR(SEARCH("@itc.edu.co",J303)),SUMPRODUCT(--ISNUMBER(SEARCH({"á","é","í","ó","ú","ñ"},J303)))&gt;0),"Correo vacío o no institucional válido; ","")&amp;IF(LEN(TRIM(D303))=0,"Sin objeto contractual; ","")&amp;IF(AND(ISNUMBER(M303),N303="Mínima cuantía"),IF(M303&gt;39850000,"Mínima cuantía con valor superior al tope citado en el instructivo 2026 ($39.850.000): verificar modalidad; ",""),"")&amp;IF(AND(ISNUMBER(M303),OR(ISNUMBER(SEARCH("prestación de servicios",D303)),ISNUMBER(SEARCH("prestar servicios",D303)),ISNUMBER(SEARCH("prestar los servicios",D303)))),IF(M303&gt;=500000000,"Prestación de servicios por $500 millones o más: posible error de digitación; ",""),""))</f>
        <v xml:space="preserve">Duración vacía o en texto; Valor vacío o en texto; </v>
      </c>
    </row>
    <row r="304" spans="1:15" ht="91.2" x14ac:dyDescent="0.3">
      <c r="A304" s="15" t="s">
        <v>525</v>
      </c>
      <c r="B304" s="15" t="s">
        <v>1534</v>
      </c>
      <c r="C304" s="15" t="s">
        <v>1535</v>
      </c>
      <c r="D304" s="15" t="s">
        <v>1536</v>
      </c>
      <c r="E304" s="15" t="s">
        <v>1487</v>
      </c>
      <c r="F304" s="15" t="s">
        <v>792</v>
      </c>
      <c r="G304" s="29" t="s">
        <v>1537</v>
      </c>
      <c r="H304" s="15" t="s">
        <v>1437</v>
      </c>
      <c r="I304" s="15" t="s">
        <v>1438</v>
      </c>
      <c r="J304" s="15" t="s">
        <v>1439</v>
      </c>
      <c r="K304" s="15"/>
      <c r="L304" s="30" t="s">
        <v>1440</v>
      </c>
      <c r="M304" s="31">
        <v>20000000</v>
      </c>
      <c r="N304" s="30" t="s">
        <v>792</v>
      </c>
      <c r="O304" s="30" t="str">
        <f>IF(LEN(IF(OR(NOT(ISNUMBER(B304)),LEN(B304)&lt;&gt;8),"UNSPSC vacío, en texto, con varios códigos o sin 8 dígitos; ","")&amp;IF(AND(ISNUMBER(B304),LEN(B304)=8),IF(MOD(B304,10000)=0,"UNSPSC a nivel de segmento o familia; ",""),"")&amp;IF(NOT(ISNUMBER(E304)),"Duración vacía o en texto; ","")&amp;IF(NOT(ISNUMBER(G304)),"Valor vacío o en texto; ","")&amp;IF(ISNUMBER(M304),IF(M304&lt;1000000,"Valor inferior a $1.000.000: verificar; ",""),"Valor no interpretable; ")&amp;IF(N304="[PENDIENTE DE VERIFICAR]","Modalidad no identificable; ","")&amp;IF(OR(ISERROR(SEARCH("@itc.edu.co",J304)),SUMPRODUCT(--ISNUMBER(SEARCH({"á","é","í","ó","ú","ñ"},J304)))&gt;0),"Correo vacío o no institucional válido; ","")&amp;IF(LEN(TRIM(D304))=0,"Sin objeto contractual; ","")&amp;IF(AND(ISNUMBER(M304),N304="Mínima cuantía"),IF(M304&gt;39850000,"Mínima cuantía con valor superior al tope citado en el instructivo 2026 ($39.850.000): verificar modalidad; ",""),"")&amp;IF(AND(ISNUMBER(M304),OR(ISNUMBER(SEARCH("prestación de servicios",D304)),ISNUMBER(SEARCH("prestar servicios",D304)),ISNUMBER(SEARCH("prestar los servicios",D304)))),IF(M304&gt;=500000000,"Prestación de servicios por $500 millones o más: posible error de digitación; ",""),""))=0,"Sin observaciones",IF(OR(NOT(ISNUMBER(B304)),LEN(B304)&lt;&gt;8),"UNSPSC vacío, en texto, con varios códigos o sin 8 dígitos; ","")&amp;IF(AND(ISNUMBER(B304),LEN(B304)=8),IF(MOD(B304,10000)=0,"UNSPSC a nivel de segmento o familia; ",""),"")&amp;IF(NOT(ISNUMBER(E304)),"Duración vacía o en texto; ","")&amp;IF(NOT(ISNUMBER(G304)),"Valor vacío o en texto; ","")&amp;IF(ISNUMBER(M304),IF(M304&lt;1000000,"Valor inferior a $1.000.000: verificar; ",""),"Valor no interpretable; ")&amp;IF(N304="[PENDIENTE DE VERIFICAR]","Modalidad no identificable; ","")&amp;IF(OR(ISERROR(SEARCH("@itc.edu.co",J304)),SUMPRODUCT(--ISNUMBER(SEARCH({"á","é","í","ó","ú","ñ"},J304)))&gt;0),"Correo vacío o no institucional válido; ","")&amp;IF(LEN(TRIM(D304))=0,"Sin objeto contractual; ","")&amp;IF(AND(ISNUMBER(M304),N304="Mínima cuantía"),IF(M304&gt;39850000,"Mínima cuantía con valor superior al tope citado en el instructivo 2026 ($39.850.000): verificar modalidad; ",""),"")&amp;IF(AND(ISNUMBER(M304),OR(ISNUMBER(SEARCH("prestación de servicios",D304)),ISNUMBER(SEARCH("prestar servicios",D304)),ISNUMBER(SEARCH("prestar los servicios",D304)))),IF(M304&gt;=500000000,"Prestación de servicios por $500 millones o más: posible error de digitación; ",""),""))</f>
        <v xml:space="preserve">UNSPSC vacío, en texto, con varios códigos o sin 8 dígitos; Duración vacía o en texto; Valor vacío o en texto; </v>
      </c>
    </row>
    <row r="305" spans="1:15" ht="239.4" x14ac:dyDescent="0.3">
      <c r="A305" s="15" t="s">
        <v>492</v>
      </c>
      <c r="B305" s="15">
        <v>23101508</v>
      </c>
      <c r="C305" s="15" t="s">
        <v>1538</v>
      </c>
      <c r="D305" s="15" t="s">
        <v>1539</v>
      </c>
      <c r="E305" s="15" t="s">
        <v>1508</v>
      </c>
      <c r="F305" s="15" t="s">
        <v>788</v>
      </c>
      <c r="G305" s="29" t="s">
        <v>1540</v>
      </c>
      <c r="H305" s="15" t="s">
        <v>1437</v>
      </c>
      <c r="I305" s="15" t="s">
        <v>1438</v>
      </c>
      <c r="J305" s="15" t="s">
        <v>1439</v>
      </c>
      <c r="K305" s="15"/>
      <c r="L305" s="30" t="s">
        <v>1440</v>
      </c>
      <c r="M305" s="31">
        <v>70000000</v>
      </c>
      <c r="N305" s="30" t="s">
        <v>792</v>
      </c>
      <c r="O305" s="30" t="str">
        <f>IF(LEN(IF(OR(NOT(ISNUMBER(B305)),LEN(B305)&lt;&gt;8),"UNSPSC vacío, en texto, con varios códigos o sin 8 dígitos; ","")&amp;IF(AND(ISNUMBER(B305),LEN(B305)=8),IF(MOD(B305,10000)=0,"UNSPSC a nivel de segmento o familia; ",""),"")&amp;IF(NOT(ISNUMBER(E305)),"Duración vacía o en texto; ","")&amp;IF(NOT(ISNUMBER(G305)),"Valor vacío o en texto; ","")&amp;IF(ISNUMBER(M305),IF(M305&lt;1000000,"Valor inferior a $1.000.000: verificar; ",""),"Valor no interpretable; ")&amp;IF(N305="[PENDIENTE DE VERIFICAR]","Modalidad no identificable; ","")&amp;IF(OR(ISERROR(SEARCH("@itc.edu.co",J305)),SUMPRODUCT(--ISNUMBER(SEARCH({"á","é","í","ó","ú","ñ"},J305)))&gt;0),"Correo vacío o no institucional válido; ","")&amp;IF(LEN(TRIM(D305))=0,"Sin objeto contractual; ","")&amp;IF(AND(ISNUMBER(M305),N305="Mínima cuantía"),IF(M305&gt;39850000,"Mínima cuantía con valor superior al tope citado en el instructivo 2026 ($39.850.000): verificar modalidad; ",""),"")&amp;IF(AND(ISNUMBER(M305),OR(ISNUMBER(SEARCH("prestación de servicios",D305)),ISNUMBER(SEARCH("prestar servicios",D305)),ISNUMBER(SEARCH("prestar los servicios",D305)))),IF(M305&gt;=500000000,"Prestación de servicios por $500 millones o más: posible error de digitación; ",""),""))=0,"Sin observaciones",IF(OR(NOT(ISNUMBER(B305)),LEN(B305)&lt;&gt;8),"UNSPSC vacío, en texto, con varios códigos o sin 8 dígitos; ","")&amp;IF(AND(ISNUMBER(B305),LEN(B305)=8),IF(MOD(B305,10000)=0,"UNSPSC a nivel de segmento o familia; ",""),"")&amp;IF(NOT(ISNUMBER(E305)),"Duración vacía o en texto; ","")&amp;IF(NOT(ISNUMBER(G305)),"Valor vacío o en texto; ","")&amp;IF(ISNUMBER(M305),IF(M305&lt;1000000,"Valor inferior a $1.000.000: verificar; ",""),"Valor no interpretable; ")&amp;IF(N305="[PENDIENTE DE VERIFICAR]","Modalidad no identificable; ","")&amp;IF(OR(ISERROR(SEARCH("@itc.edu.co",J305)),SUMPRODUCT(--ISNUMBER(SEARCH({"á","é","í","ó","ú","ñ"},J305)))&gt;0),"Correo vacío o no institucional válido; ","")&amp;IF(LEN(TRIM(D305))=0,"Sin objeto contractual; ","")&amp;IF(AND(ISNUMBER(M305),N305="Mínima cuantía"),IF(M305&gt;39850000,"Mínima cuantía con valor superior al tope citado en el instructivo 2026 ($39.850.000): verificar modalidad; ",""),"")&amp;IF(AND(ISNUMBER(M305),OR(ISNUMBER(SEARCH("prestación de servicios",D305)),ISNUMBER(SEARCH("prestar servicios",D305)),ISNUMBER(SEARCH("prestar los servicios",D305)))),IF(M305&gt;=500000000,"Prestación de servicios por $500 millones o más: posible error de digitación; ",""),""))</f>
        <v xml:space="preserve">Duración vacía o en texto; Valor vacío o en texto; Mínima cuantía con valor superior al tope citado en el instructivo 2026 ($39.850.000): verificar modalidad; </v>
      </c>
    </row>
    <row r="306" spans="1:15" ht="228" x14ac:dyDescent="0.3">
      <c r="A306" s="15" t="s">
        <v>500</v>
      </c>
      <c r="B306" s="15">
        <v>23242605</v>
      </c>
      <c r="C306" s="15" t="s">
        <v>1538</v>
      </c>
      <c r="D306" s="15" t="s">
        <v>1541</v>
      </c>
      <c r="E306" s="15" t="s">
        <v>1508</v>
      </c>
      <c r="F306" s="15" t="s">
        <v>788</v>
      </c>
      <c r="G306" s="29" t="s">
        <v>1542</v>
      </c>
      <c r="H306" s="15" t="s">
        <v>1437</v>
      </c>
      <c r="I306" s="15" t="s">
        <v>1438</v>
      </c>
      <c r="J306" s="15" t="s">
        <v>1439</v>
      </c>
      <c r="K306" s="15"/>
      <c r="L306" s="30" t="s">
        <v>1440</v>
      </c>
      <c r="M306" s="31">
        <v>58000000</v>
      </c>
      <c r="N306" s="30" t="s">
        <v>792</v>
      </c>
      <c r="O306" s="30" t="str">
        <f>IF(LEN(IF(OR(NOT(ISNUMBER(B306)),LEN(B306)&lt;&gt;8),"UNSPSC vacío, en texto, con varios códigos o sin 8 dígitos; ","")&amp;IF(AND(ISNUMBER(B306),LEN(B306)=8),IF(MOD(B306,10000)=0,"UNSPSC a nivel de segmento o familia; ",""),"")&amp;IF(NOT(ISNUMBER(E306)),"Duración vacía o en texto; ","")&amp;IF(NOT(ISNUMBER(G306)),"Valor vacío o en texto; ","")&amp;IF(ISNUMBER(M306),IF(M306&lt;1000000,"Valor inferior a $1.000.000: verificar; ",""),"Valor no interpretable; ")&amp;IF(N306="[PENDIENTE DE VERIFICAR]","Modalidad no identificable; ","")&amp;IF(OR(ISERROR(SEARCH("@itc.edu.co",J306)),SUMPRODUCT(--ISNUMBER(SEARCH({"á","é","í","ó","ú","ñ"},J306)))&gt;0),"Correo vacío o no institucional válido; ","")&amp;IF(LEN(TRIM(D306))=0,"Sin objeto contractual; ","")&amp;IF(AND(ISNUMBER(M306),N306="Mínima cuantía"),IF(M306&gt;39850000,"Mínima cuantía con valor superior al tope citado en el instructivo 2026 ($39.850.000): verificar modalidad; ",""),"")&amp;IF(AND(ISNUMBER(M306),OR(ISNUMBER(SEARCH("prestación de servicios",D306)),ISNUMBER(SEARCH("prestar servicios",D306)),ISNUMBER(SEARCH("prestar los servicios",D306)))),IF(M306&gt;=500000000,"Prestación de servicios por $500 millones o más: posible error de digitación; ",""),""))=0,"Sin observaciones",IF(OR(NOT(ISNUMBER(B306)),LEN(B306)&lt;&gt;8),"UNSPSC vacío, en texto, con varios códigos o sin 8 dígitos; ","")&amp;IF(AND(ISNUMBER(B306),LEN(B306)=8),IF(MOD(B306,10000)=0,"UNSPSC a nivel de segmento o familia; ",""),"")&amp;IF(NOT(ISNUMBER(E306)),"Duración vacía o en texto; ","")&amp;IF(NOT(ISNUMBER(G306)),"Valor vacío o en texto; ","")&amp;IF(ISNUMBER(M306),IF(M306&lt;1000000,"Valor inferior a $1.000.000: verificar; ",""),"Valor no interpretable; ")&amp;IF(N306="[PENDIENTE DE VERIFICAR]","Modalidad no identificable; ","")&amp;IF(OR(ISERROR(SEARCH("@itc.edu.co",J306)),SUMPRODUCT(--ISNUMBER(SEARCH({"á","é","í","ó","ú","ñ"},J306)))&gt;0),"Correo vacío o no institucional válido; ","")&amp;IF(LEN(TRIM(D306))=0,"Sin objeto contractual; ","")&amp;IF(AND(ISNUMBER(M306),N306="Mínima cuantía"),IF(M306&gt;39850000,"Mínima cuantía con valor superior al tope citado en el instructivo 2026 ($39.850.000): verificar modalidad; ",""),"")&amp;IF(AND(ISNUMBER(M306),OR(ISNUMBER(SEARCH("prestación de servicios",D306)),ISNUMBER(SEARCH("prestar servicios",D306)),ISNUMBER(SEARCH("prestar los servicios",D306)))),IF(M306&gt;=500000000,"Prestación de servicios por $500 millones o más: posible error de digitación; ",""),""))</f>
        <v xml:space="preserve">Duración vacía o en texto; Valor vacío o en texto; Mínima cuantía con valor superior al tope citado en el instructivo 2026 ($39.850.000): verificar modalidad; </v>
      </c>
    </row>
    <row r="307" spans="1:15" ht="228" x14ac:dyDescent="0.3">
      <c r="A307" s="15" t="s">
        <v>523</v>
      </c>
      <c r="B307" s="15">
        <v>30192405</v>
      </c>
      <c r="C307" s="15" t="s">
        <v>1538</v>
      </c>
      <c r="D307" s="15" t="s">
        <v>1543</v>
      </c>
      <c r="E307" s="15" t="s">
        <v>1508</v>
      </c>
      <c r="F307" s="15" t="s">
        <v>788</v>
      </c>
      <c r="G307" s="29" t="s">
        <v>1544</v>
      </c>
      <c r="H307" s="15" t="s">
        <v>1437</v>
      </c>
      <c r="I307" s="15" t="s">
        <v>1438</v>
      </c>
      <c r="J307" s="15" t="s">
        <v>1439</v>
      </c>
      <c r="K307" s="15"/>
      <c r="L307" s="30" t="s">
        <v>1440</v>
      </c>
      <c r="M307" s="31">
        <v>62000000</v>
      </c>
      <c r="N307" s="30" t="s">
        <v>792</v>
      </c>
      <c r="O307" s="30" t="str">
        <f>IF(LEN(IF(OR(NOT(ISNUMBER(B307)),LEN(B307)&lt;&gt;8),"UNSPSC vacío, en texto, con varios códigos o sin 8 dígitos; ","")&amp;IF(AND(ISNUMBER(B307),LEN(B307)=8),IF(MOD(B307,10000)=0,"UNSPSC a nivel de segmento o familia; ",""),"")&amp;IF(NOT(ISNUMBER(E307)),"Duración vacía o en texto; ","")&amp;IF(NOT(ISNUMBER(G307)),"Valor vacío o en texto; ","")&amp;IF(ISNUMBER(M307),IF(M307&lt;1000000,"Valor inferior a $1.000.000: verificar; ",""),"Valor no interpretable; ")&amp;IF(N307="[PENDIENTE DE VERIFICAR]","Modalidad no identificable; ","")&amp;IF(OR(ISERROR(SEARCH("@itc.edu.co",J307)),SUMPRODUCT(--ISNUMBER(SEARCH({"á","é","í","ó","ú","ñ"},J307)))&gt;0),"Correo vacío o no institucional válido; ","")&amp;IF(LEN(TRIM(D307))=0,"Sin objeto contractual; ","")&amp;IF(AND(ISNUMBER(M307),N307="Mínima cuantía"),IF(M307&gt;39850000,"Mínima cuantía con valor superior al tope citado en el instructivo 2026 ($39.850.000): verificar modalidad; ",""),"")&amp;IF(AND(ISNUMBER(M307),OR(ISNUMBER(SEARCH("prestación de servicios",D307)),ISNUMBER(SEARCH("prestar servicios",D307)),ISNUMBER(SEARCH("prestar los servicios",D307)))),IF(M307&gt;=500000000,"Prestación de servicios por $500 millones o más: posible error de digitación; ",""),""))=0,"Sin observaciones",IF(OR(NOT(ISNUMBER(B307)),LEN(B307)&lt;&gt;8),"UNSPSC vacío, en texto, con varios códigos o sin 8 dígitos; ","")&amp;IF(AND(ISNUMBER(B307),LEN(B307)=8),IF(MOD(B307,10000)=0,"UNSPSC a nivel de segmento o familia; ",""),"")&amp;IF(NOT(ISNUMBER(E307)),"Duración vacía o en texto; ","")&amp;IF(NOT(ISNUMBER(G307)),"Valor vacío o en texto; ","")&amp;IF(ISNUMBER(M307),IF(M307&lt;1000000,"Valor inferior a $1.000.000: verificar; ",""),"Valor no interpretable; ")&amp;IF(N307="[PENDIENTE DE VERIFICAR]","Modalidad no identificable; ","")&amp;IF(OR(ISERROR(SEARCH("@itc.edu.co",J307)),SUMPRODUCT(--ISNUMBER(SEARCH({"á","é","í","ó","ú","ñ"},J307)))&gt;0),"Correo vacío o no institucional válido; ","")&amp;IF(LEN(TRIM(D307))=0,"Sin objeto contractual; ","")&amp;IF(AND(ISNUMBER(M307),N307="Mínima cuantía"),IF(M307&gt;39850000,"Mínima cuantía con valor superior al tope citado en el instructivo 2026 ($39.850.000): verificar modalidad; ",""),"")&amp;IF(AND(ISNUMBER(M307),OR(ISNUMBER(SEARCH("prestación de servicios",D307)),ISNUMBER(SEARCH("prestar servicios",D307)),ISNUMBER(SEARCH("prestar los servicios",D307)))),IF(M307&gt;=500000000,"Prestación de servicios por $500 millones o más: posible error de digitación; ",""),""))</f>
        <v xml:space="preserve">Duración vacía o en texto; Valor vacío o en texto; Mínima cuantía con valor superior al tope citado en el instructivo 2026 ($39.850.000): verificar modalidad; </v>
      </c>
    </row>
    <row r="308" spans="1:15" ht="205.2" x14ac:dyDescent="0.3">
      <c r="A308" s="15" t="s">
        <v>555</v>
      </c>
      <c r="B308" s="15">
        <v>41114611</v>
      </c>
      <c r="C308" s="15" t="s">
        <v>1538</v>
      </c>
      <c r="D308" s="15" t="s">
        <v>1545</v>
      </c>
      <c r="E308" s="15" t="s">
        <v>1508</v>
      </c>
      <c r="F308" s="15" t="s">
        <v>788</v>
      </c>
      <c r="G308" s="29" t="s">
        <v>1546</v>
      </c>
      <c r="H308" s="15" t="s">
        <v>1437</v>
      </c>
      <c r="I308" s="15" t="s">
        <v>1438</v>
      </c>
      <c r="J308" s="15" t="s">
        <v>1439</v>
      </c>
      <c r="K308" s="15"/>
      <c r="L308" s="30" t="s">
        <v>1440</v>
      </c>
      <c r="M308" s="31">
        <v>64000000</v>
      </c>
      <c r="N308" s="30" t="s">
        <v>792</v>
      </c>
      <c r="O308" s="30" t="str">
        <f>IF(LEN(IF(OR(NOT(ISNUMBER(B308)),LEN(B308)&lt;&gt;8),"UNSPSC vacío, en texto, con varios códigos o sin 8 dígitos; ","")&amp;IF(AND(ISNUMBER(B308),LEN(B308)=8),IF(MOD(B308,10000)=0,"UNSPSC a nivel de segmento o familia; ",""),"")&amp;IF(NOT(ISNUMBER(E308)),"Duración vacía o en texto; ","")&amp;IF(NOT(ISNUMBER(G308)),"Valor vacío o en texto; ","")&amp;IF(ISNUMBER(M308),IF(M308&lt;1000000,"Valor inferior a $1.000.000: verificar; ",""),"Valor no interpretable; ")&amp;IF(N308="[PENDIENTE DE VERIFICAR]","Modalidad no identificable; ","")&amp;IF(OR(ISERROR(SEARCH("@itc.edu.co",J308)),SUMPRODUCT(--ISNUMBER(SEARCH({"á","é","í","ó","ú","ñ"},J308)))&gt;0),"Correo vacío o no institucional válido; ","")&amp;IF(LEN(TRIM(D308))=0,"Sin objeto contractual; ","")&amp;IF(AND(ISNUMBER(M308),N308="Mínima cuantía"),IF(M308&gt;39850000,"Mínima cuantía con valor superior al tope citado en el instructivo 2026 ($39.850.000): verificar modalidad; ",""),"")&amp;IF(AND(ISNUMBER(M308),OR(ISNUMBER(SEARCH("prestación de servicios",D308)),ISNUMBER(SEARCH("prestar servicios",D308)),ISNUMBER(SEARCH("prestar los servicios",D308)))),IF(M308&gt;=500000000,"Prestación de servicios por $500 millones o más: posible error de digitación; ",""),""))=0,"Sin observaciones",IF(OR(NOT(ISNUMBER(B308)),LEN(B308)&lt;&gt;8),"UNSPSC vacío, en texto, con varios códigos o sin 8 dígitos; ","")&amp;IF(AND(ISNUMBER(B308),LEN(B308)=8),IF(MOD(B308,10000)=0,"UNSPSC a nivel de segmento o familia; ",""),"")&amp;IF(NOT(ISNUMBER(E308)),"Duración vacía o en texto; ","")&amp;IF(NOT(ISNUMBER(G308)),"Valor vacío o en texto; ","")&amp;IF(ISNUMBER(M308),IF(M308&lt;1000000,"Valor inferior a $1.000.000: verificar; ",""),"Valor no interpretable; ")&amp;IF(N308="[PENDIENTE DE VERIFICAR]","Modalidad no identificable; ","")&amp;IF(OR(ISERROR(SEARCH("@itc.edu.co",J308)),SUMPRODUCT(--ISNUMBER(SEARCH({"á","é","í","ó","ú","ñ"},J308)))&gt;0),"Correo vacío o no institucional válido; ","")&amp;IF(LEN(TRIM(D308))=0,"Sin objeto contractual; ","")&amp;IF(AND(ISNUMBER(M308),N308="Mínima cuantía"),IF(M308&gt;39850000,"Mínima cuantía con valor superior al tope citado en el instructivo 2026 ($39.850.000): verificar modalidad; ",""),"")&amp;IF(AND(ISNUMBER(M308),OR(ISNUMBER(SEARCH("prestación de servicios",D308)),ISNUMBER(SEARCH("prestar servicios",D308)),ISNUMBER(SEARCH("prestar los servicios",D308)))),IF(M308&gt;=500000000,"Prestación de servicios por $500 millones o más: posible error de digitación; ",""),""))</f>
        <v xml:space="preserve">Duración vacía o en texto; Valor vacío o en texto; Mínima cuantía con valor superior al tope citado en el instructivo 2026 ($39.850.000): verificar modalidad; </v>
      </c>
    </row>
    <row r="309" spans="1:15" ht="216.6" x14ac:dyDescent="0.3">
      <c r="A309" s="15" t="s">
        <v>563</v>
      </c>
      <c r="B309" s="15">
        <v>41116111</v>
      </c>
      <c r="C309" s="15" t="s">
        <v>1538</v>
      </c>
      <c r="D309" s="15" t="s">
        <v>1547</v>
      </c>
      <c r="E309" s="15" t="s">
        <v>1508</v>
      </c>
      <c r="F309" s="15" t="s">
        <v>788</v>
      </c>
      <c r="G309" s="29" t="s">
        <v>1548</v>
      </c>
      <c r="H309" s="15" t="s">
        <v>1437</v>
      </c>
      <c r="I309" s="15" t="s">
        <v>1438</v>
      </c>
      <c r="J309" s="15" t="s">
        <v>1439</v>
      </c>
      <c r="K309" s="15"/>
      <c r="L309" s="30" t="s">
        <v>1440</v>
      </c>
      <c r="M309" s="31">
        <v>48000000</v>
      </c>
      <c r="N309" s="30" t="s">
        <v>792</v>
      </c>
      <c r="O309" s="30" t="str">
        <f>IF(LEN(IF(OR(NOT(ISNUMBER(B309)),LEN(B309)&lt;&gt;8),"UNSPSC vacío, en texto, con varios códigos o sin 8 dígitos; ","")&amp;IF(AND(ISNUMBER(B309),LEN(B309)=8),IF(MOD(B309,10000)=0,"UNSPSC a nivel de segmento o familia; ",""),"")&amp;IF(NOT(ISNUMBER(E309)),"Duración vacía o en texto; ","")&amp;IF(NOT(ISNUMBER(G309)),"Valor vacío o en texto; ","")&amp;IF(ISNUMBER(M309),IF(M309&lt;1000000,"Valor inferior a $1.000.000: verificar; ",""),"Valor no interpretable; ")&amp;IF(N309="[PENDIENTE DE VERIFICAR]","Modalidad no identificable; ","")&amp;IF(OR(ISERROR(SEARCH("@itc.edu.co",J309)),SUMPRODUCT(--ISNUMBER(SEARCH({"á","é","í","ó","ú","ñ"},J309)))&gt;0),"Correo vacío o no institucional válido; ","")&amp;IF(LEN(TRIM(D309))=0,"Sin objeto contractual; ","")&amp;IF(AND(ISNUMBER(M309),N309="Mínima cuantía"),IF(M309&gt;39850000,"Mínima cuantía con valor superior al tope citado en el instructivo 2026 ($39.850.000): verificar modalidad; ",""),"")&amp;IF(AND(ISNUMBER(M309),OR(ISNUMBER(SEARCH("prestación de servicios",D309)),ISNUMBER(SEARCH("prestar servicios",D309)),ISNUMBER(SEARCH("prestar los servicios",D309)))),IF(M309&gt;=500000000,"Prestación de servicios por $500 millones o más: posible error de digitación; ",""),""))=0,"Sin observaciones",IF(OR(NOT(ISNUMBER(B309)),LEN(B309)&lt;&gt;8),"UNSPSC vacío, en texto, con varios códigos o sin 8 dígitos; ","")&amp;IF(AND(ISNUMBER(B309),LEN(B309)=8),IF(MOD(B309,10000)=0,"UNSPSC a nivel de segmento o familia; ",""),"")&amp;IF(NOT(ISNUMBER(E309)),"Duración vacía o en texto; ","")&amp;IF(NOT(ISNUMBER(G309)),"Valor vacío o en texto; ","")&amp;IF(ISNUMBER(M309),IF(M309&lt;1000000,"Valor inferior a $1.000.000: verificar; ",""),"Valor no interpretable; ")&amp;IF(N309="[PENDIENTE DE VERIFICAR]","Modalidad no identificable; ","")&amp;IF(OR(ISERROR(SEARCH("@itc.edu.co",J309)),SUMPRODUCT(--ISNUMBER(SEARCH({"á","é","í","ó","ú","ñ"},J309)))&gt;0),"Correo vacío o no institucional válido; ","")&amp;IF(LEN(TRIM(D309))=0,"Sin objeto contractual; ","")&amp;IF(AND(ISNUMBER(M309),N309="Mínima cuantía"),IF(M309&gt;39850000,"Mínima cuantía con valor superior al tope citado en el instructivo 2026 ($39.850.000): verificar modalidad; ",""),"")&amp;IF(AND(ISNUMBER(M309),OR(ISNUMBER(SEARCH("prestación de servicios",D309)),ISNUMBER(SEARCH("prestar servicios",D309)),ISNUMBER(SEARCH("prestar los servicios",D309)))),IF(M309&gt;=500000000,"Prestación de servicios por $500 millones o más: posible error de digitación; ",""),""))</f>
        <v xml:space="preserve">Duración vacía o en texto; Valor vacío o en texto; Mínima cuantía con valor superior al tope citado en el instructivo 2026 ($39.850.000): verificar modalidad; </v>
      </c>
    </row>
    <row r="310" spans="1:15" ht="228" x14ac:dyDescent="0.3">
      <c r="A310" s="15" t="s">
        <v>565</v>
      </c>
      <c r="B310" s="15">
        <v>41116112</v>
      </c>
      <c r="C310" s="15" t="s">
        <v>1538</v>
      </c>
      <c r="D310" s="15" t="s">
        <v>1549</v>
      </c>
      <c r="E310" s="15" t="s">
        <v>1508</v>
      </c>
      <c r="F310" s="15" t="s">
        <v>788</v>
      </c>
      <c r="G310" s="29" t="s">
        <v>1550</v>
      </c>
      <c r="H310" s="15" t="s">
        <v>1437</v>
      </c>
      <c r="I310" s="15" t="s">
        <v>1438</v>
      </c>
      <c r="J310" s="15" t="s">
        <v>1439</v>
      </c>
      <c r="K310" s="15"/>
      <c r="L310" s="30" t="s">
        <v>1440</v>
      </c>
      <c r="M310" s="31">
        <v>28000000</v>
      </c>
      <c r="N310" s="30" t="s">
        <v>792</v>
      </c>
      <c r="O310" s="30" t="str">
        <f>IF(LEN(IF(OR(NOT(ISNUMBER(B310)),LEN(B310)&lt;&gt;8),"UNSPSC vacío, en texto, con varios códigos o sin 8 dígitos; ","")&amp;IF(AND(ISNUMBER(B310),LEN(B310)=8),IF(MOD(B310,10000)=0,"UNSPSC a nivel de segmento o familia; ",""),"")&amp;IF(NOT(ISNUMBER(E310)),"Duración vacía o en texto; ","")&amp;IF(NOT(ISNUMBER(G310)),"Valor vacío o en texto; ","")&amp;IF(ISNUMBER(M310),IF(M310&lt;1000000,"Valor inferior a $1.000.000: verificar; ",""),"Valor no interpretable; ")&amp;IF(N310="[PENDIENTE DE VERIFICAR]","Modalidad no identificable; ","")&amp;IF(OR(ISERROR(SEARCH("@itc.edu.co",J310)),SUMPRODUCT(--ISNUMBER(SEARCH({"á","é","í","ó","ú","ñ"},J310)))&gt;0),"Correo vacío o no institucional válido; ","")&amp;IF(LEN(TRIM(D310))=0,"Sin objeto contractual; ","")&amp;IF(AND(ISNUMBER(M310),N310="Mínima cuantía"),IF(M310&gt;39850000,"Mínima cuantía con valor superior al tope citado en el instructivo 2026 ($39.850.000): verificar modalidad; ",""),"")&amp;IF(AND(ISNUMBER(M310),OR(ISNUMBER(SEARCH("prestación de servicios",D310)),ISNUMBER(SEARCH("prestar servicios",D310)),ISNUMBER(SEARCH("prestar los servicios",D310)))),IF(M310&gt;=500000000,"Prestación de servicios por $500 millones o más: posible error de digitación; ",""),""))=0,"Sin observaciones",IF(OR(NOT(ISNUMBER(B310)),LEN(B310)&lt;&gt;8),"UNSPSC vacío, en texto, con varios códigos o sin 8 dígitos; ","")&amp;IF(AND(ISNUMBER(B310),LEN(B310)=8),IF(MOD(B310,10000)=0,"UNSPSC a nivel de segmento o familia; ",""),"")&amp;IF(NOT(ISNUMBER(E310)),"Duración vacía o en texto; ","")&amp;IF(NOT(ISNUMBER(G310)),"Valor vacío o en texto; ","")&amp;IF(ISNUMBER(M310),IF(M310&lt;1000000,"Valor inferior a $1.000.000: verificar; ",""),"Valor no interpretable; ")&amp;IF(N310="[PENDIENTE DE VERIFICAR]","Modalidad no identificable; ","")&amp;IF(OR(ISERROR(SEARCH("@itc.edu.co",J310)),SUMPRODUCT(--ISNUMBER(SEARCH({"á","é","í","ó","ú","ñ"},J310)))&gt;0),"Correo vacío o no institucional válido; ","")&amp;IF(LEN(TRIM(D310))=0,"Sin objeto contractual; ","")&amp;IF(AND(ISNUMBER(M310),N310="Mínima cuantía"),IF(M310&gt;39850000,"Mínima cuantía con valor superior al tope citado en el instructivo 2026 ($39.850.000): verificar modalidad; ",""),"")&amp;IF(AND(ISNUMBER(M310),OR(ISNUMBER(SEARCH("prestación de servicios",D310)),ISNUMBER(SEARCH("prestar servicios",D310)),ISNUMBER(SEARCH("prestar los servicios",D310)))),IF(M310&gt;=500000000,"Prestación de servicios por $500 millones o más: posible error de digitación; ",""),""))</f>
        <v xml:space="preserve">Duración vacía o en texto; Valor vacío o en texto; </v>
      </c>
    </row>
    <row r="311" spans="1:15" ht="228" x14ac:dyDescent="0.3">
      <c r="A311" s="15" t="s">
        <v>557</v>
      </c>
      <c r="B311" s="15">
        <v>41116001</v>
      </c>
      <c r="C311" s="15" t="s">
        <v>1538</v>
      </c>
      <c r="D311" s="15" t="s">
        <v>1551</v>
      </c>
      <c r="E311" s="15" t="s">
        <v>1508</v>
      </c>
      <c r="F311" s="15" t="s">
        <v>788</v>
      </c>
      <c r="G311" s="29" t="s">
        <v>1552</v>
      </c>
      <c r="H311" s="15" t="s">
        <v>1437</v>
      </c>
      <c r="I311" s="15" t="s">
        <v>1438</v>
      </c>
      <c r="J311" s="15" t="s">
        <v>1439</v>
      </c>
      <c r="K311" s="15"/>
      <c r="L311" s="30" t="s">
        <v>1440</v>
      </c>
      <c r="M311" s="31">
        <v>35000000</v>
      </c>
      <c r="N311" s="30" t="s">
        <v>792</v>
      </c>
      <c r="O311" s="30" t="str">
        <f>IF(LEN(IF(OR(NOT(ISNUMBER(B311)),LEN(B311)&lt;&gt;8),"UNSPSC vacío, en texto, con varios códigos o sin 8 dígitos; ","")&amp;IF(AND(ISNUMBER(B311),LEN(B311)=8),IF(MOD(B311,10000)=0,"UNSPSC a nivel de segmento o familia; ",""),"")&amp;IF(NOT(ISNUMBER(E311)),"Duración vacía o en texto; ","")&amp;IF(NOT(ISNUMBER(G311)),"Valor vacío o en texto; ","")&amp;IF(ISNUMBER(M311),IF(M311&lt;1000000,"Valor inferior a $1.000.000: verificar; ",""),"Valor no interpretable; ")&amp;IF(N311="[PENDIENTE DE VERIFICAR]","Modalidad no identificable; ","")&amp;IF(OR(ISERROR(SEARCH("@itc.edu.co",J311)),SUMPRODUCT(--ISNUMBER(SEARCH({"á","é","í","ó","ú","ñ"},J311)))&gt;0),"Correo vacío o no institucional válido; ","")&amp;IF(LEN(TRIM(D311))=0,"Sin objeto contractual; ","")&amp;IF(AND(ISNUMBER(M311),N311="Mínima cuantía"),IF(M311&gt;39850000,"Mínima cuantía con valor superior al tope citado en el instructivo 2026 ($39.850.000): verificar modalidad; ",""),"")&amp;IF(AND(ISNUMBER(M311),OR(ISNUMBER(SEARCH("prestación de servicios",D311)),ISNUMBER(SEARCH("prestar servicios",D311)),ISNUMBER(SEARCH("prestar los servicios",D311)))),IF(M311&gt;=500000000,"Prestación de servicios por $500 millones o más: posible error de digitación; ",""),""))=0,"Sin observaciones",IF(OR(NOT(ISNUMBER(B311)),LEN(B311)&lt;&gt;8),"UNSPSC vacío, en texto, con varios códigos o sin 8 dígitos; ","")&amp;IF(AND(ISNUMBER(B311),LEN(B311)=8),IF(MOD(B311,10000)=0,"UNSPSC a nivel de segmento o familia; ",""),"")&amp;IF(NOT(ISNUMBER(E311)),"Duración vacía o en texto; ","")&amp;IF(NOT(ISNUMBER(G311)),"Valor vacío o en texto; ","")&amp;IF(ISNUMBER(M311),IF(M311&lt;1000000,"Valor inferior a $1.000.000: verificar; ",""),"Valor no interpretable; ")&amp;IF(N311="[PENDIENTE DE VERIFICAR]","Modalidad no identificable; ","")&amp;IF(OR(ISERROR(SEARCH("@itc.edu.co",J311)),SUMPRODUCT(--ISNUMBER(SEARCH({"á","é","í","ó","ú","ñ"},J311)))&gt;0),"Correo vacío o no institucional válido; ","")&amp;IF(LEN(TRIM(D311))=0,"Sin objeto contractual; ","")&amp;IF(AND(ISNUMBER(M311),N311="Mínima cuantía"),IF(M311&gt;39850000,"Mínima cuantía con valor superior al tope citado en el instructivo 2026 ($39.850.000): verificar modalidad; ",""),"")&amp;IF(AND(ISNUMBER(M311),OR(ISNUMBER(SEARCH("prestación de servicios",D311)),ISNUMBER(SEARCH("prestar servicios",D311)),ISNUMBER(SEARCH("prestar los servicios",D311)))),IF(M311&gt;=500000000,"Prestación de servicios por $500 millones o más: posible error de digitación; ",""),""))</f>
        <v xml:space="preserve">Duración vacía o en texto; Valor vacío o en texto; </v>
      </c>
    </row>
    <row r="312" spans="1:15" ht="239.4" x14ac:dyDescent="0.3">
      <c r="A312" s="15" t="s">
        <v>559</v>
      </c>
      <c r="B312" s="15">
        <v>41116002</v>
      </c>
      <c r="C312" s="15" t="s">
        <v>1538</v>
      </c>
      <c r="D312" s="15" t="s">
        <v>1553</v>
      </c>
      <c r="E312" s="15" t="s">
        <v>1508</v>
      </c>
      <c r="F312" s="15" t="s">
        <v>788</v>
      </c>
      <c r="G312" s="29" t="s">
        <v>1554</v>
      </c>
      <c r="H312" s="15" t="s">
        <v>1437</v>
      </c>
      <c r="I312" s="15" t="s">
        <v>1438</v>
      </c>
      <c r="J312" s="15" t="s">
        <v>1439</v>
      </c>
      <c r="K312" s="15"/>
      <c r="L312" s="30" t="s">
        <v>1440</v>
      </c>
      <c r="M312" s="31">
        <v>29000000</v>
      </c>
      <c r="N312" s="30" t="s">
        <v>792</v>
      </c>
      <c r="O312" s="30" t="str">
        <f>IF(LEN(IF(OR(NOT(ISNUMBER(B312)),LEN(B312)&lt;&gt;8),"UNSPSC vacío, en texto, con varios códigos o sin 8 dígitos; ","")&amp;IF(AND(ISNUMBER(B312),LEN(B312)=8),IF(MOD(B312,10000)=0,"UNSPSC a nivel de segmento o familia; ",""),"")&amp;IF(NOT(ISNUMBER(E312)),"Duración vacía o en texto; ","")&amp;IF(NOT(ISNUMBER(G312)),"Valor vacío o en texto; ","")&amp;IF(ISNUMBER(M312),IF(M312&lt;1000000,"Valor inferior a $1.000.000: verificar; ",""),"Valor no interpretable; ")&amp;IF(N312="[PENDIENTE DE VERIFICAR]","Modalidad no identificable; ","")&amp;IF(OR(ISERROR(SEARCH("@itc.edu.co",J312)),SUMPRODUCT(--ISNUMBER(SEARCH({"á","é","í","ó","ú","ñ"},J312)))&gt;0),"Correo vacío o no institucional válido; ","")&amp;IF(LEN(TRIM(D312))=0,"Sin objeto contractual; ","")&amp;IF(AND(ISNUMBER(M312),N312="Mínima cuantía"),IF(M312&gt;39850000,"Mínima cuantía con valor superior al tope citado en el instructivo 2026 ($39.850.000): verificar modalidad; ",""),"")&amp;IF(AND(ISNUMBER(M312),OR(ISNUMBER(SEARCH("prestación de servicios",D312)),ISNUMBER(SEARCH("prestar servicios",D312)),ISNUMBER(SEARCH("prestar los servicios",D312)))),IF(M312&gt;=500000000,"Prestación de servicios por $500 millones o más: posible error de digitación; ",""),""))=0,"Sin observaciones",IF(OR(NOT(ISNUMBER(B312)),LEN(B312)&lt;&gt;8),"UNSPSC vacío, en texto, con varios códigos o sin 8 dígitos; ","")&amp;IF(AND(ISNUMBER(B312),LEN(B312)=8),IF(MOD(B312,10000)=0,"UNSPSC a nivel de segmento o familia; ",""),"")&amp;IF(NOT(ISNUMBER(E312)),"Duración vacía o en texto; ","")&amp;IF(NOT(ISNUMBER(G312)),"Valor vacío o en texto; ","")&amp;IF(ISNUMBER(M312),IF(M312&lt;1000000,"Valor inferior a $1.000.000: verificar; ",""),"Valor no interpretable; ")&amp;IF(N312="[PENDIENTE DE VERIFICAR]","Modalidad no identificable; ","")&amp;IF(OR(ISERROR(SEARCH("@itc.edu.co",J312)),SUMPRODUCT(--ISNUMBER(SEARCH({"á","é","í","ó","ú","ñ"},J312)))&gt;0),"Correo vacío o no institucional válido; ","")&amp;IF(LEN(TRIM(D312))=0,"Sin objeto contractual; ","")&amp;IF(AND(ISNUMBER(M312),N312="Mínima cuantía"),IF(M312&gt;39850000,"Mínima cuantía con valor superior al tope citado en el instructivo 2026 ($39.850.000): verificar modalidad; ",""),"")&amp;IF(AND(ISNUMBER(M312),OR(ISNUMBER(SEARCH("prestación de servicios",D312)),ISNUMBER(SEARCH("prestar servicios",D312)),ISNUMBER(SEARCH("prestar los servicios",D312)))),IF(M312&gt;=500000000,"Prestación de servicios por $500 millones o más: posible error de digitación; ",""),""))</f>
        <v xml:space="preserve">Duración vacía o en texto; Valor vacío o en texto; </v>
      </c>
    </row>
    <row r="313" spans="1:15" ht="216.6" x14ac:dyDescent="0.3">
      <c r="A313" s="15" t="s">
        <v>567</v>
      </c>
      <c r="B313" s="15">
        <v>41116113</v>
      </c>
      <c r="C313" s="15" t="s">
        <v>1538</v>
      </c>
      <c r="D313" s="15" t="s">
        <v>1555</v>
      </c>
      <c r="E313" s="15" t="s">
        <v>1508</v>
      </c>
      <c r="F313" s="15" t="s">
        <v>788</v>
      </c>
      <c r="G313" s="29" t="s">
        <v>1556</v>
      </c>
      <c r="H313" s="15" t="s">
        <v>1437</v>
      </c>
      <c r="I313" s="15" t="s">
        <v>1438</v>
      </c>
      <c r="J313" s="15" t="s">
        <v>1439</v>
      </c>
      <c r="K313" s="15"/>
      <c r="L313" s="30" t="s">
        <v>1440</v>
      </c>
      <c r="M313" s="31">
        <v>8000000</v>
      </c>
      <c r="N313" s="30" t="s">
        <v>792</v>
      </c>
      <c r="O313" s="30" t="str">
        <f>IF(LEN(IF(OR(NOT(ISNUMBER(B313)),LEN(B313)&lt;&gt;8),"UNSPSC vacío, en texto, con varios códigos o sin 8 dígitos; ","")&amp;IF(AND(ISNUMBER(B313),LEN(B313)=8),IF(MOD(B313,10000)=0,"UNSPSC a nivel de segmento o familia; ",""),"")&amp;IF(NOT(ISNUMBER(E313)),"Duración vacía o en texto; ","")&amp;IF(NOT(ISNUMBER(G313)),"Valor vacío o en texto; ","")&amp;IF(ISNUMBER(M313),IF(M313&lt;1000000,"Valor inferior a $1.000.000: verificar; ",""),"Valor no interpretable; ")&amp;IF(N313="[PENDIENTE DE VERIFICAR]","Modalidad no identificable; ","")&amp;IF(OR(ISERROR(SEARCH("@itc.edu.co",J313)),SUMPRODUCT(--ISNUMBER(SEARCH({"á","é","í","ó","ú","ñ"},J313)))&gt;0),"Correo vacío o no institucional válido; ","")&amp;IF(LEN(TRIM(D313))=0,"Sin objeto contractual; ","")&amp;IF(AND(ISNUMBER(M313),N313="Mínima cuantía"),IF(M313&gt;39850000,"Mínima cuantía con valor superior al tope citado en el instructivo 2026 ($39.850.000): verificar modalidad; ",""),"")&amp;IF(AND(ISNUMBER(M313),OR(ISNUMBER(SEARCH("prestación de servicios",D313)),ISNUMBER(SEARCH("prestar servicios",D313)),ISNUMBER(SEARCH("prestar los servicios",D313)))),IF(M313&gt;=500000000,"Prestación de servicios por $500 millones o más: posible error de digitación; ",""),""))=0,"Sin observaciones",IF(OR(NOT(ISNUMBER(B313)),LEN(B313)&lt;&gt;8),"UNSPSC vacío, en texto, con varios códigos o sin 8 dígitos; ","")&amp;IF(AND(ISNUMBER(B313),LEN(B313)=8),IF(MOD(B313,10000)=0,"UNSPSC a nivel de segmento o familia; ",""),"")&amp;IF(NOT(ISNUMBER(E313)),"Duración vacía o en texto; ","")&amp;IF(NOT(ISNUMBER(G313)),"Valor vacío o en texto; ","")&amp;IF(ISNUMBER(M313),IF(M313&lt;1000000,"Valor inferior a $1.000.000: verificar; ",""),"Valor no interpretable; ")&amp;IF(N313="[PENDIENTE DE VERIFICAR]","Modalidad no identificable; ","")&amp;IF(OR(ISERROR(SEARCH("@itc.edu.co",J313)),SUMPRODUCT(--ISNUMBER(SEARCH({"á","é","í","ó","ú","ñ"},J313)))&gt;0),"Correo vacío o no institucional válido; ","")&amp;IF(LEN(TRIM(D313))=0,"Sin objeto contractual; ","")&amp;IF(AND(ISNUMBER(M313),N313="Mínima cuantía"),IF(M313&gt;39850000,"Mínima cuantía con valor superior al tope citado en el instructivo 2026 ($39.850.000): verificar modalidad; ",""),"")&amp;IF(AND(ISNUMBER(M313),OR(ISNUMBER(SEARCH("prestación de servicios",D313)),ISNUMBER(SEARCH("prestar servicios",D313)),ISNUMBER(SEARCH("prestar los servicios",D313)))),IF(M313&gt;=500000000,"Prestación de servicios por $500 millones o más: posible error de digitación; ",""),""))</f>
        <v xml:space="preserve">Duración vacía o en texto; Valor vacío o en texto; </v>
      </c>
    </row>
    <row r="314" spans="1:15" ht="193.8" x14ac:dyDescent="0.3">
      <c r="A314" s="15" t="s">
        <v>561</v>
      </c>
      <c r="B314" s="15">
        <v>41116003</v>
      </c>
      <c r="C314" s="15" t="s">
        <v>1538</v>
      </c>
      <c r="D314" s="15" t="s">
        <v>1557</v>
      </c>
      <c r="E314" s="15" t="s">
        <v>1558</v>
      </c>
      <c r="F314" s="15" t="s">
        <v>788</v>
      </c>
      <c r="G314" s="29" t="s">
        <v>1556</v>
      </c>
      <c r="H314" s="15" t="s">
        <v>1437</v>
      </c>
      <c r="I314" s="15" t="s">
        <v>1438</v>
      </c>
      <c r="J314" s="15" t="s">
        <v>1439</v>
      </c>
      <c r="K314" s="15"/>
      <c r="L314" s="30" t="s">
        <v>1440</v>
      </c>
      <c r="M314" s="31">
        <v>8000000</v>
      </c>
      <c r="N314" s="30" t="s">
        <v>792</v>
      </c>
      <c r="O314" s="30" t="str">
        <f>IF(LEN(IF(OR(NOT(ISNUMBER(B314)),LEN(B314)&lt;&gt;8),"UNSPSC vacío, en texto, con varios códigos o sin 8 dígitos; ","")&amp;IF(AND(ISNUMBER(B314),LEN(B314)=8),IF(MOD(B314,10000)=0,"UNSPSC a nivel de segmento o familia; ",""),"")&amp;IF(NOT(ISNUMBER(E314)),"Duración vacía o en texto; ","")&amp;IF(NOT(ISNUMBER(G314)),"Valor vacío o en texto; ","")&amp;IF(ISNUMBER(M314),IF(M314&lt;1000000,"Valor inferior a $1.000.000: verificar; ",""),"Valor no interpretable; ")&amp;IF(N314="[PENDIENTE DE VERIFICAR]","Modalidad no identificable; ","")&amp;IF(OR(ISERROR(SEARCH("@itc.edu.co",J314)),SUMPRODUCT(--ISNUMBER(SEARCH({"á","é","í","ó","ú","ñ"},J314)))&gt;0),"Correo vacío o no institucional válido; ","")&amp;IF(LEN(TRIM(D314))=0,"Sin objeto contractual; ","")&amp;IF(AND(ISNUMBER(M314),N314="Mínima cuantía"),IF(M314&gt;39850000,"Mínima cuantía con valor superior al tope citado en el instructivo 2026 ($39.850.000): verificar modalidad; ",""),"")&amp;IF(AND(ISNUMBER(M314),OR(ISNUMBER(SEARCH("prestación de servicios",D314)),ISNUMBER(SEARCH("prestar servicios",D314)),ISNUMBER(SEARCH("prestar los servicios",D314)))),IF(M314&gt;=500000000,"Prestación de servicios por $500 millones o más: posible error de digitación; ",""),""))=0,"Sin observaciones",IF(OR(NOT(ISNUMBER(B314)),LEN(B314)&lt;&gt;8),"UNSPSC vacío, en texto, con varios códigos o sin 8 dígitos; ","")&amp;IF(AND(ISNUMBER(B314),LEN(B314)=8),IF(MOD(B314,10000)=0,"UNSPSC a nivel de segmento o familia; ",""),"")&amp;IF(NOT(ISNUMBER(E314)),"Duración vacía o en texto; ","")&amp;IF(NOT(ISNUMBER(G314)),"Valor vacío o en texto; ","")&amp;IF(ISNUMBER(M314),IF(M314&lt;1000000,"Valor inferior a $1.000.000: verificar; ",""),"Valor no interpretable; ")&amp;IF(N314="[PENDIENTE DE VERIFICAR]","Modalidad no identificable; ","")&amp;IF(OR(ISERROR(SEARCH("@itc.edu.co",J314)),SUMPRODUCT(--ISNUMBER(SEARCH({"á","é","í","ó","ú","ñ"},J314)))&gt;0),"Correo vacío o no institucional válido; ","")&amp;IF(LEN(TRIM(D314))=0,"Sin objeto contractual; ","")&amp;IF(AND(ISNUMBER(M314),N314="Mínima cuantía"),IF(M314&gt;39850000,"Mínima cuantía con valor superior al tope citado en el instructivo 2026 ($39.850.000): verificar modalidad; ",""),"")&amp;IF(AND(ISNUMBER(M314),OR(ISNUMBER(SEARCH("prestación de servicios",D314)),ISNUMBER(SEARCH("prestar servicios",D314)),ISNUMBER(SEARCH("prestar los servicios",D314)))),IF(M314&gt;=500000000,"Prestación de servicios por $500 millones o más: posible error de digitación; ",""),""))</f>
        <v xml:space="preserve">Duración vacía o en texto; Valor vacío o en texto; </v>
      </c>
    </row>
    <row r="315" spans="1:15" ht="45.6" x14ac:dyDescent="0.3">
      <c r="A315" s="15" t="s">
        <v>378</v>
      </c>
      <c r="B315" s="15">
        <v>24131503</v>
      </c>
      <c r="C315" s="15" t="s">
        <v>1538</v>
      </c>
      <c r="D315" s="15" t="s">
        <v>1559</v>
      </c>
      <c r="E315" s="15" t="s">
        <v>1487</v>
      </c>
      <c r="F315" s="15" t="s">
        <v>802</v>
      </c>
      <c r="G315" s="29" t="s">
        <v>1560</v>
      </c>
      <c r="H315" s="15" t="s">
        <v>1437</v>
      </c>
      <c r="I315" s="15" t="s">
        <v>1438</v>
      </c>
      <c r="J315" s="15" t="s">
        <v>1439</v>
      </c>
      <c r="K315" s="15"/>
      <c r="L315" s="30" t="s">
        <v>1440</v>
      </c>
      <c r="M315" s="31">
        <v>30000000</v>
      </c>
      <c r="N315" s="30" t="s">
        <v>803</v>
      </c>
      <c r="O315" s="30" t="str">
        <f>IF(LEN(IF(OR(NOT(ISNUMBER(B315)),LEN(B315)&lt;&gt;8),"UNSPSC vacío, en texto, con varios códigos o sin 8 dígitos; ","")&amp;IF(AND(ISNUMBER(B315),LEN(B315)=8),IF(MOD(B315,10000)=0,"UNSPSC a nivel de segmento o familia; ",""),"")&amp;IF(NOT(ISNUMBER(E315)),"Duración vacía o en texto; ","")&amp;IF(NOT(ISNUMBER(G315)),"Valor vacío o en texto; ","")&amp;IF(ISNUMBER(M315),IF(M315&lt;1000000,"Valor inferior a $1.000.000: verificar; ",""),"Valor no interpretable; ")&amp;IF(N315="[PENDIENTE DE VERIFICAR]","Modalidad no identificable; ","")&amp;IF(OR(ISERROR(SEARCH("@itc.edu.co",J315)),SUMPRODUCT(--ISNUMBER(SEARCH({"á","é","í","ó","ú","ñ"},J315)))&gt;0),"Correo vacío o no institucional válido; ","")&amp;IF(LEN(TRIM(D315))=0,"Sin objeto contractual; ","")&amp;IF(AND(ISNUMBER(M315),N315="Mínima cuantía"),IF(M315&gt;39850000,"Mínima cuantía con valor superior al tope citado en el instructivo 2026 ($39.850.000): verificar modalidad; ",""),"")&amp;IF(AND(ISNUMBER(M315),OR(ISNUMBER(SEARCH("prestación de servicios",D315)),ISNUMBER(SEARCH("prestar servicios",D315)),ISNUMBER(SEARCH("prestar los servicios",D315)))),IF(M315&gt;=500000000,"Prestación de servicios por $500 millones o más: posible error de digitación; ",""),""))=0,"Sin observaciones",IF(OR(NOT(ISNUMBER(B315)),LEN(B315)&lt;&gt;8),"UNSPSC vacío, en texto, con varios códigos o sin 8 dígitos; ","")&amp;IF(AND(ISNUMBER(B315),LEN(B315)=8),IF(MOD(B315,10000)=0,"UNSPSC a nivel de segmento o familia; ",""),"")&amp;IF(NOT(ISNUMBER(E315)),"Duración vacía o en texto; ","")&amp;IF(NOT(ISNUMBER(G315)),"Valor vacío o en texto; ","")&amp;IF(ISNUMBER(M315),IF(M315&lt;1000000,"Valor inferior a $1.000.000: verificar; ",""),"Valor no interpretable; ")&amp;IF(N315="[PENDIENTE DE VERIFICAR]","Modalidad no identificable; ","")&amp;IF(OR(ISERROR(SEARCH("@itc.edu.co",J315)),SUMPRODUCT(--ISNUMBER(SEARCH({"á","é","í","ó","ú","ñ"},J315)))&gt;0),"Correo vacío o no institucional válido; ","")&amp;IF(LEN(TRIM(D315))=0,"Sin objeto contractual; ","")&amp;IF(AND(ISNUMBER(M315),N315="Mínima cuantía"),IF(M315&gt;39850000,"Mínima cuantía con valor superior al tope citado en el instructivo 2026 ($39.850.000): verificar modalidad; ",""),"")&amp;IF(AND(ISNUMBER(M315),OR(ISNUMBER(SEARCH("prestación de servicios",D315)),ISNUMBER(SEARCH("prestar servicios",D315)),ISNUMBER(SEARCH("prestar los servicios",D315)))),IF(M315&gt;=500000000,"Prestación de servicios por $500 millones o más: posible error de digitación; ",""),""))</f>
        <v xml:space="preserve">Duración vacía o en texto; Valor vacío o en texto; </v>
      </c>
    </row>
    <row r="316" spans="1:15" ht="57" x14ac:dyDescent="0.3">
      <c r="A316" s="15" t="s">
        <v>691</v>
      </c>
      <c r="B316" s="15">
        <v>81111505</v>
      </c>
      <c r="C316" s="15" t="s">
        <v>1538</v>
      </c>
      <c r="D316" s="15" t="s">
        <v>1561</v>
      </c>
      <c r="E316" s="15" t="s">
        <v>1562</v>
      </c>
      <c r="F316" s="15" t="s">
        <v>788</v>
      </c>
      <c r="G316" s="29" t="s">
        <v>1563</v>
      </c>
      <c r="H316" s="15" t="s">
        <v>1437</v>
      </c>
      <c r="I316" s="15" t="s">
        <v>1438</v>
      </c>
      <c r="J316" s="15" t="s">
        <v>1439</v>
      </c>
      <c r="K316" s="15"/>
      <c r="L316" s="30" t="s">
        <v>1440</v>
      </c>
      <c r="M316" s="31">
        <v>4000000</v>
      </c>
      <c r="N316" s="30" t="s">
        <v>792</v>
      </c>
      <c r="O316" s="30" t="str">
        <f>IF(LEN(IF(OR(NOT(ISNUMBER(B316)),LEN(B316)&lt;&gt;8),"UNSPSC vacío, en texto, con varios códigos o sin 8 dígitos; ","")&amp;IF(AND(ISNUMBER(B316),LEN(B316)=8),IF(MOD(B316,10000)=0,"UNSPSC a nivel de segmento o familia; ",""),"")&amp;IF(NOT(ISNUMBER(E316)),"Duración vacía o en texto; ","")&amp;IF(NOT(ISNUMBER(G316)),"Valor vacío o en texto; ","")&amp;IF(ISNUMBER(M316),IF(M316&lt;1000000,"Valor inferior a $1.000.000: verificar; ",""),"Valor no interpretable; ")&amp;IF(N316="[PENDIENTE DE VERIFICAR]","Modalidad no identificable; ","")&amp;IF(OR(ISERROR(SEARCH("@itc.edu.co",J316)),SUMPRODUCT(--ISNUMBER(SEARCH({"á","é","í","ó","ú","ñ"},J316)))&gt;0),"Correo vacío o no institucional válido; ","")&amp;IF(LEN(TRIM(D316))=0,"Sin objeto contractual; ","")&amp;IF(AND(ISNUMBER(M316),N316="Mínima cuantía"),IF(M316&gt;39850000,"Mínima cuantía con valor superior al tope citado en el instructivo 2026 ($39.850.000): verificar modalidad; ",""),"")&amp;IF(AND(ISNUMBER(M316),OR(ISNUMBER(SEARCH("prestación de servicios",D316)),ISNUMBER(SEARCH("prestar servicios",D316)),ISNUMBER(SEARCH("prestar los servicios",D316)))),IF(M316&gt;=500000000,"Prestación de servicios por $500 millones o más: posible error de digitación; ",""),""))=0,"Sin observaciones",IF(OR(NOT(ISNUMBER(B316)),LEN(B316)&lt;&gt;8),"UNSPSC vacío, en texto, con varios códigos o sin 8 dígitos; ","")&amp;IF(AND(ISNUMBER(B316),LEN(B316)=8),IF(MOD(B316,10000)=0,"UNSPSC a nivel de segmento o familia; ",""),"")&amp;IF(NOT(ISNUMBER(E316)),"Duración vacía o en texto; ","")&amp;IF(NOT(ISNUMBER(G316)),"Valor vacío o en texto; ","")&amp;IF(ISNUMBER(M316),IF(M316&lt;1000000,"Valor inferior a $1.000.000: verificar; ",""),"Valor no interpretable; ")&amp;IF(N316="[PENDIENTE DE VERIFICAR]","Modalidad no identificable; ","")&amp;IF(OR(ISERROR(SEARCH("@itc.edu.co",J316)),SUMPRODUCT(--ISNUMBER(SEARCH({"á","é","í","ó","ú","ñ"},J316)))&gt;0),"Correo vacío o no institucional válido; ","")&amp;IF(LEN(TRIM(D316))=0,"Sin objeto contractual; ","")&amp;IF(AND(ISNUMBER(M316),N316="Mínima cuantía"),IF(M316&gt;39850000,"Mínima cuantía con valor superior al tope citado en el instructivo 2026 ($39.850.000): verificar modalidad; ",""),"")&amp;IF(AND(ISNUMBER(M316),OR(ISNUMBER(SEARCH("prestación de servicios",D316)),ISNUMBER(SEARCH("prestar servicios",D316)),ISNUMBER(SEARCH("prestar los servicios",D316)))),IF(M316&gt;=500000000,"Prestación de servicios por $500 millones o más: posible error de digitación; ",""),""))</f>
        <v xml:space="preserve">Duración vacía o en texto; Valor vacío o en texto; </v>
      </c>
    </row>
    <row r="317" spans="1:15" ht="57" x14ac:dyDescent="0.3">
      <c r="A317" s="15" t="s">
        <v>1564</v>
      </c>
      <c r="B317" s="15">
        <v>41104503</v>
      </c>
      <c r="C317" s="15" t="s">
        <v>1538</v>
      </c>
      <c r="D317" s="15" t="s">
        <v>1565</v>
      </c>
      <c r="E317" s="15" t="s">
        <v>1562</v>
      </c>
      <c r="F317" s="15" t="s">
        <v>788</v>
      </c>
      <c r="G317" s="29" t="s">
        <v>1566</v>
      </c>
      <c r="H317" s="15" t="s">
        <v>1437</v>
      </c>
      <c r="I317" s="15" t="s">
        <v>1438</v>
      </c>
      <c r="J317" s="15" t="s">
        <v>1439</v>
      </c>
      <c r="K317" s="15"/>
      <c r="L317" s="30" t="s">
        <v>1440</v>
      </c>
      <c r="M317" s="31">
        <v>25000000</v>
      </c>
      <c r="N317" s="30" t="s">
        <v>792</v>
      </c>
      <c r="O317" s="30" t="str">
        <f>IF(LEN(IF(OR(NOT(ISNUMBER(B317)),LEN(B317)&lt;&gt;8),"UNSPSC vacío, en texto, con varios códigos o sin 8 dígitos; ","")&amp;IF(AND(ISNUMBER(B317),LEN(B317)=8),IF(MOD(B317,10000)=0,"UNSPSC a nivel de segmento o familia; ",""),"")&amp;IF(NOT(ISNUMBER(E317)),"Duración vacía o en texto; ","")&amp;IF(NOT(ISNUMBER(G317)),"Valor vacío o en texto; ","")&amp;IF(ISNUMBER(M317),IF(M317&lt;1000000,"Valor inferior a $1.000.000: verificar; ",""),"Valor no interpretable; ")&amp;IF(N317="[PENDIENTE DE VERIFICAR]","Modalidad no identificable; ","")&amp;IF(OR(ISERROR(SEARCH("@itc.edu.co",J317)),SUMPRODUCT(--ISNUMBER(SEARCH({"á","é","í","ó","ú","ñ"},J317)))&gt;0),"Correo vacío o no institucional válido; ","")&amp;IF(LEN(TRIM(D317))=0,"Sin objeto contractual; ","")&amp;IF(AND(ISNUMBER(M317),N317="Mínima cuantía"),IF(M317&gt;39850000,"Mínima cuantía con valor superior al tope citado en el instructivo 2026 ($39.850.000): verificar modalidad; ",""),"")&amp;IF(AND(ISNUMBER(M317),OR(ISNUMBER(SEARCH("prestación de servicios",D317)),ISNUMBER(SEARCH("prestar servicios",D317)),ISNUMBER(SEARCH("prestar los servicios",D317)))),IF(M317&gt;=500000000,"Prestación de servicios por $500 millones o más: posible error de digitación; ",""),""))=0,"Sin observaciones",IF(OR(NOT(ISNUMBER(B317)),LEN(B317)&lt;&gt;8),"UNSPSC vacío, en texto, con varios códigos o sin 8 dígitos; ","")&amp;IF(AND(ISNUMBER(B317),LEN(B317)=8),IF(MOD(B317,10000)=0,"UNSPSC a nivel de segmento o familia; ",""),"")&amp;IF(NOT(ISNUMBER(E317)),"Duración vacía o en texto; ","")&amp;IF(NOT(ISNUMBER(G317)),"Valor vacío o en texto; ","")&amp;IF(ISNUMBER(M317),IF(M317&lt;1000000,"Valor inferior a $1.000.000: verificar; ",""),"Valor no interpretable; ")&amp;IF(N317="[PENDIENTE DE VERIFICAR]","Modalidad no identificable; ","")&amp;IF(OR(ISERROR(SEARCH("@itc.edu.co",J317)),SUMPRODUCT(--ISNUMBER(SEARCH({"á","é","í","ó","ú","ñ"},J317)))&gt;0),"Correo vacío o no institucional válido; ","")&amp;IF(LEN(TRIM(D317))=0,"Sin objeto contractual; ","")&amp;IF(AND(ISNUMBER(M317),N317="Mínima cuantía"),IF(M317&gt;39850000,"Mínima cuantía con valor superior al tope citado en el instructivo 2026 ($39.850.000): verificar modalidad; ",""),"")&amp;IF(AND(ISNUMBER(M317),OR(ISNUMBER(SEARCH("prestación de servicios",D317)),ISNUMBER(SEARCH("prestar servicios",D317)),ISNUMBER(SEARCH("prestar los servicios",D317)))),IF(M317&gt;=500000000,"Prestación de servicios por $500 millones o más: posible error de digitación; ",""),""))</f>
        <v xml:space="preserve">Duración vacía o en texto; Valor vacío o en texto; </v>
      </c>
    </row>
    <row r="318" spans="1:15" ht="57" x14ac:dyDescent="0.3">
      <c r="A318" s="15" t="s">
        <v>1567</v>
      </c>
      <c r="B318" s="15">
        <v>41104503</v>
      </c>
      <c r="C318" s="15" t="s">
        <v>1538</v>
      </c>
      <c r="D318" s="15" t="s">
        <v>1568</v>
      </c>
      <c r="E318" s="15" t="s">
        <v>1562</v>
      </c>
      <c r="F318" s="15" t="s">
        <v>788</v>
      </c>
      <c r="G318" s="29" t="s">
        <v>1569</v>
      </c>
      <c r="H318" s="15" t="s">
        <v>1437</v>
      </c>
      <c r="I318" s="15" t="s">
        <v>1438</v>
      </c>
      <c r="J318" s="15" t="s">
        <v>1439</v>
      </c>
      <c r="K318" s="15"/>
      <c r="L318" s="30" t="s">
        <v>1440</v>
      </c>
      <c r="M318" s="31">
        <v>15000000</v>
      </c>
      <c r="N318" s="30" t="s">
        <v>792</v>
      </c>
      <c r="O318" s="30" t="str">
        <f>IF(LEN(IF(OR(NOT(ISNUMBER(B318)),LEN(B318)&lt;&gt;8),"UNSPSC vacío, en texto, con varios códigos o sin 8 dígitos; ","")&amp;IF(AND(ISNUMBER(B318),LEN(B318)=8),IF(MOD(B318,10000)=0,"UNSPSC a nivel de segmento o familia; ",""),"")&amp;IF(NOT(ISNUMBER(E318)),"Duración vacía o en texto; ","")&amp;IF(NOT(ISNUMBER(G318)),"Valor vacío o en texto; ","")&amp;IF(ISNUMBER(M318),IF(M318&lt;1000000,"Valor inferior a $1.000.000: verificar; ",""),"Valor no interpretable; ")&amp;IF(N318="[PENDIENTE DE VERIFICAR]","Modalidad no identificable; ","")&amp;IF(OR(ISERROR(SEARCH("@itc.edu.co",J318)),SUMPRODUCT(--ISNUMBER(SEARCH({"á","é","í","ó","ú","ñ"},J318)))&gt;0),"Correo vacío o no institucional válido; ","")&amp;IF(LEN(TRIM(D318))=0,"Sin objeto contractual; ","")&amp;IF(AND(ISNUMBER(M318),N318="Mínima cuantía"),IF(M318&gt;39850000,"Mínima cuantía con valor superior al tope citado en el instructivo 2026 ($39.850.000): verificar modalidad; ",""),"")&amp;IF(AND(ISNUMBER(M318),OR(ISNUMBER(SEARCH("prestación de servicios",D318)),ISNUMBER(SEARCH("prestar servicios",D318)),ISNUMBER(SEARCH("prestar los servicios",D318)))),IF(M318&gt;=500000000,"Prestación de servicios por $500 millones o más: posible error de digitación; ",""),""))=0,"Sin observaciones",IF(OR(NOT(ISNUMBER(B318)),LEN(B318)&lt;&gt;8),"UNSPSC vacío, en texto, con varios códigos o sin 8 dígitos; ","")&amp;IF(AND(ISNUMBER(B318),LEN(B318)=8),IF(MOD(B318,10000)=0,"UNSPSC a nivel de segmento o familia; ",""),"")&amp;IF(NOT(ISNUMBER(E318)),"Duración vacía o en texto; ","")&amp;IF(NOT(ISNUMBER(G318)),"Valor vacío o en texto; ","")&amp;IF(ISNUMBER(M318),IF(M318&lt;1000000,"Valor inferior a $1.000.000: verificar; ",""),"Valor no interpretable; ")&amp;IF(N318="[PENDIENTE DE VERIFICAR]","Modalidad no identificable; ","")&amp;IF(OR(ISERROR(SEARCH("@itc.edu.co",J318)),SUMPRODUCT(--ISNUMBER(SEARCH({"á","é","í","ó","ú","ñ"},J318)))&gt;0),"Correo vacío o no institucional válido; ","")&amp;IF(LEN(TRIM(D318))=0,"Sin objeto contractual; ","")&amp;IF(AND(ISNUMBER(M318),N318="Mínima cuantía"),IF(M318&gt;39850000,"Mínima cuantía con valor superior al tope citado en el instructivo 2026 ($39.850.000): verificar modalidad; ",""),"")&amp;IF(AND(ISNUMBER(M318),OR(ISNUMBER(SEARCH("prestación de servicios",D318)),ISNUMBER(SEARCH("prestar servicios",D318)),ISNUMBER(SEARCH("prestar los servicios",D318)))),IF(M318&gt;=500000000,"Prestación de servicios por $500 millones o más: posible error de digitación; ",""),""))</f>
        <v xml:space="preserve">Duración vacía o en texto; Valor vacío o en texto; </v>
      </c>
    </row>
    <row r="319" spans="1:15" ht="57" x14ac:dyDescent="0.3">
      <c r="A319" s="15" t="s">
        <v>693</v>
      </c>
      <c r="B319" s="15">
        <v>81111506</v>
      </c>
      <c r="C319" s="15" t="s">
        <v>1538</v>
      </c>
      <c r="D319" s="15" t="s">
        <v>1570</v>
      </c>
      <c r="E319" s="15" t="s">
        <v>1562</v>
      </c>
      <c r="F319" s="15" t="s">
        <v>788</v>
      </c>
      <c r="G319" s="29" t="s">
        <v>1571</v>
      </c>
      <c r="H319" s="15" t="s">
        <v>1437</v>
      </c>
      <c r="I319" s="15" t="s">
        <v>1438</v>
      </c>
      <c r="J319" s="15" t="s">
        <v>1439</v>
      </c>
      <c r="K319" s="15"/>
      <c r="L319" s="30" t="s">
        <v>1440</v>
      </c>
      <c r="M319" s="31">
        <v>1200000</v>
      </c>
      <c r="N319" s="30" t="s">
        <v>792</v>
      </c>
      <c r="O319" s="30" t="str">
        <f>IF(LEN(IF(OR(NOT(ISNUMBER(B319)),LEN(B319)&lt;&gt;8),"UNSPSC vacío, en texto, con varios códigos o sin 8 dígitos; ","")&amp;IF(AND(ISNUMBER(B319),LEN(B319)=8),IF(MOD(B319,10000)=0,"UNSPSC a nivel de segmento o familia; ",""),"")&amp;IF(NOT(ISNUMBER(E319)),"Duración vacía o en texto; ","")&amp;IF(NOT(ISNUMBER(G319)),"Valor vacío o en texto; ","")&amp;IF(ISNUMBER(M319),IF(M319&lt;1000000,"Valor inferior a $1.000.000: verificar; ",""),"Valor no interpretable; ")&amp;IF(N319="[PENDIENTE DE VERIFICAR]","Modalidad no identificable; ","")&amp;IF(OR(ISERROR(SEARCH("@itc.edu.co",J319)),SUMPRODUCT(--ISNUMBER(SEARCH({"á","é","í","ó","ú","ñ"},J319)))&gt;0),"Correo vacío o no institucional válido; ","")&amp;IF(LEN(TRIM(D319))=0,"Sin objeto contractual; ","")&amp;IF(AND(ISNUMBER(M319),N319="Mínima cuantía"),IF(M319&gt;39850000,"Mínima cuantía con valor superior al tope citado en el instructivo 2026 ($39.850.000): verificar modalidad; ",""),"")&amp;IF(AND(ISNUMBER(M319),OR(ISNUMBER(SEARCH("prestación de servicios",D319)),ISNUMBER(SEARCH("prestar servicios",D319)),ISNUMBER(SEARCH("prestar los servicios",D319)))),IF(M319&gt;=500000000,"Prestación de servicios por $500 millones o más: posible error de digitación; ",""),""))=0,"Sin observaciones",IF(OR(NOT(ISNUMBER(B319)),LEN(B319)&lt;&gt;8),"UNSPSC vacío, en texto, con varios códigos o sin 8 dígitos; ","")&amp;IF(AND(ISNUMBER(B319),LEN(B319)=8),IF(MOD(B319,10000)=0,"UNSPSC a nivel de segmento o familia; ",""),"")&amp;IF(NOT(ISNUMBER(E319)),"Duración vacía o en texto; ","")&amp;IF(NOT(ISNUMBER(G319)),"Valor vacío o en texto; ","")&amp;IF(ISNUMBER(M319),IF(M319&lt;1000000,"Valor inferior a $1.000.000: verificar; ",""),"Valor no interpretable; ")&amp;IF(N319="[PENDIENTE DE VERIFICAR]","Modalidad no identificable; ","")&amp;IF(OR(ISERROR(SEARCH("@itc.edu.co",J319)),SUMPRODUCT(--ISNUMBER(SEARCH({"á","é","í","ó","ú","ñ"},J319)))&gt;0),"Correo vacío o no institucional válido; ","")&amp;IF(LEN(TRIM(D319))=0,"Sin objeto contractual; ","")&amp;IF(AND(ISNUMBER(M319),N319="Mínima cuantía"),IF(M319&gt;39850000,"Mínima cuantía con valor superior al tope citado en el instructivo 2026 ($39.850.000): verificar modalidad; ",""),"")&amp;IF(AND(ISNUMBER(M319),OR(ISNUMBER(SEARCH("prestación de servicios",D319)),ISNUMBER(SEARCH("prestar servicios",D319)),ISNUMBER(SEARCH("prestar los servicios",D319)))),IF(M319&gt;=500000000,"Prestación de servicios por $500 millones o más: posible error de digitación; ",""),""))</f>
        <v xml:space="preserve">Duración vacía o en texto; Valor vacío o en texto; </v>
      </c>
    </row>
    <row r="320" spans="1:15" ht="34.200000000000003" x14ac:dyDescent="0.3">
      <c r="A320" s="15" t="s">
        <v>372</v>
      </c>
      <c r="B320" s="15">
        <v>11101700</v>
      </c>
      <c r="C320" s="15" t="s">
        <v>1572</v>
      </c>
      <c r="D320" s="15" t="s">
        <v>371</v>
      </c>
      <c r="E320" s="15" t="s">
        <v>1527</v>
      </c>
      <c r="F320" s="15" t="s">
        <v>1518</v>
      </c>
      <c r="G320" s="29" t="s">
        <v>1573</v>
      </c>
      <c r="H320" s="15" t="s">
        <v>1437</v>
      </c>
      <c r="I320" s="15" t="s">
        <v>1438</v>
      </c>
      <c r="J320" s="15" t="s">
        <v>1439</v>
      </c>
      <c r="K320" s="15"/>
      <c r="L320" s="30" t="s">
        <v>1440</v>
      </c>
      <c r="M320" s="31">
        <v>53000000</v>
      </c>
      <c r="N320" s="30" t="s">
        <v>1111</v>
      </c>
      <c r="O320" s="30" t="str">
        <f>IF(LEN(IF(OR(NOT(ISNUMBER(B320)),LEN(B320)&lt;&gt;8),"UNSPSC vacío, en texto, con varios códigos o sin 8 dígitos; ","")&amp;IF(AND(ISNUMBER(B320),LEN(B320)=8),IF(MOD(B320,10000)=0,"UNSPSC a nivel de segmento o familia; ",""),"")&amp;IF(NOT(ISNUMBER(E320)),"Duración vacía o en texto; ","")&amp;IF(NOT(ISNUMBER(G320)),"Valor vacío o en texto; ","")&amp;IF(ISNUMBER(M320),IF(M320&lt;1000000,"Valor inferior a $1.000.000: verificar; ",""),"Valor no interpretable; ")&amp;IF(N320="[PENDIENTE DE VERIFICAR]","Modalidad no identificable; ","")&amp;IF(OR(ISERROR(SEARCH("@itc.edu.co",J320)),SUMPRODUCT(--ISNUMBER(SEARCH({"á","é","í","ó","ú","ñ"},J320)))&gt;0),"Correo vacío o no institucional válido; ","")&amp;IF(LEN(TRIM(D320))=0,"Sin objeto contractual; ","")&amp;IF(AND(ISNUMBER(M320),N320="Mínima cuantía"),IF(M320&gt;39850000,"Mínima cuantía con valor superior al tope citado en el instructivo 2026 ($39.850.000): verificar modalidad; ",""),"")&amp;IF(AND(ISNUMBER(M320),OR(ISNUMBER(SEARCH("prestación de servicios",D320)),ISNUMBER(SEARCH("prestar servicios",D320)),ISNUMBER(SEARCH("prestar los servicios",D320)))),IF(M320&gt;=500000000,"Prestación de servicios por $500 millones o más: posible error de digitación; ",""),""))=0,"Sin observaciones",IF(OR(NOT(ISNUMBER(B320)),LEN(B320)&lt;&gt;8),"UNSPSC vacío, en texto, con varios códigos o sin 8 dígitos; ","")&amp;IF(AND(ISNUMBER(B320),LEN(B320)=8),IF(MOD(B320,10000)=0,"UNSPSC a nivel de segmento o familia; ",""),"")&amp;IF(NOT(ISNUMBER(E320)),"Duración vacía o en texto; ","")&amp;IF(NOT(ISNUMBER(G320)),"Valor vacío o en texto; ","")&amp;IF(ISNUMBER(M320),IF(M320&lt;1000000,"Valor inferior a $1.000.000: verificar; ",""),"Valor no interpretable; ")&amp;IF(N320="[PENDIENTE DE VERIFICAR]","Modalidad no identificable; ","")&amp;IF(OR(ISERROR(SEARCH("@itc.edu.co",J320)),SUMPRODUCT(--ISNUMBER(SEARCH({"á","é","í","ó","ú","ñ"},J320)))&gt;0),"Correo vacío o no institucional válido; ","")&amp;IF(LEN(TRIM(D320))=0,"Sin objeto contractual; ","")&amp;IF(AND(ISNUMBER(M320),N320="Mínima cuantía"),IF(M320&gt;39850000,"Mínima cuantía con valor superior al tope citado en el instructivo 2026 ($39.850.000): verificar modalidad; ",""),"")&amp;IF(AND(ISNUMBER(M320),OR(ISNUMBER(SEARCH("prestación de servicios",D320)),ISNUMBER(SEARCH("prestar servicios",D320)),ISNUMBER(SEARCH("prestar los servicios",D320)))),IF(M320&gt;=500000000,"Prestación de servicios por $500 millones o más: posible error de digitación; ",""),""))</f>
        <v xml:space="preserve">Duración vacía o en texto; Valor vacío o en texto; </v>
      </c>
    </row>
    <row r="321" spans="1:15" ht="34.200000000000003" x14ac:dyDescent="0.3">
      <c r="A321" s="15" t="s">
        <v>1574</v>
      </c>
      <c r="B321" s="15">
        <v>11101700</v>
      </c>
      <c r="C321" s="15" t="s">
        <v>1572</v>
      </c>
      <c r="D321" s="15" t="s">
        <v>1575</v>
      </c>
      <c r="E321" s="15" t="s">
        <v>1576</v>
      </c>
      <c r="F321" s="15" t="s">
        <v>1518</v>
      </c>
      <c r="G321" s="29" t="s">
        <v>1577</v>
      </c>
      <c r="H321" s="15" t="s">
        <v>1437</v>
      </c>
      <c r="I321" s="15" t="s">
        <v>1438</v>
      </c>
      <c r="J321" s="15" t="s">
        <v>1439</v>
      </c>
      <c r="K321" s="15"/>
      <c r="L321" s="30" t="s">
        <v>1440</v>
      </c>
      <c r="M321" s="31">
        <v>27000000</v>
      </c>
      <c r="N321" s="30" t="s">
        <v>1111</v>
      </c>
      <c r="O321" s="30" t="str">
        <f>IF(LEN(IF(OR(NOT(ISNUMBER(B321)),LEN(B321)&lt;&gt;8),"UNSPSC vacío, en texto, con varios códigos o sin 8 dígitos; ","")&amp;IF(AND(ISNUMBER(B321),LEN(B321)=8),IF(MOD(B321,10000)=0,"UNSPSC a nivel de segmento o familia; ",""),"")&amp;IF(NOT(ISNUMBER(E321)),"Duración vacía o en texto; ","")&amp;IF(NOT(ISNUMBER(G321)),"Valor vacío o en texto; ","")&amp;IF(ISNUMBER(M321),IF(M321&lt;1000000,"Valor inferior a $1.000.000: verificar; ",""),"Valor no interpretable; ")&amp;IF(N321="[PENDIENTE DE VERIFICAR]","Modalidad no identificable; ","")&amp;IF(OR(ISERROR(SEARCH("@itc.edu.co",J321)),SUMPRODUCT(--ISNUMBER(SEARCH({"á","é","í","ó","ú","ñ"},J321)))&gt;0),"Correo vacío o no institucional válido; ","")&amp;IF(LEN(TRIM(D321))=0,"Sin objeto contractual; ","")&amp;IF(AND(ISNUMBER(M321),N321="Mínima cuantía"),IF(M321&gt;39850000,"Mínima cuantía con valor superior al tope citado en el instructivo 2026 ($39.850.000): verificar modalidad; ",""),"")&amp;IF(AND(ISNUMBER(M321),OR(ISNUMBER(SEARCH("prestación de servicios",D321)),ISNUMBER(SEARCH("prestar servicios",D321)),ISNUMBER(SEARCH("prestar los servicios",D321)))),IF(M321&gt;=500000000,"Prestación de servicios por $500 millones o más: posible error de digitación; ",""),""))=0,"Sin observaciones",IF(OR(NOT(ISNUMBER(B321)),LEN(B321)&lt;&gt;8),"UNSPSC vacío, en texto, con varios códigos o sin 8 dígitos; ","")&amp;IF(AND(ISNUMBER(B321),LEN(B321)=8),IF(MOD(B321,10000)=0,"UNSPSC a nivel de segmento o familia; ",""),"")&amp;IF(NOT(ISNUMBER(E321)),"Duración vacía o en texto; ","")&amp;IF(NOT(ISNUMBER(G321)),"Valor vacío o en texto; ","")&amp;IF(ISNUMBER(M321),IF(M321&lt;1000000,"Valor inferior a $1.000.000: verificar; ",""),"Valor no interpretable; ")&amp;IF(N321="[PENDIENTE DE VERIFICAR]","Modalidad no identificable; ","")&amp;IF(OR(ISERROR(SEARCH("@itc.edu.co",J321)),SUMPRODUCT(--ISNUMBER(SEARCH({"á","é","í","ó","ú","ñ"},J321)))&gt;0),"Correo vacío o no institucional válido; ","")&amp;IF(LEN(TRIM(D321))=0,"Sin objeto contractual; ","")&amp;IF(AND(ISNUMBER(M321),N321="Mínima cuantía"),IF(M321&gt;39850000,"Mínima cuantía con valor superior al tope citado en el instructivo 2026 ($39.850.000): verificar modalidad; ",""),"")&amp;IF(AND(ISNUMBER(M321),OR(ISNUMBER(SEARCH("prestación de servicios",D321)),ISNUMBER(SEARCH("prestar servicios",D321)),ISNUMBER(SEARCH("prestar los servicios",D321)))),IF(M321&gt;=500000000,"Prestación de servicios por $500 millones o más: posible error de digitación; ",""),""))</f>
        <v xml:space="preserve">Duración vacía o en texto; Valor vacío o en texto; </v>
      </c>
    </row>
    <row r="322" spans="1:15" ht="45.6" x14ac:dyDescent="0.3">
      <c r="A322" s="15" t="s">
        <v>1578</v>
      </c>
      <c r="B322" s="15">
        <v>24131503</v>
      </c>
      <c r="C322" s="15" t="s">
        <v>1572</v>
      </c>
      <c r="D322" s="15" t="s">
        <v>1579</v>
      </c>
      <c r="E322" s="15" t="s">
        <v>1580</v>
      </c>
      <c r="F322" s="15" t="s">
        <v>1518</v>
      </c>
      <c r="G322" s="29" t="s">
        <v>1581</v>
      </c>
      <c r="H322" s="15" t="s">
        <v>1437</v>
      </c>
      <c r="I322" s="15" t="s">
        <v>1438</v>
      </c>
      <c r="J322" s="15" t="s">
        <v>1439</v>
      </c>
      <c r="K322" s="15"/>
      <c r="L322" s="30" t="s">
        <v>1440</v>
      </c>
      <c r="M322" s="31">
        <v>180000000</v>
      </c>
      <c r="N322" s="30" t="s">
        <v>1111</v>
      </c>
      <c r="O322" s="30" t="str">
        <f>IF(LEN(IF(OR(NOT(ISNUMBER(B322)),LEN(B322)&lt;&gt;8),"UNSPSC vacío, en texto, con varios códigos o sin 8 dígitos; ","")&amp;IF(AND(ISNUMBER(B322),LEN(B322)=8),IF(MOD(B322,10000)=0,"UNSPSC a nivel de segmento o familia; ",""),"")&amp;IF(NOT(ISNUMBER(E322)),"Duración vacía o en texto; ","")&amp;IF(NOT(ISNUMBER(G322)),"Valor vacío o en texto; ","")&amp;IF(ISNUMBER(M322),IF(M322&lt;1000000,"Valor inferior a $1.000.000: verificar; ",""),"Valor no interpretable; ")&amp;IF(N322="[PENDIENTE DE VERIFICAR]","Modalidad no identificable; ","")&amp;IF(OR(ISERROR(SEARCH("@itc.edu.co",J322)),SUMPRODUCT(--ISNUMBER(SEARCH({"á","é","í","ó","ú","ñ"},J322)))&gt;0),"Correo vacío o no institucional válido; ","")&amp;IF(LEN(TRIM(D322))=0,"Sin objeto contractual; ","")&amp;IF(AND(ISNUMBER(M322),N322="Mínima cuantía"),IF(M322&gt;39850000,"Mínima cuantía con valor superior al tope citado en el instructivo 2026 ($39.850.000): verificar modalidad; ",""),"")&amp;IF(AND(ISNUMBER(M322),OR(ISNUMBER(SEARCH("prestación de servicios",D322)),ISNUMBER(SEARCH("prestar servicios",D322)),ISNUMBER(SEARCH("prestar los servicios",D322)))),IF(M322&gt;=500000000,"Prestación de servicios por $500 millones o más: posible error de digitación; ",""),""))=0,"Sin observaciones",IF(OR(NOT(ISNUMBER(B322)),LEN(B322)&lt;&gt;8),"UNSPSC vacío, en texto, con varios códigos o sin 8 dígitos; ","")&amp;IF(AND(ISNUMBER(B322),LEN(B322)=8),IF(MOD(B322,10000)=0,"UNSPSC a nivel de segmento o familia; ",""),"")&amp;IF(NOT(ISNUMBER(E322)),"Duración vacía o en texto; ","")&amp;IF(NOT(ISNUMBER(G322)),"Valor vacío o en texto; ","")&amp;IF(ISNUMBER(M322),IF(M322&lt;1000000,"Valor inferior a $1.000.000: verificar; ",""),"Valor no interpretable; ")&amp;IF(N322="[PENDIENTE DE VERIFICAR]","Modalidad no identificable; ","")&amp;IF(OR(ISERROR(SEARCH("@itc.edu.co",J322)),SUMPRODUCT(--ISNUMBER(SEARCH({"á","é","í","ó","ú","ñ"},J322)))&gt;0),"Correo vacío o no institucional válido; ","")&amp;IF(LEN(TRIM(D322))=0,"Sin objeto contractual; ","")&amp;IF(AND(ISNUMBER(M322),N322="Mínima cuantía"),IF(M322&gt;39850000,"Mínima cuantía con valor superior al tope citado en el instructivo 2026 ($39.850.000): verificar modalidad; ",""),"")&amp;IF(AND(ISNUMBER(M322),OR(ISNUMBER(SEARCH("prestación de servicios",D322)),ISNUMBER(SEARCH("prestar servicios",D322)),ISNUMBER(SEARCH("prestar los servicios",D322)))),IF(M322&gt;=500000000,"Prestación de servicios por $500 millones o más: posible error de digitación; ",""),""))</f>
        <v xml:space="preserve">Duración vacía o en texto; Valor vacío o en texto; </v>
      </c>
    </row>
    <row r="323" spans="1:15" ht="34.200000000000003" x14ac:dyDescent="0.3">
      <c r="A323" s="15" t="s">
        <v>1582</v>
      </c>
      <c r="B323" s="15">
        <v>41104503</v>
      </c>
      <c r="C323" s="15" t="s">
        <v>1572</v>
      </c>
      <c r="D323" s="15" t="s">
        <v>1583</v>
      </c>
      <c r="E323" s="15" t="s">
        <v>1580</v>
      </c>
      <c r="F323" s="15" t="s">
        <v>1518</v>
      </c>
      <c r="G323" s="29" t="s">
        <v>1584</v>
      </c>
      <c r="H323" s="15" t="s">
        <v>1437</v>
      </c>
      <c r="I323" s="15" t="s">
        <v>1438</v>
      </c>
      <c r="J323" s="15" t="s">
        <v>1439</v>
      </c>
      <c r="K323" s="15"/>
      <c r="L323" s="30" t="s">
        <v>1440</v>
      </c>
      <c r="M323" s="31">
        <v>2463300000</v>
      </c>
      <c r="N323" s="30" t="s">
        <v>1111</v>
      </c>
      <c r="O323" s="30" t="str">
        <f>IF(LEN(IF(OR(NOT(ISNUMBER(B323)),LEN(B323)&lt;&gt;8),"UNSPSC vacío, en texto, con varios códigos o sin 8 dígitos; ","")&amp;IF(AND(ISNUMBER(B323),LEN(B323)=8),IF(MOD(B323,10000)=0,"UNSPSC a nivel de segmento o familia; ",""),"")&amp;IF(NOT(ISNUMBER(E323)),"Duración vacía o en texto; ","")&amp;IF(NOT(ISNUMBER(G323)),"Valor vacío o en texto; ","")&amp;IF(ISNUMBER(M323),IF(M323&lt;1000000,"Valor inferior a $1.000.000: verificar; ",""),"Valor no interpretable; ")&amp;IF(N323="[PENDIENTE DE VERIFICAR]","Modalidad no identificable; ","")&amp;IF(OR(ISERROR(SEARCH("@itc.edu.co",J323)),SUMPRODUCT(--ISNUMBER(SEARCH({"á","é","í","ó","ú","ñ"},J323)))&gt;0),"Correo vacío o no institucional válido; ","")&amp;IF(LEN(TRIM(D323))=0,"Sin objeto contractual; ","")&amp;IF(AND(ISNUMBER(M323),N323="Mínima cuantía"),IF(M323&gt;39850000,"Mínima cuantía con valor superior al tope citado en el instructivo 2026 ($39.850.000): verificar modalidad; ",""),"")&amp;IF(AND(ISNUMBER(M323),OR(ISNUMBER(SEARCH("prestación de servicios",D323)),ISNUMBER(SEARCH("prestar servicios",D323)),ISNUMBER(SEARCH("prestar los servicios",D323)))),IF(M323&gt;=500000000,"Prestación de servicios por $500 millones o más: posible error de digitación; ",""),""))=0,"Sin observaciones",IF(OR(NOT(ISNUMBER(B323)),LEN(B323)&lt;&gt;8),"UNSPSC vacío, en texto, con varios códigos o sin 8 dígitos; ","")&amp;IF(AND(ISNUMBER(B323),LEN(B323)=8),IF(MOD(B323,10000)=0,"UNSPSC a nivel de segmento o familia; ",""),"")&amp;IF(NOT(ISNUMBER(E323)),"Duración vacía o en texto; ","")&amp;IF(NOT(ISNUMBER(G323)),"Valor vacío o en texto; ","")&amp;IF(ISNUMBER(M323),IF(M323&lt;1000000,"Valor inferior a $1.000.000: verificar; ",""),"Valor no interpretable; ")&amp;IF(N323="[PENDIENTE DE VERIFICAR]","Modalidad no identificable; ","")&amp;IF(OR(ISERROR(SEARCH("@itc.edu.co",J323)),SUMPRODUCT(--ISNUMBER(SEARCH({"á","é","í","ó","ú","ñ"},J323)))&gt;0),"Correo vacío o no institucional válido; ","")&amp;IF(LEN(TRIM(D323))=0,"Sin objeto contractual; ","")&amp;IF(AND(ISNUMBER(M323),N323="Mínima cuantía"),IF(M323&gt;39850000,"Mínima cuantía con valor superior al tope citado en el instructivo 2026 ($39.850.000): verificar modalidad; ",""),"")&amp;IF(AND(ISNUMBER(M323),OR(ISNUMBER(SEARCH("prestación de servicios",D323)),ISNUMBER(SEARCH("prestar servicios",D323)),ISNUMBER(SEARCH("prestar los servicios",D323)))),IF(M323&gt;=500000000,"Prestación de servicios por $500 millones o más: posible error de digitación; ",""),""))</f>
        <v xml:space="preserve">Duración vacía o en texto; Valor vacío o en texto; </v>
      </c>
    </row>
    <row r="324" spans="1:15" ht="34.200000000000003" x14ac:dyDescent="0.3">
      <c r="A324" s="15" t="s">
        <v>1585</v>
      </c>
      <c r="B324" s="15">
        <v>41104503</v>
      </c>
      <c r="C324" s="15" t="s">
        <v>1572</v>
      </c>
      <c r="D324" s="15" t="s">
        <v>1586</v>
      </c>
      <c r="E324" s="15" t="s">
        <v>1587</v>
      </c>
      <c r="F324" s="15" t="s">
        <v>1518</v>
      </c>
      <c r="G324" s="29" t="s">
        <v>1588</v>
      </c>
      <c r="H324" s="15" t="s">
        <v>1437</v>
      </c>
      <c r="I324" s="15" t="s">
        <v>1438</v>
      </c>
      <c r="J324" s="15" t="s">
        <v>1439</v>
      </c>
      <c r="K324" s="15"/>
      <c r="L324" s="30" t="s">
        <v>1440</v>
      </c>
      <c r="M324" s="31">
        <v>378000000</v>
      </c>
      <c r="N324" s="30" t="s">
        <v>1111</v>
      </c>
      <c r="O324" s="30" t="str">
        <f>IF(LEN(IF(OR(NOT(ISNUMBER(B324)),LEN(B324)&lt;&gt;8),"UNSPSC vacío, en texto, con varios códigos o sin 8 dígitos; ","")&amp;IF(AND(ISNUMBER(B324),LEN(B324)=8),IF(MOD(B324,10000)=0,"UNSPSC a nivel de segmento o familia; ",""),"")&amp;IF(NOT(ISNUMBER(E324)),"Duración vacía o en texto; ","")&amp;IF(NOT(ISNUMBER(G324)),"Valor vacío o en texto; ","")&amp;IF(ISNUMBER(M324),IF(M324&lt;1000000,"Valor inferior a $1.000.000: verificar; ",""),"Valor no interpretable; ")&amp;IF(N324="[PENDIENTE DE VERIFICAR]","Modalidad no identificable; ","")&amp;IF(OR(ISERROR(SEARCH("@itc.edu.co",J324)),SUMPRODUCT(--ISNUMBER(SEARCH({"á","é","í","ó","ú","ñ"},J324)))&gt;0),"Correo vacío o no institucional válido; ","")&amp;IF(LEN(TRIM(D324))=0,"Sin objeto contractual; ","")&amp;IF(AND(ISNUMBER(M324),N324="Mínima cuantía"),IF(M324&gt;39850000,"Mínima cuantía con valor superior al tope citado en el instructivo 2026 ($39.850.000): verificar modalidad; ",""),"")&amp;IF(AND(ISNUMBER(M324),OR(ISNUMBER(SEARCH("prestación de servicios",D324)),ISNUMBER(SEARCH("prestar servicios",D324)),ISNUMBER(SEARCH("prestar los servicios",D324)))),IF(M324&gt;=500000000,"Prestación de servicios por $500 millones o más: posible error de digitación; ",""),""))=0,"Sin observaciones",IF(OR(NOT(ISNUMBER(B324)),LEN(B324)&lt;&gt;8),"UNSPSC vacío, en texto, con varios códigos o sin 8 dígitos; ","")&amp;IF(AND(ISNUMBER(B324),LEN(B324)=8),IF(MOD(B324,10000)=0,"UNSPSC a nivel de segmento o familia; ",""),"")&amp;IF(NOT(ISNUMBER(E324)),"Duración vacía o en texto; ","")&amp;IF(NOT(ISNUMBER(G324)),"Valor vacío o en texto; ","")&amp;IF(ISNUMBER(M324),IF(M324&lt;1000000,"Valor inferior a $1.000.000: verificar; ",""),"Valor no interpretable; ")&amp;IF(N324="[PENDIENTE DE VERIFICAR]","Modalidad no identificable; ","")&amp;IF(OR(ISERROR(SEARCH("@itc.edu.co",J324)),SUMPRODUCT(--ISNUMBER(SEARCH({"á","é","í","ó","ú","ñ"},J324)))&gt;0),"Correo vacío o no institucional válido; ","")&amp;IF(LEN(TRIM(D324))=0,"Sin objeto contractual; ","")&amp;IF(AND(ISNUMBER(M324),N324="Mínima cuantía"),IF(M324&gt;39850000,"Mínima cuantía con valor superior al tope citado en el instructivo 2026 ($39.850.000): verificar modalidad; ",""),"")&amp;IF(AND(ISNUMBER(M324),OR(ISNUMBER(SEARCH("prestación de servicios",D324)),ISNUMBER(SEARCH("prestar servicios",D324)),ISNUMBER(SEARCH("prestar los servicios",D324)))),IF(M324&gt;=500000000,"Prestación de servicios por $500 millones o más: posible error de digitación; ",""),""))</f>
        <v xml:space="preserve">Duración vacía o en texto; Valor vacío o en texto; </v>
      </c>
    </row>
    <row r="325" spans="1:15" ht="34.200000000000003" x14ac:dyDescent="0.3">
      <c r="A325" s="15" t="s">
        <v>1589</v>
      </c>
      <c r="B325" s="15">
        <v>41104503</v>
      </c>
      <c r="C325" s="15" t="s">
        <v>1572</v>
      </c>
      <c r="D325" s="15" t="s">
        <v>1590</v>
      </c>
      <c r="E325" s="15" t="s">
        <v>1587</v>
      </c>
      <c r="F325" s="15" t="s">
        <v>1518</v>
      </c>
      <c r="G325" s="29" t="s">
        <v>1591</v>
      </c>
      <c r="H325" s="15" t="s">
        <v>1437</v>
      </c>
      <c r="I325" s="15" t="s">
        <v>1438</v>
      </c>
      <c r="J325" s="15" t="s">
        <v>1439</v>
      </c>
      <c r="K325" s="15"/>
      <c r="L325" s="30" t="s">
        <v>1440</v>
      </c>
      <c r="M325" s="31">
        <v>438000000</v>
      </c>
      <c r="N325" s="30" t="s">
        <v>1111</v>
      </c>
      <c r="O325" s="30" t="str">
        <f>IF(LEN(IF(OR(NOT(ISNUMBER(B325)),LEN(B325)&lt;&gt;8),"UNSPSC vacío, en texto, con varios códigos o sin 8 dígitos; ","")&amp;IF(AND(ISNUMBER(B325),LEN(B325)=8),IF(MOD(B325,10000)=0,"UNSPSC a nivel de segmento o familia; ",""),"")&amp;IF(NOT(ISNUMBER(E325)),"Duración vacía o en texto; ","")&amp;IF(NOT(ISNUMBER(G325)),"Valor vacío o en texto; ","")&amp;IF(ISNUMBER(M325),IF(M325&lt;1000000,"Valor inferior a $1.000.000: verificar; ",""),"Valor no interpretable; ")&amp;IF(N325="[PENDIENTE DE VERIFICAR]","Modalidad no identificable; ","")&amp;IF(OR(ISERROR(SEARCH("@itc.edu.co",J325)),SUMPRODUCT(--ISNUMBER(SEARCH({"á","é","í","ó","ú","ñ"},J325)))&gt;0),"Correo vacío o no institucional válido; ","")&amp;IF(LEN(TRIM(D325))=0,"Sin objeto contractual; ","")&amp;IF(AND(ISNUMBER(M325),N325="Mínima cuantía"),IF(M325&gt;39850000,"Mínima cuantía con valor superior al tope citado en el instructivo 2026 ($39.850.000): verificar modalidad; ",""),"")&amp;IF(AND(ISNUMBER(M325),OR(ISNUMBER(SEARCH("prestación de servicios",D325)),ISNUMBER(SEARCH("prestar servicios",D325)),ISNUMBER(SEARCH("prestar los servicios",D325)))),IF(M325&gt;=500000000,"Prestación de servicios por $500 millones o más: posible error de digitación; ",""),""))=0,"Sin observaciones",IF(OR(NOT(ISNUMBER(B325)),LEN(B325)&lt;&gt;8),"UNSPSC vacío, en texto, con varios códigos o sin 8 dígitos; ","")&amp;IF(AND(ISNUMBER(B325),LEN(B325)=8),IF(MOD(B325,10000)=0,"UNSPSC a nivel de segmento o familia; ",""),"")&amp;IF(NOT(ISNUMBER(E325)),"Duración vacía o en texto; ","")&amp;IF(NOT(ISNUMBER(G325)),"Valor vacío o en texto; ","")&amp;IF(ISNUMBER(M325),IF(M325&lt;1000000,"Valor inferior a $1.000.000: verificar; ",""),"Valor no interpretable; ")&amp;IF(N325="[PENDIENTE DE VERIFICAR]","Modalidad no identificable; ","")&amp;IF(OR(ISERROR(SEARCH("@itc.edu.co",J325)),SUMPRODUCT(--ISNUMBER(SEARCH({"á","é","í","ó","ú","ñ"},J325)))&gt;0),"Correo vacío o no institucional válido; ","")&amp;IF(LEN(TRIM(D325))=0,"Sin objeto contractual; ","")&amp;IF(AND(ISNUMBER(M325),N325="Mínima cuantía"),IF(M325&gt;39850000,"Mínima cuantía con valor superior al tope citado en el instructivo 2026 ($39.850.000): verificar modalidad; ",""),"")&amp;IF(AND(ISNUMBER(M325),OR(ISNUMBER(SEARCH("prestación de servicios",D325)),ISNUMBER(SEARCH("prestar servicios",D325)),ISNUMBER(SEARCH("prestar los servicios",D325)))),IF(M325&gt;=500000000,"Prestación de servicios por $500 millones o más: posible error de digitación; ",""),""))</f>
        <v xml:space="preserve">Duración vacía o en texto; Valor vacío o en texto; </v>
      </c>
    </row>
    <row r="326" spans="1:15" ht="34.200000000000003" x14ac:dyDescent="0.3">
      <c r="A326" s="15" t="s">
        <v>553</v>
      </c>
      <c r="B326" s="15" t="s">
        <v>1592</v>
      </c>
      <c r="C326" s="15" t="s">
        <v>1593</v>
      </c>
      <c r="D326" s="15" t="s">
        <v>1594</v>
      </c>
      <c r="E326" s="15" t="s">
        <v>1479</v>
      </c>
      <c r="F326" s="15" t="s">
        <v>1470</v>
      </c>
      <c r="G326" s="29" t="s">
        <v>1436</v>
      </c>
      <c r="H326" s="15" t="s">
        <v>1437</v>
      </c>
      <c r="I326" s="15" t="s">
        <v>1438</v>
      </c>
      <c r="J326" s="15" t="s">
        <v>1439</v>
      </c>
      <c r="K326" s="15"/>
      <c r="L326" s="30" t="s">
        <v>1440</v>
      </c>
      <c r="M326" s="31">
        <v>75000000</v>
      </c>
      <c r="N326" s="30" t="s">
        <v>803</v>
      </c>
      <c r="O326" s="30" t="str">
        <f>IF(LEN(IF(OR(NOT(ISNUMBER(B326)),LEN(B326)&lt;&gt;8),"UNSPSC vacío, en texto, con varios códigos o sin 8 dígitos; ","")&amp;IF(AND(ISNUMBER(B326),LEN(B326)=8),IF(MOD(B326,10000)=0,"UNSPSC a nivel de segmento o familia; ",""),"")&amp;IF(NOT(ISNUMBER(E326)),"Duración vacía o en texto; ","")&amp;IF(NOT(ISNUMBER(G326)),"Valor vacío o en texto; ","")&amp;IF(ISNUMBER(M326),IF(M326&lt;1000000,"Valor inferior a $1.000.000: verificar; ",""),"Valor no interpretable; ")&amp;IF(N326="[PENDIENTE DE VERIFICAR]","Modalidad no identificable; ","")&amp;IF(OR(ISERROR(SEARCH("@itc.edu.co",J326)),SUMPRODUCT(--ISNUMBER(SEARCH({"á","é","í","ó","ú","ñ"},J326)))&gt;0),"Correo vacío o no institucional válido; ","")&amp;IF(LEN(TRIM(D326))=0,"Sin objeto contractual; ","")&amp;IF(AND(ISNUMBER(M326),N326="Mínima cuantía"),IF(M326&gt;39850000,"Mínima cuantía con valor superior al tope citado en el instructivo 2026 ($39.850.000): verificar modalidad; ",""),"")&amp;IF(AND(ISNUMBER(M326),OR(ISNUMBER(SEARCH("prestación de servicios",D326)),ISNUMBER(SEARCH("prestar servicios",D326)),ISNUMBER(SEARCH("prestar los servicios",D326)))),IF(M326&gt;=500000000,"Prestación de servicios por $500 millones o más: posible error de digitación; ",""),""))=0,"Sin observaciones",IF(OR(NOT(ISNUMBER(B326)),LEN(B326)&lt;&gt;8),"UNSPSC vacío, en texto, con varios códigos o sin 8 dígitos; ","")&amp;IF(AND(ISNUMBER(B326),LEN(B326)=8),IF(MOD(B326,10000)=0,"UNSPSC a nivel de segmento o familia; ",""),"")&amp;IF(NOT(ISNUMBER(E326)),"Duración vacía o en texto; ","")&amp;IF(NOT(ISNUMBER(G326)),"Valor vacío o en texto; ","")&amp;IF(ISNUMBER(M326),IF(M326&lt;1000000,"Valor inferior a $1.000.000: verificar; ",""),"Valor no interpretable; ")&amp;IF(N326="[PENDIENTE DE VERIFICAR]","Modalidad no identificable; ","")&amp;IF(OR(ISERROR(SEARCH("@itc.edu.co",J326)),SUMPRODUCT(--ISNUMBER(SEARCH({"á","é","í","ó","ú","ñ"},J326)))&gt;0),"Correo vacío o no institucional válido; ","")&amp;IF(LEN(TRIM(D326))=0,"Sin objeto contractual; ","")&amp;IF(AND(ISNUMBER(M326),N326="Mínima cuantía"),IF(M326&gt;39850000,"Mínima cuantía con valor superior al tope citado en el instructivo 2026 ($39.850.000): verificar modalidad; ",""),"")&amp;IF(AND(ISNUMBER(M326),OR(ISNUMBER(SEARCH("prestación de servicios",D326)),ISNUMBER(SEARCH("prestar servicios",D326)),ISNUMBER(SEARCH("prestar los servicios",D326)))),IF(M326&gt;=500000000,"Prestación de servicios por $500 millones o más: posible error de digitación; ",""),""))</f>
        <v xml:space="preserve">UNSPSC vacío, en texto, con varios códigos o sin 8 dígitos; Duración vacía o en texto; Valor vacío o en texto; </v>
      </c>
    </row>
    <row r="327" spans="1:15" ht="34.200000000000003" x14ac:dyDescent="0.3">
      <c r="A327" s="15" t="s">
        <v>488</v>
      </c>
      <c r="B327" s="15">
        <v>22101715</v>
      </c>
      <c r="C327" s="15" t="s">
        <v>1593</v>
      </c>
      <c r="D327" s="15" t="s">
        <v>1595</v>
      </c>
      <c r="E327" s="15" t="s">
        <v>1479</v>
      </c>
      <c r="F327" s="15" t="s">
        <v>1470</v>
      </c>
      <c r="G327" s="29" t="s">
        <v>1149</v>
      </c>
      <c r="H327" s="15" t="s">
        <v>1437</v>
      </c>
      <c r="I327" s="15" t="s">
        <v>1438</v>
      </c>
      <c r="J327" s="15" t="s">
        <v>1439</v>
      </c>
      <c r="K327" s="15"/>
      <c r="L327" s="30" t="s">
        <v>1440</v>
      </c>
      <c r="M327" s="31">
        <v>30000000</v>
      </c>
      <c r="N327" s="30" t="s">
        <v>803</v>
      </c>
      <c r="O327" s="30" t="str">
        <f>IF(LEN(IF(OR(NOT(ISNUMBER(B327)),LEN(B327)&lt;&gt;8),"UNSPSC vacío, en texto, con varios códigos o sin 8 dígitos; ","")&amp;IF(AND(ISNUMBER(B327),LEN(B327)=8),IF(MOD(B327,10000)=0,"UNSPSC a nivel de segmento o familia; ",""),"")&amp;IF(NOT(ISNUMBER(E327)),"Duración vacía o en texto; ","")&amp;IF(NOT(ISNUMBER(G327)),"Valor vacío o en texto; ","")&amp;IF(ISNUMBER(M327),IF(M327&lt;1000000,"Valor inferior a $1.000.000: verificar; ",""),"Valor no interpretable; ")&amp;IF(N327="[PENDIENTE DE VERIFICAR]","Modalidad no identificable; ","")&amp;IF(OR(ISERROR(SEARCH("@itc.edu.co",J327)),SUMPRODUCT(--ISNUMBER(SEARCH({"á","é","í","ó","ú","ñ"},J327)))&gt;0),"Correo vacío o no institucional válido; ","")&amp;IF(LEN(TRIM(D327))=0,"Sin objeto contractual; ","")&amp;IF(AND(ISNUMBER(M327),N327="Mínima cuantía"),IF(M327&gt;39850000,"Mínima cuantía con valor superior al tope citado en el instructivo 2026 ($39.850.000): verificar modalidad; ",""),"")&amp;IF(AND(ISNUMBER(M327),OR(ISNUMBER(SEARCH("prestación de servicios",D327)),ISNUMBER(SEARCH("prestar servicios",D327)),ISNUMBER(SEARCH("prestar los servicios",D327)))),IF(M327&gt;=500000000,"Prestación de servicios por $500 millones o más: posible error de digitación; ",""),""))=0,"Sin observaciones",IF(OR(NOT(ISNUMBER(B327)),LEN(B327)&lt;&gt;8),"UNSPSC vacío, en texto, con varios códigos o sin 8 dígitos; ","")&amp;IF(AND(ISNUMBER(B327),LEN(B327)=8),IF(MOD(B327,10000)=0,"UNSPSC a nivel de segmento o familia; ",""),"")&amp;IF(NOT(ISNUMBER(E327)),"Duración vacía o en texto; ","")&amp;IF(NOT(ISNUMBER(G327)),"Valor vacío o en texto; ","")&amp;IF(ISNUMBER(M327),IF(M327&lt;1000000,"Valor inferior a $1.000.000: verificar; ",""),"Valor no interpretable; ")&amp;IF(N327="[PENDIENTE DE VERIFICAR]","Modalidad no identificable; ","")&amp;IF(OR(ISERROR(SEARCH("@itc.edu.co",J327)),SUMPRODUCT(--ISNUMBER(SEARCH({"á","é","í","ó","ú","ñ"},J327)))&gt;0),"Correo vacío o no institucional válido; ","")&amp;IF(LEN(TRIM(D327))=0,"Sin objeto contractual; ","")&amp;IF(AND(ISNUMBER(M327),N327="Mínima cuantía"),IF(M327&gt;39850000,"Mínima cuantía con valor superior al tope citado en el instructivo 2026 ($39.850.000): verificar modalidad; ",""),"")&amp;IF(AND(ISNUMBER(M327),OR(ISNUMBER(SEARCH("prestación de servicios",D327)),ISNUMBER(SEARCH("prestar servicios",D327)),ISNUMBER(SEARCH("prestar los servicios",D327)))),IF(M327&gt;=500000000,"Prestación de servicios por $500 millones o más: posible error de digitación; ",""),""))</f>
        <v xml:space="preserve">Duración vacía o en texto; Valor vacío o en texto; </v>
      </c>
    </row>
    <row r="328" spans="1:15" ht="34.200000000000003" x14ac:dyDescent="0.3">
      <c r="A328" s="15" t="s">
        <v>1596</v>
      </c>
      <c r="B328" s="15">
        <v>24131503</v>
      </c>
      <c r="C328" s="15" t="s">
        <v>1593</v>
      </c>
      <c r="D328" s="15" t="s">
        <v>1597</v>
      </c>
      <c r="E328" s="15" t="s">
        <v>1479</v>
      </c>
      <c r="F328" s="15" t="s">
        <v>1518</v>
      </c>
      <c r="G328" s="29" t="s">
        <v>1346</v>
      </c>
      <c r="H328" s="15" t="s">
        <v>1437</v>
      </c>
      <c r="I328" s="15" t="s">
        <v>1438</v>
      </c>
      <c r="J328" s="15" t="s">
        <v>1439</v>
      </c>
      <c r="K328" s="15"/>
      <c r="L328" s="30" t="s">
        <v>1440</v>
      </c>
      <c r="M328" s="31">
        <v>25000000</v>
      </c>
      <c r="N328" s="30" t="s">
        <v>1111</v>
      </c>
      <c r="O328" s="30" t="str">
        <f>IF(LEN(IF(OR(NOT(ISNUMBER(B328)),LEN(B328)&lt;&gt;8),"UNSPSC vacío, en texto, con varios códigos o sin 8 dígitos; ","")&amp;IF(AND(ISNUMBER(B328),LEN(B328)=8),IF(MOD(B328,10000)=0,"UNSPSC a nivel de segmento o familia; ",""),"")&amp;IF(NOT(ISNUMBER(E328)),"Duración vacía o en texto; ","")&amp;IF(NOT(ISNUMBER(G328)),"Valor vacío o en texto; ","")&amp;IF(ISNUMBER(M328),IF(M328&lt;1000000,"Valor inferior a $1.000.000: verificar; ",""),"Valor no interpretable; ")&amp;IF(N328="[PENDIENTE DE VERIFICAR]","Modalidad no identificable; ","")&amp;IF(OR(ISERROR(SEARCH("@itc.edu.co",J328)),SUMPRODUCT(--ISNUMBER(SEARCH({"á","é","í","ó","ú","ñ"},J328)))&gt;0),"Correo vacío o no institucional válido; ","")&amp;IF(LEN(TRIM(D328))=0,"Sin objeto contractual; ","")&amp;IF(AND(ISNUMBER(M328),N328="Mínima cuantía"),IF(M328&gt;39850000,"Mínima cuantía con valor superior al tope citado en el instructivo 2026 ($39.850.000): verificar modalidad; ",""),"")&amp;IF(AND(ISNUMBER(M328),OR(ISNUMBER(SEARCH("prestación de servicios",D328)),ISNUMBER(SEARCH("prestar servicios",D328)),ISNUMBER(SEARCH("prestar los servicios",D328)))),IF(M328&gt;=500000000,"Prestación de servicios por $500 millones o más: posible error de digitación; ",""),""))=0,"Sin observaciones",IF(OR(NOT(ISNUMBER(B328)),LEN(B328)&lt;&gt;8),"UNSPSC vacío, en texto, con varios códigos o sin 8 dígitos; ","")&amp;IF(AND(ISNUMBER(B328),LEN(B328)=8),IF(MOD(B328,10000)=0,"UNSPSC a nivel de segmento o familia; ",""),"")&amp;IF(NOT(ISNUMBER(E328)),"Duración vacía o en texto; ","")&amp;IF(NOT(ISNUMBER(G328)),"Valor vacío o en texto; ","")&amp;IF(ISNUMBER(M328),IF(M328&lt;1000000,"Valor inferior a $1.000.000: verificar; ",""),"Valor no interpretable; ")&amp;IF(N328="[PENDIENTE DE VERIFICAR]","Modalidad no identificable; ","")&amp;IF(OR(ISERROR(SEARCH("@itc.edu.co",J328)),SUMPRODUCT(--ISNUMBER(SEARCH({"á","é","í","ó","ú","ñ"},J328)))&gt;0),"Correo vacío o no institucional válido; ","")&amp;IF(LEN(TRIM(D328))=0,"Sin objeto contractual; ","")&amp;IF(AND(ISNUMBER(M328),N328="Mínima cuantía"),IF(M328&gt;39850000,"Mínima cuantía con valor superior al tope citado en el instructivo 2026 ($39.850.000): verificar modalidad; ",""),"")&amp;IF(AND(ISNUMBER(M328),OR(ISNUMBER(SEARCH("prestación de servicios",D328)),ISNUMBER(SEARCH("prestar servicios",D328)),ISNUMBER(SEARCH("prestar los servicios",D328)))),IF(M328&gt;=500000000,"Prestación de servicios por $500 millones o más: posible error de digitación; ",""),""))</f>
        <v xml:space="preserve">Duración vacía o en texto; Valor vacío o en texto; </v>
      </c>
    </row>
    <row r="329" spans="1:15" ht="34.200000000000003" x14ac:dyDescent="0.3">
      <c r="A329" s="15" t="s">
        <v>569</v>
      </c>
      <c r="B329" s="15">
        <v>42191914</v>
      </c>
      <c r="C329" s="15" t="s">
        <v>1593</v>
      </c>
      <c r="D329" s="15" t="s">
        <v>568</v>
      </c>
      <c r="E329" s="15" t="s">
        <v>1487</v>
      </c>
      <c r="F329" s="15" t="s">
        <v>1518</v>
      </c>
      <c r="G329" s="29" t="s">
        <v>1343</v>
      </c>
      <c r="H329" s="15" t="s">
        <v>1437</v>
      </c>
      <c r="I329" s="15" t="s">
        <v>1438</v>
      </c>
      <c r="J329" s="15" t="s">
        <v>1439</v>
      </c>
      <c r="K329" s="15"/>
      <c r="L329" s="30" t="s">
        <v>1440</v>
      </c>
      <c r="M329" s="31">
        <v>10000000</v>
      </c>
      <c r="N329" s="30" t="s">
        <v>1111</v>
      </c>
      <c r="O329" s="30" t="str">
        <f>IF(LEN(IF(OR(NOT(ISNUMBER(B329)),LEN(B329)&lt;&gt;8),"UNSPSC vacío, en texto, con varios códigos o sin 8 dígitos; ","")&amp;IF(AND(ISNUMBER(B329),LEN(B329)=8),IF(MOD(B329,10000)=0,"UNSPSC a nivel de segmento o familia; ",""),"")&amp;IF(NOT(ISNUMBER(E329)),"Duración vacía o en texto; ","")&amp;IF(NOT(ISNUMBER(G329)),"Valor vacío o en texto; ","")&amp;IF(ISNUMBER(M329),IF(M329&lt;1000000,"Valor inferior a $1.000.000: verificar; ",""),"Valor no interpretable; ")&amp;IF(N329="[PENDIENTE DE VERIFICAR]","Modalidad no identificable; ","")&amp;IF(OR(ISERROR(SEARCH("@itc.edu.co",J329)),SUMPRODUCT(--ISNUMBER(SEARCH({"á","é","í","ó","ú","ñ"},J329)))&gt;0),"Correo vacío o no institucional válido; ","")&amp;IF(LEN(TRIM(D329))=0,"Sin objeto contractual; ","")&amp;IF(AND(ISNUMBER(M329),N329="Mínima cuantía"),IF(M329&gt;39850000,"Mínima cuantía con valor superior al tope citado en el instructivo 2026 ($39.850.000): verificar modalidad; ",""),"")&amp;IF(AND(ISNUMBER(M329),OR(ISNUMBER(SEARCH("prestación de servicios",D329)),ISNUMBER(SEARCH("prestar servicios",D329)),ISNUMBER(SEARCH("prestar los servicios",D329)))),IF(M329&gt;=500000000,"Prestación de servicios por $500 millones o más: posible error de digitación; ",""),""))=0,"Sin observaciones",IF(OR(NOT(ISNUMBER(B329)),LEN(B329)&lt;&gt;8),"UNSPSC vacío, en texto, con varios códigos o sin 8 dígitos; ","")&amp;IF(AND(ISNUMBER(B329),LEN(B329)=8),IF(MOD(B329,10000)=0,"UNSPSC a nivel de segmento o familia; ",""),"")&amp;IF(NOT(ISNUMBER(E329)),"Duración vacía o en texto; ","")&amp;IF(NOT(ISNUMBER(G329)),"Valor vacío o en texto; ","")&amp;IF(ISNUMBER(M329),IF(M329&lt;1000000,"Valor inferior a $1.000.000: verificar; ",""),"Valor no interpretable; ")&amp;IF(N329="[PENDIENTE DE VERIFICAR]","Modalidad no identificable; ","")&amp;IF(OR(ISERROR(SEARCH("@itc.edu.co",J329)),SUMPRODUCT(--ISNUMBER(SEARCH({"á","é","í","ó","ú","ñ"},J329)))&gt;0),"Correo vacío o no institucional válido; ","")&amp;IF(LEN(TRIM(D329))=0,"Sin objeto contractual; ","")&amp;IF(AND(ISNUMBER(M329),N329="Mínima cuantía"),IF(M329&gt;39850000,"Mínima cuantía con valor superior al tope citado en el instructivo 2026 ($39.850.000): verificar modalidad; ",""),"")&amp;IF(AND(ISNUMBER(M329),OR(ISNUMBER(SEARCH("prestación de servicios",D329)),ISNUMBER(SEARCH("prestar servicios",D329)),ISNUMBER(SEARCH("prestar los servicios",D329)))),IF(M329&gt;=500000000,"Prestación de servicios por $500 millones o más: posible error de digitación; ",""),""))</f>
        <v xml:space="preserve">Duración vacía o en texto; Valor vacío o en texto; </v>
      </c>
    </row>
    <row r="330" spans="1:15" ht="34.200000000000003" x14ac:dyDescent="0.3">
      <c r="A330" s="15" t="s">
        <v>1598</v>
      </c>
      <c r="B330" s="15">
        <v>43231512</v>
      </c>
      <c r="C330" s="15" t="s">
        <v>1593</v>
      </c>
      <c r="D330" s="15" t="s">
        <v>1599</v>
      </c>
      <c r="E330" s="15" t="s">
        <v>1487</v>
      </c>
      <c r="F330" s="15" t="s">
        <v>1470</v>
      </c>
      <c r="G330" s="29" t="s">
        <v>1138</v>
      </c>
      <c r="H330" s="15" t="s">
        <v>1437</v>
      </c>
      <c r="I330" s="15" t="s">
        <v>1438</v>
      </c>
      <c r="J330" s="15" t="s">
        <v>1439</v>
      </c>
      <c r="K330" s="15"/>
      <c r="L330" s="30" t="s">
        <v>1440</v>
      </c>
      <c r="M330" s="31">
        <v>50000000</v>
      </c>
      <c r="N330" s="30" t="s">
        <v>803</v>
      </c>
      <c r="O330" s="30" t="str">
        <f>IF(LEN(IF(OR(NOT(ISNUMBER(B330)),LEN(B330)&lt;&gt;8),"UNSPSC vacío, en texto, con varios códigos o sin 8 dígitos; ","")&amp;IF(AND(ISNUMBER(B330),LEN(B330)=8),IF(MOD(B330,10000)=0,"UNSPSC a nivel de segmento o familia; ",""),"")&amp;IF(NOT(ISNUMBER(E330)),"Duración vacía o en texto; ","")&amp;IF(NOT(ISNUMBER(G330)),"Valor vacío o en texto; ","")&amp;IF(ISNUMBER(M330),IF(M330&lt;1000000,"Valor inferior a $1.000.000: verificar; ",""),"Valor no interpretable; ")&amp;IF(N330="[PENDIENTE DE VERIFICAR]","Modalidad no identificable; ","")&amp;IF(OR(ISERROR(SEARCH("@itc.edu.co",J330)),SUMPRODUCT(--ISNUMBER(SEARCH({"á","é","í","ó","ú","ñ"},J330)))&gt;0),"Correo vacío o no institucional válido; ","")&amp;IF(LEN(TRIM(D330))=0,"Sin objeto contractual; ","")&amp;IF(AND(ISNUMBER(M330),N330="Mínima cuantía"),IF(M330&gt;39850000,"Mínima cuantía con valor superior al tope citado en el instructivo 2026 ($39.850.000): verificar modalidad; ",""),"")&amp;IF(AND(ISNUMBER(M330),OR(ISNUMBER(SEARCH("prestación de servicios",D330)),ISNUMBER(SEARCH("prestar servicios",D330)),ISNUMBER(SEARCH("prestar los servicios",D330)))),IF(M330&gt;=500000000,"Prestación de servicios por $500 millones o más: posible error de digitación; ",""),""))=0,"Sin observaciones",IF(OR(NOT(ISNUMBER(B330)),LEN(B330)&lt;&gt;8),"UNSPSC vacío, en texto, con varios códigos o sin 8 dígitos; ","")&amp;IF(AND(ISNUMBER(B330),LEN(B330)=8),IF(MOD(B330,10000)=0,"UNSPSC a nivel de segmento o familia; ",""),"")&amp;IF(NOT(ISNUMBER(E330)),"Duración vacía o en texto; ","")&amp;IF(NOT(ISNUMBER(G330)),"Valor vacío o en texto; ","")&amp;IF(ISNUMBER(M330),IF(M330&lt;1000000,"Valor inferior a $1.000.000: verificar; ",""),"Valor no interpretable; ")&amp;IF(N330="[PENDIENTE DE VERIFICAR]","Modalidad no identificable; ","")&amp;IF(OR(ISERROR(SEARCH("@itc.edu.co",J330)),SUMPRODUCT(--ISNUMBER(SEARCH({"á","é","í","ó","ú","ñ"},J330)))&gt;0),"Correo vacío o no institucional válido; ","")&amp;IF(LEN(TRIM(D330))=0,"Sin objeto contractual; ","")&amp;IF(AND(ISNUMBER(M330),N330="Mínima cuantía"),IF(M330&gt;39850000,"Mínima cuantía con valor superior al tope citado en el instructivo 2026 ($39.850.000): verificar modalidad; ",""),"")&amp;IF(AND(ISNUMBER(M330),OR(ISNUMBER(SEARCH("prestación de servicios",D330)),ISNUMBER(SEARCH("prestar servicios",D330)),ISNUMBER(SEARCH("prestar los servicios",D330)))),IF(M330&gt;=500000000,"Prestación de servicios por $500 millones o más: posible error de digitación; ",""),""))</f>
        <v xml:space="preserve">Duración vacía o en texto; Valor vacío o en texto; </v>
      </c>
    </row>
    <row r="331" spans="1:15" ht="34.200000000000003" x14ac:dyDescent="0.3">
      <c r="A331" s="15" t="s">
        <v>485</v>
      </c>
      <c r="B331" s="15">
        <v>20102008</v>
      </c>
      <c r="C331" s="15" t="s">
        <v>1593</v>
      </c>
      <c r="D331" s="15" t="s">
        <v>484</v>
      </c>
      <c r="E331" s="15" t="s">
        <v>1600</v>
      </c>
      <c r="F331" s="15" t="s">
        <v>1518</v>
      </c>
      <c r="G331" s="29" t="s">
        <v>1180</v>
      </c>
      <c r="H331" s="15" t="s">
        <v>1437</v>
      </c>
      <c r="I331" s="15" t="s">
        <v>1438</v>
      </c>
      <c r="J331" s="15" t="s">
        <v>1439</v>
      </c>
      <c r="K331" s="15"/>
      <c r="L331" s="30" t="s">
        <v>1440</v>
      </c>
      <c r="M331" s="31">
        <v>20000000</v>
      </c>
      <c r="N331" s="30" t="s">
        <v>1111</v>
      </c>
      <c r="O331" s="30" t="str">
        <f>IF(LEN(IF(OR(NOT(ISNUMBER(B331)),LEN(B331)&lt;&gt;8),"UNSPSC vacío, en texto, con varios códigos o sin 8 dígitos; ","")&amp;IF(AND(ISNUMBER(B331),LEN(B331)=8),IF(MOD(B331,10000)=0,"UNSPSC a nivel de segmento o familia; ",""),"")&amp;IF(NOT(ISNUMBER(E331)),"Duración vacía o en texto; ","")&amp;IF(NOT(ISNUMBER(G331)),"Valor vacío o en texto; ","")&amp;IF(ISNUMBER(M331),IF(M331&lt;1000000,"Valor inferior a $1.000.000: verificar; ",""),"Valor no interpretable; ")&amp;IF(N331="[PENDIENTE DE VERIFICAR]","Modalidad no identificable; ","")&amp;IF(OR(ISERROR(SEARCH("@itc.edu.co",J331)),SUMPRODUCT(--ISNUMBER(SEARCH({"á","é","í","ó","ú","ñ"},J331)))&gt;0),"Correo vacío o no institucional válido; ","")&amp;IF(LEN(TRIM(D331))=0,"Sin objeto contractual; ","")&amp;IF(AND(ISNUMBER(M331),N331="Mínima cuantía"),IF(M331&gt;39850000,"Mínima cuantía con valor superior al tope citado en el instructivo 2026 ($39.850.000): verificar modalidad; ",""),"")&amp;IF(AND(ISNUMBER(M331),OR(ISNUMBER(SEARCH("prestación de servicios",D331)),ISNUMBER(SEARCH("prestar servicios",D331)),ISNUMBER(SEARCH("prestar los servicios",D331)))),IF(M331&gt;=500000000,"Prestación de servicios por $500 millones o más: posible error de digitación; ",""),""))=0,"Sin observaciones",IF(OR(NOT(ISNUMBER(B331)),LEN(B331)&lt;&gt;8),"UNSPSC vacío, en texto, con varios códigos o sin 8 dígitos; ","")&amp;IF(AND(ISNUMBER(B331),LEN(B331)=8),IF(MOD(B331,10000)=0,"UNSPSC a nivel de segmento o familia; ",""),"")&amp;IF(NOT(ISNUMBER(E331)),"Duración vacía o en texto; ","")&amp;IF(NOT(ISNUMBER(G331)),"Valor vacío o en texto; ","")&amp;IF(ISNUMBER(M331),IF(M331&lt;1000000,"Valor inferior a $1.000.000: verificar; ",""),"Valor no interpretable; ")&amp;IF(N331="[PENDIENTE DE VERIFICAR]","Modalidad no identificable; ","")&amp;IF(OR(ISERROR(SEARCH("@itc.edu.co",J331)),SUMPRODUCT(--ISNUMBER(SEARCH({"á","é","í","ó","ú","ñ"},J331)))&gt;0),"Correo vacío o no institucional válido; ","")&amp;IF(LEN(TRIM(D331))=0,"Sin objeto contractual; ","")&amp;IF(AND(ISNUMBER(M331),N331="Mínima cuantía"),IF(M331&gt;39850000,"Mínima cuantía con valor superior al tope citado en el instructivo 2026 ($39.850.000): verificar modalidad; ",""),"")&amp;IF(AND(ISNUMBER(M331),OR(ISNUMBER(SEARCH("prestación de servicios",D331)),ISNUMBER(SEARCH("prestar servicios",D331)),ISNUMBER(SEARCH("prestar los servicios",D331)))),IF(M331&gt;=500000000,"Prestación de servicios por $500 millones o más: posible error de digitación; ",""),""))</f>
        <v xml:space="preserve">Duración vacía o en texto; Valor vacío o en texto; </v>
      </c>
    </row>
    <row r="332" spans="1:15" ht="148.19999999999999" x14ac:dyDescent="0.3">
      <c r="A332" s="15" t="s">
        <v>498</v>
      </c>
      <c r="B332" s="15">
        <v>23242300</v>
      </c>
      <c r="C332" s="15" t="s">
        <v>1601</v>
      </c>
      <c r="D332" s="15" t="s">
        <v>1602</v>
      </c>
      <c r="E332" s="15" t="s">
        <v>1603</v>
      </c>
      <c r="F332" s="15" t="s">
        <v>1518</v>
      </c>
      <c r="G332" s="29" t="s">
        <v>1604</v>
      </c>
      <c r="H332" s="15" t="s">
        <v>1437</v>
      </c>
      <c r="I332" s="15" t="s">
        <v>1438</v>
      </c>
      <c r="J332" s="15" t="s">
        <v>1439</v>
      </c>
      <c r="K332" s="15"/>
      <c r="L332" s="30" t="s">
        <v>1440</v>
      </c>
      <c r="M332" s="31">
        <v>180000000</v>
      </c>
      <c r="N332" s="30" t="s">
        <v>1111</v>
      </c>
      <c r="O332" s="30" t="str">
        <f>IF(LEN(IF(OR(NOT(ISNUMBER(B332)),LEN(B332)&lt;&gt;8),"UNSPSC vacío, en texto, con varios códigos o sin 8 dígitos; ","")&amp;IF(AND(ISNUMBER(B332),LEN(B332)=8),IF(MOD(B332,10000)=0,"UNSPSC a nivel de segmento o familia; ",""),"")&amp;IF(NOT(ISNUMBER(E332)),"Duración vacía o en texto; ","")&amp;IF(NOT(ISNUMBER(G332)),"Valor vacío o en texto; ","")&amp;IF(ISNUMBER(M332),IF(M332&lt;1000000,"Valor inferior a $1.000.000: verificar; ",""),"Valor no interpretable; ")&amp;IF(N332="[PENDIENTE DE VERIFICAR]","Modalidad no identificable; ","")&amp;IF(OR(ISERROR(SEARCH("@itc.edu.co",J332)),SUMPRODUCT(--ISNUMBER(SEARCH({"á","é","í","ó","ú","ñ"},J332)))&gt;0),"Correo vacío o no institucional válido; ","")&amp;IF(LEN(TRIM(D332))=0,"Sin objeto contractual; ","")&amp;IF(AND(ISNUMBER(M332),N332="Mínima cuantía"),IF(M332&gt;39850000,"Mínima cuantía con valor superior al tope citado en el instructivo 2026 ($39.850.000): verificar modalidad; ",""),"")&amp;IF(AND(ISNUMBER(M332),OR(ISNUMBER(SEARCH("prestación de servicios",D332)),ISNUMBER(SEARCH("prestar servicios",D332)),ISNUMBER(SEARCH("prestar los servicios",D332)))),IF(M332&gt;=500000000,"Prestación de servicios por $500 millones o más: posible error de digitación; ",""),""))=0,"Sin observaciones",IF(OR(NOT(ISNUMBER(B332)),LEN(B332)&lt;&gt;8),"UNSPSC vacío, en texto, con varios códigos o sin 8 dígitos; ","")&amp;IF(AND(ISNUMBER(B332),LEN(B332)=8),IF(MOD(B332,10000)=0,"UNSPSC a nivel de segmento o familia; ",""),"")&amp;IF(NOT(ISNUMBER(E332)),"Duración vacía o en texto; ","")&amp;IF(NOT(ISNUMBER(G332)),"Valor vacío o en texto; ","")&amp;IF(ISNUMBER(M332),IF(M332&lt;1000000,"Valor inferior a $1.000.000: verificar; ",""),"Valor no interpretable; ")&amp;IF(N332="[PENDIENTE DE VERIFICAR]","Modalidad no identificable; ","")&amp;IF(OR(ISERROR(SEARCH("@itc.edu.co",J332)),SUMPRODUCT(--ISNUMBER(SEARCH({"á","é","í","ó","ú","ñ"},J332)))&gt;0),"Correo vacío o no institucional válido; ","")&amp;IF(LEN(TRIM(D332))=0,"Sin objeto contractual; ","")&amp;IF(AND(ISNUMBER(M332),N332="Mínima cuantía"),IF(M332&gt;39850000,"Mínima cuantía con valor superior al tope citado en el instructivo 2026 ($39.850.000): verificar modalidad; ",""),"")&amp;IF(AND(ISNUMBER(M332),OR(ISNUMBER(SEARCH("prestación de servicios",D332)),ISNUMBER(SEARCH("prestar servicios",D332)),ISNUMBER(SEARCH("prestar los servicios",D332)))),IF(M332&gt;=500000000,"Prestación de servicios por $500 millones o más: posible error de digitación; ",""),""))</f>
        <v xml:space="preserve">Duración vacía o en texto; Valor vacío o en texto; </v>
      </c>
    </row>
    <row r="333" spans="1:15" ht="114" x14ac:dyDescent="0.3">
      <c r="A333" s="15" t="s">
        <v>411</v>
      </c>
      <c r="B333" s="15">
        <v>23241800</v>
      </c>
      <c r="C333" s="15" t="s">
        <v>1601</v>
      </c>
      <c r="D333" s="15" t="s">
        <v>1605</v>
      </c>
      <c r="E333" s="15" t="s">
        <v>1606</v>
      </c>
      <c r="F333" s="15" t="s">
        <v>1518</v>
      </c>
      <c r="G333" s="29" t="s">
        <v>1607</v>
      </c>
      <c r="H333" s="15" t="s">
        <v>1437</v>
      </c>
      <c r="I333" s="15" t="s">
        <v>1438</v>
      </c>
      <c r="J333" s="15" t="s">
        <v>1439</v>
      </c>
      <c r="K333" s="15"/>
      <c r="L333" s="30" t="s">
        <v>1440</v>
      </c>
      <c r="M333" s="31">
        <v>38000000</v>
      </c>
      <c r="N333" s="30" t="s">
        <v>1111</v>
      </c>
      <c r="O333" s="30" t="str">
        <f>IF(LEN(IF(OR(NOT(ISNUMBER(B333)),LEN(B333)&lt;&gt;8),"UNSPSC vacío, en texto, con varios códigos o sin 8 dígitos; ","")&amp;IF(AND(ISNUMBER(B333),LEN(B333)=8),IF(MOD(B333,10000)=0,"UNSPSC a nivel de segmento o familia; ",""),"")&amp;IF(NOT(ISNUMBER(E333)),"Duración vacía o en texto; ","")&amp;IF(NOT(ISNUMBER(G333)),"Valor vacío o en texto; ","")&amp;IF(ISNUMBER(M333),IF(M333&lt;1000000,"Valor inferior a $1.000.000: verificar; ",""),"Valor no interpretable; ")&amp;IF(N333="[PENDIENTE DE VERIFICAR]","Modalidad no identificable; ","")&amp;IF(OR(ISERROR(SEARCH("@itc.edu.co",J333)),SUMPRODUCT(--ISNUMBER(SEARCH({"á","é","í","ó","ú","ñ"},J333)))&gt;0),"Correo vacío o no institucional válido; ","")&amp;IF(LEN(TRIM(D333))=0,"Sin objeto contractual; ","")&amp;IF(AND(ISNUMBER(M333),N333="Mínima cuantía"),IF(M333&gt;39850000,"Mínima cuantía con valor superior al tope citado en el instructivo 2026 ($39.850.000): verificar modalidad; ",""),"")&amp;IF(AND(ISNUMBER(M333),OR(ISNUMBER(SEARCH("prestación de servicios",D333)),ISNUMBER(SEARCH("prestar servicios",D333)),ISNUMBER(SEARCH("prestar los servicios",D333)))),IF(M333&gt;=500000000,"Prestación de servicios por $500 millones o más: posible error de digitación; ",""),""))=0,"Sin observaciones",IF(OR(NOT(ISNUMBER(B333)),LEN(B333)&lt;&gt;8),"UNSPSC vacío, en texto, con varios códigos o sin 8 dígitos; ","")&amp;IF(AND(ISNUMBER(B333),LEN(B333)=8),IF(MOD(B333,10000)=0,"UNSPSC a nivel de segmento o familia; ",""),"")&amp;IF(NOT(ISNUMBER(E333)),"Duración vacía o en texto; ","")&amp;IF(NOT(ISNUMBER(G333)),"Valor vacío o en texto; ","")&amp;IF(ISNUMBER(M333),IF(M333&lt;1000000,"Valor inferior a $1.000.000: verificar; ",""),"Valor no interpretable; ")&amp;IF(N333="[PENDIENTE DE VERIFICAR]","Modalidad no identificable; ","")&amp;IF(OR(ISERROR(SEARCH("@itc.edu.co",J333)),SUMPRODUCT(--ISNUMBER(SEARCH({"á","é","í","ó","ú","ñ"},J333)))&gt;0),"Correo vacío o no institucional válido; ","")&amp;IF(LEN(TRIM(D333))=0,"Sin objeto contractual; ","")&amp;IF(AND(ISNUMBER(M333),N333="Mínima cuantía"),IF(M333&gt;39850000,"Mínima cuantía con valor superior al tope citado en el instructivo 2026 ($39.850.000): verificar modalidad; ",""),"")&amp;IF(AND(ISNUMBER(M333),OR(ISNUMBER(SEARCH("prestación de servicios",D333)),ISNUMBER(SEARCH("prestar servicios",D333)),ISNUMBER(SEARCH("prestar los servicios",D333)))),IF(M333&gt;=500000000,"Prestación de servicios por $500 millones o más: posible error de digitación; ",""),""))</f>
        <v xml:space="preserve">Duración vacía o en texto; Valor vacío o en texto; </v>
      </c>
    </row>
    <row r="334" spans="1:15" ht="102.6" x14ac:dyDescent="0.3">
      <c r="A334" s="15" t="s">
        <v>1608</v>
      </c>
      <c r="B334" s="15">
        <v>72151800</v>
      </c>
      <c r="C334" s="15" t="s">
        <v>1601</v>
      </c>
      <c r="D334" s="15" t="s">
        <v>1609</v>
      </c>
      <c r="E334" s="15" t="s">
        <v>1606</v>
      </c>
      <c r="F334" s="15" t="s">
        <v>1518</v>
      </c>
      <c r="G334" s="29" t="s">
        <v>1610</v>
      </c>
      <c r="H334" s="15" t="s">
        <v>1437</v>
      </c>
      <c r="I334" s="15" t="s">
        <v>1438</v>
      </c>
      <c r="J334" s="15" t="s">
        <v>1439</v>
      </c>
      <c r="K334" s="15"/>
      <c r="L334" s="30" t="s">
        <v>1440</v>
      </c>
      <c r="M334" s="31">
        <v>1000000000</v>
      </c>
      <c r="N334" s="30" t="s">
        <v>1111</v>
      </c>
      <c r="O334" s="30" t="str">
        <f>IF(LEN(IF(OR(NOT(ISNUMBER(B334)),LEN(B334)&lt;&gt;8),"UNSPSC vacío, en texto, con varios códigos o sin 8 dígitos; ","")&amp;IF(AND(ISNUMBER(B334),LEN(B334)=8),IF(MOD(B334,10000)=0,"UNSPSC a nivel de segmento o familia; ",""),"")&amp;IF(NOT(ISNUMBER(E334)),"Duración vacía o en texto; ","")&amp;IF(NOT(ISNUMBER(G334)),"Valor vacío o en texto; ","")&amp;IF(ISNUMBER(M334),IF(M334&lt;1000000,"Valor inferior a $1.000.000: verificar; ",""),"Valor no interpretable; ")&amp;IF(N334="[PENDIENTE DE VERIFICAR]","Modalidad no identificable; ","")&amp;IF(OR(ISERROR(SEARCH("@itc.edu.co",J334)),SUMPRODUCT(--ISNUMBER(SEARCH({"á","é","í","ó","ú","ñ"},J334)))&gt;0),"Correo vacío o no institucional válido; ","")&amp;IF(LEN(TRIM(D334))=0,"Sin objeto contractual; ","")&amp;IF(AND(ISNUMBER(M334),N334="Mínima cuantía"),IF(M334&gt;39850000,"Mínima cuantía con valor superior al tope citado en el instructivo 2026 ($39.850.000): verificar modalidad; ",""),"")&amp;IF(AND(ISNUMBER(M334),OR(ISNUMBER(SEARCH("prestación de servicios",D334)),ISNUMBER(SEARCH("prestar servicios",D334)),ISNUMBER(SEARCH("prestar los servicios",D334)))),IF(M334&gt;=500000000,"Prestación de servicios por $500 millones o más: posible error de digitación; ",""),""))=0,"Sin observaciones",IF(OR(NOT(ISNUMBER(B334)),LEN(B334)&lt;&gt;8),"UNSPSC vacío, en texto, con varios códigos o sin 8 dígitos; ","")&amp;IF(AND(ISNUMBER(B334),LEN(B334)=8),IF(MOD(B334,10000)=0,"UNSPSC a nivel de segmento o familia; ",""),"")&amp;IF(NOT(ISNUMBER(E334)),"Duración vacía o en texto; ","")&amp;IF(NOT(ISNUMBER(G334)),"Valor vacío o en texto; ","")&amp;IF(ISNUMBER(M334),IF(M334&lt;1000000,"Valor inferior a $1.000.000: verificar; ",""),"Valor no interpretable; ")&amp;IF(N334="[PENDIENTE DE VERIFICAR]","Modalidad no identificable; ","")&amp;IF(OR(ISERROR(SEARCH("@itc.edu.co",J334)),SUMPRODUCT(--ISNUMBER(SEARCH({"á","é","í","ó","ú","ñ"},J334)))&gt;0),"Correo vacío o no institucional válido; ","")&amp;IF(LEN(TRIM(D334))=0,"Sin objeto contractual; ","")&amp;IF(AND(ISNUMBER(M334),N334="Mínima cuantía"),IF(M334&gt;39850000,"Mínima cuantía con valor superior al tope citado en el instructivo 2026 ($39.850.000): verificar modalidad; ",""),"")&amp;IF(AND(ISNUMBER(M334),OR(ISNUMBER(SEARCH("prestación de servicios",D334)),ISNUMBER(SEARCH("prestar servicios",D334)),ISNUMBER(SEARCH("prestar los servicios",D334)))),IF(M334&gt;=500000000,"Prestación de servicios por $500 millones o más: posible error de digitación; ",""),""))</f>
        <v xml:space="preserve">Duración vacía o en texto; Valor vacío o en texto; </v>
      </c>
    </row>
    <row r="335" spans="1:15" ht="148.19999999999999" x14ac:dyDescent="0.3">
      <c r="A335" s="15" t="s">
        <v>519</v>
      </c>
      <c r="B335" s="15" t="s">
        <v>1611</v>
      </c>
      <c r="C335" s="15" t="s">
        <v>1601</v>
      </c>
      <c r="D335" s="15" t="s">
        <v>1612</v>
      </c>
      <c r="E335" s="15" t="s">
        <v>1606</v>
      </c>
      <c r="F335" s="15" t="s">
        <v>1518</v>
      </c>
      <c r="G335" s="29" t="s">
        <v>1613</v>
      </c>
      <c r="H335" s="15" t="s">
        <v>1437</v>
      </c>
      <c r="I335" s="15" t="s">
        <v>1438</v>
      </c>
      <c r="J335" s="15" t="s">
        <v>1439</v>
      </c>
      <c r="K335" s="15"/>
      <c r="L335" s="30" t="s">
        <v>1440</v>
      </c>
      <c r="M335" s="31">
        <v>150000000</v>
      </c>
      <c r="N335" s="30" t="s">
        <v>1111</v>
      </c>
      <c r="O335" s="30" t="str">
        <f>IF(LEN(IF(OR(NOT(ISNUMBER(B335)),LEN(B335)&lt;&gt;8),"UNSPSC vacío, en texto, con varios códigos o sin 8 dígitos; ","")&amp;IF(AND(ISNUMBER(B335),LEN(B335)=8),IF(MOD(B335,10000)=0,"UNSPSC a nivel de segmento o familia; ",""),"")&amp;IF(NOT(ISNUMBER(E335)),"Duración vacía o en texto; ","")&amp;IF(NOT(ISNUMBER(G335)),"Valor vacío o en texto; ","")&amp;IF(ISNUMBER(M335),IF(M335&lt;1000000,"Valor inferior a $1.000.000: verificar; ",""),"Valor no interpretable; ")&amp;IF(N335="[PENDIENTE DE VERIFICAR]","Modalidad no identificable; ","")&amp;IF(OR(ISERROR(SEARCH("@itc.edu.co",J335)),SUMPRODUCT(--ISNUMBER(SEARCH({"á","é","í","ó","ú","ñ"},J335)))&gt;0),"Correo vacío o no institucional válido; ","")&amp;IF(LEN(TRIM(D335))=0,"Sin objeto contractual; ","")&amp;IF(AND(ISNUMBER(M335),N335="Mínima cuantía"),IF(M335&gt;39850000,"Mínima cuantía con valor superior al tope citado en el instructivo 2026 ($39.850.000): verificar modalidad; ",""),"")&amp;IF(AND(ISNUMBER(M335),OR(ISNUMBER(SEARCH("prestación de servicios",D335)),ISNUMBER(SEARCH("prestar servicios",D335)),ISNUMBER(SEARCH("prestar los servicios",D335)))),IF(M335&gt;=500000000,"Prestación de servicios por $500 millones o más: posible error de digitación; ",""),""))=0,"Sin observaciones",IF(OR(NOT(ISNUMBER(B335)),LEN(B335)&lt;&gt;8),"UNSPSC vacío, en texto, con varios códigos o sin 8 dígitos; ","")&amp;IF(AND(ISNUMBER(B335),LEN(B335)=8),IF(MOD(B335,10000)=0,"UNSPSC a nivel de segmento o familia; ",""),"")&amp;IF(NOT(ISNUMBER(E335)),"Duración vacía o en texto; ","")&amp;IF(NOT(ISNUMBER(G335)),"Valor vacío o en texto; ","")&amp;IF(ISNUMBER(M335),IF(M335&lt;1000000,"Valor inferior a $1.000.000: verificar; ",""),"Valor no interpretable; ")&amp;IF(N335="[PENDIENTE DE VERIFICAR]","Modalidad no identificable; ","")&amp;IF(OR(ISERROR(SEARCH("@itc.edu.co",J335)),SUMPRODUCT(--ISNUMBER(SEARCH({"á","é","í","ó","ú","ñ"},J335)))&gt;0),"Correo vacío o no institucional válido; ","")&amp;IF(LEN(TRIM(D335))=0,"Sin objeto contractual; ","")&amp;IF(AND(ISNUMBER(M335),N335="Mínima cuantía"),IF(M335&gt;39850000,"Mínima cuantía con valor superior al tope citado en el instructivo 2026 ($39.850.000): verificar modalidad; ",""),"")&amp;IF(AND(ISNUMBER(M335),OR(ISNUMBER(SEARCH("prestación de servicios",D335)),ISNUMBER(SEARCH("prestar servicios",D335)),ISNUMBER(SEARCH("prestar los servicios",D335)))),IF(M335&gt;=500000000,"Prestación de servicios por $500 millones o más: posible error de digitación; ",""),""))</f>
        <v xml:space="preserve">UNSPSC vacío, en texto, con varios códigos o sin 8 dígitos; Duración vacía o en texto; Valor vacío o en texto; </v>
      </c>
    </row>
    <row r="336" spans="1:15" ht="114" x14ac:dyDescent="0.3">
      <c r="A336" s="15" t="s">
        <v>481</v>
      </c>
      <c r="B336" s="15">
        <v>13102000</v>
      </c>
      <c r="C336" s="15" t="s">
        <v>1601</v>
      </c>
      <c r="D336" s="15" t="s">
        <v>1614</v>
      </c>
      <c r="E336" s="15" t="s">
        <v>1606</v>
      </c>
      <c r="F336" s="15" t="s">
        <v>1518</v>
      </c>
      <c r="G336" s="29" t="s">
        <v>1138</v>
      </c>
      <c r="H336" s="15" t="s">
        <v>1437</v>
      </c>
      <c r="I336" s="15" t="s">
        <v>1438</v>
      </c>
      <c r="J336" s="15" t="s">
        <v>1439</v>
      </c>
      <c r="K336" s="15"/>
      <c r="L336" s="30" t="s">
        <v>1440</v>
      </c>
      <c r="M336" s="31">
        <v>50000000</v>
      </c>
      <c r="N336" s="30" t="s">
        <v>1111</v>
      </c>
      <c r="O336" s="30" t="str">
        <f>IF(LEN(IF(OR(NOT(ISNUMBER(B336)),LEN(B336)&lt;&gt;8),"UNSPSC vacío, en texto, con varios códigos o sin 8 dígitos; ","")&amp;IF(AND(ISNUMBER(B336),LEN(B336)=8),IF(MOD(B336,10000)=0,"UNSPSC a nivel de segmento o familia; ",""),"")&amp;IF(NOT(ISNUMBER(E336)),"Duración vacía o en texto; ","")&amp;IF(NOT(ISNUMBER(G336)),"Valor vacío o en texto; ","")&amp;IF(ISNUMBER(M336),IF(M336&lt;1000000,"Valor inferior a $1.000.000: verificar; ",""),"Valor no interpretable; ")&amp;IF(N336="[PENDIENTE DE VERIFICAR]","Modalidad no identificable; ","")&amp;IF(OR(ISERROR(SEARCH("@itc.edu.co",J336)),SUMPRODUCT(--ISNUMBER(SEARCH({"á","é","í","ó","ú","ñ"},J336)))&gt;0),"Correo vacío o no institucional válido; ","")&amp;IF(LEN(TRIM(D336))=0,"Sin objeto contractual; ","")&amp;IF(AND(ISNUMBER(M336),N336="Mínima cuantía"),IF(M336&gt;39850000,"Mínima cuantía con valor superior al tope citado en el instructivo 2026 ($39.850.000): verificar modalidad; ",""),"")&amp;IF(AND(ISNUMBER(M336),OR(ISNUMBER(SEARCH("prestación de servicios",D336)),ISNUMBER(SEARCH("prestar servicios",D336)),ISNUMBER(SEARCH("prestar los servicios",D336)))),IF(M336&gt;=500000000,"Prestación de servicios por $500 millones o más: posible error de digitación; ",""),""))=0,"Sin observaciones",IF(OR(NOT(ISNUMBER(B336)),LEN(B336)&lt;&gt;8),"UNSPSC vacío, en texto, con varios códigos o sin 8 dígitos; ","")&amp;IF(AND(ISNUMBER(B336),LEN(B336)=8),IF(MOD(B336,10000)=0,"UNSPSC a nivel de segmento o familia; ",""),"")&amp;IF(NOT(ISNUMBER(E336)),"Duración vacía o en texto; ","")&amp;IF(NOT(ISNUMBER(G336)),"Valor vacío o en texto; ","")&amp;IF(ISNUMBER(M336),IF(M336&lt;1000000,"Valor inferior a $1.000.000: verificar; ",""),"Valor no interpretable; ")&amp;IF(N336="[PENDIENTE DE VERIFICAR]","Modalidad no identificable; ","")&amp;IF(OR(ISERROR(SEARCH("@itc.edu.co",J336)),SUMPRODUCT(--ISNUMBER(SEARCH({"á","é","í","ó","ú","ñ"},J336)))&gt;0),"Correo vacío o no institucional válido; ","")&amp;IF(LEN(TRIM(D336))=0,"Sin objeto contractual; ","")&amp;IF(AND(ISNUMBER(M336),N336="Mínima cuantía"),IF(M336&gt;39850000,"Mínima cuantía con valor superior al tope citado en el instructivo 2026 ($39.850.000): verificar modalidad; ",""),"")&amp;IF(AND(ISNUMBER(M336),OR(ISNUMBER(SEARCH("prestación de servicios",D336)),ISNUMBER(SEARCH("prestar servicios",D336)),ISNUMBER(SEARCH("prestar los servicios",D336)))),IF(M336&gt;=500000000,"Prestación de servicios por $500 millones o más: posible error de digitación; ",""),""))</f>
        <v xml:space="preserve">Duración vacía o en texto; Valor vacío o en texto; </v>
      </c>
    </row>
    <row r="337" spans="1:15" ht="45.6" x14ac:dyDescent="0.3">
      <c r="A337" s="15" t="s">
        <v>517</v>
      </c>
      <c r="B337" s="15">
        <v>27113500</v>
      </c>
      <c r="C337" s="15" t="s">
        <v>1601</v>
      </c>
      <c r="D337" s="15" t="s">
        <v>1615</v>
      </c>
      <c r="E337" s="15" t="s">
        <v>1606</v>
      </c>
      <c r="F337" s="15" t="s">
        <v>1518</v>
      </c>
      <c r="G337" s="29" t="s">
        <v>1138</v>
      </c>
      <c r="H337" s="15" t="s">
        <v>1437</v>
      </c>
      <c r="I337" s="15" t="s">
        <v>1438</v>
      </c>
      <c r="J337" s="15" t="s">
        <v>1439</v>
      </c>
      <c r="K337" s="15"/>
      <c r="L337" s="30" t="s">
        <v>1440</v>
      </c>
      <c r="M337" s="31">
        <v>50000000</v>
      </c>
      <c r="N337" s="30" t="s">
        <v>1111</v>
      </c>
      <c r="O337" s="30" t="str">
        <f>IF(LEN(IF(OR(NOT(ISNUMBER(B337)),LEN(B337)&lt;&gt;8),"UNSPSC vacío, en texto, con varios códigos o sin 8 dígitos; ","")&amp;IF(AND(ISNUMBER(B337),LEN(B337)=8),IF(MOD(B337,10000)=0,"UNSPSC a nivel de segmento o familia; ",""),"")&amp;IF(NOT(ISNUMBER(E337)),"Duración vacía o en texto; ","")&amp;IF(NOT(ISNUMBER(G337)),"Valor vacío o en texto; ","")&amp;IF(ISNUMBER(M337),IF(M337&lt;1000000,"Valor inferior a $1.000.000: verificar; ",""),"Valor no interpretable; ")&amp;IF(N337="[PENDIENTE DE VERIFICAR]","Modalidad no identificable; ","")&amp;IF(OR(ISERROR(SEARCH("@itc.edu.co",J337)),SUMPRODUCT(--ISNUMBER(SEARCH({"á","é","í","ó","ú","ñ"},J337)))&gt;0),"Correo vacío o no institucional válido; ","")&amp;IF(LEN(TRIM(D337))=0,"Sin objeto contractual; ","")&amp;IF(AND(ISNUMBER(M337),N337="Mínima cuantía"),IF(M337&gt;39850000,"Mínima cuantía con valor superior al tope citado en el instructivo 2026 ($39.850.000): verificar modalidad; ",""),"")&amp;IF(AND(ISNUMBER(M337),OR(ISNUMBER(SEARCH("prestación de servicios",D337)),ISNUMBER(SEARCH("prestar servicios",D337)),ISNUMBER(SEARCH("prestar los servicios",D337)))),IF(M337&gt;=500000000,"Prestación de servicios por $500 millones o más: posible error de digitación; ",""),""))=0,"Sin observaciones",IF(OR(NOT(ISNUMBER(B337)),LEN(B337)&lt;&gt;8),"UNSPSC vacío, en texto, con varios códigos o sin 8 dígitos; ","")&amp;IF(AND(ISNUMBER(B337),LEN(B337)=8),IF(MOD(B337,10000)=0,"UNSPSC a nivel de segmento o familia; ",""),"")&amp;IF(NOT(ISNUMBER(E337)),"Duración vacía o en texto; ","")&amp;IF(NOT(ISNUMBER(G337)),"Valor vacío o en texto; ","")&amp;IF(ISNUMBER(M337),IF(M337&lt;1000000,"Valor inferior a $1.000.000: verificar; ",""),"Valor no interpretable; ")&amp;IF(N337="[PENDIENTE DE VERIFICAR]","Modalidad no identificable; ","")&amp;IF(OR(ISERROR(SEARCH("@itc.edu.co",J337)),SUMPRODUCT(--ISNUMBER(SEARCH({"á","é","í","ó","ú","ñ"},J337)))&gt;0),"Correo vacío o no institucional válido; ","")&amp;IF(LEN(TRIM(D337))=0,"Sin objeto contractual; ","")&amp;IF(AND(ISNUMBER(M337),N337="Mínima cuantía"),IF(M337&gt;39850000,"Mínima cuantía con valor superior al tope citado en el instructivo 2026 ($39.850.000): verificar modalidad; ",""),"")&amp;IF(AND(ISNUMBER(M337),OR(ISNUMBER(SEARCH("prestación de servicios",D337)),ISNUMBER(SEARCH("prestar servicios",D337)),ISNUMBER(SEARCH("prestar los servicios",D337)))),IF(M337&gt;=500000000,"Prestación de servicios por $500 millones o más: posible error de digitación; ",""),""))</f>
        <v xml:space="preserve">Duración vacía o en texto; Valor vacío o en texto; </v>
      </c>
    </row>
    <row r="338" spans="1:15" ht="125.4" x14ac:dyDescent="0.3">
      <c r="A338" s="15" t="s">
        <v>1616</v>
      </c>
      <c r="B338" s="15">
        <v>23241800</v>
      </c>
      <c r="C338" s="15" t="s">
        <v>1617</v>
      </c>
      <c r="D338" s="15" t="s">
        <v>1618</v>
      </c>
      <c r="E338" s="15" t="s">
        <v>1606</v>
      </c>
      <c r="F338" s="15" t="s">
        <v>1518</v>
      </c>
      <c r="G338" s="29" t="s">
        <v>1619</v>
      </c>
      <c r="H338" s="15" t="s">
        <v>1437</v>
      </c>
      <c r="I338" s="15" t="s">
        <v>1438</v>
      </c>
      <c r="J338" s="15" t="s">
        <v>1439</v>
      </c>
      <c r="K338" s="15"/>
      <c r="L338" s="30" t="s">
        <v>1440</v>
      </c>
      <c r="M338" s="31">
        <v>18000000</v>
      </c>
      <c r="N338" s="30" t="s">
        <v>1111</v>
      </c>
      <c r="O338" s="30" t="str">
        <f>IF(LEN(IF(OR(NOT(ISNUMBER(B338)),LEN(B338)&lt;&gt;8),"UNSPSC vacío, en texto, con varios códigos o sin 8 dígitos; ","")&amp;IF(AND(ISNUMBER(B338),LEN(B338)=8),IF(MOD(B338,10000)=0,"UNSPSC a nivel de segmento o familia; ",""),"")&amp;IF(NOT(ISNUMBER(E338)),"Duración vacía o en texto; ","")&amp;IF(NOT(ISNUMBER(G338)),"Valor vacío o en texto; ","")&amp;IF(ISNUMBER(M338),IF(M338&lt;1000000,"Valor inferior a $1.000.000: verificar; ",""),"Valor no interpretable; ")&amp;IF(N338="[PENDIENTE DE VERIFICAR]","Modalidad no identificable; ","")&amp;IF(OR(ISERROR(SEARCH("@itc.edu.co",J338)),SUMPRODUCT(--ISNUMBER(SEARCH({"á","é","í","ó","ú","ñ"},J338)))&gt;0),"Correo vacío o no institucional válido; ","")&amp;IF(LEN(TRIM(D338))=0,"Sin objeto contractual; ","")&amp;IF(AND(ISNUMBER(M338),N338="Mínima cuantía"),IF(M338&gt;39850000,"Mínima cuantía con valor superior al tope citado en el instructivo 2026 ($39.850.000): verificar modalidad; ",""),"")&amp;IF(AND(ISNUMBER(M338),OR(ISNUMBER(SEARCH("prestación de servicios",D338)),ISNUMBER(SEARCH("prestar servicios",D338)),ISNUMBER(SEARCH("prestar los servicios",D338)))),IF(M338&gt;=500000000,"Prestación de servicios por $500 millones o más: posible error de digitación; ",""),""))=0,"Sin observaciones",IF(OR(NOT(ISNUMBER(B338)),LEN(B338)&lt;&gt;8),"UNSPSC vacío, en texto, con varios códigos o sin 8 dígitos; ","")&amp;IF(AND(ISNUMBER(B338),LEN(B338)=8),IF(MOD(B338,10000)=0,"UNSPSC a nivel de segmento o familia; ",""),"")&amp;IF(NOT(ISNUMBER(E338)),"Duración vacía o en texto; ","")&amp;IF(NOT(ISNUMBER(G338)),"Valor vacío o en texto; ","")&amp;IF(ISNUMBER(M338),IF(M338&lt;1000000,"Valor inferior a $1.000.000: verificar; ",""),"Valor no interpretable; ")&amp;IF(N338="[PENDIENTE DE VERIFICAR]","Modalidad no identificable; ","")&amp;IF(OR(ISERROR(SEARCH("@itc.edu.co",J338)),SUMPRODUCT(--ISNUMBER(SEARCH({"á","é","í","ó","ú","ñ"},J338)))&gt;0),"Correo vacío o no institucional válido; ","")&amp;IF(LEN(TRIM(D338))=0,"Sin objeto contractual; ","")&amp;IF(AND(ISNUMBER(M338),N338="Mínima cuantía"),IF(M338&gt;39850000,"Mínima cuantía con valor superior al tope citado en el instructivo 2026 ($39.850.000): verificar modalidad; ",""),"")&amp;IF(AND(ISNUMBER(M338),OR(ISNUMBER(SEARCH("prestación de servicios",D338)),ISNUMBER(SEARCH("prestar servicios",D338)),ISNUMBER(SEARCH("prestar los servicios",D338)))),IF(M338&gt;=500000000,"Prestación de servicios por $500 millones o más: posible error de digitación; ",""),""))</f>
        <v xml:space="preserve">Duración vacía o en texto; Valor vacío o en texto; </v>
      </c>
    </row>
    <row r="339" spans="1:15" ht="125.4" x14ac:dyDescent="0.3">
      <c r="A339" s="15" t="s">
        <v>472</v>
      </c>
      <c r="B339" s="15">
        <v>11172000</v>
      </c>
      <c r="C339" s="15" t="s">
        <v>1617</v>
      </c>
      <c r="D339" s="15" t="s">
        <v>1620</v>
      </c>
      <c r="E339" s="15" t="s">
        <v>1443</v>
      </c>
      <c r="F339" s="15" t="s">
        <v>1621</v>
      </c>
      <c r="G339" s="29" t="s">
        <v>1149</v>
      </c>
      <c r="H339" s="15" t="s">
        <v>1437</v>
      </c>
      <c r="I339" s="15" t="s">
        <v>1438</v>
      </c>
      <c r="J339" s="15" t="s">
        <v>1439</v>
      </c>
      <c r="K339" s="15"/>
      <c r="L339" s="30" t="s">
        <v>1440</v>
      </c>
      <c r="M339" s="31">
        <v>30000000</v>
      </c>
      <c r="N339" s="30" t="s">
        <v>792</v>
      </c>
      <c r="O339" s="30" t="str">
        <f>IF(LEN(IF(OR(NOT(ISNUMBER(B339)),LEN(B339)&lt;&gt;8),"UNSPSC vacío, en texto, con varios códigos o sin 8 dígitos; ","")&amp;IF(AND(ISNUMBER(B339),LEN(B339)=8),IF(MOD(B339,10000)=0,"UNSPSC a nivel de segmento o familia; ",""),"")&amp;IF(NOT(ISNUMBER(E339)),"Duración vacía o en texto; ","")&amp;IF(NOT(ISNUMBER(G339)),"Valor vacío o en texto; ","")&amp;IF(ISNUMBER(M339),IF(M339&lt;1000000,"Valor inferior a $1.000.000: verificar; ",""),"Valor no interpretable; ")&amp;IF(N339="[PENDIENTE DE VERIFICAR]","Modalidad no identificable; ","")&amp;IF(OR(ISERROR(SEARCH("@itc.edu.co",J339)),SUMPRODUCT(--ISNUMBER(SEARCH({"á","é","í","ó","ú","ñ"},J339)))&gt;0),"Correo vacío o no institucional válido; ","")&amp;IF(LEN(TRIM(D339))=0,"Sin objeto contractual; ","")&amp;IF(AND(ISNUMBER(M339),N339="Mínima cuantía"),IF(M339&gt;39850000,"Mínima cuantía con valor superior al tope citado en el instructivo 2026 ($39.850.000): verificar modalidad; ",""),"")&amp;IF(AND(ISNUMBER(M339),OR(ISNUMBER(SEARCH("prestación de servicios",D339)),ISNUMBER(SEARCH("prestar servicios",D339)),ISNUMBER(SEARCH("prestar los servicios",D339)))),IF(M339&gt;=500000000,"Prestación de servicios por $500 millones o más: posible error de digitación; ",""),""))=0,"Sin observaciones",IF(OR(NOT(ISNUMBER(B339)),LEN(B339)&lt;&gt;8),"UNSPSC vacío, en texto, con varios códigos o sin 8 dígitos; ","")&amp;IF(AND(ISNUMBER(B339),LEN(B339)=8),IF(MOD(B339,10000)=0,"UNSPSC a nivel de segmento o familia; ",""),"")&amp;IF(NOT(ISNUMBER(E339)),"Duración vacía o en texto; ","")&amp;IF(NOT(ISNUMBER(G339)),"Valor vacío o en texto; ","")&amp;IF(ISNUMBER(M339),IF(M339&lt;1000000,"Valor inferior a $1.000.000: verificar; ",""),"Valor no interpretable; ")&amp;IF(N339="[PENDIENTE DE VERIFICAR]","Modalidad no identificable; ","")&amp;IF(OR(ISERROR(SEARCH("@itc.edu.co",J339)),SUMPRODUCT(--ISNUMBER(SEARCH({"á","é","í","ó","ú","ñ"},J339)))&gt;0),"Correo vacío o no institucional válido; ","")&amp;IF(LEN(TRIM(D339))=0,"Sin objeto contractual; ","")&amp;IF(AND(ISNUMBER(M339),N339="Mínima cuantía"),IF(M339&gt;39850000,"Mínima cuantía con valor superior al tope citado en el instructivo 2026 ($39.850.000): verificar modalidad; ",""),"")&amp;IF(AND(ISNUMBER(M339),OR(ISNUMBER(SEARCH("prestación de servicios",D339)),ISNUMBER(SEARCH("prestar servicios",D339)),ISNUMBER(SEARCH("prestar los servicios",D339)))),IF(M339&gt;=500000000,"Prestación de servicios por $500 millones o más: posible error de digitación; ",""),""))</f>
        <v xml:space="preserve">Duración vacía o en texto; Valor vacío o en texto; </v>
      </c>
    </row>
    <row r="340" spans="1:15" ht="34.200000000000003" x14ac:dyDescent="0.3">
      <c r="A340" s="15" t="s">
        <v>496</v>
      </c>
      <c r="B340" s="15">
        <v>23161600</v>
      </c>
      <c r="C340" s="15" t="s">
        <v>1617</v>
      </c>
      <c r="D340" s="15" t="s">
        <v>1622</v>
      </c>
      <c r="E340" s="15" t="s">
        <v>1527</v>
      </c>
      <c r="F340" s="15" t="s">
        <v>1621</v>
      </c>
      <c r="G340" s="29" t="s">
        <v>1623</v>
      </c>
      <c r="H340" s="15" t="s">
        <v>1437</v>
      </c>
      <c r="I340" s="15" t="s">
        <v>1438</v>
      </c>
      <c r="J340" s="15" t="s">
        <v>1439</v>
      </c>
      <c r="K340" s="15"/>
      <c r="L340" s="30" t="s">
        <v>1440</v>
      </c>
      <c r="M340" s="31">
        <v>1000000</v>
      </c>
      <c r="N340" s="30" t="s">
        <v>792</v>
      </c>
      <c r="O340" s="30" t="str">
        <f>IF(LEN(IF(OR(NOT(ISNUMBER(B340)),LEN(B340)&lt;&gt;8),"UNSPSC vacío, en texto, con varios códigos o sin 8 dígitos; ","")&amp;IF(AND(ISNUMBER(B340),LEN(B340)=8),IF(MOD(B340,10000)=0,"UNSPSC a nivel de segmento o familia; ",""),"")&amp;IF(NOT(ISNUMBER(E340)),"Duración vacía o en texto; ","")&amp;IF(NOT(ISNUMBER(G340)),"Valor vacío o en texto; ","")&amp;IF(ISNUMBER(M340),IF(M340&lt;1000000,"Valor inferior a $1.000.000: verificar; ",""),"Valor no interpretable; ")&amp;IF(N340="[PENDIENTE DE VERIFICAR]","Modalidad no identificable; ","")&amp;IF(OR(ISERROR(SEARCH("@itc.edu.co",J340)),SUMPRODUCT(--ISNUMBER(SEARCH({"á","é","í","ó","ú","ñ"},J340)))&gt;0),"Correo vacío o no institucional válido; ","")&amp;IF(LEN(TRIM(D340))=0,"Sin objeto contractual; ","")&amp;IF(AND(ISNUMBER(M340),N340="Mínima cuantía"),IF(M340&gt;39850000,"Mínima cuantía con valor superior al tope citado en el instructivo 2026 ($39.850.000): verificar modalidad; ",""),"")&amp;IF(AND(ISNUMBER(M340),OR(ISNUMBER(SEARCH("prestación de servicios",D340)),ISNUMBER(SEARCH("prestar servicios",D340)),ISNUMBER(SEARCH("prestar los servicios",D340)))),IF(M340&gt;=500000000,"Prestación de servicios por $500 millones o más: posible error de digitación; ",""),""))=0,"Sin observaciones",IF(OR(NOT(ISNUMBER(B340)),LEN(B340)&lt;&gt;8),"UNSPSC vacío, en texto, con varios códigos o sin 8 dígitos; ","")&amp;IF(AND(ISNUMBER(B340),LEN(B340)=8),IF(MOD(B340,10000)=0,"UNSPSC a nivel de segmento o familia; ",""),"")&amp;IF(NOT(ISNUMBER(E340)),"Duración vacía o en texto; ","")&amp;IF(NOT(ISNUMBER(G340)),"Valor vacío o en texto; ","")&amp;IF(ISNUMBER(M340),IF(M340&lt;1000000,"Valor inferior a $1.000.000: verificar; ",""),"Valor no interpretable; ")&amp;IF(N340="[PENDIENTE DE VERIFICAR]","Modalidad no identificable; ","")&amp;IF(OR(ISERROR(SEARCH("@itc.edu.co",J340)),SUMPRODUCT(--ISNUMBER(SEARCH({"á","é","í","ó","ú","ñ"},J340)))&gt;0),"Correo vacío o no institucional válido; ","")&amp;IF(LEN(TRIM(D340))=0,"Sin objeto contractual; ","")&amp;IF(AND(ISNUMBER(M340),N340="Mínima cuantía"),IF(M340&gt;39850000,"Mínima cuantía con valor superior al tope citado en el instructivo 2026 ($39.850.000): verificar modalidad; ",""),"")&amp;IF(AND(ISNUMBER(M340),OR(ISNUMBER(SEARCH("prestación de servicios",D340)),ISNUMBER(SEARCH("prestar servicios",D340)),ISNUMBER(SEARCH("prestar los servicios",D340)))),IF(M340&gt;=500000000,"Prestación de servicios por $500 millones o más: posible error de digitación; ",""),""))</f>
        <v xml:space="preserve">Duración vacía o en texto; Valor vacío o en texto; </v>
      </c>
    </row>
    <row r="341" spans="1:15" ht="68.400000000000006" x14ac:dyDescent="0.3">
      <c r="A341" s="15" t="s">
        <v>479</v>
      </c>
      <c r="B341" s="15">
        <v>12352300</v>
      </c>
      <c r="C341" s="15" t="s">
        <v>1617</v>
      </c>
      <c r="D341" s="15" t="s">
        <v>1624</v>
      </c>
      <c r="E341" s="15" t="s">
        <v>1625</v>
      </c>
      <c r="F341" s="15" t="s">
        <v>1621</v>
      </c>
      <c r="G341" s="29" t="s">
        <v>1623</v>
      </c>
      <c r="H341" s="15" t="s">
        <v>1437</v>
      </c>
      <c r="I341" s="15" t="s">
        <v>1438</v>
      </c>
      <c r="J341" s="15" t="s">
        <v>1439</v>
      </c>
      <c r="K341" s="15"/>
      <c r="L341" s="30" t="s">
        <v>1440</v>
      </c>
      <c r="M341" s="31">
        <v>1000000</v>
      </c>
      <c r="N341" s="30" t="s">
        <v>792</v>
      </c>
      <c r="O341" s="30" t="str">
        <f>IF(LEN(IF(OR(NOT(ISNUMBER(B341)),LEN(B341)&lt;&gt;8),"UNSPSC vacío, en texto, con varios códigos o sin 8 dígitos; ","")&amp;IF(AND(ISNUMBER(B341),LEN(B341)=8),IF(MOD(B341,10000)=0,"UNSPSC a nivel de segmento o familia; ",""),"")&amp;IF(NOT(ISNUMBER(E341)),"Duración vacía o en texto; ","")&amp;IF(NOT(ISNUMBER(G341)),"Valor vacío o en texto; ","")&amp;IF(ISNUMBER(M341),IF(M341&lt;1000000,"Valor inferior a $1.000.000: verificar; ",""),"Valor no interpretable; ")&amp;IF(N341="[PENDIENTE DE VERIFICAR]","Modalidad no identificable; ","")&amp;IF(OR(ISERROR(SEARCH("@itc.edu.co",J341)),SUMPRODUCT(--ISNUMBER(SEARCH({"á","é","í","ó","ú","ñ"},J341)))&gt;0),"Correo vacío o no institucional válido; ","")&amp;IF(LEN(TRIM(D341))=0,"Sin objeto contractual; ","")&amp;IF(AND(ISNUMBER(M341),N341="Mínima cuantía"),IF(M341&gt;39850000,"Mínima cuantía con valor superior al tope citado en el instructivo 2026 ($39.850.000): verificar modalidad; ",""),"")&amp;IF(AND(ISNUMBER(M341),OR(ISNUMBER(SEARCH("prestación de servicios",D341)),ISNUMBER(SEARCH("prestar servicios",D341)),ISNUMBER(SEARCH("prestar los servicios",D341)))),IF(M341&gt;=500000000,"Prestación de servicios por $500 millones o más: posible error de digitación; ",""),""))=0,"Sin observaciones",IF(OR(NOT(ISNUMBER(B341)),LEN(B341)&lt;&gt;8),"UNSPSC vacío, en texto, con varios códigos o sin 8 dígitos; ","")&amp;IF(AND(ISNUMBER(B341),LEN(B341)=8),IF(MOD(B341,10000)=0,"UNSPSC a nivel de segmento o familia; ",""),"")&amp;IF(NOT(ISNUMBER(E341)),"Duración vacía o en texto; ","")&amp;IF(NOT(ISNUMBER(G341)),"Valor vacío o en texto; ","")&amp;IF(ISNUMBER(M341),IF(M341&lt;1000000,"Valor inferior a $1.000.000: verificar; ",""),"Valor no interpretable; ")&amp;IF(N341="[PENDIENTE DE VERIFICAR]","Modalidad no identificable; ","")&amp;IF(OR(ISERROR(SEARCH("@itc.edu.co",J341)),SUMPRODUCT(--ISNUMBER(SEARCH({"á","é","í","ó","ú","ñ"},J341)))&gt;0),"Correo vacío o no institucional válido; ","")&amp;IF(LEN(TRIM(D341))=0,"Sin objeto contractual; ","")&amp;IF(AND(ISNUMBER(M341),N341="Mínima cuantía"),IF(M341&gt;39850000,"Mínima cuantía con valor superior al tope citado en el instructivo 2026 ($39.850.000): verificar modalidad; ",""),"")&amp;IF(AND(ISNUMBER(M341),OR(ISNUMBER(SEARCH("prestación de servicios",D341)),ISNUMBER(SEARCH("prestar servicios",D341)),ISNUMBER(SEARCH("prestar los servicios",D341)))),IF(M341&gt;=500000000,"Prestación de servicios por $500 millones o más: posible error de digitación; ",""),""))</f>
        <v xml:space="preserve">Duración vacía o en texto; Valor vacío o en texto; </v>
      </c>
    </row>
    <row r="342" spans="1:15" ht="57" x14ac:dyDescent="0.3">
      <c r="A342" s="15" t="s">
        <v>494</v>
      </c>
      <c r="B342" s="15">
        <v>23152200</v>
      </c>
      <c r="C342" s="15" t="s">
        <v>1617</v>
      </c>
      <c r="D342" s="15" t="s">
        <v>1626</v>
      </c>
      <c r="E342" s="15" t="s">
        <v>1527</v>
      </c>
      <c r="F342" s="15" t="s">
        <v>1621</v>
      </c>
      <c r="G342" s="29" t="s">
        <v>1143</v>
      </c>
      <c r="H342" s="15" t="s">
        <v>1437</v>
      </c>
      <c r="I342" s="15" t="s">
        <v>1438</v>
      </c>
      <c r="J342" s="15" t="s">
        <v>1439</v>
      </c>
      <c r="K342" s="15"/>
      <c r="L342" s="30" t="s">
        <v>1440</v>
      </c>
      <c r="M342" s="31">
        <v>15000000</v>
      </c>
      <c r="N342" s="30" t="s">
        <v>792</v>
      </c>
      <c r="O342" s="30" t="str">
        <f>IF(LEN(IF(OR(NOT(ISNUMBER(B342)),LEN(B342)&lt;&gt;8),"UNSPSC vacío, en texto, con varios códigos o sin 8 dígitos; ","")&amp;IF(AND(ISNUMBER(B342),LEN(B342)=8),IF(MOD(B342,10000)=0,"UNSPSC a nivel de segmento o familia; ",""),"")&amp;IF(NOT(ISNUMBER(E342)),"Duración vacía o en texto; ","")&amp;IF(NOT(ISNUMBER(G342)),"Valor vacío o en texto; ","")&amp;IF(ISNUMBER(M342),IF(M342&lt;1000000,"Valor inferior a $1.000.000: verificar; ",""),"Valor no interpretable; ")&amp;IF(N342="[PENDIENTE DE VERIFICAR]","Modalidad no identificable; ","")&amp;IF(OR(ISERROR(SEARCH("@itc.edu.co",J342)),SUMPRODUCT(--ISNUMBER(SEARCH({"á","é","í","ó","ú","ñ"},J342)))&gt;0),"Correo vacío o no institucional válido; ","")&amp;IF(LEN(TRIM(D342))=0,"Sin objeto contractual; ","")&amp;IF(AND(ISNUMBER(M342),N342="Mínima cuantía"),IF(M342&gt;39850000,"Mínima cuantía con valor superior al tope citado en el instructivo 2026 ($39.850.000): verificar modalidad; ",""),"")&amp;IF(AND(ISNUMBER(M342),OR(ISNUMBER(SEARCH("prestación de servicios",D342)),ISNUMBER(SEARCH("prestar servicios",D342)),ISNUMBER(SEARCH("prestar los servicios",D342)))),IF(M342&gt;=500000000,"Prestación de servicios por $500 millones o más: posible error de digitación; ",""),""))=0,"Sin observaciones",IF(OR(NOT(ISNUMBER(B342)),LEN(B342)&lt;&gt;8),"UNSPSC vacío, en texto, con varios códigos o sin 8 dígitos; ","")&amp;IF(AND(ISNUMBER(B342),LEN(B342)=8),IF(MOD(B342,10000)=0,"UNSPSC a nivel de segmento o familia; ",""),"")&amp;IF(NOT(ISNUMBER(E342)),"Duración vacía o en texto; ","")&amp;IF(NOT(ISNUMBER(G342)),"Valor vacío o en texto; ","")&amp;IF(ISNUMBER(M342),IF(M342&lt;1000000,"Valor inferior a $1.000.000: verificar; ",""),"Valor no interpretable; ")&amp;IF(N342="[PENDIENTE DE VERIFICAR]","Modalidad no identificable; ","")&amp;IF(OR(ISERROR(SEARCH("@itc.edu.co",J342)),SUMPRODUCT(--ISNUMBER(SEARCH({"á","é","í","ó","ú","ñ"},J342)))&gt;0),"Correo vacío o no institucional válido; ","")&amp;IF(LEN(TRIM(D342))=0,"Sin objeto contractual; ","")&amp;IF(AND(ISNUMBER(M342),N342="Mínima cuantía"),IF(M342&gt;39850000,"Mínima cuantía con valor superior al tope citado en el instructivo 2026 ($39.850.000): verificar modalidad; ",""),"")&amp;IF(AND(ISNUMBER(M342),OR(ISNUMBER(SEARCH("prestación de servicios",D342)),ISNUMBER(SEARCH("prestar servicios",D342)),ISNUMBER(SEARCH("prestar los servicios",D342)))),IF(M342&gt;=500000000,"Prestación de servicios por $500 millones o más: posible error de digitación; ",""),""))</f>
        <v xml:space="preserve">Duración vacía o en texto; Valor vacío o en texto; </v>
      </c>
    </row>
    <row r="343" spans="1:15" ht="57" x14ac:dyDescent="0.3">
      <c r="A343" s="15" t="s">
        <v>535</v>
      </c>
      <c r="B343" s="15">
        <v>40101800</v>
      </c>
      <c r="C343" s="15" t="s">
        <v>1617</v>
      </c>
      <c r="D343" s="15" t="s">
        <v>1627</v>
      </c>
      <c r="E343" s="15" t="s">
        <v>1628</v>
      </c>
      <c r="F343" s="15" t="s">
        <v>1470</v>
      </c>
      <c r="G343" s="29" t="s">
        <v>1149</v>
      </c>
      <c r="H343" s="15" t="s">
        <v>1437</v>
      </c>
      <c r="I343" s="15" t="s">
        <v>1438</v>
      </c>
      <c r="J343" s="15" t="s">
        <v>1439</v>
      </c>
      <c r="K343" s="15"/>
      <c r="L343" s="30" t="s">
        <v>1440</v>
      </c>
      <c r="M343" s="31">
        <v>30000000</v>
      </c>
      <c r="N343" s="30" t="s">
        <v>803</v>
      </c>
      <c r="O343" s="30" t="str">
        <f>IF(LEN(IF(OR(NOT(ISNUMBER(B343)),LEN(B343)&lt;&gt;8),"UNSPSC vacío, en texto, con varios códigos o sin 8 dígitos; ","")&amp;IF(AND(ISNUMBER(B343),LEN(B343)=8),IF(MOD(B343,10000)=0,"UNSPSC a nivel de segmento o familia; ",""),"")&amp;IF(NOT(ISNUMBER(E343)),"Duración vacía o en texto; ","")&amp;IF(NOT(ISNUMBER(G343)),"Valor vacío o en texto; ","")&amp;IF(ISNUMBER(M343),IF(M343&lt;1000000,"Valor inferior a $1.000.000: verificar; ",""),"Valor no interpretable; ")&amp;IF(N343="[PENDIENTE DE VERIFICAR]","Modalidad no identificable; ","")&amp;IF(OR(ISERROR(SEARCH("@itc.edu.co",J343)),SUMPRODUCT(--ISNUMBER(SEARCH({"á","é","í","ó","ú","ñ"},J343)))&gt;0),"Correo vacío o no institucional válido; ","")&amp;IF(LEN(TRIM(D343))=0,"Sin objeto contractual; ","")&amp;IF(AND(ISNUMBER(M343),N343="Mínima cuantía"),IF(M343&gt;39850000,"Mínima cuantía con valor superior al tope citado en el instructivo 2026 ($39.850.000): verificar modalidad; ",""),"")&amp;IF(AND(ISNUMBER(M343),OR(ISNUMBER(SEARCH("prestación de servicios",D343)),ISNUMBER(SEARCH("prestar servicios",D343)),ISNUMBER(SEARCH("prestar los servicios",D343)))),IF(M343&gt;=500000000,"Prestación de servicios por $500 millones o más: posible error de digitación; ",""),""))=0,"Sin observaciones",IF(OR(NOT(ISNUMBER(B343)),LEN(B343)&lt;&gt;8),"UNSPSC vacío, en texto, con varios códigos o sin 8 dígitos; ","")&amp;IF(AND(ISNUMBER(B343),LEN(B343)=8),IF(MOD(B343,10000)=0,"UNSPSC a nivel de segmento o familia; ",""),"")&amp;IF(NOT(ISNUMBER(E343)),"Duración vacía o en texto; ","")&amp;IF(NOT(ISNUMBER(G343)),"Valor vacío o en texto; ","")&amp;IF(ISNUMBER(M343),IF(M343&lt;1000000,"Valor inferior a $1.000.000: verificar; ",""),"Valor no interpretable; ")&amp;IF(N343="[PENDIENTE DE VERIFICAR]","Modalidad no identificable; ","")&amp;IF(OR(ISERROR(SEARCH("@itc.edu.co",J343)),SUMPRODUCT(--ISNUMBER(SEARCH({"á","é","í","ó","ú","ñ"},J343)))&gt;0),"Correo vacío o no institucional válido; ","")&amp;IF(LEN(TRIM(D343))=0,"Sin objeto contractual; ","")&amp;IF(AND(ISNUMBER(M343),N343="Mínima cuantía"),IF(M343&gt;39850000,"Mínima cuantía con valor superior al tope citado en el instructivo 2026 ($39.850.000): verificar modalidad; ",""),"")&amp;IF(AND(ISNUMBER(M343),OR(ISNUMBER(SEARCH("prestación de servicios",D343)),ISNUMBER(SEARCH("prestar servicios",D343)),ISNUMBER(SEARCH("prestar los servicios",D343)))),IF(M343&gt;=500000000,"Prestación de servicios por $500 millones o más: posible error de digitación; ",""),""))</f>
        <v xml:space="preserve">Duración vacía o en texto; Valor vacío o en texto; </v>
      </c>
    </row>
    <row r="344" spans="1:15" ht="68.400000000000006" x14ac:dyDescent="0.3">
      <c r="A344" s="15" t="s">
        <v>375</v>
      </c>
      <c r="B344" s="15">
        <v>23161500</v>
      </c>
      <c r="C344" s="15" t="s">
        <v>1617</v>
      </c>
      <c r="D344" s="15" t="s">
        <v>1629</v>
      </c>
      <c r="E344" s="15" t="s">
        <v>1628</v>
      </c>
      <c r="F344" s="15" t="s">
        <v>1470</v>
      </c>
      <c r="G344" s="29" t="s">
        <v>1138</v>
      </c>
      <c r="H344" s="15" t="s">
        <v>1437</v>
      </c>
      <c r="I344" s="15" t="s">
        <v>1438</v>
      </c>
      <c r="J344" s="15" t="s">
        <v>1439</v>
      </c>
      <c r="K344" s="15"/>
      <c r="L344" s="30" t="s">
        <v>1440</v>
      </c>
      <c r="M344" s="31">
        <v>50000000</v>
      </c>
      <c r="N344" s="30" t="s">
        <v>803</v>
      </c>
      <c r="O344" s="30" t="str">
        <f>IF(LEN(IF(OR(NOT(ISNUMBER(B344)),LEN(B344)&lt;&gt;8),"UNSPSC vacío, en texto, con varios códigos o sin 8 dígitos; ","")&amp;IF(AND(ISNUMBER(B344),LEN(B344)=8),IF(MOD(B344,10000)=0,"UNSPSC a nivel de segmento o familia; ",""),"")&amp;IF(NOT(ISNUMBER(E344)),"Duración vacía o en texto; ","")&amp;IF(NOT(ISNUMBER(G344)),"Valor vacío o en texto; ","")&amp;IF(ISNUMBER(M344),IF(M344&lt;1000000,"Valor inferior a $1.000.000: verificar; ",""),"Valor no interpretable; ")&amp;IF(N344="[PENDIENTE DE VERIFICAR]","Modalidad no identificable; ","")&amp;IF(OR(ISERROR(SEARCH("@itc.edu.co",J344)),SUMPRODUCT(--ISNUMBER(SEARCH({"á","é","í","ó","ú","ñ"},J344)))&gt;0),"Correo vacío o no institucional válido; ","")&amp;IF(LEN(TRIM(D344))=0,"Sin objeto contractual; ","")&amp;IF(AND(ISNUMBER(M344),N344="Mínima cuantía"),IF(M344&gt;39850000,"Mínima cuantía con valor superior al tope citado en el instructivo 2026 ($39.850.000): verificar modalidad; ",""),"")&amp;IF(AND(ISNUMBER(M344),OR(ISNUMBER(SEARCH("prestación de servicios",D344)),ISNUMBER(SEARCH("prestar servicios",D344)),ISNUMBER(SEARCH("prestar los servicios",D344)))),IF(M344&gt;=500000000,"Prestación de servicios por $500 millones o más: posible error de digitación; ",""),""))=0,"Sin observaciones",IF(OR(NOT(ISNUMBER(B344)),LEN(B344)&lt;&gt;8),"UNSPSC vacío, en texto, con varios códigos o sin 8 dígitos; ","")&amp;IF(AND(ISNUMBER(B344),LEN(B344)=8),IF(MOD(B344,10000)=0,"UNSPSC a nivel de segmento o familia; ",""),"")&amp;IF(NOT(ISNUMBER(E344)),"Duración vacía o en texto; ","")&amp;IF(NOT(ISNUMBER(G344)),"Valor vacío o en texto; ","")&amp;IF(ISNUMBER(M344),IF(M344&lt;1000000,"Valor inferior a $1.000.000: verificar; ",""),"Valor no interpretable; ")&amp;IF(N344="[PENDIENTE DE VERIFICAR]","Modalidad no identificable; ","")&amp;IF(OR(ISERROR(SEARCH("@itc.edu.co",J344)),SUMPRODUCT(--ISNUMBER(SEARCH({"á","é","í","ó","ú","ñ"},J344)))&gt;0),"Correo vacío o no institucional válido; ","")&amp;IF(LEN(TRIM(D344))=0,"Sin objeto contractual; ","")&amp;IF(AND(ISNUMBER(M344),N344="Mínima cuantía"),IF(M344&gt;39850000,"Mínima cuantía con valor superior al tope citado en el instructivo 2026 ($39.850.000): verificar modalidad; ",""),"")&amp;IF(AND(ISNUMBER(M344),OR(ISNUMBER(SEARCH("prestación de servicios",D344)),ISNUMBER(SEARCH("prestar servicios",D344)),ISNUMBER(SEARCH("prestar los servicios",D344)))),IF(M344&gt;=500000000,"Prestación de servicios por $500 millones o más: posible error de digitación; ",""),""))</f>
        <v xml:space="preserve">Duración vacía o en texto; Valor vacío o en texto; </v>
      </c>
    </row>
    <row r="345" spans="1:15" ht="79.8" x14ac:dyDescent="0.3">
      <c r="A345" s="15" t="s">
        <v>1630</v>
      </c>
      <c r="B345" s="15">
        <v>23161500</v>
      </c>
      <c r="C345" s="15" t="s">
        <v>1617</v>
      </c>
      <c r="D345" s="15" t="s">
        <v>1631</v>
      </c>
      <c r="E345" s="15" t="s">
        <v>1443</v>
      </c>
      <c r="F345" s="15" t="s">
        <v>1621</v>
      </c>
      <c r="G345" s="29" t="s">
        <v>1632</v>
      </c>
      <c r="H345" s="15" t="s">
        <v>1437</v>
      </c>
      <c r="I345" s="15" t="s">
        <v>1438</v>
      </c>
      <c r="J345" s="15" t="s">
        <v>1439</v>
      </c>
      <c r="K345" s="15"/>
      <c r="L345" s="30" t="s">
        <v>1440</v>
      </c>
      <c r="M345" s="31">
        <v>40000000</v>
      </c>
      <c r="N345" s="30" t="s">
        <v>792</v>
      </c>
      <c r="O345" s="30" t="str">
        <f>IF(LEN(IF(OR(NOT(ISNUMBER(B345)),LEN(B345)&lt;&gt;8),"UNSPSC vacío, en texto, con varios códigos o sin 8 dígitos; ","")&amp;IF(AND(ISNUMBER(B345),LEN(B345)=8),IF(MOD(B345,10000)=0,"UNSPSC a nivel de segmento o familia; ",""),"")&amp;IF(NOT(ISNUMBER(E345)),"Duración vacía o en texto; ","")&amp;IF(NOT(ISNUMBER(G345)),"Valor vacío o en texto; ","")&amp;IF(ISNUMBER(M345),IF(M345&lt;1000000,"Valor inferior a $1.000.000: verificar; ",""),"Valor no interpretable; ")&amp;IF(N345="[PENDIENTE DE VERIFICAR]","Modalidad no identificable; ","")&amp;IF(OR(ISERROR(SEARCH("@itc.edu.co",J345)),SUMPRODUCT(--ISNUMBER(SEARCH({"á","é","í","ó","ú","ñ"},J345)))&gt;0),"Correo vacío o no institucional válido; ","")&amp;IF(LEN(TRIM(D345))=0,"Sin objeto contractual; ","")&amp;IF(AND(ISNUMBER(M345),N345="Mínima cuantía"),IF(M345&gt;39850000,"Mínima cuantía con valor superior al tope citado en el instructivo 2026 ($39.850.000): verificar modalidad; ",""),"")&amp;IF(AND(ISNUMBER(M345),OR(ISNUMBER(SEARCH("prestación de servicios",D345)),ISNUMBER(SEARCH("prestar servicios",D345)),ISNUMBER(SEARCH("prestar los servicios",D345)))),IF(M345&gt;=500000000,"Prestación de servicios por $500 millones o más: posible error de digitación; ",""),""))=0,"Sin observaciones",IF(OR(NOT(ISNUMBER(B345)),LEN(B345)&lt;&gt;8),"UNSPSC vacío, en texto, con varios códigos o sin 8 dígitos; ","")&amp;IF(AND(ISNUMBER(B345),LEN(B345)=8),IF(MOD(B345,10000)=0,"UNSPSC a nivel de segmento o familia; ",""),"")&amp;IF(NOT(ISNUMBER(E345)),"Duración vacía o en texto; ","")&amp;IF(NOT(ISNUMBER(G345)),"Valor vacío o en texto; ","")&amp;IF(ISNUMBER(M345),IF(M345&lt;1000000,"Valor inferior a $1.000.000: verificar; ",""),"Valor no interpretable; ")&amp;IF(N345="[PENDIENTE DE VERIFICAR]","Modalidad no identificable; ","")&amp;IF(OR(ISERROR(SEARCH("@itc.edu.co",J345)),SUMPRODUCT(--ISNUMBER(SEARCH({"á","é","í","ó","ú","ñ"},J345)))&gt;0),"Correo vacío o no institucional válido; ","")&amp;IF(LEN(TRIM(D345))=0,"Sin objeto contractual; ","")&amp;IF(AND(ISNUMBER(M345),N345="Mínima cuantía"),IF(M345&gt;39850000,"Mínima cuantía con valor superior al tope citado en el instructivo 2026 ($39.850.000): verificar modalidad; ",""),"")&amp;IF(AND(ISNUMBER(M345),OR(ISNUMBER(SEARCH("prestación de servicios",D345)),ISNUMBER(SEARCH("prestar servicios",D345)),ISNUMBER(SEARCH("prestar los servicios",D345)))),IF(M345&gt;=500000000,"Prestación de servicios por $500 millones o más: posible error de digitación; ",""),""))</f>
        <v xml:space="preserve">Duración vacía o en texto; Valor vacío o en texto; Mínima cuantía con valor superior al tope citado en el instructivo 2026 ($39.850.000): verificar modalidad; </v>
      </c>
    </row>
    <row r="346" spans="1:15" ht="91.2" x14ac:dyDescent="0.3">
      <c r="A346" s="15" t="s">
        <v>1633</v>
      </c>
      <c r="B346" s="15">
        <v>23161500</v>
      </c>
      <c r="C346" s="15" t="s">
        <v>1617</v>
      </c>
      <c r="D346" s="15" t="s">
        <v>1634</v>
      </c>
      <c r="E346" s="15" t="s">
        <v>1527</v>
      </c>
      <c r="F346" s="15" t="s">
        <v>1470</v>
      </c>
      <c r="G346" s="29" t="s">
        <v>1138</v>
      </c>
      <c r="H346" s="15" t="s">
        <v>1437</v>
      </c>
      <c r="I346" s="15" t="s">
        <v>1438</v>
      </c>
      <c r="J346" s="15" t="s">
        <v>1439</v>
      </c>
      <c r="K346" s="15"/>
      <c r="L346" s="30" t="s">
        <v>1440</v>
      </c>
      <c r="M346" s="31">
        <v>50000000</v>
      </c>
      <c r="N346" s="30" t="s">
        <v>803</v>
      </c>
      <c r="O346" s="30" t="str">
        <f>IF(LEN(IF(OR(NOT(ISNUMBER(B346)),LEN(B346)&lt;&gt;8),"UNSPSC vacío, en texto, con varios códigos o sin 8 dígitos; ","")&amp;IF(AND(ISNUMBER(B346),LEN(B346)=8),IF(MOD(B346,10000)=0,"UNSPSC a nivel de segmento o familia; ",""),"")&amp;IF(NOT(ISNUMBER(E346)),"Duración vacía o en texto; ","")&amp;IF(NOT(ISNUMBER(G346)),"Valor vacío o en texto; ","")&amp;IF(ISNUMBER(M346),IF(M346&lt;1000000,"Valor inferior a $1.000.000: verificar; ",""),"Valor no interpretable; ")&amp;IF(N346="[PENDIENTE DE VERIFICAR]","Modalidad no identificable; ","")&amp;IF(OR(ISERROR(SEARCH("@itc.edu.co",J346)),SUMPRODUCT(--ISNUMBER(SEARCH({"á","é","í","ó","ú","ñ"},J346)))&gt;0),"Correo vacío o no institucional válido; ","")&amp;IF(LEN(TRIM(D346))=0,"Sin objeto contractual; ","")&amp;IF(AND(ISNUMBER(M346),N346="Mínima cuantía"),IF(M346&gt;39850000,"Mínima cuantía con valor superior al tope citado en el instructivo 2026 ($39.850.000): verificar modalidad; ",""),"")&amp;IF(AND(ISNUMBER(M346),OR(ISNUMBER(SEARCH("prestación de servicios",D346)),ISNUMBER(SEARCH("prestar servicios",D346)),ISNUMBER(SEARCH("prestar los servicios",D346)))),IF(M346&gt;=500000000,"Prestación de servicios por $500 millones o más: posible error de digitación; ",""),""))=0,"Sin observaciones",IF(OR(NOT(ISNUMBER(B346)),LEN(B346)&lt;&gt;8),"UNSPSC vacío, en texto, con varios códigos o sin 8 dígitos; ","")&amp;IF(AND(ISNUMBER(B346),LEN(B346)=8),IF(MOD(B346,10000)=0,"UNSPSC a nivel de segmento o familia; ",""),"")&amp;IF(NOT(ISNUMBER(E346)),"Duración vacía o en texto; ","")&amp;IF(NOT(ISNUMBER(G346)),"Valor vacío o en texto; ","")&amp;IF(ISNUMBER(M346),IF(M346&lt;1000000,"Valor inferior a $1.000.000: verificar; ",""),"Valor no interpretable; ")&amp;IF(N346="[PENDIENTE DE VERIFICAR]","Modalidad no identificable; ","")&amp;IF(OR(ISERROR(SEARCH("@itc.edu.co",J346)),SUMPRODUCT(--ISNUMBER(SEARCH({"á","é","í","ó","ú","ñ"},J346)))&gt;0),"Correo vacío o no institucional válido; ","")&amp;IF(LEN(TRIM(D346))=0,"Sin objeto contractual; ","")&amp;IF(AND(ISNUMBER(M346),N346="Mínima cuantía"),IF(M346&gt;39850000,"Mínima cuantía con valor superior al tope citado en el instructivo 2026 ($39.850.000): verificar modalidad; ",""),"")&amp;IF(AND(ISNUMBER(M346),OR(ISNUMBER(SEARCH("prestación de servicios",D346)),ISNUMBER(SEARCH("prestar servicios",D346)),ISNUMBER(SEARCH("prestar los servicios",D346)))),IF(M346&gt;=500000000,"Prestación de servicios por $500 millones o más: posible error de digitación; ",""),""))</f>
        <v xml:space="preserve">Duración vacía o en texto; Valor vacío o en texto; </v>
      </c>
    </row>
    <row r="347" spans="1:15" ht="91.2" x14ac:dyDescent="0.3">
      <c r="A347" s="15" t="s">
        <v>483</v>
      </c>
      <c r="B347" s="15" t="s">
        <v>1635</v>
      </c>
      <c r="C347" s="15" t="s">
        <v>1636</v>
      </c>
      <c r="D347" s="15" t="s">
        <v>1637</v>
      </c>
      <c r="E347" s="15" t="s">
        <v>1628</v>
      </c>
      <c r="F347" s="15" t="s">
        <v>788</v>
      </c>
      <c r="G347" s="29" t="s">
        <v>1638</v>
      </c>
      <c r="H347" s="15" t="s">
        <v>1437</v>
      </c>
      <c r="I347" s="15" t="s">
        <v>1438</v>
      </c>
      <c r="J347" s="15" t="s">
        <v>1439</v>
      </c>
      <c r="K347" s="15"/>
      <c r="L347" s="30" t="s">
        <v>1440</v>
      </c>
      <c r="M347" s="31">
        <v>150000000</v>
      </c>
      <c r="N347" s="30" t="s">
        <v>792</v>
      </c>
      <c r="O347" s="30" t="str">
        <f>IF(LEN(IF(OR(NOT(ISNUMBER(B347)),LEN(B347)&lt;&gt;8),"UNSPSC vacío, en texto, con varios códigos o sin 8 dígitos; ","")&amp;IF(AND(ISNUMBER(B347),LEN(B347)=8),IF(MOD(B347,10000)=0,"UNSPSC a nivel de segmento o familia; ",""),"")&amp;IF(NOT(ISNUMBER(E347)),"Duración vacía o en texto; ","")&amp;IF(NOT(ISNUMBER(G347)),"Valor vacío o en texto; ","")&amp;IF(ISNUMBER(M347),IF(M347&lt;1000000,"Valor inferior a $1.000.000: verificar; ",""),"Valor no interpretable; ")&amp;IF(N347="[PENDIENTE DE VERIFICAR]","Modalidad no identificable; ","")&amp;IF(OR(ISERROR(SEARCH("@itc.edu.co",J347)),SUMPRODUCT(--ISNUMBER(SEARCH({"á","é","í","ó","ú","ñ"},J347)))&gt;0),"Correo vacío o no institucional válido; ","")&amp;IF(LEN(TRIM(D347))=0,"Sin objeto contractual; ","")&amp;IF(AND(ISNUMBER(M347),N347="Mínima cuantía"),IF(M347&gt;39850000,"Mínima cuantía con valor superior al tope citado en el instructivo 2026 ($39.850.000): verificar modalidad; ",""),"")&amp;IF(AND(ISNUMBER(M347),OR(ISNUMBER(SEARCH("prestación de servicios",D347)),ISNUMBER(SEARCH("prestar servicios",D347)),ISNUMBER(SEARCH("prestar los servicios",D347)))),IF(M347&gt;=500000000,"Prestación de servicios por $500 millones o más: posible error de digitación; ",""),""))=0,"Sin observaciones",IF(OR(NOT(ISNUMBER(B347)),LEN(B347)&lt;&gt;8),"UNSPSC vacío, en texto, con varios códigos o sin 8 dígitos; ","")&amp;IF(AND(ISNUMBER(B347),LEN(B347)=8),IF(MOD(B347,10000)=0,"UNSPSC a nivel de segmento o familia; ",""),"")&amp;IF(NOT(ISNUMBER(E347)),"Duración vacía o en texto; ","")&amp;IF(NOT(ISNUMBER(G347)),"Valor vacío o en texto; ","")&amp;IF(ISNUMBER(M347),IF(M347&lt;1000000,"Valor inferior a $1.000.000: verificar; ",""),"Valor no interpretable; ")&amp;IF(N347="[PENDIENTE DE VERIFICAR]","Modalidad no identificable; ","")&amp;IF(OR(ISERROR(SEARCH("@itc.edu.co",J347)),SUMPRODUCT(--ISNUMBER(SEARCH({"á","é","í","ó","ú","ñ"},J347)))&gt;0),"Correo vacío o no institucional válido; ","")&amp;IF(LEN(TRIM(D347))=0,"Sin objeto contractual; ","")&amp;IF(AND(ISNUMBER(M347),N347="Mínima cuantía"),IF(M347&gt;39850000,"Mínima cuantía con valor superior al tope citado en el instructivo 2026 ($39.850.000): verificar modalidad; ",""),"")&amp;IF(AND(ISNUMBER(M347),OR(ISNUMBER(SEARCH("prestación de servicios",D347)),ISNUMBER(SEARCH("prestar servicios",D347)),ISNUMBER(SEARCH("prestar los servicios",D347)))),IF(M347&gt;=500000000,"Prestación de servicios por $500 millones o más: posible error de digitación; ",""),""))</f>
        <v xml:space="preserve">UNSPSC vacío, en texto, con varios códigos o sin 8 dígitos; Duración vacía o en texto; Valor vacío o en texto; Mínima cuantía con valor superior al tope citado en el instructivo 2026 ($39.850.000): verificar modalidad; </v>
      </c>
    </row>
    <row r="348" spans="1:15" ht="79.8" x14ac:dyDescent="0.3">
      <c r="A348" s="15" t="s">
        <v>400</v>
      </c>
      <c r="B348" s="15">
        <v>73152100</v>
      </c>
      <c r="C348" s="15" t="s">
        <v>1636</v>
      </c>
      <c r="D348" s="15" t="s">
        <v>1639</v>
      </c>
      <c r="E348" s="15" t="s">
        <v>1606</v>
      </c>
      <c r="F348" s="15" t="s">
        <v>788</v>
      </c>
      <c r="G348" s="29" t="s">
        <v>1380</v>
      </c>
      <c r="H348" s="15" t="s">
        <v>1437</v>
      </c>
      <c r="I348" s="15" t="s">
        <v>1438</v>
      </c>
      <c r="J348" s="15" t="s">
        <v>1439</v>
      </c>
      <c r="K348" s="15"/>
      <c r="L348" s="30" t="s">
        <v>1440</v>
      </c>
      <c r="M348" s="31">
        <v>80000000</v>
      </c>
      <c r="N348" s="30" t="s">
        <v>792</v>
      </c>
      <c r="O348" s="30" t="str">
        <f>IF(LEN(IF(OR(NOT(ISNUMBER(B348)),LEN(B348)&lt;&gt;8),"UNSPSC vacío, en texto, con varios códigos o sin 8 dígitos; ","")&amp;IF(AND(ISNUMBER(B348),LEN(B348)=8),IF(MOD(B348,10000)=0,"UNSPSC a nivel de segmento o familia; ",""),"")&amp;IF(NOT(ISNUMBER(E348)),"Duración vacía o en texto; ","")&amp;IF(NOT(ISNUMBER(G348)),"Valor vacío o en texto; ","")&amp;IF(ISNUMBER(M348),IF(M348&lt;1000000,"Valor inferior a $1.000.000: verificar; ",""),"Valor no interpretable; ")&amp;IF(N348="[PENDIENTE DE VERIFICAR]","Modalidad no identificable; ","")&amp;IF(OR(ISERROR(SEARCH("@itc.edu.co",J348)),SUMPRODUCT(--ISNUMBER(SEARCH({"á","é","í","ó","ú","ñ"},J348)))&gt;0),"Correo vacío o no institucional válido; ","")&amp;IF(LEN(TRIM(D348))=0,"Sin objeto contractual; ","")&amp;IF(AND(ISNUMBER(M348),N348="Mínima cuantía"),IF(M348&gt;39850000,"Mínima cuantía con valor superior al tope citado en el instructivo 2026 ($39.850.000): verificar modalidad; ",""),"")&amp;IF(AND(ISNUMBER(M348),OR(ISNUMBER(SEARCH("prestación de servicios",D348)),ISNUMBER(SEARCH("prestar servicios",D348)),ISNUMBER(SEARCH("prestar los servicios",D348)))),IF(M348&gt;=500000000,"Prestación de servicios por $500 millones o más: posible error de digitación; ",""),""))=0,"Sin observaciones",IF(OR(NOT(ISNUMBER(B348)),LEN(B348)&lt;&gt;8),"UNSPSC vacío, en texto, con varios códigos o sin 8 dígitos; ","")&amp;IF(AND(ISNUMBER(B348),LEN(B348)=8),IF(MOD(B348,10000)=0,"UNSPSC a nivel de segmento o familia; ",""),"")&amp;IF(NOT(ISNUMBER(E348)),"Duración vacía o en texto; ","")&amp;IF(NOT(ISNUMBER(G348)),"Valor vacío o en texto; ","")&amp;IF(ISNUMBER(M348),IF(M348&lt;1000000,"Valor inferior a $1.000.000: verificar; ",""),"Valor no interpretable; ")&amp;IF(N348="[PENDIENTE DE VERIFICAR]","Modalidad no identificable; ","")&amp;IF(OR(ISERROR(SEARCH("@itc.edu.co",J348)),SUMPRODUCT(--ISNUMBER(SEARCH({"á","é","í","ó","ú","ñ"},J348)))&gt;0),"Correo vacío o no institucional válido; ","")&amp;IF(LEN(TRIM(D348))=0,"Sin objeto contractual; ","")&amp;IF(AND(ISNUMBER(M348),N348="Mínima cuantía"),IF(M348&gt;39850000,"Mínima cuantía con valor superior al tope citado en el instructivo 2026 ($39.850.000): verificar modalidad; ",""),"")&amp;IF(AND(ISNUMBER(M348),OR(ISNUMBER(SEARCH("prestación de servicios",D348)),ISNUMBER(SEARCH("prestar servicios",D348)),ISNUMBER(SEARCH("prestar los servicios",D348)))),IF(M348&gt;=500000000,"Prestación de servicios por $500 millones o más: posible error de digitación; ",""),""))</f>
        <v xml:space="preserve">Duración vacía o en texto; Valor vacío o en texto; Mínima cuantía con valor superior al tope citado en el instructivo 2026 ($39.850.000): verificar modalidad; </v>
      </c>
    </row>
    <row r="349" spans="1:15" ht="102.6" x14ac:dyDescent="0.3">
      <c r="A349" s="15" t="s">
        <v>1640</v>
      </c>
      <c r="B349" s="15">
        <v>73152100</v>
      </c>
      <c r="C349" s="15" t="s">
        <v>1636</v>
      </c>
      <c r="D349" s="15" t="s">
        <v>1641</v>
      </c>
      <c r="E349" s="15" t="s">
        <v>1628</v>
      </c>
      <c r="F349" s="15" t="s">
        <v>788</v>
      </c>
      <c r="G349" s="29" t="s">
        <v>1173</v>
      </c>
      <c r="H349" s="15" t="s">
        <v>1437</v>
      </c>
      <c r="I349" s="15" t="s">
        <v>1438</v>
      </c>
      <c r="J349" s="15" t="s">
        <v>1439</v>
      </c>
      <c r="K349" s="15"/>
      <c r="L349" s="30" t="s">
        <v>1440</v>
      </c>
      <c r="M349" s="31">
        <v>100000000</v>
      </c>
      <c r="N349" s="30" t="s">
        <v>792</v>
      </c>
      <c r="O349" s="30" t="str">
        <f>IF(LEN(IF(OR(NOT(ISNUMBER(B349)),LEN(B349)&lt;&gt;8),"UNSPSC vacío, en texto, con varios códigos o sin 8 dígitos; ","")&amp;IF(AND(ISNUMBER(B349),LEN(B349)=8),IF(MOD(B349,10000)=0,"UNSPSC a nivel de segmento o familia; ",""),"")&amp;IF(NOT(ISNUMBER(E349)),"Duración vacía o en texto; ","")&amp;IF(NOT(ISNUMBER(G349)),"Valor vacío o en texto; ","")&amp;IF(ISNUMBER(M349),IF(M349&lt;1000000,"Valor inferior a $1.000.000: verificar; ",""),"Valor no interpretable; ")&amp;IF(N349="[PENDIENTE DE VERIFICAR]","Modalidad no identificable; ","")&amp;IF(OR(ISERROR(SEARCH("@itc.edu.co",J349)),SUMPRODUCT(--ISNUMBER(SEARCH({"á","é","í","ó","ú","ñ"},J349)))&gt;0),"Correo vacío o no institucional válido; ","")&amp;IF(LEN(TRIM(D349))=0,"Sin objeto contractual; ","")&amp;IF(AND(ISNUMBER(M349),N349="Mínima cuantía"),IF(M349&gt;39850000,"Mínima cuantía con valor superior al tope citado en el instructivo 2026 ($39.850.000): verificar modalidad; ",""),"")&amp;IF(AND(ISNUMBER(M349),OR(ISNUMBER(SEARCH("prestación de servicios",D349)),ISNUMBER(SEARCH("prestar servicios",D349)),ISNUMBER(SEARCH("prestar los servicios",D349)))),IF(M349&gt;=500000000,"Prestación de servicios por $500 millones o más: posible error de digitación; ",""),""))=0,"Sin observaciones",IF(OR(NOT(ISNUMBER(B349)),LEN(B349)&lt;&gt;8),"UNSPSC vacío, en texto, con varios códigos o sin 8 dígitos; ","")&amp;IF(AND(ISNUMBER(B349),LEN(B349)=8),IF(MOD(B349,10000)=0,"UNSPSC a nivel de segmento o familia; ",""),"")&amp;IF(NOT(ISNUMBER(E349)),"Duración vacía o en texto; ","")&amp;IF(NOT(ISNUMBER(G349)),"Valor vacío o en texto; ","")&amp;IF(ISNUMBER(M349),IF(M349&lt;1000000,"Valor inferior a $1.000.000: verificar; ",""),"Valor no interpretable; ")&amp;IF(N349="[PENDIENTE DE VERIFICAR]","Modalidad no identificable; ","")&amp;IF(OR(ISERROR(SEARCH("@itc.edu.co",J349)),SUMPRODUCT(--ISNUMBER(SEARCH({"á","é","í","ó","ú","ñ"},J349)))&gt;0),"Correo vacío o no institucional válido; ","")&amp;IF(LEN(TRIM(D349))=0,"Sin objeto contractual; ","")&amp;IF(AND(ISNUMBER(M349),N349="Mínima cuantía"),IF(M349&gt;39850000,"Mínima cuantía con valor superior al tope citado en el instructivo 2026 ($39.850.000): verificar modalidad; ",""),"")&amp;IF(AND(ISNUMBER(M349),OR(ISNUMBER(SEARCH("prestación de servicios",D349)),ISNUMBER(SEARCH("prestar servicios",D349)),ISNUMBER(SEARCH("prestar los servicios",D349)))),IF(M349&gt;=500000000,"Prestación de servicios por $500 millones o más: posible error de digitación; ",""),""))</f>
        <v xml:space="preserve">Duración vacía o en texto; Valor vacío o en texto; Mínima cuantía con valor superior al tope citado en el instructivo 2026 ($39.850.000): verificar modalidad; </v>
      </c>
    </row>
    <row r="350" spans="1:15" ht="91.2" x14ac:dyDescent="0.3">
      <c r="A350" s="15" t="s">
        <v>490</v>
      </c>
      <c r="B350" s="15">
        <v>23101500</v>
      </c>
      <c r="C350" s="15" t="s">
        <v>1636</v>
      </c>
      <c r="D350" s="15" t="s">
        <v>1642</v>
      </c>
      <c r="E350" s="15" t="s">
        <v>1628</v>
      </c>
      <c r="F350" s="15" t="s">
        <v>788</v>
      </c>
      <c r="G350" s="29" t="s">
        <v>1643</v>
      </c>
      <c r="H350" s="15" t="s">
        <v>1437</v>
      </c>
      <c r="I350" s="15" t="s">
        <v>1438</v>
      </c>
      <c r="J350" s="15" t="s">
        <v>1439</v>
      </c>
      <c r="K350" s="15"/>
      <c r="L350" s="30" t="s">
        <v>1440</v>
      </c>
      <c r="M350" s="31">
        <v>250000000</v>
      </c>
      <c r="N350" s="30" t="s">
        <v>792</v>
      </c>
      <c r="O350" s="30" t="str">
        <f>IF(LEN(IF(OR(NOT(ISNUMBER(B350)),LEN(B350)&lt;&gt;8),"UNSPSC vacío, en texto, con varios códigos o sin 8 dígitos; ","")&amp;IF(AND(ISNUMBER(B350),LEN(B350)=8),IF(MOD(B350,10000)=0,"UNSPSC a nivel de segmento o familia; ",""),"")&amp;IF(NOT(ISNUMBER(E350)),"Duración vacía o en texto; ","")&amp;IF(NOT(ISNUMBER(G350)),"Valor vacío o en texto; ","")&amp;IF(ISNUMBER(M350),IF(M350&lt;1000000,"Valor inferior a $1.000.000: verificar; ",""),"Valor no interpretable; ")&amp;IF(N350="[PENDIENTE DE VERIFICAR]","Modalidad no identificable; ","")&amp;IF(OR(ISERROR(SEARCH("@itc.edu.co",J350)),SUMPRODUCT(--ISNUMBER(SEARCH({"á","é","í","ó","ú","ñ"},J350)))&gt;0),"Correo vacío o no institucional válido; ","")&amp;IF(LEN(TRIM(D350))=0,"Sin objeto contractual; ","")&amp;IF(AND(ISNUMBER(M350),N350="Mínima cuantía"),IF(M350&gt;39850000,"Mínima cuantía con valor superior al tope citado en el instructivo 2026 ($39.850.000): verificar modalidad; ",""),"")&amp;IF(AND(ISNUMBER(M350),OR(ISNUMBER(SEARCH("prestación de servicios",D350)),ISNUMBER(SEARCH("prestar servicios",D350)),ISNUMBER(SEARCH("prestar los servicios",D350)))),IF(M350&gt;=500000000,"Prestación de servicios por $500 millones o más: posible error de digitación; ",""),""))=0,"Sin observaciones",IF(OR(NOT(ISNUMBER(B350)),LEN(B350)&lt;&gt;8),"UNSPSC vacío, en texto, con varios códigos o sin 8 dígitos; ","")&amp;IF(AND(ISNUMBER(B350),LEN(B350)=8),IF(MOD(B350,10000)=0,"UNSPSC a nivel de segmento o familia; ",""),"")&amp;IF(NOT(ISNUMBER(E350)),"Duración vacía o en texto; ","")&amp;IF(NOT(ISNUMBER(G350)),"Valor vacío o en texto; ","")&amp;IF(ISNUMBER(M350),IF(M350&lt;1000000,"Valor inferior a $1.000.000: verificar; ",""),"Valor no interpretable; ")&amp;IF(N350="[PENDIENTE DE VERIFICAR]","Modalidad no identificable; ","")&amp;IF(OR(ISERROR(SEARCH("@itc.edu.co",J350)),SUMPRODUCT(--ISNUMBER(SEARCH({"á","é","í","ó","ú","ñ"},J350)))&gt;0),"Correo vacío o no institucional válido; ","")&amp;IF(LEN(TRIM(D350))=0,"Sin objeto contractual; ","")&amp;IF(AND(ISNUMBER(M350),N350="Mínima cuantía"),IF(M350&gt;39850000,"Mínima cuantía con valor superior al tope citado en el instructivo 2026 ($39.850.000): verificar modalidad; ",""),"")&amp;IF(AND(ISNUMBER(M350),OR(ISNUMBER(SEARCH("prestación de servicios",D350)),ISNUMBER(SEARCH("prestar servicios",D350)),ISNUMBER(SEARCH("prestar los servicios",D350)))),IF(M350&gt;=500000000,"Prestación de servicios por $500 millones o más: posible error de digitación; ",""),""))</f>
        <v xml:space="preserve">Duración vacía o en texto; Valor vacío o en texto; Mínima cuantía con valor superior al tope citado en el instructivo 2026 ($39.850.000): verificar modalidad; </v>
      </c>
    </row>
    <row r="351" spans="1:15" ht="136.80000000000001" x14ac:dyDescent="0.3">
      <c r="A351" s="15" t="s">
        <v>1644</v>
      </c>
      <c r="B351" s="15">
        <v>73152100</v>
      </c>
      <c r="C351" s="15" t="s">
        <v>1636</v>
      </c>
      <c r="D351" s="15" t="s">
        <v>1645</v>
      </c>
      <c r="E351" s="15" t="s">
        <v>1628</v>
      </c>
      <c r="F351" s="15" t="s">
        <v>788</v>
      </c>
      <c r="G351" s="29" t="s">
        <v>1173</v>
      </c>
      <c r="H351" s="15" t="s">
        <v>1437</v>
      </c>
      <c r="I351" s="15" t="s">
        <v>1438</v>
      </c>
      <c r="J351" s="15" t="s">
        <v>1439</v>
      </c>
      <c r="K351" s="15"/>
      <c r="L351" s="30" t="s">
        <v>1440</v>
      </c>
      <c r="M351" s="31">
        <v>100000000</v>
      </c>
      <c r="N351" s="30" t="s">
        <v>792</v>
      </c>
      <c r="O351" s="30" t="str">
        <f>IF(LEN(IF(OR(NOT(ISNUMBER(B351)),LEN(B351)&lt;&gt;8),"UNSPSC vacío, en texto, con varios códigos o sin 8 dígitos; ","")&amp;IF(AND(ISNUMBER(B351),LEN(B351)=8),IF(MOD(B351,10000)=0,"UNSPSC a nivel de segmento o familia; ",""),"")&amp;IF(NOT(ISNUMBER(E351)),"Duración vacía o en texto; ","")&amp;IF(NOT(ISNUMBER(G351)),"Valor vacío o en texto; ","")&amp;IF(ISNUMBER(M351),IF(M351&lt;1000000,"Valor inferior a $1.000.000: verificar; ",""),"Valor no interpretable; ")&amp;IF(N351="[PENDIENTE DE VERIFICAR]","Modalidad no identificable; ","")&amp;IF(OR(ISERROR(SEARCH("@itc.edu.co",J351)),SUMPRODUCT(--ISNUMBER(SEARCH({"á","é","í","ó","ú","ñ"},J351)))&gt;0),"Correo vacío o no institucional válido; ","")&amp;IF(LEN(TRIM(D351))=0,"Sin objeto contractual; ","")&amp;IF(AND(ISNUMBER(M351),N351="Mínima cuantía"),IF(M351&gt;39850000,"Mínima cuantía con valor superior al tope citado en el instructivo 2026 ($39.850.000): verificar modalidad; ",""),"")&amp;IF(AND(ISNUMBER(M351),OR(ISNUMBER(SEARCH("prestación de servicios",D351)),ISNUMBER(SEARCH("prestar servicios",D351)),ISNUMBER(SEARCH("prestar los servicios",D351)))),IF(M351&gt;=500000000,"Prestación de servicios por $500 millones o más: posible error de digitación; ",""),""))=0,"Sin observaciones",IF(OR(NOT(ISNUMBER(B351)),LEN(B351)&lt;&gt;8),"UNSPSC vacío, en texto, con varios códigos o sin 8 dígitos; ","")&amp;IF(AND(ISNUMBER(B351),LEN(B351)=8),IF(MOD(B351,10000)=0,"UNSPSC a nivel de segmento o familia; ",""),"")&amp;IF(NOT(ISNUMBER(E351)),"Duración vacía o en texto; ","")&amp;IF(NOT(ISNUMBER(G351)),"Valor vacío o en texto; ","")&amp;IF(ISNUMBER(M351),IF(M351&lt;1000000,"Valor inferior a $1.000.000: verificar; ",""),"Valor no interpretable; ")&amp;IF(N351="[PENDIENTE DE VERIFICAR]","Modalidad no identificable; ","")&amp;IF(OR(ISERROR(SEARCH("@itc.edu.co",J351)),SUMPRODUCT(--ISNUMBER(SEARCH({"á","é","í","ó","ú","ñ"},J351)))&gt;0),"Correo vacío o no institucional válido; ","")&amp;IF(LEN(TRIM(D351))=0,"Sin objeto contractual; ","")&amp;IF(AND(ISNUMBER(M351),N351="Mínima cuantía"),IF(M351&gt;39850000,"Mínima cuantía con valor superior al tope citado en el instructivo 2026 ($39.850.000): verificar modalidad; ",""),"")&amp;IF(AND(ISNUMBER(M351),OR(ISNUMBER(SEARCH("prestación de servicios",D351)),ISNUMBER(SEARCH("prestar servicios",D351)),ISNUMBER(SEARCH("prestar los servicios",D351)))),IF(M351&gt;=500000000,"Prestación de servicios por $500 millones o más: posible error de digitación; ",""),""))</f>
        <v xml:space="preserve">Duración vacía o en texto; Valor vacío o en texto; Mínima cuantía con valor superior al tope citado en el instructivo 2026 ($39.850.000): verificar modalidad; </v>
      </c>
    </row>
    <row r="352" spans="1:15" ht="45.6" x14ac:dyDescent="0.3">
      <c r="A352" s="15" t="s">
        <v>584</v>
      </c>
      <c r="B352" s="15">
        <v>43211706</v>
      </c>
      <c r="C352" s="15" t="s">
        <v>1646</v>
      </c>
      <c r="D352" s="15" t="s">
        <v>1647</v>
      </c>
      <c r="E352" s="15" t="s">
        <v>1648</v>
      </c>
      <c r="F352" s="15" t="s">
        <v>788</v>
      </c>
      <c r="G352" s="29" t="s">
        <v>1632</v>
      </c>
      <c r="H352" s="15" t="s">
        <v>1437</v>
      </c>
      <c r="I352" s="15" t="s">
        <v>1438</v>
      </c>
      <c r="J352" s="15" t="s">
        <v>1439</v>
      </c>
      <c r="K352" s="15"/>
      <c r="L352" s="30" t="s">
        <v>1440</v>
      </c>
      <c r="M352" s="31">
        <v>40000000</v>
      </c>
      <c r="N352" s="30" t="s">
        <v>792</v>
      </c>
      <c r="O352" s="30" t="str">
        <f>IF(LEN(IF(OR(NOT(ISNUMBER(B352)),LEN(B352)&lt;&gt;8),"UNSPSC vacío, en texto, con varios códigos o sin 8 dígitos; ","")&amp;IF(AND(ISNUMBER(B352),LEN(B352)=8),IF(MOD(B352,10000)=0,"UNSPSC a nivel de segmento o familia; ",""),"")&amp;IF(NOT(ISNUMBER(E352)),"Duración vacía o en texto; ","")&amp;IF(NOT(ISNUMBER(G352)),"Valor vacío o en texto; ","")&amp;IF(ISNUMBER(M352),IF(M352&lt;1000000,"Valor inferior a $1.000.000: verificar; ",""),"Valor no interpretable; ")&amp;IF(N352="[PENDIENTE DE VERIFICAR]","Modalidad no identificable; ","")&amp;IF(OR(ISERROR(SEARCH("@itc.edu.co",J352)),SUMPRODUCT(--ISNUMBER(SEARCH({"á","é","í","ó","ú","ñ"},J352)))&gt;0),"Correo vacío o no institucional válido; ","")&amp;IF(LEN(TRIM(D352))=0,"Sin objeto contractual; ","")&amp;IF(AND(ISNUMBER(M352),N352="Mínima cuantía"),IF(M352&gt;39850000,"Mínima cuantía con valor superior al tope citado en el instructivo 2026 ($39.850.000): verificar modalidad; ",""),"")&amp;IF(AND(ISNUMBER(M352),OR(ISNUMBER(SEARCH("prestación de servicios",D352)),ISNUMBER(SEARCH("prestar servicios",D352)),ISNUMBER(SEARCH("prestar los servicios",D352)))),IF(M352&gt;=500000000,"Prestación de servicios por $500 millones o más: posible error de digitación; ",""),""))=0,"Sin observaciones",IF(OR(NOT(ISNUMBER(B352)),LEN(B352)&lt;&gt;8),"UNSPSC vacío, en texto, con varios códigos o sin 8 dígitos; ","")&amp;IF(AND(ISNUMBER(B352),LEN(B352)=8),IF(MOD(B352,10000)=0,"UNSPSC a nivel de segmento o familia; ",""),"")&amp;IF(NOT(ISNUMBER(E352)),"Duración vacía o en texto; ","")&amp;IF(NOT(ISNUMBER(G352)),"Valor vacío o en texto; ","")&amp;IF(ISNUMBER(M352),IF(M352&lt;1000000,"Valor inferior a $1.000.000: verificar; ",""),"Valor no interpretable; ")&amp;IF(N352="[PENDIENTE DE VERIFICAR]","Modalidad no identificable; ","")&amp;IF(OR(ISERROR(SEARCH("@itc.edu.co",J352)),SUMPRODUCT(--ISNUMBER(SEARCH({"á","é","í","ó","ú","ñ"},J352)))&gt;0),"Correo vacío o no institucional válido; ","")&amp;IF(LEN(TRIM(D352))=0,"Sin objeto contractual; ","")&amp;IF(AND(ISNUMBER(M352),N352="Mínima cuantía"),IF(M352&gt;39850000,"Mínima cuantía con valor superior al tope citado en el instructivo 2026 ($39.850.000): verificar modalidad; ",""),"")&amp;IF(AND(ISNUMBER(M352),OR(ISNUMBER(SEARCH("prestación de servicios",D352)),ISNUMBER(SEARCH("prestar servicios",D352)),ISNUMBER(SEARCH("prestar los servicios",D352)))),IF(M352&gt;=500000000,"Prestación de servicios por $500 millones o más: posible error de digitación; ",""),""))</f>
        <v xml:space="preserve">Duración vacía o en texto; Valor vacío o en texto; Mínima cuantía con valor superior al tope citado en el instructivo 2026 ($39.850.000): verificar modalidad; </v>
      </c>
    </row>
    <row r="353" spans="1:15" ht="34.200000000000003" x14ac:dyDescent="0.3">
      <c r="A353" s="15" t="s">
        <v>612</v>
      </c>
      <c r="B353" s="15">
        <v>47640000</v>
      </c>
      <c r="C353" s="15" t="s">
        <v>1646</v>
      </c>
      <c r="D353" s="15" t="s">
        <v>611</v>
      </c>
      <c r="E353" s="15" t="s">
        <v>1649</v>
      </c>
      <c r="F353" s="15" t="s">
        <v>788</v>
      </c>
      <c r="G353" s="29" t="s">
        <v>1650</v>
      </c>
      <c r="H353" s="15" t="s">
        <v>1437</v>
      </c>
      <c r="I353" s="15" t="s">
        <v>1438</v>
      </c>
      <c r="J353" s="15" t="s">
        <v>1439</v>
      </c>
      <c r="K353" s="15"/>
      <c r="L353" s="30" t="s">
        <v>1440</v>
      </c>
      <c r="M353" s="31">
        <v>5000000</v>
      </c>
      <c r="N353" s="30" t="s">
        <v>792</v>
      </c>
      <c r="O353" s="30" t="str">
        <f>IF(LEN(IF(OR(NOT(ISNUMBER(B353)),LEN(B353)&lt;&gt;8),"UNSPSC vacío, en texto, con varios códigos o sin 8 dígitos; ","")&amp;IF(AND(ISNUMBER(B353),LEN(B353)=8),IF(MOD(B353,10000)=0,"UNSPSC a nivel de segmento o familia; ",""),"")&amp;IF(NOT(ISNUMBER(E353)),"Duración vacía o en texto; ","")&amp;IF(NOT(ISNUMBER(G353)),"Valor vacío o en texto; ","")&amp;IF(ISNUMBER(M353),IF(M353&lt;1000000,"Valor inferior a $1.000.000: verificar; ",""),"Valor no interpretable; ")&amp;IF(N353="[PENDIENTE DE VERIFICAR]","Modalidad no identificable; ","")&amp;IF(OR(ISERROR(SEARCH("@itc.edu.co",J353)),SUMPRODUCT(--ISNUMBER(SEARCH({"á","é","í","ó","ú","ñ"},J353)))&gt;0),"Correo vacío o no institucional válido; ","")&amp;IF(LEN(TRIM(D353))=0,"Sin objeto contractual; ","")&amp;IF(AND(ISNUMBER(M353),N353="Mínima cuantía"),IF(M353&gt;39850000,"Mínima cuantía con valor superior al tope citado en el instructivo 2026 ($39.850.000): verificar modalidad; ",""),"")&amp;IF(AND(ISNUMBER(M353),OR(ISNUMBER(SEARCH("prestación de servicios",D353)),ISNUMBER(SEARCH("prestar servicios",D353)),ISNUMBER(SEARCH("prestar los servicios",D353)))),IF(M353&gt;=500000000,"Prestación de servicios por $500 millones o más: posible error de digitación; ",""),""))=0,"Sin observaciones",IF(OR(NOT(ISNUMBER(B353)),LEN(B353)&lt;&gt;8),"UNSPSC vacío, en texto, con varios códigos o sin 8 dígitos; ","")&amp;IF(AND(ISNUMBER(B353),LEN(B353)=8),IF(MOD(B353,10000)=0,"UNSPSC a nivel de segmento o familia; ",""),"")&amp;IF(NOT(ISNUMBER(E353)),"Duración vacía o en texto; ","")&amp;IF(NOT(ISNUMBER(G353)),"Valor vacío o en texto; ","")&amp;IF(ISNUMBER(M353),IF(M353&lt;1000000,"Valor inferior a $1.000.000: verificar; ",""),"Valor no interpretable; ")&amp;IF(N353="[PENDIENTE DE VERIFICAR]","Modalidad no identificable; ","")&amp;IF(OR(ISERROR(SEARCH("@itc.edu.co",J353)),SUMPRODUCT(--ISNUMBER(SEARCH({"á","é","í","ó","ú","ñ"},J353)))&gt;0),"Correo vacío o no institucional válido; ","")&amp;IF(LEN(TRIM(D353))=0,"Sin objeto contractual; ","")&amp;IF(AND(ISNUMBER(M353),N353="Mínima cuantía"),IF(M353&gt;39850000,"Mínima cuantía con valor superior al tope citado en el instructivo 2026 ($39.850.000): verificar modalidad; ",""),"")&amp;IF(AND(ISNUMBER(M353),OR(ISNUMBER(SEARCH("prestación de servicios",D353)),ISNUMBER(SEARCH("prestar servicios",D353)),ISNUMBER(SEARCH("prestar los servicios",D353)))),IF(M353&gt;=500000000,"Prestación de servicios por $500 millones o más: posible error de digitación; ",""),""))</f>
        <v xml:space="preserve">UNSPSC a nivel de segmento o familia; Duración vacía o en texto; Valor vacío o en texto; </v>
      </c>
    </row>
    <row r="354" spans="1:15" ht="91.2" x14ac:dyDescent="0.3">
      <c r="A354" s="15" t="s">
        <v>435</v>
      </c>
      <c r="B354" s="15" t="s">
        <v>1651</v>
      </c>
      <c r="C354" s="15" t="s">
        <v>1652</v>
      </c>
      <c r="D354" s="15" t="s">
        <v>1653</v>
      </c>
      <c r="E354" s="15" t="s">
        <v>1648</v>
      </c>
      <c r="F354" s="15" t="s">
        <v>788</v>
      </c>
      <c r="G354" s="29" t="s">
        <v>1343</v>
      </c>
      <c r="H354" s="15" t="s">
        <v>1437</v>
      </c>
      <c r="I354" s="15" t="s">
        <v>1438</v>
      </c>
      <c r="J354" s="15" t="s">
        <v>1439</v>
      </c>
      <c r="K354" s="15"/>
      <c r="L354" s="30" t="s">
        <v>1440</v>
      </c>
      <c r="M354" s="31">
        <v>10000000</v>
      </c>
      <c r="N354" s="30" t="s">
        <v>792</v>
      </c>
      <c r="O354" s="30" t="str">
        <f>IF(LEN(IF(OR(NOT(ISNUMBER(B354)),LEN(B354)&lt;&gt;8),"UNSPSC vacío, en texto, con varios códigos o sin 8 dígitos; ","")&amp;IF(AND(ISNUMBER(B354),LEN(B354)=8),IF(MOD(B354,10000)=0,"UNSPSC a nivel de segmento o familia; ",""),"")&amp;IF(NOT(ISNUMBER(E354)),"Duración vacía o en texto; ","")&amp;IF(NOT(ISNUMBER(G354)),"Valor vacío o en texto; ","")&amp;IF(ISNUMBER(M354),IF(M354&lt;1000000,"Valor inferior a $1.000.000: verificar; ",""),"Valor no interpretable; ")&amp;IF(N354="[PENDIENTE DE VERIFICAR]","Modalidad no identificable; ","")&amp;IF(OR(ISERROR(SEARCH("@itc.edu.co",J354)),SUMPRODUCT(--ISNUMBER(SEARCH({"á","é","í","ó","ú","ñ"},J354)))&gt;0),"Correo vacío o no institucional válido; ","")&amp;IF(LEN(TRIM(D354))=0,"Sin objeto contractual; ","")&amp;IF(AND(ISNUMBER(M354),N354="Mínima cuantía"),IF(M354&gt;39850000,"Mínima cuantía con valor superior al tope citado en el instructivo 2026 ($39.850.000): verificar modalidad; ",""),"")&amp;IF(AND(ISNUMBER(M354),OR(ISNUMBER(SEARCH("prestación de servicios",D354)),ISNUMBER(SEARCH("prestar servicios",D354)),ISNUMBER(SEARCH("prestar los servicios",D354)))),IF(M354&gt;=500000000,"Prestación de servicios por $500 millones o más: posible error de digitación; ",""),""))=0,"Sin observaciones",IF(OR(NOT(ISNUMBER(B354)),LEN(B354)&lt;&gt;8),"UNSPSC vacío, en texto, con varios códigos o sin 8 dígitos; ","")&amp;IF(AND(ISNUMBER(B354),LEN(B354)=8),IF(MOD(B354,10000)=0,"UNSPSC a nivel de segmento o familia; ",""),"")&amp;IF(NOT(ISNUMBER(E354)),"Duración vacía o en texto; ","")&amp;IF(NOT(ISNUMBER(G354)),"Valor vacío o en texto; ","")&amp;IF(ISNUMBER(M354),IF(M354&lt;1000000,"Valor inferior a $1.000.000: verificar; ",""),"Valor no interpretable; ")&amp;IF(N354="[PENDIENTE DE VERIFICAR]","Modalidad no identificable; ","")&amp;IF(OR(ISERROR(SEARCH("@itc.edu.co",J354)),SUMPRODUCT(--ISNUMBER(SEARCH({"á","é","í","ó","ú","ñ"},J354)))&gt;0),"Correo vacío o no institucional válido; ","")&amp;IF(LEN(TRIM(D354))=0,"Sin objeto contractual; ","")&amp;IF(AND(ISNUMBER(M354),N354="Mínima cuantía"),IF(M354&gt;39850000,"Mínima cuantía con valor superior al tope citado en el instructivo 2026 ($39.850.000): verificar modalidad; ",""),"")&amp;IF(AND(ISNUMBER(M354),OR(ISNUMBER(SEARCH("prestación de servicios",D354)),ISNUMBER(SEARCH("prestar servicios",D354)),ISNUMBER(SEARCH("prestar los servicios",D354)))),IF(M354&gt;=500000000,"Prestación de servicios por $500 millones o más: posible error de digitación; ",""),""))</f>
        <v xml:space="preserve">UNSPSC vacío, en texto, con varios códigos o sin 8 dígitos; Duración vacía o en texto; Valor vacío o en texto; </v>
      </c>
    </row>
    <row r="355" spans="1:15" ht="45.6" x14ac:dyDescent="0.3">
      <c r="A355" s="15" t="s">
        <v>476</v>
      </c>
      <c r="B355" s="15">
        <v>12350000</v>
      </c>
      <c r="C355" s="15" t="s">
        <v>1654</v>
      </c>
      <c r="D355" s="15" t="s">
        <v>1655</v>
      </c>
      <c r="E355" s="15" t="s">
        <v>1625</v>
      </c>
      <c r="F355" s="15" t="s">
        <v>788</v>
      </c>
      <c r="G355" s="29" t="s">
        <v>1656</v>
      </c>
      <c r="H355" s="15" t="s">
        <v>1437</v>
      </c>
      <c r="I355" s="15" t="s">
        <v>1438</v>
      </c>
      <c r="J355" s="15" t="s">
        <v>1439</v>
      </c>
      <c r="K355" s="15"/>
      <c r="L355" s="30" t="s">
        <v>1440</v>
      </c>
      <c r="M355" s="31">
        <v>15858000</v>
      </c>
      <c r="N355" s="30" t="s">
        <v>792</v>
      </c>
      <c r="O355" s="30" t="str">
        <f>IF(LEN(IF(OR(NOT(ISNUMBER(B355)),LEN(B355)&lt;&gt;8),"UNSPSC vacío, en texto, con varios códigos o sin 8 dígitos; ","")&amp;IF(AND(ISNUMBER(B355),LEN(B355)=8),IF(MOD(B355,10000)=0,"UNSPSC a nivel de segmento o familia; ",""),"")&amp;IF(NOT(ISNUMBER(E355)),"Duración vacía o en texto; ","")&amp;IF(NOT(ISNUMBER(G355)),"Valor vacío o en texto; ","")&amp;IF(ISNUMBER(M355),IF(M355&lt;1000000,"Valor inferior a $1.000.000: verificar; ",""),"Valor no interpretable; ")&amp;IF(N355="[PENDIENTE DE VERIFICAR]","Modalidad no identificable; ","")&amp;IF(OR(ISERROR(SEARCH("@itc.edu.co",J355)),SUMPRODUCT(--ISNUMBER(SEARCH({"á","é","í","ó","ú","ñ"},J355)))&gt;0),"Correo vacío o no institucional válido; ","")&amp;IF(LEN(TRIM(D355))=0,"Sin objeto contractual; ","")&amp;IF(AND(ISNUMBER(M355),N355="Mínima cuantía"),IF(M355&gt;39850000,"Mínima cuantía con valor superior al tope citado en el instructivo 2026 ($39.850.000): verificar modalidad; ",""),"")&amp;IF(AND(ISNUMBER(M355),OR(ISNUMBER(SEARCH("prestación de servicios",D355)),ISNUMBER(SEARCH("prestar servicios",D355)),ISNUMBER(SEARCH("prestar los servicios",D355)))),IF(M355&gt;=500000000,"Prestación de servicios por $500 millones o más: posible error de digitación; ",""),""))=0,"Sin observaciones",IF(OR(NOT(ISNUMBER(B355)),LEN(B355)&lt;&gt;8),"UNSPSC vacío, en texto, con varios códigos o sin 8 dígitos; ","")&amp;IF(AND(ISNUMBER(B355),LEN(B355)=8),IF(MOD(B355,10000)=0,"UNSPSC a nivel de segmento o familia; ",""),"")&amp;IF(NOT(ISNUMBER(E355)),"Duración vacía o en texto; ","")&amp;IF(NOT(ISNUMBER(G355)),"Valor vacío o en texto; ","")&amp;IF(ISNUMBER(M355),IF(M355&lt;1000000,"Valor inferior a $1.000.000: verificar; ",""),"Valor no interpretable; ")&amp;IF(N355="[PENDIENTE DE VERIFICAR]","Modalidad no identificable; ","")&amp;IF(OR(ISERROR(SEARCH("@itc.edu.co",J355)),SUMPRODUCT(--ISNUMBER(SEARCH({"á","é","í","ó","ú","ñ"},J355)))&gt;0),"Correo vacío o no institucional válido; ","")&amp;IF(LEN(TRIM(D355))=0,"Sin objeto contractual; ","")&amp;IF(AND(ISNUMBER(M355),N355="Mínima cuantía"),IF(M355&gt;39850000,"Mínima cuantía con valor superior al tope citado en el instructivo 2026 ($39.850.000): verificar modalidad; ",""),"")&amp;IF(AND(ISNUMBER(M355),OR(ISNUMBER(SEARCH("prestación de servicios",D355)),ISNUMBER(SEARCH("prestar servicios",D355)),ISNUMBER(SEARCH("prestar los servicios",D355)))),IF(M355&gt;=500000000,"Prestación de servicios por $500 millones o más: posible error de digitación; ",""),""))</f>
        <v xml:space="preserve">UNSPSC a nivel de segmento o familia; Duración vacía o en texto; Valor vacío o en texto; </v>
      </c>
    </row>
    <row r="356" spans="1:15" ht="34.200000000000003" x14ac:dyDescent="0.3">
      <c r="A356" s="15" t="s">
        <v>529</v>
      </c>
      <c r="B356" s="15">
        <v>32121615</v>
      </c>
      <c r="C356" s="15" t="s">
        <v>1654</v>
      </c>
      <c r="D356" s="15" t="s">
        <v>528</v>
      </c>
      <c r="E356" s="15" t="s">
        <v>1625</v>
      </c>
      <c r="F356" s="15" t="s">
        <v>788</v>
      </c>
      <c r="G356" s="29" t="s">
        <v>1657</v>
      </c>
      <c r="H356" s="15" t="s">
        <v>1437</v>
      </c>
      <c r="I356" s="15" t="s">
        <v>1438</v>
      </c>
      <c r="J356" s="15" t="s">
        <v>1439</v>
      </c>
      <c r="K356" s="15"/>
      <c r="L356" s="30" t="s">
        <v>1440</v>
      </c>
      <c r="M356" s="31">
        <v>3399800</v>
      </c>
      <c r="N356" s="30" t="s">
        <v>792</v>
      </c>
      <c r="O356" s="30" t="str">
        <f>IF(LEN(IF(OR(NOT(ISNUMBER(B356)),LEN(B356)&lt;&gt;8),"UNSPSC vacío, en texto, con varios códigos o sin 8 dígitos; ","")&amp;IF(AND(ISNUMBER(B356),LEN(B356)=8),IF(MOD(B356,10000)=0,"UNSPSC a nivel de segmento o familia; ",""),"")&amp;IF(NOT(ISNUMBER(E356)),"Duración vacía o en texto; ","")&amp;IF(NOT(ISNUMBER(G356)),"Valor vacío o en texto; ","")&amp;IF(ISNUMBER(M356),IF(M356&lt;1000000,"Valor inferior a $1.000.000: verificar; ",""),"Valor no interpretable; ")&amp;IF(N356="[PENDIENTE DE VERIFICAR]","Modalidad no identificable; ","")&amp;IF(OR(ISERROR(SEARCH("@itc.edu.co",J356)),SUMPRODUCT(--ISNUMBER(SEARCH({"á","é","í","ó","ú","ñ"},J356)))&gt;0),"Correo vacío o no institucional válido; ","")&amp;IF(LEN(TRIM(D356))=0,"Sin objeto contractual; ","")&amp;IF(AND(ISNUMBER(M356),N356="Mínima cuantía"),IF(M356&gt;39850000,"Mínima cuantía con valor superior al tope citado en el instructivo 2026 ($39.850.000): verificar modalidad; ",""),"")&amp;IF(AND(ISNUMBER(M356),OR(ISNUMBER(SEARCH("prestación de servicios",D356)),ISNUMBER(SEARCH("prestar servicios",D356)),ISNUMBER(SEARCH("prestar los servicios",D356)))),IF(M356&gt;=500000000,"Prestación de servicios por $500 millones o más: posible error de digitación; ",""),""))=0,"Sin observaciones",IF(OR(NOT(ISNUMBER(B356)),LEN(B356)&lt;&gt;8),"UNSPSC vacío, en texto, con varios códigos o sin 8 dígitos; ","")&amp;IF(AND(ISNUMBER(B356),LEN(B356)=8),IF(MOD(B356,10000)=0,"UNSPSC a nivel de segmento o familia; ",""),"")&amp;IF(NOT(ISNUMBER(E356)),"Duración vacía o en texto; ","")&amp;IF(NOT(ISNUMBER(G356)),"Valor vacío o en texto; ","")&amp;IF(ISNUMBER(M356),IF(M356&lt;1000000,"Valor inferior a $1.000.000: verificar; ",""),"Valor no interpretable; ")&amp;IF(N356="[PENDIENTE DE VERIFICAR]","Modalidad no identificable; ","")&amp;IF(OR(ISERROR(SEARCH("@itc.edu.co",J356)),SUMPRODUCT(--ISNUMBER(SEARCH({"á","é","í","ó","ú","ñ"},J356)))&gt;0),"Correo vacío o no institucional válido; ","")&amp;IF(LEN(TRIM(D356))=0,"Sin objeto contractual; ","")&amp;IF(AND(ISNUMBER(M356),N356="Mínima cuantía"),IF(M356&gt;39850000,"Mínima cuantía con valor superior al tope citado en el instructivo 2026 ($39.850.000): verificar modalidad; ",""),"")&amp;IF(AND(ISNUMBER(M356),OR(ISNUMBER(SEARCH("prestación de servicios",D356)),ISNUMBER(SEARCH("prestar servicios",D356)),ISNUMBER(SEARCH("prestar los servicios",D356)))),IF(M356&gt;=500000000,"Prestación de servicios por $500 millones o más: posible error de digitación; ",""),""))</f>
        <v xml:space="preserve">Duración vacía o en texto; Valor vacío o en texto; </v>
      </c>
    </row>
    <row r="357" spans="1:15" ht="34.200000000000003" x14ac:dyDescent="0.3">
      <c r="A357" s="15" t="s">
        <v>1658</v>
      </c>
      <c r="B357" s="15">
        <v>41121800</v>
      </c>
      <c r="C357" s="15" t="s">
        <v>1654</v>
      </c>
      <c r="D357" s="15" t="s">
        <v>1659</v>
      </c>
      <c r="E357" s="15" t="s">
        <v>1625</v>
      </c>
      <c r="F357" s="15" t="s">
        <v>788</v>
      </c>
      <c r="G357" s="29" t="s">
        <v>1343</v>
      </c>
      <c r="H357" s="15" t="s">
        <v>1437</v>
      </c>
      <c r="I357" s="15" t="s">
        <v>1438</v>
      </c>
      <c r="J357" s="15" t="s">
        <v>1439</v>
      </c>
      <c r="K357" s="15"/>
      <c r="L357" s="30" t="s">
        <v>1440</v>
      </c>
      <c r="M357" s="31">
        <v>10000000</v>
      </c>
      <c r="N357" s="30" t="s">
        <v>792</v>
      </c>
      <c r="O357" s="30" t="str">
        <f>IF(LEN(IF(OR(NOT(ISNUMBER(B357)),LEN(B357)&lt;&gt;8),"UNSPSC vacío, en texto, con varios códigos o sin 8 dígitos; ","")&amp;IF(AND(ISNUMBER(B357),LEN(B357)=8),IF(MOD(B357,10000)=0,"UNSPSC a nivel de segmento o familia; ",""),"")&amp;IF(NOT(ISNUMBER(E357)),"Duración vacía o en texto; ","")&amp;IF(NOT(ISNUMBER(G357)),"Valor vacío o en texto; ","")&amp;IF(ISNUMBER(M357),IF(M357&lt;1000000,"Valor inferior a $1.000.000: verificar; ",""),"Valor no interpretable; ")&amp;IF(N357="[PENDIENTE DE VERIFICAR]","Modalidad no identificable; ","")&amp;IF(OR(ISERROR(SEARCH("@itc.edu.co",J357)),SUMPRODUCT(--ISNUMBER(SEARCH({"á","é","í","ó","ú","ñ"},J357)))&gt;0),"Correo vacío o no institucional válido; ","")&amp;IF(LEN(TRIM(D357))=0,"Sin objeto contractual; ","")&amp;IF(AND(ISNUMBER(M357),N357="Mínima cuantía"),IF(M357&gt;39850000,"Mínima cuantía con valor superior al tope citado en el instructivo 2026 ($39.850.000): verificar modalidad; ",""),"")&amp;IF(AND(ISNUMBER(M357),OR(ISNUMBER(SEARCH("prestación de servicios",D357)),ISNUMBER(SEARCH("prestar servicios",D357)),ISNUMBER(SEARCH("prestar los servicios",D357)))),IF(M357&gt;=500000000,"Prestación de servicios por $500 millones o más: posible error de digitación; ",""),""))=0,"Sin observaciones",IF(OR(NOT(ISNUMBER(B357)),LEN(B357)&lt;&gt;8),"UNSPSC vacío, en texto, con varios códigos o sin 8 dígitos; ","")&amp;IF(AND(ISNUMBER(B357),LEN(B357)=8),IF(MOD(B357,10000)=0,"UNSPSC a nivel de segmento o familia; ",""),"")&amp;IF(NOT(ISNUMBER(E357)),"Duración vacía o en texto; ","")&amp;IF(NOT(ISNUMBER(G357)),"Valor vacío o en texto; ","")&amp;IF(ISNUMBER(M357),IF(M357&lt;1000000,"Valor inferior a $1.000.000: verificar; ",""),"Valor no interpretable; ")&amp;IF(N357="[PENDIENTE DE VERIFICAR]","Modalidad no identificable; ","")&amp;IF(OR(ISERROR(SEARCH("@itc.edu.co",J357)),SUMPRODUCT(--ISNUMBER(SEARCH({"á","é","í","ó","ú","ñ"},J357)))&gt;0),"Correo vacío o no institucional válido; ","")&amp;IF(LEN(TRIM(D357))=0,"Sin objeto contractual; ","")&amp;IF(AND(ISNUMBER(M357),N357="Mínima cuantía"),IF(M357&gt;39850000,"Mínima cuantía con valor superior al tope citado en el instructivo 2026 ($39.850.000): verificar modalidad; ",""),"")&amp;IF(AND(ISNUMBER(M357),OR(ISNUMBER(SEARCH("prestación de servicios",D357)),ISNUMBER(SEARCH("prestar servicios",D357)),ISNUMBER(SEARCH("prestar los servicios",D357)))),IF(M357&gt;=500000000,"Prestación de servicios por $500 millones o más: posible error de digitación; ",""),""))</f>
        <v xml:space="preserve">Duración vacía o en texto; Valor vacío o en texto; </v>
      </c>
    </row>
    <row r="358" spans="1:15" ht="34.200000000000003" x14ac:dyDescent="0.3">
      <c r="A358" s="15" t="s">
        <v>1660</v>
      </c>
      <c r="B358" s="15">
        <v>41121800</v>
      </c>
      <c r="C358" s="15" t="s">
        <v>1654</v>
      </c>
      <c r="D358" s="15" t="s">
        <v>1661</v>
      </c>
      <c r="E358" s="15" t="s">
        <v>1625</v>
      </c>
      <c r="F358" s="15" t="s">
        <v>788</v>
      </c>
      <c r="G358" s="29" t="s">
        <v>1374</v>
      </c>
      <c r="H358" s="15" t="s">
        <v>1437</v>
      </c>
      <c r="I358" s="15" t="s">
        <v>1438</v>
      </c>
      <c r="J358" s="15" t="s">
        <v>1439</v>
      </c>
      <c r="K358" s="15"/>
      <c r="L358" s="30" t="s">
        <v>1440</v>
      </c>
      <c r="M358" s="31">
        <v>2500000</v>
      </c>
      <c r="N358" s="30" t="s">
        <v>792</v>
      </c>
      <c r="O358" s="30" t="str">
        <f>IF(LEN(IF(OR(NOT(ISNUMBER(B358)),LEN(B358)&lt;&gt;8),"UNSPSC vacío, en texto, con varios códigos o sin 8 dígitos; ","")&amp;IF(AND(ISNUMBER(B358),LEN(B358)=8),IF(MOD(B358,10000)=0,"UNSPSC a nivel de segmento o familia; ",""),"")&amp;IF(NOT(ISNUMBER(E358)),"Duración vacía o en texto; ","")&amp;IF(NOT(ISNUMBER(G358)),"Valor vacío o en texto; ","")&amp;IF(ISNUMBER(M358),IF(M358&lt;1000000,"Valor inferior a $1.000.000: verificar; ",""),"Valor no interpretable; ")&amp;IF(N358="[PENDIENTE DE VERIFICAR]","Modalidad no identificable; ","")&amp;IF(OR(ISERROR(SEARCH("@itc.edu.co",J358)),SUMPRODUCT(--ISNUMBER(SEARCH({"á","é","í","ó","ú","ñ"},J358)))&gt;0),"Correo vacío o no institucional válido; ","")&amp;IF(LEN(TRIM(D358))=0,"Sin objeto contractual; ","")&amp;IF(AND(ISNUMBER(M358),N358="Mínima cuantía"),IF(M358&gt;39850000,"Mínima cuantía con valor superior al tope citado en el instructivo 2026 ($39.850.000): verificar modalidad; ",""),"")&amp;IF(AND(ISNUMBER(M358),OR(ISNUMBER(SEARCH("prestación de servicios",D358)),ISNUMBER(SEARCH("prestar servicios",D358)),ISNUMBER(SEARCH("prestar los servicios",D358)))),IF(M358&gt;=500000000,"Prestación de servicios por $500 millones o más: posible error de digitación; ",""),""))=0,"Sin observaciones",IF(OR(NOT(ISNUMBER(B358)),LEN(B358)&lt;&gt;8),"UNSPSC vacío, en texto, con varios códigos o sin 8 dígitos; ","")&amp;IF(AND(ISNUMBER(B358),LEN(B358)=8),IF(MOD(B358,10000)=0,"UNSPSC a nivel de segmento o familia; ",""),"")&amp;IF(NOT(ISNUMBER(E358)),"Duración vacía o en texto; ","")&amp;IF(NOT(ISNUMBER(G358)),"Valor vacío o en texto; ","")&amp;IF(ISNUMBER(M358),IF(M358&lt;1000000,"Valor inferior a $1.000.000: verificar; ",""),"Valor no interpretable; ")&amp;IF(N358="[PENDIENTE DE VERIFICAR]","Modalidad no identificable; ","")&amp;IF(OR(ISERROR(SEARCH("@itc.edu.co",J358)),SUMPRODUCT(--ISNUMBER(SEARCH({"á","é","í","ó","ú","ñ"},J358)))&gt;0),"Correo vacío o no institucional válido; ","")&amp;IF(LEN(TRIM(D358))=0,"Sin objeto contractual; ","")&amp;IF(AND(ISNUMBER(M358),N358="Mínima cuantía"),IF(M358&gt;39850000,"Mínima cuantía con valor superior al tope citado en el instructivo 2026 ($39.850.000): verificar modalidad; ",""),"")&amp;IF(AND(ISNUMBER(M358),OR(ISNUMBER(SEARCH("prestación de servicios",D358)),ISNUMBER(SEARCH("prestar servicios",D358)),ISNUMBER(SEARCH("prestar los servicios",D358)))),IF(M358&gt;=500000000,"Prestación de servicios por $500 millones o más: posible error de digitación; ",""),""))</f>
        <v xml:space="preserve">Duración vacía o en texto; Valor vacío o en texto; </v>
      </c>
    </row>
    <row r="359" spans="1:15" ht="57" x14ac:dyDescent="0.3">
      <c r="A359" s="15" t="s">
        <v>651</v>
      </c>
      <c r="B359" s="15">
        <v>72150000</v>
      </c>
      <c r="C359" s="15" t="s">
        <v>1654</v>
      </c>
      <c r="D359" s="15" t="s">
        <v>1662</v>
      </c>
      <c r="E359" s="15" t="s">
        <v>1625</v>
      </c>
      <c r="F359" s="15" t="s">
        <v>1470</v>
      </c>
      <c r="G359" s="29" t="s">
        <v>1663</v>
      </c>
      <c r="H359" s="15" t="s">
        <v>1437</v>
      </c>
      <c r="I359" s="15" t="s">
        <v>1438</v>
      </c>
      <c r="J359" s="15" t="s">
        <v>1439</v>
      </c>
      <c r="K359" s="15"/>
      <c r="L359" s="30" t="s">
        <v>1440</v>
      </c>
      <c r="M359" s="31">
        <v>5498400</v>
      </c>
      <c r="N359" s="30" t="s">
        <v>803</v>
      </c>
      <c r="O359" s="30" t="str">
        <f>IF(LEN(IF(OR(NOT(ISNUMBER(B359)),LEN(B359)&lt;&gt;8),"UNSPSC vacío, en texto, con varios códigos o sin 8 dígitos; ","")&amp;IF(AND(ISNUMBER(B359),LEN(B359)=8),IF(MOD(B359,10000)=0,"UNSPSC a nivel de segmento o familia; ",""),"")&amp;IF(NOT(ISNUMBER(E359)),"Duración vacía o en texto; ","")&amp;IF(NOT(ISNUMBER(G359)),"Valor vacío o en texto; ","")&amp;IF(ISNUMBER(M359),IF(M359&lt;1000000,"Valor inferior a $1.000.000: verificar; ",""),"Valor no interpretable; ")&amp;IF(N359="[PENDIENTE DE VERIFICAR]","Modalidad no identificable; ","")&amp;IF(OR(ISERROR(SEARCH("@itc.edu.co",J359)),SUMPRODUCT(--ISNUMBER(SEARCH({"á","é","í","ó","ú","ñ"},J359)))&gt;0),"Correo vacío o no institucional válido; ","")&amp;IF(LEN(TRIM(D359))=0,"Sin objeto contractual; ","")&amp;IF(AND(ISNUMBER(M359),N359="Mínima cuantía"),IF(M359&gt;39850000,"Mínima cuantía con valor superior al tope citado en el instructivo 2026 ($39.850.000): verificar modalidad; ",""),"")&amp;IF(AND(ISNUMBER(M359),OR(ISNUMBER(SEARCH("prestación de servicios",D359)),ISNUMBER(SEARCH("prestar servicios",D359)),ISNUMBER(SEARCH("prestar los servicios",D359)))),IF(M359&gt;=500000000,"Prestación de servicios por $500 millones o más: posible error de digitación; ",""),""))=0,"Sin observaciones",IF(OR(NOT(ISNUMBER(B359)),LEN(B359)&lt;&gt;8),"UNSPSC vacío, en texto, con varios códigos o sin 8 dígitos; ","")&amp;IF(AND(ISNUMBER(B359),LEN(B359)=8),IF(MOD(B359,10000)=0,"UNSPSC a nivel de segmento o familia; ",""),"")&amp;IF(NOT(ISNUMBER(E359)),"Duración vacía o en texto; ","")&amp;IF(NOT(ISNUMBER(G359)),"Valor vacío o en texto; ","")&amp;IF(ISNUMBER(M359),IF(M359&lt;1000000,"Valor inferior a $1.000.000: verificar; ",""),"Valor no interpretable; ")&amp;IF(N359="[PENDIENTE DE VERIFICAR]","Modalidad no identificable; ","")&amp;IF(OR(ISERROR(SEARCH("@itc.edu.co",J359)),SUMPRODUCT(--ISNUMBER(SEARCH({"á","é","í","ó","ú","ñ"},J359)))&gt;0),"Correo vacío o no institucional válido; ","")&amp;IF(LEN(TRIM(D359))=0,"Sin objeto contractual; ","")&amp;IF(AND(ISNUMBER(M359),N359="Mínima cuantía"),IF(M359&gt;39850000,"Mínima cuantía con valor superior al tope citado en el instructivo 2026 ($39.850.000): verificar modalidad; ",""),"")&amp;IF(AND(ISNUMBER(M359),OR(ISNUMBER(SEARCH("prestación de servicios",D359)),ISNUMBER(SEARCH("prestar servicios",D359)),ISNUMBER(SEARCH("prestar los servicios",D359)))),IF(M359&gt;=500000000,"Prestación de servicios por $500 millones o más: posible error de digitación; ",""),""))</f>
        <v xml:space="preserve">UNSPSC a nivel de segmento o familia; Duración vacía o en texto; Valor vacío o en texto; </v>
      </c>
    </row>
    <row r="360" spans="1:15" ht="45.6" x14ac:dyDescent="0.3">
      <c r="A360" s="15" t="s">
        <v>653</v>
      </c>
      <c r="B360" s="15">
        <v>72151200</v>
      </c>
      <c r="C360" s="15" t="s">
        <v>1654</v>
      </c>
      <c r="D360" s="15" t="s">
        <v>1664</v>
      </c>
      <c r="E360" s="15" t="s">
        <v>1625</v>
      </c>
      <c r="F360" s="15" t="s">
        <v>1470</v>
      </c>
      <c r="G360" s="29" t="s">
        <v>1665</v>
      </c>
      <c r="H360" s="15" t="s">
        <v>1437</v>
      </c>
      <c r="I360" s="15" t="s">
        <v>1438</v>
      </c>
      <c r="J360" s="15" t="s">
        <v>1439</v>
      </c>
      <c r="K360" s="15"/>
      <c r="L360" s="30" t="s">
        <v>1440</v>
      </c>
      <c r="M360" s="31">
        <v>7497200</v>
      </c>
      <c r="N360" s="30" t="s">
        <v>803</v>
      </c>
      <c r="O360" s="30" t="str">
        <f>IF(LEN(IF(OR(NOT(ISNUMBER(B360)),LEN(B360)&lt;&gt;8),"UNSPSC vacío, en texto, con varios códigos o sin 8 dígitos; ","")&amp;IF(AND(ISNUMBER(B360),LEN(B360)=8),IF(MOD(B360,10000)=0,"UNSPSC a nivel de segmento o familia; ",""),"")&amp;IF(NOT(ISNUMBER(E360)),"Duración vacía o en texto; ","")&amp;IF(NOT(ISNUMBER(G360)),"Valor vacío o en texto; ","")&amp;IF(ISNUMBER(M360),IF(M360&lt;1000000,"Valor inferior a $1.000.000: verificar; ",""),"Valor no interpretable; ")&amp;IF(N360="[PENDIENTE DE VERIFICAR]","Modalidad no identificable; ","")&amp;IF(OR(ISERROR(SEARCH("@itc.edu.co",J360)),SUMPRODUCT(--ISNUMBER(SEARCH({"á","é","í","ó","ú","ñ"},J360)))&gt;0),"Correo vacío o no institucional válido; ","")&amp;IF(LEN(TRIM(D360))=0,"Sin objeto contractual; ","")&amp;IF(AND(ISNUMBER(M360),N360="Mínima cuantía"),IF(M360&gt;39850000,"Mínima cuantía con valor superior al tope citado en el instructivo 2026 ($39.850.000): verificar modalidad; ",""),"")&amp;IF(AND(ISNUMBER(M360),OR(ISNUMBER(SEARCH("prestación de servicios",D360)),ISNUMBER(SEARCH("prestar servicios",D360)),ISNUMBER(SEARCH("prestar los servicios",D360)))),IF(M360&gt;=500000000,"Prestación de servicios por $500 millones o más: posible error de digitación; ",""),""))=0,"Sin observaciones",IF(OR(NOT(ISNUMBER(B360)),LEN(B360)&lt;&gt;8),"UNSPSC vacío, en texto, con varios códigos o sin 8 dígitos; ","")&amp;IF(AND(ISNUMBER(B360),LEN(B360)=8),IF(MOD(B360,10000)=0,"UNSPSC a nivel de segmento o familia; ",""),"")&amp;IF(NOT(ISNUMBER(E360)),"Duración vacía o en texto; ","")&amp;IF(NOT(ISNUMBER(G360)),"Valor vacío o en texto; ","")&amp;IF(ISNUMBER(M360),IF(M360&lt;1000000,"Valor inferior a $1.000.000: verificar; ",""),"Valor no interpretable; ")&amp;IF(N360="[PENDIENTE DE VERIFICAR]","Modalidad no identificable; ","")&amp;IF(OR(ISERROR(SEARCH("@itc.edu.co",J360)),SUMPRODUCT(--ISNUMBER(SEARCH({"á","é","í","ó","ú","ñ"},J360)))&gt;0),"Correo vacío o no institucional válido; ","")&amp;IF(LEN(TRIM(D360))=0,"Sin objeto contractual; ","")&amp;IF(AND(ISNUMBER(M360),N360="Mínima cuantía"),IF(M360&gt;39850000,"Mínima cuantía con valor superior al tope citado en el instructivo 2026 ($39.850.000): verificar modalidad; ",""),"")&amp;IF(AND(ISNUMBER(M360),OR(ISNUMBER(SEARCH("prestación de servicios",D360)),ISNUMBER(SEARCH("prestar servicios",D360)),ISNUMBER(SEARCH("prestar los servicios",D360)))),IF(M360&gt;=500000000,"Prestación de servicios por $500 millones o más: posible error de digitación; ",""),""))</f>
        <v xml:space="preserve">Duración vacía o en texto; Valor vacío o en texto; </v>
      </c>
    </row>
    <row r="361" spans="1:15" ht="57" x14ac:dyDescent="0.3">
      <c r="A361" s="15" t="s">
        <v>580</v>
      </c>
      <c r="B361" s="15" t="s">
        <v>1666</v>
      </c>
      <c r="C361" s="15" t="s">
        <v>1667</v>
      </c>
      <c r="D361" s="15" t="s">
        <v>1668</v>
      </c>
      <c r="E361" s="15" t="s">
        <v>1648</v>
      </c>
      <c r="F361" s="15" t="s">
        <v>788</v>
      </c>
      <c r="G361" s="29" t="s">
        <v>1669</v>
      </c>
      <c r="H361" s="15" t="s">
        <v>1437</v>
      </c>
      <c r="I361" s="15" t="s">
        <v>1438</v>
      </c>
      <c r="J361" s="15" t="s">
        <v>1439</v>
      </c>
      <c r="K361" s="15"/>
      <c r="L361" s="30" t="s">
        <v>1440</v>
      </c>
      <c r="M361" s="31">
        <v>60000000</v>
      </c>
      <c r="N361" s="30" t="s">
        <v>792</v>
      </c>
      <c r="O361" s="30" t="str">
        <f>IF(LEN(IF(OR(NOT(ISNUMBER(B361)),LEN(B361)&lt;&gt;8),"UNSPSC vacío, en texto, con varios códigos o sin 8 dígitos; ","")&amp;IF(AND(ISNUMBER(B361),LEN(B361)=8),IF(MOD(B361,10000)=0,"UNSPSC a nivel de segmento o familia; ",""),"")&amp;IF(NOT(ISNUMBER(E361)),"Duración vacía o en texto; ","")&amp;IF(NOT(ISNUMBER(G361)),"Valor vacío o en texto; ","")&amp;IF(ISNUMBER(M361),IF(M361&lt;1000000,"Valor inferior a $1.000.000: verificar; ",""),"Valor no interpretable; ")&amp;IF(N361="[PENDIENTE DE VERIFICAR]","Modalidad no identificable; ","")&amp;IF(OR(ISERROR(SEARCH("@itc.edu.co",J361)),SUMPRODUCT(--ISNUMBER(SEARCH({"á","é","í","ó","ú","ñ"},J361)))&gt;0),"Correo vacío o no institucional válido; ","")&amp;IF(LEN(TRIM(D361))=0,"Sin objeto contractual; ","")&amp;IF(AND(ISNUMBER(M361),N361="Mínima cuantía"),IF(M361&gt;39850000,"Mínima cuantía con valor superior al tope citado en el instructivo 2026 ($39.850.000): verificar modalidad; ",""),"")&amp;IF(AND(ISNUMBER(M361),OR(ISNUMBER(SEARCH("prestación de servicios",D361)),ISNUMBER(SEARCH("prestar servicios",D361)),ISNUMBER(SEARCH("prestar los servicios",D361)))),IF(M361&gt;=500000000,"Prestación de servicios por $500 millones o más: posible error de digitación; ",""),""))=0,"Sin observaciones",IF(OR(NOT(ISNUMBER(B361)),LEN(B361)&lt;&gt;8),"UNSPSC vacío, en texto, con varios códigos o sin 8 dígitos; ","")&amp;IF(AND(ISNUMBER(B361),LEN(B361)=8),IF(MOD(B361,10000)=0,"UNSPSC a nivel de segmento o familia; ",""),"")&amp;IF(NOT(ISNUMBER(E361)),"Duración vacía o en texto; ","")&amp;IF(NOT(ISNUMBER(G361)),"Valor vacío o en texto; ","")&amp;IF(ISNUMBER(M361),IF(M361&lt;1000000,"Valor inferior a $1.000.000: verificar; ",""),"Valor no interpretable; ")&amp;IF(N361="[PENDIENTE DE VERIFICAR]","Modalidad no identificable; ","")&amp;IF(OR(ISERROR(SEARCH("@itc.edu.co",J361)),SUMPRODUCT(--ISNUMBER(SEARCH({"á","é","í","ó","ú","ñ"},J361)))&gt;0),"Correo vacío o no institucional válido; ","")&amp;IF(LEN(TRIM(D361))=0,"Sin objeto contractual; ","")&amp;IF(AND(ISNUMBER(M361),N361="Mínima cuantía"),IF(M361&gt;39850000,"Mínima cuantía con valor superior al tope citado en el instructivo 2026 ($39.850.000): verificar modalidad; ",""),"")&amp;IF(AND(ISNUMBER(M361),OR(ISNUMBER(SEARCH("prestación de servicios",D361)),ISNUMBER(SEARCH("prestar servicios",D361)),ISNUMBER(SEARCH("prestar los servicios",D361)))),IF(M361&gt;=500000000,"Prestación de servicios por $500 millones o más: posible error de digitación; ",""),""))</f>
        <v xml:space="preserve">UNSPSC vacío, en texto, con varios códigos o sin 8 dígitos; Duración vacía o en texto; Valor vacío o en texto; Mínima cuantía con valor superior al tope citado en el instructivo 2026 ($39.850.000): verificar modalidad; </v>
      </c>
    </row>
    <row r="362" spans="1:15" ht="57" x14ac:dyDescent="0.3">
      <c r="A362" s="15" t="s">
        <v>582</v>
      </c>
      <c r="B362" s="15" t="s">
        <v>1670</v>
      </c>
      <c r="C362" s="15" t="s">
        <v>1667</v>
      </c>
      <c r="D362" s="15" t="s">
        <v>1671</v>
      </c>
      <c r="E362" s="15" t="s">
        <v>1648</v>
      </c>
      <c r="F362" s="15" t="s">
        <v>788</v>
      </c>
      <c r="G362" s="29" t="s">
        <v>1672</v>
      </c>
      <c r="H362" s="15" t="s">
        <v>1437</v>
      </c>
      <c r="I362" s="15" t="s">
        <v>1438</v>
      </c>
      <c r="J362" s="15" t="s">
        <v>1439</v>
      </c>
      <c r="K362" s="15"/>
      <c r="L362" s="30" t="s">
        <v>1440</v>
      </c>
      <c r="M362" s="31">
        <v>600000000</v>
      </c>
      <c r="N362" s="30" t="s">
        <v>792</v>
      </c>
      <c r="O362" s="30" t="str">
        <f>IF(LEN(IF(OR(NOT(ISNUMBER(B362)),LEN(B362)&lt;&gt;8),"UNSPSC vacío, en texto, con varios códigos o sin 8 dígitos; ","")&amp;IF(AND(ISNUMBER(B362),LEN(B362)=8),IF(MOD(B362,10000)=0,"UNSPSC a nivel de segmento o familia; ",""),"")&amp;IF(NOT(ISNUMBER(E362)),"Duración vacía o en texto; ","")&amp;IF(NOT(ISNUMBER(G362)),"Valor vacío o en texto; ","")&amp;IF(ISNUMBER(M362),IF(M362&lt;1000000,"Valor inferior a $1.000.000: verificar; ",""),"Valor no interpretable; ")&amp;IF(N362="[PENDIENTE DE VERIFICAR]","Modalidad no identificable; ","")&amp;IF(OR(ISERROR(SEARCH("@itc.edu.co",J362)),SUMPRODUCT(--ISNUMBER(SEARCH({"á","é","í","ó","ú","ñ"},J362)))&gt;0),"Correo vacío o no institucional válido; ","")&amp;IF(LEN(TRIM(D362))=0,"Sin objeto contractual; ","")&amp;IF(AND(ISNUMBER(M362),N362="Mínima cuantía"),IF(M362&gt;39850000,"Mínima cuantía con valor superior al tope citado en el instructivo 2026 ($39.850.000): verificar modalidad; ",""),"")&amp;IF(AND(ISNUMBER(M362),OR(ISNUMBER(SEARCH("prestación de servicios",D362)),ISNUMBER(SEARCH("prestar servicios",D362)),ISNUMBER(SEARCH("prestar los servicios",D362)))),IF(M362&gt;=500000000,"Prestación de servicios por $500 millones o más: posible error de digitación; ",""),""))=0,"Sin observaciones",IF(OR(NOT(ISNUMBER(B362)),LEN(B362)&lt;&gt;8),"UNSPSC vacío, en texto, con varios códigos o sin 8 dígitos; ","")&amp;IF(AND(ISNUMBER(B362),LEN(B362)=8),IF(MOD(B362,10000)=0,"UNSPSC a nivel de segmento o familia; ",""),"")&amp;IF(NOT(ISNUMBER(E362)),"Duración vacía o en texto; ","")&amp;IF(NOT(ISNUMBER(G362)),"Valor vacío o en texto; ","")&amp;IF(ISNUMBER(M362),IF(M362&lt;1000000,"Valor inferior a $1.000.000: verificar; ",""),"Valor no interpretable; ")&amp;IF(N362="[PENDIENTE DE VERIFICAR]","Modalidad no identificable; ","")&amp;IF(OR(ISERROR(SEARCH("@itc.edu.co",J362)),SUMPRODUCT(--ISNUMBER(SEARCH({"á","é","í","ó","ú","ñ"},J362)))&gt;0),"Correo vacío o no institucional válido; ","")&amp;IF(LEN(TRIM(D362))=0,"Sin objeto contractual; ","")&amp;IF(AND(ISNUMBER(M362),N362="Mínima cuantía"),IF(M362&gt;39850000,"Mínima cuantía con valor superior al tope citado en el instructivo 2026 ($39.850.000): verificar modalidad; ",""),"")&amp;IF(AND(ISNUMBER(M362),OR(ISNUMBER(SEARCH("prestación de servicios",D362)),ISNUMBER(SEARCH("prestar servicios",D362)),ISNUMBER(SEARCH("prestar los servicios",D362)))),IF(M362&gt;=500000000,"Prestación de servicios por $500 millones o más: posible error de digitación; ",""),""))</f>
        <v xml:space="preserve">UNSPSC vacío, en texto, con varios códigos o sin 8 dígitos; Duración vacía o en texto; Valor vacío o en texto; Mínima cuantía con valor superior al tope citado en el instructivo 2026 ($39.850.000): verificar modalidad; </v>
      </c>
    </row>
    <row r="363" spans="1:15" ht="45.6" x14ac:dyDescent="0.3">
      <c r="A363" s="15" t="s">
        <v>514</v>
      </c>
      <c r="B363" s="15" t="s">
        <v>1673</v>
      </c>
      <c r="C363" s="15" t="s">
        <v>1667</v>
      </c>
      <c r="D363" s="15" t="s">
        <v>1674</v>
      </c>
      <c r="E363" s="15" t="s">
        <v>1648</v>
      </c>
      <c r="F363" s="15" t="s">
        <v>788</v>
      </c>
      <c r="G363" s="29" t="s">
        <v>1368</v>
      </c>
      <c r="H363" s="15" t="s">
        <v>1437</v>
      </c>
      <c r="I363" s="15" t="s">
        <v>1438</v>
      </c>
      <c r="J363" s="15" t="s">
        <v>1439</v>
      </c>
      <c r="K363" s="15"/>
      <c r="L363" s="30" t="s">
        <v>1440</v>
      </c>
      <c r="M363" s="31">
        <v>4000000</v>
      </c>
      <c r="N363" s="30" t="s">
        <v>792</v>
      </c>
      <c r="O363" s="30" t="str">
        <f>IF(LEN(IF(OR(NOT(ISNUMBER(B363)),LEN(B363)&lt;&gt;8),"UNSPSC vacío, en texto, con varios códigos o sin 8 dígitos; ","")&amp;IF(AND(ISNUMBER(B363),LEN(B363)=8),IF(MOD(B363,10000)=0,"UNSPSC a nivel de segmento o familia; ",""),"")&amp;IF(NOT(ISNUMBER(E363)),"Duración vacía o en texto; ","")&amp;IF(NOT(ISNUMBER(G363)),"Valor vacío o en texto; ","")&amp;IF(ISNUMBER(M363),IF(M363&lt;1000000,"Valor inferior a $1.000.000: verificar; ",""),"Valor no interpretable; ")&amp;IF(N363="[PENDIENTE DE VERIFICAR]","Modalidad no identificable; ","")&amp;IF(OR(ISERROR(SEARCH("@itc.edu.co",J363)),SUMPRODUCT(--ISNUMBER(SEARCH({"á","é","í","ó","ú","ñ"},J363)))&gt;0),"Correo vacío o no institucional válido; ","")&amp;IF(LEN(TRIM(D363))=0,"Sin objeto contractual; ","")&amp;IF(AND(ISNUMBER(M363),N363="Mínima cuantía"),IF(M363&gt;39850000,"Mínima cuantía con valor superior al tope citado en el instructivo 2026 ($39.850.000): verificar modalidad; ",""),"")&amp;IF(AND(ISNUMBER(M363),OR(ISNUMBER(SEARCH("prestación de servicios",D363)),ISNUMBER(SEARCH("prestar servicios",D363)),ISNUMBER(SEARCH("prestar los servicios",D363)))),IF(M363&gt;=500000000,"Prestación de servicios por $500 millones o más: posible error de digitación; ",""),""))=0,"Sin observaciones",IF(OR(NOT(ISNUMBER(B363)),LEN(B363)&lt;&gt;8),"UNSPSC vacío, en texto, con varios códigos o sin 8 dígitos; ","")&amp;IF(AND(ISNUMBER(B363),LEN(B363)=8),IF(MOD(B363,10000)=0,"UNSPSC a nivel de segmento o familia; ",""),"")&amp;IF(NOT(ISNUMBER(E363)),"Duración vacía o en texto; ","")&amp;IF(NOT(ISNUMBER(G363)),"Valor vacío o en texto; ","")&amp;IF(ISNUMBER(M363),IF(M363&lt;1000000,"Valor inferior a $1.000.000: verificar; ",""),"Valor no interpretable; ")&amp;IF(N363="[PENDIENTE DE VERIFICAR]","Modalidad no identificable; ","")&amp;IF(OR(ISERROR(SEARCH("@itc.edu.co",J363)),SUMPRODUCT(--ISNUMBER(SEARCH({"á","é","í","ó","ú","ñ"},J363)))&gt;0),"Correo vacío o no institucional válido; ","")&amp;IF(LEN(TRIM(D363))=0,"Sin objeto contractual; ","")&amp;IF(AND(ISNUMBER(M363),N363="Mínima cuantía"),IF(M363&gt;39850000,"Mínima cuantía con valor superior al tope citado en el instructivo 2026 ($39.850.000): verificar modalidad; ",""),"")&amp;IF(AND(ISNUMBER(M363),OR(ISNUMBER(SEARCH("prestación de servicios",D363)),ISNUMBER(SEARCH("prestar servicios",D363)),ISNUMBER(SEARCH("prestar los servicios",D363)))),IF(M363&gt;=500000000,"Prestación de servicios por $500 millones o más: posible error de digitación; ",""),""))</f>
        <v xml:space="preserve">UNSPSC vacío, en texto, con varios códigos o sin 8 dígitos; Duración vacía o en texto; Valor vacío o en texto; </v>
      </c>
    </row>
    <row r="364" spans="1:15" ht="34.200000000000003" x14ac:dyDescent="0.3">
      <c r="A364" s="15" t="s">
        <v>571</v>
      </c>
      <c r="B364" s="15">
        <v>43201830</v>
      </c>
      <c r="C364" s="15" t="s">
        <v>1667</v>
      </c>
      <c r="D364" s="15" t="s">
        <v>570</v>
      </c>
      <c r="E364" s="15" t="s">
        <v>1648</v>
      </c>
      <c r="F364" s="15" t="s">
        <v>788</v>
      </c>
      <c r="G364" s="29" t="s">
        <v>1143</v>
      </c>
      <c r="H364" s="15" t="s">
        <v>1437</v>
      </c>
      <c r="I364" s="15" t="s">
        <v>1438</v>
      </c>
      <c r="J364" s="15" t="s">
        <v>1439</v>
      </c>
      <c r="K364" s="15"/>
      <c r="L364" s="30" t="s">
        <v>1440</v>
      </c>
      <c r="M364" s="31">
        <v>15000000</v>
      </c>
      <c r="N364" s="30" t="s">
        <v>792</v>
      </c>
      <c r="O364" s="30" t="str">
        <f>IF(LEN(IF(OR(NOT(ISNUMBER(B364)),LEN(B364)&lt;&gt;8),"UNSPSC vacío, en texto, con varios códigos o sin 8 dígitos; ","")&amp;IF(AND(ISNUMBER(B364),LEN(B364)=8),IF(MOD(B364,10000)=0,"UNSPSC a nivel de segmento o familia; ",""),"")&amp;IF(NOT(ISNUMBER(E364)),"Duración vacía o en texto; ","")&amp;IF(NOT(ISNUMBER(G364)),"Valor vacío o en texto; ","")&amp;IF(ISNUMBER(M364),IF(M364&lt;1000000,"Valor inferior a $1.000.000: verificar; ",""),"Valor no interpretable; ")&amp;IF(N364="[PENDIENTE DE VERIFICAR]","Modalidad no identificable; ","")&amp;IF(OR(ISERROR(SEARCH("@itc.edu.co",J364)),SUMPRODUCT(--ISNUMBER(SEARCH({"á","é","í","ó","ú","ñ"},J364)))&gt;0),"Correo vacío o no institucional válido; ","")&amp;IF(LEN(TRIM(D364))=0,"Sin objeto contractual; ","")&amp;IF(AND(ISNUMBER(M364),N364="Mínima cuantía"),IF(M364&gt;39850000,"Mínima cuantía con valor superior al tope citado en el instructivo 2026 ($39.850.000): verificar modalidad; ",""),"")&amp;IF(AND(ISNUMBER(M364),OR(ISNUMBER(SEARCH("prestación de servicios",D364)),ISNUMBER(SEARCH("prestar servicios",D364)),ISNUMBER(SEARCH("prestar los servicios",D364)))),IF(M364&gt;=500000000,"Prestación de servicios por $500 millones o más: posible error de digitación; ",""),""))=0,"Sin observaciones",IF(OR(NOT(ISNUMBER(B364)),LEN(B364)&lt;&gt;8),"UNSPSC vacío, en texto, con varios códigos o sin 8 dígitos; ","")&amp;IF(AND(ISNUMBER(B364),LEN(B364)=8),IF(MOD(B364,10000)=0,"UNSPSC a nivel de segmento o familia; ",""),"")&amp;IF(NOT(ISNUMBER(E364)),"Duración vacía o en texto; ","")&amp;IF(NOT(ISNUMBER(G364)),"Valor vacío o en texto; ","")&amp;IF(ISNUMBER(M364),IF(M364&lt;1000000,"Valor inferior a $1.000.000: verificar; ",""),"Valor no interpretable; ")&amp;IF(N364="[PENDIENTE DE VERIFICAR]","Modalidad no identificable; ","")&amp;IF(OR(ISERROR(SEARCH("@itc.edu.co",J364)),SUMPRODUCT(--ISNUMBER(SEARCH({"á","é","í","ó","ú","ñ"},J364)))&gt;0),"Correo vacío o no institucional válido; ","")&amp;IF(LEN(TRIM(D364))=0,"Sin objeto contractual; ","")&amp;IF(AND(ISNUMBER(M364),N364="Mínima cuantía"),IF(M364&gt;39850000,"Mínima cuantía con valor superior al tope citado en el instructivo 2026 ($39.850.000): verificar modalidad; ",""),"")&amp;IF(AND(ISNUMBER(M364),OR(ISNUMBER(SEARCH("prestación de servicios",D364)),ISNUMBER(SEARCH("prestar servicios",D364)),ISNUMBER(SEARCH("prestar los servicios",D364)))),IF(M364&gt;=500000000,"Prestación de servicios por $500 millones o más: posible error de digitación; ",""),""))</f>
        <v xml:space="preserve">Duración vacía o en texto; Valor vacío o en texto; </v>
      </c>
    </row>
    <row r="365" spans="1:15" ht="45.6" x14ac:dyDescent="0.3">
      <c r="A365" s="15" t="s">
        <v>1675</v>
      </c>
      <c r="B365" s="15">
        <v>43211508</v>
      </c>
      <c r="C365" s="15" t="s">
        <v>1676</v>
      </c>
      <c r="D365" s="15" t="s">
        <v>1677</v>
      </c>
      <c r="E365" s="15" t="s">
        <v>1648</v>
      </c>
      <c r="F365" s="15" t="s">
        <v>788</v>
      </c>
      <c r="G365" s="29" t="s">
        <v>1678</v>
      </c>
      <c r="H365" s="15" t="s">
        <v>1437</v>
      </c>
      <c r="I365" s="15" t="s">
        <v>1438</v>
      </c>
      <c r="J365" s="15" t="s">
        <v>1439</v>
      </c>
      <c r="K365" s="15"/>
      <c r="L365" s="30" t="s">
        <v>1440</v>
      </c>
      <c r="M365" s="31">
        <v>42000000</v>
      </c>
      <c r="N365" s="30" t="s">
        <v>792</v>
      </c>
      <c r="O365" s="30" t="str">
        <f>IF(LEN(IF(OR(NOT(ISNUMBER(B365)),LEN(B365)&lt;&gt;8),"UNSPSC vacío, en texto, con varios códigos o sin 8 dígitos; ","")&amp;IF(AND(ISNUMBER(B365),LEN(B365)=8),IF(MOD(B365,10000)=0,"UNSPSC a nivel de segmento o familia; ",""),"")&amp;IF(NOT(ISNUMBER(E365)),"Duración vacía o en texto; ","")&amp;IF(NOT(ISNUMBER(G365)),"Valor vacío o en texto; ","")&amp;IF(ISNUMBER(M365),IF(M365&lt;1000000,"Valor inferior a $1.000.000: verificar; ",""),"Valor no interpretable; ")&amp;IF(N365="[PENDIENTE DE VERIFICAR]","Modalidad no identificable; ","")&amp;IF(OR(ISERROR(SEARCH("@itc.edu.co",J365)),SUMPRODUCT(--ISNUMBER(SEARCH({"á","é","í","ó","ú","ñ"},J365)))&gt;0),"Correo vacío o no institucional válido; ","")&amp;IF(LEN(TRIM(D365))=0,"Sin objeto contractual; ","")&amp;IF(AND(ISNUMBER(M365),N365="Mínima cuantía"),IF(M365&gt;39850000,"Mínima cuantía con valor superior al tope citado en el instructivo 2026 ($39.850.000): verificar modalidad; ",""),"")&amp;IF(AND(ISNUMBER(M365),OR(ISNUMBER(SEARCH("prestación de servicios",D365)),ISNUMBER(SEARCH("prestar servicios",D365)),ISNUMBER(SEARCH("prestar los servicios",D365)))),IF(M365&gt;=500000000,"Prestación de servicios por $500 millones o más: posible error de digitación; ",""),""))=0,"Sin observaciones",IF(OR(NOT(ISNUMBER(B365)),LEN(B365)&lt;&gt;8),"UNSPSC vacío, en texto, con varios códigos o sin 8 dígitos; ","")&amp;IF(AND(ISNUMBER(B365),LEN(B365)=8),IF(MOD(B365,10000)=0,"UNSPSC a nivel de segmento o familia; ",""),"")&amp;IF(NOT(ISNUMBER(E365)),"Duración vacía o en texto; ","")&amp;IF(NOT(ISNUMBER(G365)),"Valor vacío o en texto; ","")&amp;IF(ISNUMBER(M365),IF(M365&lt;1000000,"Valor inferior a $1.000.000: verificar; ",""),"Valor no interpretable; ")&amp;IF(N365="[PENDIENTE DE VERIFICAR]","Modalidad no identificable; ","")&amp;IF(OR(ISERROR(SEARCH("@itc.edu.co",J365)),SUMPRODUCT(--ISNUMBER(SEARCH({"á","é","í","ó","ú","ñ"},J365)))&gt;0),"Correo vacío o no institucional válido; ","")&amp;IF(LEN(TRIM(D365))=0,"Sin objeto contractual; ","")&amp;IF(AND(ISNUMBER(M365),N365="Mínima cuantía"),IF(M365&gt;39850000,"Mínima cuantía con valor superior al tope citado en el instructivo 2026 ($39.850.000): verificar modalidad; ",""),"")&amp;IF(AND(ISNUMBER(M365),OR(ISNUMBER(SEARCH("prestación de servicios",D365)),ISNUMBER(SEARCH("prestar servicios",D365)),ISNUMBER(SEARCH("prestar los servicios",D365)))),IF(M365&gt;=500000000,"Prestación de servicios por $500 millones o más: posible error de digitación; ",""),""))</f>
        <v xml:space="preserve">Duración vacía o en texto; Valor vacío o en texto; Mínima cuantía con valor superior al tope citado en el instructivo 2026 ($39.850.000): verificar modalidad; </v>
      </c>
    </row>
    <row r="366" spans="1:15" ht="79.8" x14ac:dyDescent="0.3">
      <c r="A366" s="15" t="s">
        <v>507</v>
      </c>
      <c r="B366" s="15" t="s">
        <v>1679</v>
      </c>
      <c r="C366" s="15" t="s">
        <v>1680</v>
      </c>
      <c r="D366" s="15" t="s">
        <v>1681</v>
      </c>
      <c r="E366" s="15" t="s">
        <v>1648</v>
      </c>
      <c r="F366" s="15" t="s">
        <v>788</v>
      </c>
      <c r="G366" s="29" t="s">
        <v>1682</v>
      </c>
      <c r="H366" s="15" t="s">
        <v>1437</v>
      </c>
      <c r="I366" s="15" t="s">
        <v>1438</v>
      </c>
      <c r="J366" s="15" t="s">
        <v>1439</v>
      </c>
      <c r="K366" s="15"/>
      <c r="L366" s="30" t="s">
        <v>1440</v>
      </c>
      <c r="M366" s="31">
        <v>12000000</v>
      </c>
      <c r="N366" s="30" t="s">
        <v>792</v>
      </c>
      <c r="O366" s="30" t="str">
        <f>IF(LEN(IF(OR(NOT(ISNUMBER(B366)),LEN(B366)&lt;&gt;8),"UNSPSC vacío, en texto, con varios códigos o sin 8 dígitos; ","")&amp;IF(AND(ISNUMBER(B366),LEN(B366)=8),IF(MOD(B366,10000)=0,"UNSPSC a nivel de segmento o familia; ",""),"")&amp;IF(NOT(ISNUMBER(E366)),"Duración vacía o en texto; ","")&amp;IF(NOT(ISNUMBER(G366)),"Valor vacío o en texto; ","")&amp;IF(ISNUMBER(M366),IF(M366&lt;1000000,"Valor inferior a $1.000.000: verificar; ",""),"Valor no interpretable; ")&amp;IF(N366="[PENDIENTE DE VERIFICAR]","Modalidad no identificable; ","")&amp;IF(OR(ISERROR(SEARCH("@itc.edu.co",J366)),SUMPRODUCT(--ISNUMBER(SEARCH({"á","é","í","ó","ú","ñ"},J366)))&gt;0),"Correo vacío o no institucional válido; ","")&amp;IF(LEN(TRIM(D366))=0,"Sin objeto contractual; ","")&amp;IF(AND(ISNUMBER(M366),N366="Mínima cuantía"),IF(M366&gt;39850000,"Mínima cuantía con valor superior al tope citado en el instructivo 2026 ($39.850.000): verificar modalidad; ",""),"")&amp;IF(AND(ISNUMBER(M366),OR(ISNUMBER(SEARCH("prestación de servicios",D366)),ISNUMBER(SEARCH("prestar servicios",D366)),ISNUMBER(SEARCH("prestar los servicios",D366)))),IF(M366&gt;=500000000,"Prestación de servicios por $500 millones o más: posible error de digitación; ",""),""))=0,"Sin observaciones",IF(OR(NOT(ISNUMBER(B366)),LEN(B366)&lt;&gt;8),"UNSPSC vacío, en texto, con varios códigos o sin 8 dígitos; ","")&amp;IF(AND(ISNUMBER(B366),LEN(B366)=8),IF(MOD(B366,10000)=0,"UNSPSC a nivel de segmento o familia; ",""),"")&amp;IF(NOT(ISNUMBER(E366)),"Duración vacía o en texto; ","")&amp;IF(NOT(ISNUMBER(G366)),"Valor vacío o en texto; ","")&amp;IF(ISNUMBER(M366),IF(M366&lt;1000000,"Valor inferior a $1.000.000: verificar; ",""),"Valor no interpretable; ")&amp;IF(N366="[PENDIENTE DE VERIFICAR]","Modalidad no identificable; ","")&amp;IF(OR(ISERROR(SEARCH("@itc.edu.co",J366)),SUMPRODUCT(--ISNUMBER(SEARCH({"á","é","í","ó","ú","ñ"},J366)))&gt;0),"Correo vacío o no institucional válido; ","")&amp;IF(LEN(TRIM(D366))=0,"Sin objeto contractual; ","")&amp;IF(AND(ISNUMBER(M366),N366="Mínima cuantía"),IF(M366&gt;39850000,"Mínima cuantía con valor superior al tope citado en el instructivo 2026 ($39.850.000): verificar modalidad; ",""),"")&amp;IF(AND(ISNUMBER(M366),OR(ISNUMBER(SEARCH("prestación de servicios",D366)),ISNUMBER(SEARCH("prestar servicios",D366)),ISNUMBER(SEARCH("prestar los servicios",D366)))),IF(M366&gt;=500000000,"Prestación de servicios por $500 millones o más: posible error de digitación; ",""),""))</f>
        <v xml:space="preserve">UNSPSC vacío, en texto, con varios códigos o sin 8 dígitos; Duración vacía o en texto; Valor vacío o en texto; </v>
      </c>
    </row>
    <row r="367" spans="1:15" ht="91.2" x14ac:dyDescent="0.3">
      <c r="A367" s="15" t="s">
        <v>1683</v>
      </c>
      <c r="B367" s="15">
        <v>80101507</v>
      </c>
      <c r="C367" s="15" t="s">
        <v>678</v>
      </c>
      <c r="D367" s="15" t="s">
        <v>1684</v>
      </c>
      <c r="E367" s="15">
        <v>12</v>
      </c>
      <c r="F367" s="15" t="s">
        <v>1685</v>
      </c>
      <c r="G367" s="29">
        <v>50000000</v>
      </c>
      <c r="H367" s="15" t="s">
        <v>849</v>
      </c>
      <c r="I367" s="15" t="s">
        <v>856</v>
      </c>
      <c r="J367" s="15" t="s">
        <v>857</v>
      </c>
      <c r="K367" s="15"/>
      <c r="L367" s="30" t="s">
        <v>858</v>
      </c>
      <c r="M367" s="31">
        <v>50000000</v>
      </c>
      <c r="N367" s="30" t="s">
        <v>792</v>
      </c>
      <c r="O367" s="30" t="str">
        <f>IF(LEN(IF(OR(NOT(ISNUMBER(B367)),LEN(B367)&lt;&gt;8),"UNSPSC vacío, en texto, con varios códigos o sin 8 dígitos; ","")&amp;IF(AND(ISNUMBER(B367),LEN(B367)=8),IF(MOD(B367,10000)=0,"UNSPSC a nivel de segmento o familia; ",""),"")&amp;IF(NOT(ISNUMBER(E367)),"Duración vacía o en texto; ","")&amp;IF(NOT(ISNUMBER(G367)),"Valor vacío o en texto; ","")&amp;IF(ISNUMBER(M367),IF(M367&lt;1000000,"Valor inferior a $1.000.000: verificar; ",""),"Valor no interpretable; ")&amp;IF(N367="[PENDIENTE DE VERIFICAR]","Modalidad no identificable; ","")&amp;IF(OR(ISERROR(SEARCH("@itc.edu.co",J367)),SUMPRODUCT(--ISNUMBER(SEARCH({"á","é","í","ó","ú","ñ"},J367)))&gt;0),"Correo vacío o no institucional válido; ","")&amp;IF(LEN(TRIM(D367))=0,"Sin objeto contractual; ","")&amp;IF(AND(ISNUMBER(M367),N367="Mínima cuantía"),IF(M367&gt;39850000,"Mínima cuantía con valor superior al tope citado en el instructivo 2026 ($39.850.000): verificar modalidad; ",""),"")&amp;IF(AND(ISNUMBER(M367),OR(ISNUMBER(SEARCH("prestación de servicios",D367)),ISNUMBER(SEARCH("prestar servicios",D367)),ISNUMBER(SEARCH("prestar los servicios",D367)))),IF(M367&gt;=500000000,"Prestación de servicios por $500 millones o más: posible error de digitación; ",""),""))=0,"Sin observaciones",IF(OR(NOT(ISNUMBER(B367)),LEN(B367)&lt;&gt;8),"UNSPSC vacío, en texto, con varios códigos o sin 8 dígitos; ","")&amp;IF(AND(ISNUMBER(B367),LEN(B367)=8),IF(MOD(B367,10000)=0,"UNSPSC a nivel de segmento o familia; ",""),"")&amp;IF(NOT(ISNUMBER(E367)),"Duración vacía o en texto; ","")&amp;IF(NOT(ISNUMBER(G367)),"Valor vacío o en texto; ","")&amp;IF(ISNUMBER(M367),IF(M367&lt;1000000,"Valor inferior a $1.000.000: verificar; ",""),"Valor no interpretable; ")&amp;IF(N367="[PENDIENTE DE VERIFICAR]","Modalidad no identificable; ","")&amp;IF(OR(ISERROR(SEARCH("@itc.edu.co",J367)),SUMPRODUCT(--ISNUMBER(SEARCH({"á","é","í","ó","ú","ñ"},J367)))&gt;0),"Correo vacío o no institucional válido; ","")&amp;IF(LEN(TRIM(D367))=0,"Sin objeto contractual; ","")&amp;IF(AND(ISNUMBER(M367),N367="Mínima cuantía"),IF(M367&gt;39850000,"Mínima cuantía con valor superior al tope citado en el instructivo 2026 ($39.850.000): verificar modalidad; ",""),"")&amp;IF(AND(ISNUMBER(M367),OR(ISNUMBER(SEARCH("prestación de servicios",D367)),ISNUMBER(SEARCH("prestar servicios",D367)),ISNUMBER(SEARCH("prestar los servicios",D367)))),IF(M367&gt;=500000000,"Prestación de servicios por $500 millones o más: posible error de digitación; ",""),""))</f>
        <v xml:space="preserve">Mínima cuantía con valor superior al tope citado en el instructivo 2026 ($39.850.000): verificar modalidad; </v>
      </c>
    </row>
    <row r="368" spans="1:15" ht="68.400000000000006" x14ac:dyDescent="0.3">
      <c r="A368" s="15" t="s">
        <v>1686</v>
      </c>
      <c r="B368" s="15">
        <v>43231513</v>
      </c>
      <c r="C368" s="15" t="s">
        <v>678</v>
      </c>
      <c r="D368" s="15" t="s">
        <v>1687</v>
      </c>
      <c r="E368" s="15">
        <v>5</v>
      </c>
      <c r="F368" s="15" t="s">
        <v>1685</v>
      </c>
      <c r="G368" s="29">
        <v>7000000</v>
      </c>
      <c r="H368" s="15" t="s">
        <v>849</v>
      </c>
      <c r="I368" s="15" t="s">
        <v>856</v>
      </c>
      <c r="J368" s="15" t="s">
        <v>857</v>
      </c>
      <c r="K368" s="15"/>
      <c r="L368" s="30" t="s">
        <v>858</v>
      </c>
      <c r="M368" s="31">
        <v>7000000</v>
      </c>
      <c r="N368" s="30" t="s">
        <v>792</v>
      </c>
      <c r="O368" s="30" t="str">
        <f>IF(LEN(IF(OR(NOT(ISNUMBER(B368)),LEN(B368)&lt;&gt;8),"UNSPSC vacío, en texto, con varios códigos o sin 8 dígitos; ","")&amp;IF(AND(ISNUMBER(B368),LEN(B368)=8),IF(MOD(B368,10000)=0,"UNSPSC a nivel de segmento o familia; ",""),"")&amp;IF(NOT(ISNUMBER(E368)),"Duración vacía o en texto; ","")&amp;IF(NOT(ISNUMBER(G368)),"Valor vacío o en texto; ","")&amp;IF(ISNUMBER(M368),IF(M368&lt;1000000,"Valor inferior a $1.000.000: verificar; ",""),"Valor no interpretable; ")&amp;IF(N368="[PENDIENTE DE VERIFICAR]","Modalidad no identificable; ","")&amp;IF(OR(ISERROR(SEARCH("@itc.edu.co",J368)),SUMPRODUCT(--ISNUMBER(SEARCH({"á","é","í","ó","ú","ñ"},J368)))&gt;0),"Correo vacío o no institucional válido; ","")&amp;IF(LEN(TRIM(D368))=0,"Sin objeto contractual; ","")&amp;IF(AND(ISNUMBER(M368),N368="Mínima cuantía"),IF(M368&gt;39850000,"Mínima cuantía con valor superior al tope citado en el instructivo 2026 ($39.850.000): verificar modalidad; ",""),"")&amp;IF(AND(ISNUMBER(M368),OR(ISNUMBER(SEARCH("prestación de servicios",D368)),ISNUMBER(SEARCH("prestar servicios",D368)),ISNUMBER(SEARCH("prestar los servicios",D368)))),IF(M368&gt;=500000000,"Prestación de servicios por $500 millones o más: posible error de digitación; ",""),""))=0,"Sin observaciones",IF(OR(NOT(ISNUMBER(B368)),LEN(B368)&lt;&gt;8),"UNSPSC vacío, en texto, con varios códigos o sin 8 dígitos; ","")&amp;IF(AND(ISNUMBER(B368),LEN(B368)=8),IF(MOD(B368,10000)=0,"UNSPSC a nivel de segmento o familia; ",""),"")&amp;IF(NOT(ISNUMBER(E368)),"Duración vacía o en texto; ","")&amp;IF(NOT(ISNUMBER(G368)),"Valor vacío o en texto; ","")&amp;IF(ISNUMBER(M368),IF(M368&lt;1000000,"Valor inferior a $1.000.000: verificar; ",""),"Valor no interpretable; ")&amp;IF(N368="[PENDIENTE DE VERIFICAR]","Modalidad no identificable; ","")&amp;IF(OR(ISERROR(SEARCH("@itc.edu.co",J368)),SUMPRODUCT(--ISNUMBER(SEARCH({"á","é","í","ó","ú","ñ"},J368)))&gt;0),"Correo vacío o no institucional válido; ","")&amp;IF(LEN(TRIM(D368))=0,"Sin objeto contractual; ","")&amp;IF(AND(ISNUMBER(M368),N368="Mínima cuantía"),IF(M368&gt;39850000,"Mínima cuantía con valor superior al tope citado en el instructivo 2026 ($39.850.000): verificar modalidad; ",""),"")&amp;IF(AND(ISNUMBER(M368),OR(ISNUMBER(SEARCH("prestación de servicios",D368)),ISNUMBER(SEARCH("prestar servicios",D368)),ISNUMBER(SEARCH("prestar los servicios",D368)))),IF(M368&gt;=500000000,"Prestación de servicios por $500 millones o más: posible error de digitación; ",""),""))</f>
        <v>Sin observaciones</v>
      </c>
    </row>
    <row r="369" spans="1:15" ht="34.200000000000003" x14ac:dyDescent="0.3">
      <c r="A369" s="15" t="s">
        <v>349</v>
      </c>
      <c r="B369" s="15">
        <v>81112210</v>
      </c>
      <c r="C369" s="15" t="s">
        <v>350</v>
      </c>
      <c r="D369" s="15" t="s">
        <v>348</v>
      </c>
      <c r="E369" s="15">
        <v>12</v>
      </c>
      <c r="F369" s="15" t="s">
        <v>802</v>
      </c>
      <c r="G369" s="29">
        <v>38000000</v>
      </c>
      <c r="H369" s="15" t="s">
        <v>1688</v>
      </c>
      <c r="I369" s="15" t="s">
        <v>1689</v>
      </c>
      <c r="J369" s="15" t="s">
        <v>1690</v>
      </c>
      <c r="K369" s="15"/>
      <c r="L369" s="30" t="s">
        <v>1140</v>
      </c>
      <c r="M369" s="31">
        <v>38000000</v>
      </c>
      <c r="N369" s="30" t="s">
        <v>803</v>
      </c>
      <c r="O369" s="30" t="str">
        <f>IF(LEN(IF(OR(NOT(ISNUMBER(B369)),LEN(B369)&lt;&gt;8),"UNSPSC vacío, en texto, con varios códigos o sin 8 dígitos; ","")&amp;IF(AND(ISNUMBER(B369),LEN(B369)=8),IF(MOD(B369,10000)=0,"UNSPSC a nivel de segmento o familia; ",""),"")&amp;IF(NOT(ISNUMBER(E369)),"Duración vacía o en texto; ","")&amp;IF(NOT(ISNUMBER(G369)),"Valor vacío o en texto; ","")&amp;IF(ISNUMBER(M369),IF(M369&lt;1000000,"Valor inferior a $1.000.000: verificar; ",""),"Valor no interpretable; ")&amp;IF(N369="[PENDIENTE DE VERIFICAR]","Modalidad no identificable; ","")&amp;IF(OR(ISERROR(SEARCH("@itc.edu.co",J369)),SUMPRODUCT(--ISNUMBER(SEARCH({"á","é","í","ó","ú","ñ"},J369)))&gt;0),"Correo vacío o no institucional válido; ","")&amp;IF(LEN(TRIM(D369))=0,"Sin objeto contractual; ","")&amp;IF(AND(ISNUMBER(M369),N369="Mínima cuantía"),IF(M369&gt;39850000,"Mínima cuantía con valor superior al tope citado en el instructivo 2026 ($39.850.000): verificar modalidad; ",""),"")&amp;IF(AND(ISNUMBER(M369),OR(ISNUMBER(SEARCH("prestación de servicios",D369)),ISNUMBER(SEARCH("prestar servicios",D369)),ISNUMBER(SEARCH("prestar los servicios",D369)))),IF(M369&gt;=500000000,"Prestación de servicios por $500 millones o más: posible error de digitación; ",""),""))=0,"Sin observaciones",IF(OR(NOT(ISNUMBER(B369)),LEN(B369)&lt;&gt;8),"UNSPSC vacío, en texto, con varios códigos o sin 8 dígitos; ","")&amp;IF(AND(ISNUMBER(B369),LEN(B369)=8),IF(MOD(B369,10000)=0,"UNSPSC a nivel de segmento o familia; ",""),"")&amp;IF(NOT(ISNUMBER(E369)),"Duración vacía o en texto; ","")&amp;IF(NOT(ISNUMBER(G369)),"Valor vacío o en texto; ","")&amp;IF(ISNUMBER(M369),IF(M369&lt;1000000,"Valor inferior a $1.000.000: verificar; ",""),"Valor no interpretable; ")&amp;IF(N369="[PENDIENTE DE VERIFICAR]","Modalidad no identificable; ","")&amp;IF(OR(ISERROR(SEARCH("@itc.edu.co",J369)),SUMPRODUCT(--ISNUMBER(SEARCH({"á","é","í","ó","ú","ñ"},J369)))&gt;0),"Correo vacío o no institucional válido; ","")&amp;IF(LEN(TRIM(D369))=0,"Sin objeto contractual; ","")&amp;IF(AND(ISNUMBER(M369),N369="Mínima cuantía"),IF(M369&gt;39850000,"Mínima cuantía con valor superior al tope citado en el instructivo 2026 ($39.850.000): verificar modalidad; ",""),"")&amp;IF(AND(ISNUMBER(M369),OR(ISNUMBER(SEARCH("prestación de servicios",D369)),ISNUMBER(SEARCH("prestar servicios",D369)),ISNUMBER(SEARCH("prestar los servicios",D369)))),IF(M369&gt;=500000000,"Prestación de servicios por $500 millones o más: posible error de digitación; ",""),""))</f>
        <v xml:space="preserve">Correo vacío o no institucional válido; </v>
      </c>
    </row>
    <row r="370" spans="1:15" ht="34.200000000000003" x14ac:dyDescent="0.3">
      <c r="A370" s="15" t="s">
        <v>1691</v>
      </c>
      <c r="B370" s="15">
        <v>81112210</v>
      </c>
      <c r="C370" s="15" t="s">
        <v>350</v>
      </c>
      <c r="D370" s="15" t="s">
        <v>1692</v>
      </c>
      <c r="E370" s="15">
        <v>12</v>
      </c>
      <c r="F370" s="15" t="s">
        <v>802</v>
      </c>
      <c r="G370" s="29" t="s">
        <v>1643</v>
      </c>
      <c r="H370" s="15" t="s">
        <v>1688</v>
      </c>
      <c r="I370" s="15" t="s">
        <v>1689</v>
      </c>
      <c r="J370" s="15" t="s">
        <v>1690</v>
      </c>
      <c r="K370" s="15"/>
      <c r="L370" s="30" t="s">
        <v>1140</v>
      </c>
      <c r="M370" s="31">
        <v>250000000</v>
      </c>
      <c r="N370" s="30" t="s">
        <v>803</v>
      </c>
      <c r="O370" s="30" t="str">
        <f>IF(LEN(IF(OR(NOT(ISNUMBER(B370)),LEN(B370)&lt;&gt;8),"UNSPSC vacío, en texto, con varios códigos o sin 8 dígitos; ","")&amp;IF(AND(ISNUMBER(B370),LEN(B370)=8),IF(MOD(B370,10000)=0,"UNSPSC a nivel de segmento o familia; ",""),"")&amp;IF(NOT(ISNUMBER(E370)),"Duración vacía o en texto; ","")&amp;IF(NOT(ISNUMBER(G370)),"Valor vacío o en texto; ","")&amp;IF(ISNUMBER(M370),IF(M370&lt;1000000,"Valor inferior a $1.000.000: verificar; ",""),"Valor no interpretable; ")&amp;IF(N370="[PENDIENTE DE VERIFICAR]","Modalidad no identificable; ","")&amp;IF(OR(ISERROR(SEARCH("@itc.edu.co",J370)),SUMPRODUCT(--ISNUMBER(SEARCH({"á","é","í","ó","ú","ñ"},J370)))&gt;0),"Correo vacío o no institucional válido; ","")&amp;IF(LEN(TRIM(D370))=0,"Sin objeto contractual; ","")&amp;IF(AND(ISNUMBER(M370),N370="Mínima cuantía"),IF(M370&gt;39850000,"Mínima cuantía con valor superior al tope citado en el instructivo 2026 ($39.850.000): verificar modalidad; ",""),"")&amp;IF(AND(ISNUMBER(M370),OR(ISNUMBER(SEARCH("prestación de servicios",D370)),ISNUMBER(SEARCH("prestar servicios",D370)),ISNUMBER(SEARCH("prestar los servicios",D370)))),IF(M370&gt;=500000000,"Prestación de servicios por $500 millones o más: posible error de digitación; ",""),""))=0,"Sin observaciones",IF(OR(NOT(ISNUMBER(B370)),LEN(B370)&lt;&gt;8),"UNSPSC vacío, en texto, con varios códigos o sin 8 dígitos; ","")&amp;IF(AND(ISNUMBER(B370),LEN(B370)=8),IF(MOD(B370,10000)=0,"UNSPSC a nivel de segmento o familia; ",""),"")&amp;IF(NOT(ISNUMBER(E370)),"Duración vacía o en texto; ","")&amp;IF(NOT(ISNUMBER(G370)),"Valor vacío o en texto; ","")&amp;IF(ISNUMBER(M370),IF(M370&lt;1000000,"Valor inferior a $1.000.000: verificar; ",""),"Valor no interpretable; ")&amp;IF(N370="[PENDIENTE DE VERIFICAR]","Modalidad no identificable; ","")&amp;IF(OR(ISERROR(SEARCH("@itc.edu.co",J370)),SUMPRODUCT(--ISNUMBER(SEARCH({"á","é","í","ó","ú","ñ"},J370)))&gt;0),"Correo vacío o no institucional válido; ","")&amp;IF(LEN(TRIM(D370))=0,"Sin objeto contractual; ","")&amp;IF(AND(ISNUMBER(M370),N370="Mínima cuantía"),IF(M370&gt;39850000,"Mínima cuantía con valor superior al tope citado en el instructivo 2026 ($39.850.000): verificar modalidad; ",""),"")&amp;IF(AND(ISNUMBER(M370),OR(ISNUMBER(SEARCH("prestación de servicios",D370)),ISNUMBER(SEARCH("prestar servicios",D370)),ISNUMBER(SEARCH("prestar los servicios",D370)))),IF(M370&gt;=500000000,"Prestación de servicios por $500 millones o más: posible error de digitación; ",""),""))</f>
        <v xml:space="preserve">Valor vacío o en texto; Correo vacío o no institucional válido; </v>
      </c>
    </row>
    <row r="371" spans="1:15" ht="34.200000000000003" x14ac:dyDescent="0.3">
      <c r="A371" s="15" t="s">
        <v>1693</v>
      </c>
      <c r="B371" s="15">
        <v>43211508</v>
      </c>
      <c r="C371" s="15" t="s">
        <v>678</v>
      </c>
      <c r="D371" s="15" t="s">
        <v>1694</v>
      </c>
      <c r="E371" s="15">
        <v>1</v>
      </c>
      <c r="F371" s="15" t="s">
        <v>1685</v>
      </c>
      <c r="G371" s="29">
        <v>4500000</v>
      </c>
      <c r="H371" s="15" t="s">
        <v>849</v>
      </c>
      <c r="I371" s="15" t="s">
        <v>856</v>
      </c>
      <c r="J371" s="15" t="s">
        <v>857</v>
      </c>
      <c r="K371" s="15"/>
      <c r="L371" s="30" t="s">
        <v>858</v>
      </c>
      <c r="M371" s="31">
        <v>4500000</v>
      </c>
      <c r="N371" s="30" t="s">
        <v>792</v>
      </c>
      <c r="O371" s="30" t="str">
        <f>IF(LEN(IF(OR(NOT(ISNUMBER(B371)),LEN(B371)&lt;&gt;8),"UNSPSC vacío, en texto, con varios códigos o sin 8 dígitos; ","")&amp;IF(AND(ISNUMBER(B371),LEN(B371)=8),IF(MOD(B371,10000)=0,"UNSPSC a nivel de segmento o familia; ",""),"")&amp;IF(NOT(ISNUMBER(E371)),"Duración vacía o en texto; ","")&amp;IF(NOT(ISNUMBER(G371)),"Valor vacío o en texto; ","")&amp;IF(ISNUMBER(M371),IF(M371&lt;1000000,"Valor inferior a $1.000.000: verificar; ",""),"Valor no interpretable; ")&amp;IF(N371="[PENDIENTE DE VERIFICAR]","Modalidad no identificable; ","")&amp;IF(OR(ISERROR(SEARCH("@itc.edu.co",J371)),SUMPRODUCT(--ISNUMBER(SEARCH({"á","é","í","ó","ú","ñ"},J371)))&gt;0),"Correo vacío o no institucional válido; ","")&amp;IF(LEN(TRIM(D371))=0,"Sin objeto contractual; ","")&amp;IF(AND(ISNUMBER(M371),N371="Mínima cuantía"),IF(M371&gt;39850000,"Mínima cuantía con valor superior al tope citado en el instructivo 2026 ($39.850.000): verificar modalidad; ",""),"")&amp;IF(AND(ISNUMBER(M371),OR(ISNUMBER(SEARCH("prestación de servicios",D371)),ISNUMBER(SEARCH("prestar servicios",D371)),ISNUMBER(SEARCH("prestar los servicios",D371)))),IF(M371&gt;=500000000,"Prestación de servicios por $500 millones o más: posible error de digitación; ",""),""))=0,"Sin observaciones",IF(OR(NOT(ISNUMBER(B371)),LEN(B371)&lt;&gt;8),"UNSPSC vacío, en texto, con varios códigos o sin 8 dígitos; ","")&amp;IF(AND(ISNUMBER(B371),LEN(B371)=8),IF(MOD(B371,10000)=0,"UNSPSC a nivel de segmento o familia; ",""),"")&amp;IF(NOT(ISNUMBER(E371)),"Duración vacía o en texto; ","")&amp;IF(NOT(ISNUMBER(G371)),"Valor vacío o en texto; ","")&amp;IF(ISNUMBER(M371),IF(M371&lt;1000000,"Valor inferior a $1.000.000: verificar; ",""),"Valor no interpretable; ")&amp;IF(N371="[PENDIENTE DE VERIFICAR]","Modalidad no identificable; ","")&amp;IF(OR(ISERROR(SEARCH("@itc.edu.co",J371)),SUMPRODUCT(--ISNUMBER(SEARCH({"á","é","í","ó","ú","ñ"},J371)))&gt;0),"Correo vacío o no institucional válido; ","")&amp;IF(LEN(TRIM(D371))=0,"Sin objeto contractual; ","")&amp;IF(AND(ISNUMBER(M371),N371="Mínima cuantía"),IF(M371&gt;39850000,"Mínima cuantía con valor superior al tope citado en el instructivo 2026 ($39.850.000): verificar modalidad; ",""),"")&amp;IF(AND(ISNUMBER(M371),OR(ISNUMBER(SEARCH("prestación de servicios",D371)),ISNUMBER(SEARCH("prestar servicios",D371)),ISNUMBER(SEARCH("prestar los servicios",D371)))),IF(M371&gt;=500000000,"Prestación de servicios por $500 millones o más: posible error de digitación; ",""),""))</f>
        <v>Sin observaciones</v>
      </c>
    </row>
    <row r="372" spans="1:15" ht="34.200000000000003" x14ac:dyDescent="0.3">
      <c r="A372" s="15" t="s">
        <v>1695</v>
      </c>
      <c r="B372" s="15">
        <v>43212105</v>
      </c>
      <c r="C372" s="15" t="s">
        <v>678</v>
      </c>
      <c r="D372" s="15" t="s">
        <v>1696</v>
      </c>
      <c r="E372" s="15">
        <v>1</v>
      </c>
      <c r="F372" s="15" t="s">
        <v>1685</v>
      </c>
      <c r="G372" s="29">
        <v>1500000</v>
      </c>
      <c r="H372" s="15" t="s">
        <v>849</v>
      </c>
      <c r="I372" s="15" t="s">
        <v>856</v>
      </c>
      <c r="J372" s="15" t="s">
        <v>857</v>
      </c>
      <c r="K372" s="15"/>
      <c r="L372" s="30" t="s">
        <v>858</v>
      </c>
      <c r="M372" s="31">
        <v>1500000</v>
      </c>
      <c r="N372" s="30" t="s">
        <v>792</v>
      </c>
      <c r="O372" s="30" t="str">
        <f>IF(LEN(IF(OR(NOT(ISNUMBER(B372)),LEN(B372)&lt;&gt;8),"UNSPSC vacío, en texto, con varios códigos o sin 8 dígitos; ","")&amp;IF(AND(ISNUMBER(B372),LEN(B372)=8),IF(MOD(B372,10000)=0,"UNSPSC a nivel de segmento o familia; ",""),"")&amp;IF(NOT(ISNUMBER(E372)),"Duración vacía o en texto; ","")&amp;IF(NOT(ISNUMBER(G372)),"Valor vacío o en texto; ","")&amp;IF(ISNUMBER(M372),IF(M372&lt;1000000,"Valor inferior a $1.000.000: verificar; ",""),"Valor no interpretable; ")&amp;IF(N372="[PENDIENTE DE VERIFICAR]","Modalidad no identificable; ","")&amp;IF(OR(ISERROR(SEARCH("@itc.edu.co",J372)),SUMPRODUCT(--ISNUMBER(SEARCH({"á","é","í","ó","ú","ñ"},J372)))&gt;0),"Correo vacío o no institucional válido; ","")&amp;IF(LEN(TRIM(D372))=0,"Sin objeto contractual; ","")&amp;IF(AND(ISNUMBER(M372),N372="Mínima cuantía"),IF(M372&gt;39850000,"Mínima cuantía con valor superior al tope citado en el instructivo 2026 ($39.850.000): verificar modalidad; ",""),"")&amp;IF(AND(ISNUMBER(M372),OR(ISNUMBER(SEARCH("prestación de servicios",D372)),ISNUMBER(SEARCH("prestar servicios",D372)),ISNUMBER(SEARCH("prestar los servicios",D372)))),IF(M372&gt;=500000000,"Prestación de servicios por $500 millones o más: posible error de digitación; ",""),""))=0,"Sin observaciones",IF(OR(NOT(ISNUMBER(B372)),LEN(B372)&lt;&gt;8),"UNSPSC vacío, en texto, con varios códigos o sin 8 dígitos; ","")&amp;IF(AND(ISNUMBER(B372),LEN(B372)=8),IF(MOD(B372,10000)=0,"UNSPSC a nivel de segmento o familia; ",""),"")&amp;IF(NOT(ISNUMBER(E372)),"Duración vacía o en texto; ","")&amp;IF(NOT(ISNUMBER(G372)),"Valor vacío o en texto; ","")&amp;IF(ISNUMBER(M372),IF(M372&lt;1000000,"Valor inferior a $1.000.000: verificar; ",""),"Valor no interpretable; ")&amp;IF(N372="[PENDIENTE DE VERIFICAR]","Modalidad no identificable; ","")&amp;IF(OR(ISERROR(SEARCH("@itc.edu.co",J372)),SUMPRODUCT(--ISNUMBER(SEARCH({"á","é","í","ó","ú","ñ"},J372)))&gt;0),"Correo vacío o no institucional válido; ","")&amp;IF(LEN(TRIM(D372))=0,"Sin objeto contractual; ","")&amp;IF(AND(ISNUMBER(M372),N372="Mínima cuantía"),IF(M372&gt;39850000,"Mínima cuantía con valor superior al tope citado en el instructivo 2026 ($39.850.000): verificar modalidad; ",""),"")&amp;IF(AND(ISNUMBER(M372),OR(ISNUMBER(SEARCH("prestación de servicios",D372)),ISNUMBER(SEARCH("prestar servicios",D372)),ISNUMBER(SEARCH("prestar los servicios",D372)))),IF(M372&gt;=500000000,"Prestación de servicios por $500 millones o más: posible error de digitación; ",""),""))</f>
        <v>Sin observaciones</v>
      </c>
    </row>
    <row r="373" spans="1:15" ht="34.200000000000003" x14ac:dyDescent="0.3">
      <c r="A373" s="15" t="s">
        <v>677</v>
      </c>
      <c r="B373" s="15">
        <v>80141600</v>
      </c>
      <c r="C373" s="15" t="s">
        <v>678</v>
      </c>
      <c r="D373" s="15" t="s">
        <v>676</v>
      </c>
      <c r="E373" s="15">
        <v>12</v>
      </c>
      <c r="F373" s="15"/>
      <c r="G373" s="29">
        <v>1126241090</v>
      </c>
      <c r="H373" s="15" t="s">
        <v>849</v>
      </c>
      <c r="I373" s="15" t="s">
        <v>856</v>
      </c>
      <c r="J373" s="15" t="s">
        <v>857</v>
      </c>
      <c r="K373" s="15"/>
      <c r="L373" s="30" t="s">
        <v>858</v>
      </c>
      <c r="M373" s="31">
        <v>1126241090</v>
      </c>
      <c r="N373" s="30" t="s">
        <v>1157</v>
      </c>
      <c r="O373" s="30" t="str">
        <f>IF(LEN(IF(OR(NOT(ISNUMBER(B373)),LEN(B373)&lt;&gt;8),"UNSPSC vacío, en texto, con varios códigos o sin 8 dígitos; ","")&amp;IF(AND(ISNUMBER(B373),LEN(B373)=8),IF(MOD(B373,10000)=0,"UNSPSC a nivel de segmento o familia; ",""),"")&amp;IF(NOT(ISNUMBER(E373)),"Duración vacía o en texto; ","")&amp;IF(NOT(ISNUMBER(G373)),"Valor vacío o en texto; ","")&amp;IF(ISNUMBER(M373),IF(M373&lt;1000000,"Valor inferior a $1.000.000: verificar; ",""),"Valor no interpretable; ")&amp;IF(N373="[PENDIENTE DE VERIFICAR]","Modalidad no identificable; ","")&amp;IF(OR(ISERROR(SEARCH("@itc.edu.co",J373)),SUMPRODUCT(--ISNUMBER(SEARCH({"á","é","í","ó","ú","ñ"},J373)))&gt;0),"Correo vacío o no institucional válido; ","")&amp;IF(LEN(TRIM(D373))=0,"Sin objeto contractual; ","")&amp;IF(AND(ISNUMBER(M373),N373="Mínima cuantía"),IF(M373&gt;39850000,"Mínima cuantía con valor superior al tope citado en el instructivo 2026 ($39.850.000): verificar modalidad; ",""),"")&amp;IF(AND(ISNUMBER(M373),OR(ISNUMBER(SEARCH("prestación de servicios",D373)),ISNUMBER(SEARCH("prestar servicios",D373)),ISNUMBER(SEARCH("prestar los servicios",D373)))),IF(M373&gt;=500000000,"Prestación de servicios por $500 millones o más: posible error de digitación; ",""),""))=0,"Sin observaciones",IF(OR(NOT(ISNUMBER(B373)),LEN(B373)&lt;&gt;8),"UNSPSC vacío, en texto, con varios códigos o sin 8 dígitos; ","")&amp;IF(AND(ISNUMBER(B373),LEN(B373)=8),IF(MOD(B373,10000)=0,"UNSPSC a nivel de segmento o familia; ",""),"")&amp;IF(NOT(ISNUMBER(E373)),"Duración vacía o en texto; ","")&amp;IF(NOT(ISNUMBER(G373)),"Valor vacío o en texto; ","")&amp;IF(ISNUMBER(M373),IF(M373&lt;1000000,"Valor inferior a $1.000.000: verificar; ",""),"Valor no interpretable; ")&amp;IF(N373="[PENDIENTE DE VERIFICAR]","Modalidad no identificable; ","")&amp;IF(OR(ISERROR(SEARCH("@itc.edu.co",J373)),SUMPRODUCT(--ISNUMBER(SEARCH({"á","é","í","ó","ú","ñ"},J373)))&gt;0),"Correo vacío o no institucional válido; ","")&amp;IF(LEN(TRIM(D373))=0,"Sin objeto contractual; ","")&amp;IF(AND(ISNUMBER(M373),N373="Mínima cuantía"),IF(M373&gt;39850000,"Mínima cuantía con valor superior al tope citado en el instructivo 2026 ($39.850.000): verificar modalidad; ",""),"")&amp;IF(AND(ISNUMBER(M373),OR(ISNUMBER(SEARCH("prestación de servicios",D373)),ISNUMBER(SEARCH("prestar servicios",D373)),ISNUMBER(SEARCH("prestar los servicios",D373)))),IF(M373&gt;=500000000,"Prestación de servicios por $500 millones o más: posible error de digitación; ",""),""))</f>
        <v xml:space="preserve">Modalidad no identificable; </v>
      </c>
    </row>
    <row r="374" spans="1:15" ht="34.200000000000003" x14ac:dyDescent="0.3">
      <c r="A374" s="15" t="s">
        <v>1697</v>
      </c>
      <c r="B374" s="15">
        <v>78111500</v>
      </c>
      <c r="C374" s="15" t="s">
        <v>678</v>
      </c>
      <c r="D374" s="15" t="s">
        <v>1698</v>
      </c>
      <c r="E374" s="15">
        <v>12</v>
      </c>
      <c r="F374" s="15"/>
      <c r="G374" s="29">
        <v>259850000</v>
      </c>
      <c r="H374" s="15" t="s">
        <v>849</v>
      </c>
      <c r="I374" s="15" t="s">
        <v>856</v>
      </c>
      <c r="J374" s="15" t="s">
        <v>857</v>
      </c>
      <c r="K374" s="15"/>
      <c r="L374" s="30" t="s">
        <v>858</v>
      </c>
      <c r="M374" s="31">
        <v>259850000</v>
      </c>
      <c r="N374" s="30" t="s">
        <v>1157</v>
      </c>
      <c r="O374" s="30" t="str">
        <f>IF(LEN(IF(OR(NOT(ISNUMBER(B374)),LEN(B374)&lt;&gt;8),"UNSPSC vacío, en texto, con varios códigos o sin 8 dígitos; ","")&amp;IF(AND(ISNUMBER(B374),LEN(B374)=8),IF(MOD(B374,10000)=0,"UNSPSC a nivel de segmento o familia; ",""),"")&amp;IF(NOT(ISNUMBER(E374)),"Duración vacía o en texto; ","")&amp;IF(NOT(ISNUMBER(G374)),"Valor vacío o en texto; ","")&amp;IF(ISNUMBER(M374),IF(M374&lt;1000000,"Valor inferior a $1.000.000: verificar; ",""),"Valor no interpretable; ")&amp;IF(N374="[PENDIENTE DE VERIFICAR]","Modalidad no identificable; ","")&amp;IF(OR(ISERROR(SEARCH("@itc.edu.co",J374)),SUMPRODUCT(--ISNUMBER(SEARCH({"á","é","í","ó","ú","ñ"},J374)))&gt;0),"Correo vacío o no institucional válido; ","")&amp;IF(LEN(TRIM(D374))=0,"Sin objeto contractual; ","")&amp;IF(AND(ISNUMBER(M374),N374="Mínima cuantía"),IF(M374&gt;39850000,"Mínima cuantía con valor superior al tope citado en el instructivo 2026 ($39.850.000): verificar modalidad; ",""),"")&amp;IF(AND(ISNUMBER(M374),OR(ISNUMBER(SEARCH("prestación de servicios",D374)),ISNUMBER(SEARCH("prestar servicios",D374)),ISNUMBER(SEARCH("prestar los servicios",D374)))),IF(M374&gt;=500000000,"Prestación de servicios por $500 millones o más: posible error de digitación; ",""),""))=0,"Sin observaciones",IF(OR(NOT(ISNUMBER(B374)),LEN(B374)&lt;&gt;8),"UNSPSC vacío, en texto, con varios códigos o sin 8 dígitos; ","")&amp;IF(AND(ISNUMBER(B374),LEN(B374)=8),IF(MOD(B374,10000)=0,"UNSPSC a nivel de segmento o familia; ",""),"")&amp;IF(NOT(ISNUMBER(E374)),"Duración vacía o en texto; ","")&amp;IF(NOT(ISNUMBER(G374)),"Valor vacío o en texto; ","")&amp;IF(ISNUMBER(M374),IF(M374&lt;1000000,"Valor inferior a $1.000.000: verificar; ",""),"Valor no interpretable; ")&amp;IF(N374="[PENDIENTE DE VERIFICAR]","Modalidad no identificable; ","")&amp;IF(OR(ISERROR(SEARCH("@itc.edu.co",J374)),SUMPRODUCT(--ISNUMBER(SEARCH({"á","é","í","ó","ú","ñ"},J374)))&gt;0),"Correo vacío o no institucional válido; ","")&amp;IF(LEN(TRIM(D374))=0,"Sin objeto contractual; ","")&amp;IF(AND(ISNUMBER(M374),N374="Mínima cuantía"),IF(M374&gt;39850000,"Mínima cuantía con valor superior al tope citado en el instructivo 2026 ($39.850.000): verificar modalidad; ",""),"")&amp;IF(AND(ISNUMBER(M374),OR(ISNUMBER(SEARCH("prestación de servicios",D374)),ISNUMBER(SEARCH("prestar servicios",D374)),ISNUMBER(SEARCH("prestar los servicios",D374)))),IF(M374&gt;=500000000,"Prestación de servicios por $500 millones o más: posible error de digitación; ",""),""))</f>
        <v xml:space="preserve">Modalidad no identificable; </v>
      </c>
    </row>
    <row r="375" spans="1:15" ht="57" x14ac:dyDescent="0.3">
      <c r="A375" s="15" t="s">
        <v>697</v>
      </c>
      <c r="B375" s="15">
        <v>81111803</v>
      </c>
      <c r="C375" s="15" t="s">
        <v>344</v>
      </c>
      <c r="D375" s="15" t="s">
        <v>1699</v>
      </c>
      <c r="E375" s="15">
        <v>12</v>
      </c>
      <c r="F375" s="15" t="s">
        <v>1327</v>
      </c>
      <c r="G375" s="29">
        <v>61944912</v>
      </c>
      <c r="H375" s="15" t="s">
        <v>1700</v>
      </c>
      <c r="I375" s="15" t="s">
        <v>1701</v>
      </c>
      <c r="J375" s="15" t="s">
        <v>1026</v>
      </c>
      <c r="K375" s="15"/>
      <c r="L375" s="30" t="s">
        <v>841</v>
      </c>
      <c r="M375" s="31">
        <v>61944912</v>
      </c>
      <c r="N375" s="30" t="s">
        <v>803</v>
      </c>
      <c r="O375" s="30" t="str">
        <f>IF(LEN(IF(OR(NOT(ISNUMBER(B375)),LEN(B375)&lt;&gt;8),"UNSPSC vacío, en texto, con varios códigos o sin 8 dígitos; ","")&amp;IF(AND(ISNUMBER(B375),LEN(B375)=8),IF(MOD(B375,10000)=0,"UNSPSC a nivel de segmento o familia; ",""),"")&amp;IF(NOT(ISNUMBER(E375)),"Duración vacía o en texto; ","")&amp;IF(NOT(ISNUMBER(G375)),"Valor vacío o en texto; ","")&amp;IF(ISNUMBER(M375),IF(M375&lt;1000000,"Valor inferior a $1.000.000: verificar; ",""),"Valor no interpretable; ")&amp;IF(N375="[PENDIENTE DE VERIFICAR]","Modalidad no identificable; ","")&amp;IF(OR(ISERROR(SEARCH("@itc.edu.co",J375)),SUMPRODUCT(--ISNUMBER(SEARCH({"á","é","í","ó","ú","ñ"},J375)))&gt;0),"Correo vacío o no institucional válido; ","")&amp;IF(LEN(TRIM(D375))=0,"Sin objeto contractual; ","")&amp;IF(AND(ISNUMBER(M375),N375="Mínima cuantía"),IF(M375&gt;39850000,"Mínima cuantía con valor superior al tope citado en el instructivo 2026 ($39.850.000): verificar modalidad; ",""),"")&amp;IF(AND(ISNUMBER(M375),OR(ISNUMBER(SEARCH("prestación de servicios",D375)),ISNUMBER(SEARCH("prestar servicios",D375)),ISNUMBER(SEARCH("prestar los servicios",D375)))),IF(M375&gt;=500000000,"Prestación de servicios por $500 millones o más: posible error de digitación; ",""),""))=0,"Sin observaciones",IF(OR(NOT(ISNUMBER(B375)),LEN(B375)&lt;&gt;8),"UNSPSC vacío, en texto, con varios códigos o sin 8 dígitos; ","")&amp;IF(AND(ISNUMBER(B375),LEN(B375)=8),IF(MOD(B375,10000)=0,"UNSPSC a nivel de segmento o familia; ",""),"")&amp;IF(NOT(ISNUMBER(E375)),"Duración vacía o en texto; ","")&amp;IF(NOT(ISNUMBER(G375)),"Valor vacío o en texto; ","")&amp;IF(ISNUMBER(M375),IF(M375&lt;1000000,"Valor inferior a $1.000.000: verificar; ",""),"Valor no interpretable; ")&amp;IF(N375="[PENDIENTE DE VERIFICAR]","Modalidad no identificable; ","")&amp;IF(OR(ISERROR(SEARCH("@itc.edu.co",J375)),SUMPRODUCT(--ISNUMBER(SEARCH({"á","é","í","ó","ú","ñ"},J375)))&gt;0),"Correo vacío o no institucional válido; ","")&amp;IF(LEN(TRIM(D375))=0,"Sin objeto contractual; ","")&amp;IF(AND(ISNUMBER(M375),N375="Mínima cuantía"),IF(M375&gt;39850000,"Mínima cuantía con valor superior al tope citado en el instructivo 2026 ($39.850.000): verificar modalidad; ",""),"")&amp;IF(AND(ISNUMBER(M375),OR(ISNUMBER(SEARCH("prestación de servicios",D375)),ISNUMBER(SEARCH("prestar servicios",D375)),ISNUMBER(SEARCH("prestar los servicios",D375)))),IF(M375&gt;=500000000,"Prestación de servicios por $500 millones o más: posible error de digitación; ",""),""))</f>
        <v>Sin observaciones</v>
      </c>
    </row>
    <row r="376" spans="1:15" ht="57" x14ac:dyDescent="0.3">
      <c r="A376" s="15" t="s">
        <v>701</v>
      </c>
      <c r="B376" s="15">
        <v>81112215</v>
      </c>
      <c r="C376" s="15" t="s">
        <v>344</v>
      </c>
      <c r="D376" s="15" t="s">
        <v>1702</v>
      </c>
      <c r="E376" s="15">
        <v>12</v>
      </c>
      <c r="F376" s="15" t="s">
        <v>1327</v>
      </c>
      <c r="G376" s="29">
        <v>61944912</v>
      </c>
      <c r="H376" s="15" t="s">
        <v>1700</v>
      </c>
      <c r="I376" s="15" t="s">
        <v>1701</v>
      </c>
      <c r="J376" s="15" t="s">
        <v>1026</v>
      </c>
      <c r="K376" s="15"/>
      <c r="L376" s="30" t="s">
        <v>841</v>
      </c>
      <c r="M376" s="31">
        <v>61944912</v>
      </c>
      <c r="N376" s="30" t="s">
        <v>803</v>
      </c>
      <c r="O376" s="30" t="str">
        <f>IF(LEN(IF(OR(NOT(ISNUMBER(B376)),LEN(B376)&lt;&gt;8),"UNSPSC vacío, en texto, con varios códigos o sin 8 dígitos; ","")&amp;IF(AND(ISNUMBER(B376),LEN(B376)=8),IF(MOD(B376,10000)=0,"UNSPSC a nivel de segmento o familia; ",""),"")&amp;IF(NOT(ISNUMBER(E376)),"Duración vacía o en texto; ","")&amp;IF(NOT(ISNUMBER(G376)),"Valor vacío o en texto; ","")&amp;IF(ISNUMBER(M376),IF(M376&lt;1000000,"Valor inferior a $1.000.000: verificar; ",""),"Valor no interpretable; ")&amp;IF(N376="[PENDIENTE DE VERIFICAR]","Modalidad no identificable; ","")&amp;IF(OR(ISERROR(SEARCH("@itc.edu.co",J376)),SUMPRODUCT(--ISNUMBER(SEARCH({"á","é","í","ó","ú","ñ"},J376)))&gt;0),"Correo vacío o no institucional válido; ","")&amp;IF(LEN(TRIM(D376))=0,"Sin objeto contractual; ","")&amp;IF(AND(ISNUMBER(M376),N376="Mínima cuantía"),IF(M376&gt;39850000,"Mínima cuantía con valor superior al tope citado en el instructivo 2026 ($39.850.000): verificar modalidad; ",""),"")&amp;IF(AND(ISNUMBER(M376),OR(ISNUMBER(SEARCH("prestación de servicios",D376)),ISNUMBER(SEARCH("prestar servicios",D376)),ISNUMBER(SEARCH("prestar los servicios",D376)))),IF(M376&gt;=500000000,"Prestación de servicios por $500 millones o más: posible error de digitación; ",""),""))=0,"Sin observaciones",IF(OR(NOT(ISNUMBER(B376)),LEN(B376)&lt;&gt;8),"UNSPSC vacío, en texto, con varios códigos o sin 8 dígitos; ","")&amp;IF(AND(ISNUMBER(B376),LEN(B376)=8),IF(MOD(B376,10000)=0,"UNSPSC a nivel de segmento o familia; ",""),"")&amp;IF(NOT(ISNUMBER(E376)),"Duración vacía o en texto; ","")&amp;IF(NOT(ISNUMBER(G376)),"Valor vacío o en texto; ","")&amp;IF(ISNUMBER(M376),IF(M376&lt;1000000,"Valor inferior a $1.000.000: verificar; ",""),"Valor no interpretable; ")&amp;IF(N376="[PENDIENTE DE VERIFICAR]","Modalidad no identificable; ","")&amp;IF(OR(ISERROR(SEARCH("@itc.edu.co",J376)),SUMPRODUCT(--ISNUMBER(SEARCH({"á","é","í","ó","ú","ñ"},J376)))&gt;0),"Correo vacío o no institucional válido; ","")&amp;IF(LEN(TRIM(D376))=0,"Sin objeto contractual; ","")&amp;IF(AND(ISNUMBER(M376),N376="Mínima cuantía"),IF(M376&gt;39850000,"Mínima cuantía con valor superior al tope citado en el instructivo 2026 ($39.850.000): verificar modalidad; ",""),"")&amp;IF(AND(ISNUMBER(M376),OR(ISNUMBER(SEARCH("prestación de servicios",D376)),ISNUMBER(SEARCH("prestar servicios",D376)),ISNUMBER(SEARCH("prestar los servicios",D376)))),IF(M376&gt;=500000000,"Prestación de servicios por $500 millones o más: posible error de digitación; ",""),""))</f>
        <v>Sin observaciones</v>
      </c>
    </row>
    <row r="377" spans="1:15" ht="45.6" x14ac:dyDescent="0.3">
      <c r="A377" s="15" t="s">
        <v>699</v>
      </c>
      <c r="B377" s="15">
        <v>81112205</v>
      </c>
      <c r="C377" s="15" t="s">
        <v>344</v>
      </c>
      <c r="D377" s="15" t="s">
        <v>1703</v>
      </c>
      <c r="E377" s="15">
        <v>12</v>
      </c>
      <c r="F377" s="15" t="s">
        <v>1327</v>
      </c>
      <c r="G377" s="29" t="s">
        <v>1704</v>
      </c>
      <c r="H377" s="15" t="s">
        <v>1700</v>
      </c>
      <c r="I377" s="15" t="s">
        <v>1701</v>
      </c>
      <c r="J377" s="15" t="s">
        <v>1026</v>
      </c>
      <c r="K377" s="15"/>
      <c r="L377" s="30" t="s">
        <v>841</v>
      </c>
      <c r="M377" s="31">
        <v>51029316</v>
      </c>
      <c r="N377" s="30" t="s">
        <v>803</v>
      </c>
      <c r="O377" s="30" t="str">
        <f>IF(LEN(IF(OR(NOT(ISNUMBER(B377)),LEN(B377)&lt;&gt;8),"UNSPSC vacío, en texto, con varios códigos o sin 8 dígitos; ","")&amp;IF(AND(ISNUMBER(B377),LEN(B377)=8),IF(MOD(B377,10000)=0,"UNSPSC a nivel de segmento o familia; ",""),"")&amp;IF(NOT(ISNUMBER(E377)),"Duración vacía o en texto; ","")&amp;IF(NOT(ISNUMBER(G377)),"Valor vacío o en texto; ","")&amp;IF(ISNUMBER(M377),IF(M377&lt;1000000,"Valor inferior a $1.000.000: verificar; ",""),"Valor no interpretable; ")&amp;IF(N377="[PENDIENTE DE VERIFICAR]","Modalidad no identificable; ","")&amp;IF(OR(ISERROR(SEARCH("@itc.edu.co",J377)),SUMPRODUCT(--ISNUMBER(SEARCH({"á","é","í","ó","ú","ñ"},J377)))&gt;0),"Correo vacío o no institucional válido; ","")&amp;IF(LEN(TRIM(D377))=0,"Sin objeto contractual; ","")&amp;IF(AND(ISNUMBER(M377),N377="Mínima cuantía"),IF(M377&gt;39850000,"Mínima cuantía con valor superior al tope citado en el instructivo 2026 ($39.850.000): verificar modalidad; ",""),"")&amp;IF(AND(ISNUMBER(M377),OR(ISNUMBER(SEARCH("prestación de servicios",D377)),ISNUMBER(SEARCH("prestar servicios",D377)),ISNUMBER(SEARCH("prestar los servicios",D377)))),IF(M377&gt;=500000000,"Prestación de servicios por $500 millones o más: posible error de digitación; ",""),""))=0,"Sin observaciones",IF(OR(NOT(ISNUMBER(B377)),LEN(B377)&lt;&gt;8),"UNSPSC vacío, en texto, con varios códigos o sin 8 dígitos; ","")&amp;IF(AND(ISNUMBER(B377),LEN(B377)=8),IF(MOD(B377,10000)=0,"UNSPSC a nivel de segmento o familia; ",""),"")&amp;IF(NOT(ISNUMBER(E377)),"Duración vacía o en texto; ","")&amp;IF(NOT(ISNUMBER(G377)),"Valor vacío o en texto; ","")&amp;IF(ISNUMBER(M377),IF(M377&lt;1000000,"Valor inferior a $1.000.000: verificar; ",""),"Valor no interpretable; ")&amp;IF(N377="[PENDIENTE DE VERIFICAR]","Modalidad no identificable; ","")&amp;IF(OR(ISERROR(SEARCH("@itc.edu.co",J377)),SUMPRODUCT(--ISNUMBER(SEARCH({"á","é","í","ó","ú","ñ"},J377)))&gt;0),"Correo vacío o no institucional válido; ","")&amp;IF(LEN(TRIM(D377))=0,"Sin objeto contractual; ","")&amp;IF(AND(ISNUMBER(M377),N377="Mínima cuantía"),IF(M377&gt;39850000,"Mínima cuantía con valor superior al tope citado en el instructivo 2026 ($39.850.000): verificar modalidad; ",""),"")&amp;IF(AND(ISNUMBER(M377),OR(ISNUMBER(SEARCH("prestación de servicios",D377)),ISNUMBER(SEARCH("prestar servicios",D377)),ISNUMBER(SEARCH("prestar los servicios",D377)))),IF(M377&gt;=500000000,"Prestación de servicios por $500 millones o más: posible error de digitación; ",""),""))</f>
        <v xml:space="preserve">Valor vacío o en texto; </v>
      </c>
    </row>
    <row r="378" spans="1:15" ht="79.8" x14ac:dyDescent="0.3">
      <c r="A378" s="15" t="s">
        <v>460</v>
      </c>
      <c r="B378" s="15">
        <v>81111811</v>
      </c>
      <c r="C378" s="15" t="s">
        <v>344</v>
      </c>
      <c r="D378" s="15" t="s">
        <v>1705</v>
      </c>
      <c r="E378" s="15">
        <v>12</v>
      </c>
      <c r="F378" s="15" t="s">
        <v>1327</v>
      </c>
      <c r="G378" s="29" t="s">
        <v>1704</v>
      </c>
      <c r="H378" s="15" t="s">
        <v>1700</v>
      </c>
      <c r="I378" s="15" t="s">
        <v>1701</v>
      </c>
      <c r="J378" s="15" t="s">
        <v>1026</v>
      </c>
      <c r="K378" s="15"/>
      <c r="L378" s="30" t="s">
        <v>841</v>
      </c>
      <c r="M378" s="31">
        <v>51029316</v>
      </c>
      <c r="N378" s="30" t="s">
        <v>803</v>
      </c>
      <c r="O378" s="30" t="str">
        <f>IF(LEN(IF(OR(NOT(ISNUMBER(B378)),LEN(B378)&lt;&gt;8),"UNSPSC vacío, en texto, con varios códigos o sin 8 dígitos; ","")&amp;IF(AND(ISNUMBER(B378),LEN(B378)=8),IF(MOD(B378,10000)=0,"UNSPSC a nivel de segmento o familia; ",""),"")&amp;IF(NOT(ISNUMBER(E378)),"Duración vacía o en texto; ","")&amp;IF(NOT(ISNUMBER(G378)),"Valor vacío o en texto; ","")&amp;IF(ISNUMBER(M378),IF(M378&lt;1000000,"Valor inferior a $1.000.000: verificar; ",""),"Valor no interpretable; ")&amp;IF(N378="[PENDIENTE DE VERIFICAR]","Modalidad no identificable; ","")&amp;IF(OR(ISERROR(SEARCH("@itc.edu.co",J378)),SUMPRODUCT(--ISNUMBER(SEARCH({"á","é","í","ó","ú","ñ"},J378)))&gt;0),"Correo vacío o no institucional válido; ","")&amp;IF(LEN(TRIM(D378))=0,"Sin objeto contractual; ","")&amp;IF(AND(ISNUMBER(M378),N378="Mínima cuantía"),IF(M378&gt;39850000,"Mínima cuantía con valor superior al tope citado en el instructivo 2026 ($39.850.000): verificar modalidad; ",""),"")&amp;IF(AND(ISNUMBER(M378),OR(ISNUMBER(SEARCH("prestación de servicios",D378)),ISNUMBER(SEARCH("prestar servicios",D378)),ISNUMBER(SEARCH("prestar los servicios",D378)))),IF(M378&gt;=500000000,"Prestación de servicios por $500 millones o más: posible error de digitación; ",""),""))=0,"Sin observaciones",IF(OR(NOT(ISNUMBER(B378)),LEN(B378)&lt;&gt;8),"UNSPSC vacío, en texto, con varios códigos o sin 8 dígitos; ","")&amp;IF(AND(ISNUMBER(B378),LEN(B378)=8),IF(MOD(B378,10000)=0,"UNSPSC a nivel de segmento o familia; ",""),"")&amp;IF(NOT(ISNUMBER(E378)),"Duración vacía o en texto; ","")&amp;IF(NOT(ISNUMBER(G378)),"Valor vacío o en texto; ","")&amp;IF(ISNUMBER(M378),IF(M378&lt;1000000,"Valor inferior a $1.000.000: verificar; ",""),"Valor no interpretable; ")&amp;IF(N378="[PENDIENTE DE VERIFICAR]","Modalidad no identificable; ","")&amp;IF(OR(ISERROR(SEARCH("@itc.edu.co",J378)),SUMPRODUCT(--ISNUMBER(SEARCH({"á","é","í","ó","ú","ñ"},J378)))&gt;0),"Correo vacío o no institucional válido; ","")&amp;IF(LEN(TRIM(D378))=0,"Sin objeto contractual; ","")&amp;IF(AND(ISNUMBER(M378),N378="Mínima cuantía"),IF(M378&gt;39850000,"Mínima cuantía con valor superior al tope citado en el instructivo 2026 ($39.850.000): verificar modalidad; ",""),"")&amp;IF(AND(ISNUMBER(M378),OR(ISNUMBER(SEARCH("prestación de servicios",D378)),ISNUMBER(SEARCH("prestar servicios",D378)),ISNUMBER(SEARCH("prestar los servicios",D378)))),IF(M378&gt;=500000000,"Prestación de servicios por $500 millones o más: posible error de digitación; ",""),""))</f>
        <v xml:space="preserve">Valor vacío o en texto; </v>
      </c>
    </row>
    <row r="379" spans="1:15" ht="68.400000000000006" x14ac:dyDescent="0.3">
      <c r="A379" s="15" t="s">
        <v>456</v>
      </c>
      <c r="B379" s="15">
        <v>81111707</v>
      </c>
      <c r="C379" s="15" t="s">
        <v>344</v>
      </c>
      <c r="D379" s="15" t="s">
        <v>1706</v>
      </c>
      <c r="E379" s="15">
        <v>12</v>
      </c>
      <c r="F379" s="15" t="s">
        <v>1327</v>
      </c>
      <c r="G379" s="29">
        <v>47346876</v>
      </c>
      <c r="H379" s="15" t="s">
        <v>1707</v>
      </c>
      <c r="I379" s="15" t="s">
        <v>1701</v>
      </c>
      <c r="J379" s="15" t="s">
        <v>1026</v>
      </c>
      <c r="K379" s="15"/>
      <c r="L379" s="30" t="s">
        <v>841</v>
      </c>
      <c r="M379" s="31">
        <v>47346876</v>
      </c>
      <c r="N379" s="30" t="s">
        <v>803</v>
      </c>
      <c r="O379" s="30" t="str">
        <f>IF(LEN(IF(OR(NOT(ISNUMBER(B379)),LEN(B379)&lt;&gt;8),"UNSPSC vacío, en texto, con varios códigos o sin 8 dígitos; ","")&amp;IF(AND(ISNUMBER(B379),LEN(B379)=8),IF(MOD(B379,10000)=0,"UNSPSC a nivel de segmento o familia; ",""),"")&amp;IF(NOT(ISNUMBER(E379)),"Duración vacía o en texto; ","")&amp;IF(NOT(ISNUMBER(G379)),"Valor vacío o en texto; ","")&amp;IF(ISNUMBER(M379),IF(M379&lt;1000000,"Valor inferior a $1.000.000: verificar; ",""),"Valor no interpretable; ")&amp;IF(N379="[PENDIENTE DE VERIFICAR]","Modalidad no identificable; ","")&amp;IF(OR(ISERROR(SEARCH("@itc.edu.co",J379)),SUMPRODUCT(--ISNUMBER(SEARCH({"á","é","í","ó","ú","ñ"},J379)))&gt;0),"Correo vacío o no institucional válido; ","")&amp;IF(LEN(TRIM(D379))=0,"Sin objeto contractual; ","")&amp;IF(AND(ISNUMBER(M379),N379="Mínima cuantía"),IF(M379&gt;39850000,"Mínima cuantía con valor superior al tope citado en el instructivo 2026 ($39.850.000): verificar modalidad; ",""),"")&amp;IF(AND(ISNUMBER(M379),OR(ISNUMBER(SEARCH("prestación de servicios",D379)),ISNUMBER(SEARCH("prestar servicios",D379)),ISNUMBER(SEARCH("prestar los servicios",D379)))),IF(M379&gt;=500000000,"Prestación de servicios por $500 millones o más: posible error de digitación; ",""),""))=0,"Sin observaciones",IF(OR(NOT(ISNUMBER(B379)),LEN(B379)&lt;&gt;8),"UNSPSC vacío, en texto, con varios códigos o sin 8 dígitos; ","")&amp;IF(AND(ISNUMBER(B379),LEN(B379)=8),IF(MOD(B379,10000)=0,"UNSPSC a nivel de segmento o familia; ",""),"")&amp;IF(NOT(ISNUMBER(E379)),"Duración vacía o en texto; ","")&amp;IF(NOT(ISNUMBER(G379)),"Valor vacío o en texto; ","")&amp;IF(ISNUMBER(M379),IF(M379&lt;1000000,"Valor inferior a $1.000.000: verificar; ",""),"Valor no interpretable; ")&amp;IF(N379="[PENDIENTE DE VERIFICAR]","Modalidad no identificable; ","")&amp;IF(OR(ISERROR(SEARCH("@itc.edu.co",J379)),SUMPRODUCT(--ISNUMBER(SEARCH({"á","é","í","ó","ú","ñ"},J379)))&gt;0),"Correo vacío o no institucional válido; ","")&amp;IF(LEN(TRIM(D379))=0,"Sin objeto contractual; ","")&amp;IF(AND(ISNUMBER(M379),N379="Mínima cuantía"),IF(M379&gt;39850000,"Mínima cuantía con valor superior al tope citado en el instructivo 2026 ($39.850.000): verificar modalidad; ",""),"")&amp;IF(AND(ISNUMBER(M379),OR(ISNUMBER(SEARCH("prestación de servicios",D379)),ISNUMBER(SEARCH("prestar servicios",D379)),ISNUMBER(SEARCH("prestar los servicios",D379)))),IF(M379&gt;=500000000,"Prestación de servicios por $500 millones o más: posible error de digitación; ",""),""))</f>
        <v>Sin observaciones</v>
      </c>
    </row>
    <row r="380" spans="1:15" ht="68.400000000000006" x14ac:dyDescent="0.3">
      <c r="A380" s="15" t="s">
        <v>1708</v>
      </c>
      <c r="B380" s="15">
        <v>81111811</v>
      </c>
      <c r="C380" s="15" t="s">
        <v>344</v>
      </c>
      <c r="D380" s="15" t="s">
        <v>1709</v>
      </c>
      <c r="E380" s="15">
        <v>12</v>
      </c>
      <c r="F380" s="15" t="s">
        <v>1327</v>
      </c>
      <c r="G380" s="29" t="s">
        <v>1710</v>
      </c>
      <c r="H380" s="15" t="s">
        <v>1707</v>
      </c>
      <c r="I380" s="15" t="s">
        <v>1701</v>
      </c>
      <c r="J380" s="15" t="s">
        <v>1026</v>
      </c>
      <c r="K380" s="15"/>
      <c r="L380" s="30" t="s">
        <v>841</v>
      </c>
      <c r="M380" s="31">
        <v>47469132</v>
      </c>
      <c r="N380" s="30" t="s">
        <v>803</v>
      </c>
      <c r="O380" s="30" t="str">
        <f>IF(LEN(IF(OR(NOT(ISNUMBER(B380)),LEN(B380)&lt;&gt;8),"UNSPSC vacío, en texto, con varios códigos o sin 8 dígitos; ","")&amp;IF(AND(ISNUMBER(B380),LEN(B380)=8),IF(MOD(B380,10000)=0,"UNSPSC a nivel de segmento o familia; ",""),"")&amp;IF(NOT(ISNUMBER(E380)),"Duración vacía o en texto; ","")&amp;IF(NOT(ISNUMBER(G380)),"Valor vacío o en texto; ","")&amp;IF(ISNUMBER(M380),IF(M380&lt;1000000,"Valor inferior a $1.000.000: verificar; ",""),"Valor no interpretable; ")&amp;IF(N380="[PENDIENTE DE VERIFICAR]","Modalidad no identificable; ","")&amp;IF(OR(ISERROR(SEARCH("@itc.edu.co",J380)),SUMPRODUCT(--ISNUMBER(SEARCH({"á","é","í","ó","ú","ñ"},J380)))&gt;0),"Correo vacío o no institucional válido; ","")&amp;IF(LEN(TRIM(D380))=0,"Sin objeto contractual; ","")&amp;IF(AND(ISNUMBER(M380),N380="Mínima cuantía"),IF(M380&gt;39850000,"Mínima cuantía con valor superior al tope citado en el instructivo 2026 ($39.850.000): verificar modalidad; ",""),"")&amp;IF(AND(ISNUMBER(M380),OR(ISNUMBER(SEARCH("prestación de servicios",D380)),ISNUMBER(SEARCH("prestar servicios",D380)),ISNUMBER(SEARCH("prestar los servicios",D380)))),IF(M380&gt;=500000000,"Prestación de servicios por $500 millones o más: posible error de digitación; ",""),""))=0,"Sin observaciones",IF(OR(NOT(ISNUMBER(B380)),LEN(B380)&lt;&gt;8),"UNSPSC vacío, en texto, con varios códigos o sin 8 dígitos; ","")&amp;IF(AND(ISNUMBER(B380),LEN(B380)=8),IF(MOD(B380,10000)=0,"UNSPSC a nivel de segmento o familia; ",""),"")&amp;IF(NOT(ISNUMBER(E380)),"Duración vacía o en texto; ","")&amp;IF(NOT(ISNUMBER(G380)),"Valor vacío o en texto; ","")&amp;IF(ISNUMBER(M380),IF(M380&lt;1000000,"Valor inferior a $1.000.000: verificar; ",""),"Valor no interpretable; ")&amp;IF(N380="[PENDIENTE DE VERIFICAR]","Modalidad no identificable; ","")&amp;IF(OR(ISERROR(SEARCH("@itc.edu.co",J380)),SUMPRODUCT(--ISNUMBER(SEARCH({"á","é","í","ó","ú","ñ"},J380)))&gt;0),"Correo vacío o no institucional válido; ","")&amp;IF(LEN(TRIM(D380))=0,"Sin objeto contractual; ","")&amp;IF(AND(ISNUMBER(M380),N380="Mínima cuantía"),IF(M380&gt;39850000,"Mínima cuantía con valor superior al tope citado en el instructivo 2026 ($39.850.000): verificar modalidad; ",""),"")&amp;IF(AND(ISNUMBER(M380),OR(ISNUMBER(SEARCH("prestación de servicios",D380)),ISNUMBER(SEARCH("prestar servicios",D380)),ISNUMBER(SEARCH("prestar los servicios",D380)))),IF(M380&gt;=500000000,"Prestación de servicios por $500 millones o más: posible error de digitación; ",""),""))</f>
        <v xml:space="preserve">Valor vacío o en texto; </v>
      </c>
    </row>
    <row r="381" spans="1:15" ht="57" x14ac:dyDescent="0.3">
      <c r="A381" s="15" t="s">
        <v>343</v>
      </c>
      <c r="B381" s="15">
        <v>81112307</v>
      </c>
      <c r="C381" s="15" t="s">
        <v>344</v>
      </c>
      <c r="D381" s="15" t="s">
        <v>1711</v>
      </c>
      <c r="E381" s="15">
        <v>12</v>
      </c>
      <c r="F381" s="15" t="s">
        <v>1327</v>
      </c>
      <c r="G381" s="29">
        <v>33376740</v>
      </c>
      <c r="H381" s="15" t="s">
        <v>1707</v>
      </c>
      <c r="I381" s="15" t="s">
        <v>1701</v>
      </c>
      <c r="J381" s="15" t="s">
        <v>1026</v>
      </c>
      <c r="K381" s="15"/>
      <c r="L381" s="30" t="s">
        <v>841</v>
      </c>
      <c r="M381" s="31">
        <v>33376740</v>
      </c>
      <c r="N381" s="30" t="s">
        <v>803</v>
      </c>
      <c r="O381" s="30" t="str">
        <f>IF(LEN(IF(OR(NOT(ISNUMBER(B381)),LEN(B381)&lt;&gt;8),"UNSPSC vacío, en texto, con varios códigos o sin 8 dígitos; ","")&amp;IF(AND(ISNUMBER(B381),LEN(B381)=8),IF(MOD(B381,10000)=0,"UNSPSC a nivel de segmento o familia; ",""),"")&amp;IF(NOT(ISNUMBER(E381)),"Duración vacía o en texto; ","")&amp;IF(NOT(ISNUMBER(G381)),"Valor vacío o en texto; ","")&amp;IF(ISNUMBER(M381),IF(M381&lt;1000000,"Valor inferior a $1.000.000: verificar; ",""),"Valor no interpretable; ")&amp;IF(N381="[PENDIENTE DE VERIFICAR]","Modalidad no identificable; ","")&amp;IF(OR(ISERROR(SEARCH("@itc.edu.co",J381)),SUMPRODUCT(--ISNUMBER(SEARCH({"á","é","í","ó","ú","ñ"},J381)))&gt;0),"Correo vacío o no institucional válido; ","")&amp;IF(LEN(TRIM(D381))=0,"Sin objeto contractual; ","")&amp;IF(AND(ISNUMBER(M381),N381="Mínima cuantía"),IF(M381&gt;39850000,"Mínima cuantía con valor superior al tope citado en el instructivo 2026 ($39.850.000): verificar modalidad; ",""),"")&amp;IF(AND(ISNUMBER(M381),OR(ISNUMBER(SEARCH("prestación de servicios",D381)),ISNUMBER(SEARCH("prestar servicios",D381)),ISNUMBER(SEARCH("prestar los servicios",D381)))),IF(M381&gt;=500000000,"Prestación de servicios por $500 millones o más: posible error de digitación; ",""),""))=0,"Sin observaciones",IF(OR(NOT(ISNUMBER(B381)),LEN(B381)&lt;&gt;8),"UNSPSC vacío, en texto, con varios códigos o sin 8 dígitos; ","")&amp;IF(AND(ISNUMBER(B381),LEN(B381)=8),IF(MOD(B381,10000)=0,"UNSPSC a nivel de segmento o familia; ",""),"")&amp;IF(NOT(ISNUMBER(E381)),"Duración vacía o en texto; ","")&amp;IF(NOT(ISNUMBER(G381)),"Valor vacío o en texto; ","")&amp;IF(ISNUMBER(M381),IF(M381&lt;1000000,"Valor inferior a $1.000.000: verificar; ",""),"Valor no interpretable; ")&amp;IF(N381="[PENDIENTE DE VERIFICAR]","Modalidad no identificable; ","")&amp;IF(OR(ISERROR(SEARCH("@itc.edu.co",J381)),SUMPRODUCT(--ISNUMBER(SEARCH({"á","é","í","ó","ú","ñ"},J381)))&gt;0),"Correo vacío o no institucional válido; ","")&amp;IF(LEN(TRIM(D381))=0,"Sin objeto contractual; ","")&amp;IF(AND(ISNUMBER(M381),N381="Mínima cuantía"),IF(M381&gt;39850000,"Mínima cuantía con valor superior al tope citado en el instructivo 2026 ($39.850.000): verificar modalidad; ",""),"")&amp;IF(AND(ISNUMBER(M381),OR(ISNUMBER(SEARCH("prestación de servicios",D381)),ISNUMBER(SEARCH("prestar servicios",D381)),ISNUMBER(SEARCH("prestar los servicios",D381)))),IF(M381&gt;=500000000,"Prestación de servicios por $500 millones o más: posible error de digitación; ",""),""))</f>
        <v>Sin observaciones</v>
      </c>
    </row>
    <row r="382" spans="1:15" ht="34.200000000000003" x14ac:dyDescent="0.3">
      <c r="A382" s="15" t="s">
        <v>1712</v>
      </c>
      <c r="B382" s="15">
        <v>81111707</v>
      </c>
      <c r="C382" s="15" t="s">
        <v>344</v>
      </c>
      <c r="D382" s="15" t="s">
        <v>1713</v>
      </c>
      <c r="E382" s="15">
        <v>12</v>
      </c>
      <c r="F382" s="15" t="s">
        <v>1327</v>
      </c>
      <c r="G382" s="29" t="s">
        <v>1714</v>
      </c>
      <c r="H382" s="15" t="s">
        <v>1700</v>
      </c>
      <c r="I382" s="15" t="s">
        <v>1701</v>
      </c>
      <c r="J382" s="15" t="s">
        <v>1026</v>
      </c>
      <c r="K382" s="15"/>
      <c r="L382" s="30" t="s">
        <v>841</v>
      </c>
      <c r="M382" s="31">
        <v>63437040</v>
      </c>
      <c r="N382" s="30" t="s">
        <v>803</v>
      </c>
      <c r="O382" s="30" t="str">
        <f>IF(LEN(IF(OR(NOT(ISNUMBER(B382)),LEN(B382)&lt;&gt;8),"UNSPSC vacío, en texto, con varios códigos o sin 8 dígitos; ","")&amp;IF(AND(ISNUMBER(B382),LEN(B382)=8),IF(MOD(B382,10000)=0,"UNSPSC a nivel de segmento o familia; ",""),"")&amp;IF(NOT(ISNUMBER(E382)),"Duración vacía o en texto; ","")&amp;IF(NOT(ISNUMBER(G382)),"Valor vacío o en texto; ","")&amp;IF(ISNUMBER(M382),IF(M382&lt;1000000,"Valor inferior a $1.000.000: verificar; ",""),"Valor no interpretable; ")&amp;IF(N382="[PENDIENTE DE VERIFICAR]","Modalidad no identificable; ","")&amp;IF(OR(ISERROR(SEARCH("@itc.edu.co",J382)),SUMPRODUCT(--ISNUMBER(SEARCH({"á","é","í","ó","ú","ñ"},J382)))&gt;0),"Correo vacío o no institucional válido; ","")&amp;IF(LEN(TRIM(D382))=0,"Sin objeto contractual; ","")&amp;IF(AND(ISNUMBER(M382),N382="Mínima cuantía"),IF(M382&gt;39850000,"Mínima cuantía con valor superior al tope citado en el instructivo 2026 ($39.850.000): verificar modalidad; ",""),"")&amp;IF(AND(ISNUMBER(M382),OR(ISNUMBER(SEARCH("prestación de servicios",D382)),ISNUMBER(SEARCH("prestar servicios",D382)),ISNUMBER(SEARCH("prestar los servicios",D382)))),IF(M382&gt;=500000000,"Prestación de servicios por $500 millones o más: posible error de digitación; ",""),""))=0,"Sin observaciones",IF(OR(NOT(ISNUMBER(B382)),LEN(B382)&lt;&gt;8),"UNSPSC vacío, en texto, con varios códigos o sin 8 dígitos; ","")&amp;IF(AND(ISNUMBER(B382),LEN(B382)=8),IF(MOD(B382,10000)=0,"UNSPSC a nivel de segmento o familia; ",""),"")&amp;IF(NOT(ISNUMBER(E382)),"Duración vacía o en texto; ","")&amp;IF(NOT(ISNUMBER(G382)),"Valor vacío o en texto; ","")&amp;IF(ISNUMBER(M382),IF(M382&lt;1000000,"Valor inferior a $1.000.000: verificar; ",""),"Valor no interpretable; ")&amp;IF(N382="[PENDIENTE DE VERIFICAR]","Modalidad no identificable; ","")&amp;IF(OR(ISERROR(SEARCH("@itc.edu.co",J382)),SUMPRODUCT(--ISNUMBER(SEARCH({"á","é","í","ó","ú","ñ"},J382)))&gt;0),"Correo vacío o no institucional válido; ","")&amp;IF(LEN(TRIM(D382))=0,"Sin objeto contractual; ","")&amp;IF(AND(ISNUMBER(M382),N382="Mínima cuantía"),IF(M382&gt;39850000,"Mínima cuantía con valor superior al tope citado en el instructivo 2026 ($39.850.000): verificar modalidad; ",""),"")&amp;IF(AND(ISNUMBER(M382),OR(ISNUMBER(SEARCH("prestación de servicios",D382)),ISNUMBER(SEARCH("prestar servicios",D382)),ISNUMBER(SEARCH("prestar los servicios",D382)))),IF(M382&gt;=500000000,"Prestación de servicios por $500 millones o más: posible error de digitación; ",""),""))</f>
        <v xml:space="preserve">Valor vacío o en texto; </v>
      </c>
    </row>
    <row r="383" spans="1:15" ht="68.400000000000006" x14ac:dyDescent="0.3">
      <c r="A383" s="15" t="s">
        <v>1715</v>
      </c>
      <c r="B383" s="15">
        <v>81112307</v>
      </c>
      <c r="C383" s="15" t="s">
        <v>344</v>
      </c>
      <c r="D383" s="15" t="s">
        <v>1716</v>
      </c>
      <c r="E383" s="15">
        <v>12</v>
      </c>
      <c r="F383" s="15" t="s">
        <v>1327</v>
      </c>
      <c r="G383" s="29" t="s">
        <v>1717</v>
      </c>
      <c r="H383" s="15" t="s">
        <v>1707</v>
      </c>
      <c r="I383" s="15" t="s">
        <v>1701</v>
      </c>
      <c r="J383" s="15" t="s">
        <v>1026</v>
      </c>
      <c r="K383" s="15"/>
      <c r="L383" s="30" t="s">
        <v>841</v>
      </c>
      <c r="M383" s="31">
        <v>32400000</v>
      </c>
      <c r="N383" s="30" t="s">
        <v>803</v>
      </c>
      <c r="O383" s="30" t="str">
        <f>IF(LEN(IF(OR(NOT(ISNUMBER(B383)),LEN(B383)&lt;&gt;8),"UNSPSC vacío, en texto, con varios códigos o sin 8 dígitos; ","")&amp;IF(AND(ISNUMBER(B383),LEN(B383)=8),IF(MOD(B383,10000)=0,"UNSPSC a nivel de segmento o familia; ",""),"")&amp;IF(NOT(ISNUMBER(E383)),"Duración vacía o en texto; ","")&amp;IF(NOT(ISNUMBER(G383)),"Valor vacío o en texto; ","")&amp;IF(ISNUMBER(M383),IF(M383&lt;1000000,"Valor inferior a $1.000.000: verificar; ",""),"Valor no interpretable; ")&amp;IF(N383="[PENDIENTE DE VERIFICAR]","Modalidad no identificable; ","")&amp;IF(OR(ISERROR(SEARCH("@itc.edu.co",J383)),SUMPRODUCT(--ISNUMBER(SEARCH({"á","é","í","ó","ú","ñ"},J383)))&gt;0),"Correo vacío o no institucional válido; ","")&amp;IF(LEN(TRIM(D383))=0,"Sin objeto contractual; ","")&amp;IF(AND(ISNUMBER(M383),N383="Mínima cuantía"),IF(M383&gt;39850000,"Mínima cuantía con valor superior al tope citado en el instructivo 2026 ($39.850.000): verificar modalidad; ",""),"")&amp;IF(AND(ISNUMBER(M383),OR(ISNUMBER(SEARCH("prestación de servicios",D383)),ISNUMBER(SEARCH("prestar servicios",D383)),ISNUMBER(SEARCH("prestar los servicios",D383)))),IF(M383&gt;=500000000,"Prestación de servicios por $500 millones o más: posible error de digitación; ",""),""))=0,"Sin observaciones",IF(OR(NOT(ISNUMBER(B383)),LEN(B383)&lt;&gt;8),"UNSPSC vacío, en texto, con varios códigos o sin 8 dígitos; ","")&amp;IF(AND(ISNUMBER(B383),LEN(B383)=8),IF(MOD(B383,10000)=0,"UNSPSC a nivel de segmento o familia; ",""),"")&amp;IF(NOT(ISNUMBER(E383)),"Duración vacía o en texto; ","")&amp;IF(NOT(ISNUMBER(G383)),"Valor vacío o en texto; ","")&amp;IF(ISNUMBER(M383),IF(M383&lt;1000000,"Valor inferior a $1.000.000: verificar; ",""),"Valor no interpretable; ")&amp;IF(N383="[PENDIENTE DE VERIFICAR]","Modalidad no identificable; ","")&amp;IF(OR(ISERROR(SEARCH("@itc.edu.co",J383)),SUMPRODUCT(--ISNUMBER(SEARCH({"á","é","í","ó","ú","ñ"},J383)))&gt;0),"Correo vacío o no institucional válido; ","")&amp;IF(LEN(TRIM(D383))=0,"Sin objeto contractual; ","")&amp;IF(AND(ISNUMBER(M383),N383="Mínima cuantía"),IF(M383&gt;39850000,"Mínima cuantía con valor superior al tope citado en el instructivo 2026 ($39.850.000): verificar modalidad; ",""),"")&amp;IF(AND(ISNUMBER(M383),OR(ISNUMBER(SEARCH("prestación de servicios",D383)),ISNUMBER(SEARCH("prestar servicios",D383)),ISNUMBER(SEARCH("prestar los servicios",D383)))),IF(M383&gt;=500000000,"Prestación de servicios por $500 millones o más: posible error de digitación; ",""),""))</f>
        <v xml:space="preserve">Valor vacío o en texto; </v>
      </c>
    </row>
    <row r="384" spans="1:15" ht="68.400000000000006" x14ac:dyDescent="0.3">
      <c r="A384" s="15" t="s">
        <v>1718</v>
      </c>
      <c r="B384" s="15">
        <v>81112307</v>
      </c>
      <c r="C384" s="15" t="s">
        <v>344</v>
      </c>
      <c r="D384" s="15" t="s">
        <v>1719</v>
      </c>
      <c r="E384" s="15">
        <v>12</v>
      </c>
      <c r="F384" s="15" t="s">
        <v>1327</v>
      </c>
      <c r="G384" s="29" t="s">
        <v>1720</v>
      </c>
      <c r="H384" s="15" t="s">
        <v>1721</v>
      </c>
      <c r="I384" s="15" t="s">
        <v>1701</v>
      </c>
      <c r="J384" s="15" t="s">
        <v>1026</v>
      </c>
      <c r="K384" s="15"/>
      <c r="L384" s="30" t="s">
        <v>841</v>
      </c>
      <c r="M384" s="31">
        <v>28704000</v>
      </c>
      <c r="N384" s="30" t="s">
        <v>803</v>
      </c>
      <c r="O384" s="30" t="str">
        <f>IF(LEN(IF(OR(NOT(ISNUMBER(B384)),LEN(B384)&lt;&gt;8),"UNSPSC vacío, en texto, con varios códigos o sin 8 dígitos; ","")&amp;IF(AND(ISNUMBER(B384),LEN(B384)=8),IF(MOD(B384,10000)=0,"UNSPSC a nivel de segmento o familia; ",""),"")&amp;IF(NOT(ISNUMBER(E384)),"Duración vacía o en texto; ","")&amp;IF(NOT(ISNUMBER(G384)),"Valor vacío o en texto; ","")&amp;IF(ISNUMBER(M384),IF(M384&lt;1000000,"Valor inferior a $1.000.000: verificar; ",""),"Valor no interpretable; ")&amp;IF(N384="[PENDIENTE DE VERIFICAR]","Modalidad no identificable; ","")&amp;IF(OR(ISERROR(SEARCH("@itc.edu.co",J384)),SUMPRODUCT(--ISNUMBER(SEARCH({"á","é","í","ó","ú","ñ"},J384)))&gt;0),"Correo vacío o no institucional válido; ","")&amp;IF(LEN(TRIM(D384))=0,"Sin objeto contractual; ","")&amp;IF(AND(ISNUMBER(M384),N384="Mínima cuantía"),IF(M384&gt;39850000,"Mínima cuantía con valor superior al tope citado en el instructivo 2026 ($39.850.000): verificar modalidad; ",""),"")&amp;IF(AND(ISNUMBER(M384),OR(ISNUMBER(SEARCH("prestación de servicios",D384)),ISNUMBER(SEARCH("prestar servicios",D384)),ISNUMBER(SEARCH("prestar los servicios",D384)))),IF(M384&gt;=500000000,"Prestación de servicios por $500 millones o más: posible error de digitación; ",""),""))=0,"Sin observaciones",IF(OR(NOT(ISNUMBER(B384)),LEN(B384)&lt;&gt;8),"UNSPSC vacío, en texto, con varios códigos o sin 8 dígitos; ","")&amp;IF(AND(ISNUMBER(B384),LEN(B384)=8),IF(MOD(B384,10000)=0,"UNSPSC a nivel de segmento o familia; ",""),"")&amp;IF(NOT(ISNUMBER(E384)),"Duración vacía o en texto; ","")&amp;IF(NOT(ISNUMBER(G384)),"Valor vacío o en texto; ","")&amp;IF(ISNUMBER(M384),IF(M384&lt;1000000,"Valor inferior a $1.000.000: verificar; ",""),"Valor no interpretable; ")&amp;IF(N384="[PENDIENTE DE VERIFICAR]","Modalidad no identificable; ","")&amp;IF(OR(ISERROR(SEARCH("@itc.edu.co",J384)),SUMPRODUCT(--ISNUMBER(SEARCH({"á","é","í","ó","ú","ñ"},J384)))&gt;0),"Correo vacío o no institucional válido; ","")&amp;IF(LEN(TRIM(D384))=0,"Sin objeto contractual; ","")&amp;IF(AND(ISNUMBER(M384),N384="Mínima cuantía"),IF(M384&gt;39850000,"Mínima cuantía con valor superior al tope citado en el instructivo 2026 ($39.850.000): verificar modalidad; ",""),"")&amp;IF(AND(ISNUMBER(M384),OR(ISNUMBER(SEARCH("prestación de servicios",D384)),ISNUMBER(SEARCH("prestar servicios",D384)),ISNUMBER(SEARCH("prestar los servicios",D384)))),IF(M384&gt;=500000000,"Prestación de servicios por $500 millones o más: posible error de digitación; ",""),""))</f>
        <v xml:space="preserve">Valor vacío o en texto; </v>
      </c>
    </row>
    <row r="385" spans="1:15" ht="68.400000000000006" x14ac:dyDescent="0.3">
      <c r="A385" s="15" t="s">
        <v>1722</v>
      </c>
      <c r="B385" s="15">
        <v>81112307</v>
      </c>
      <c r="C385" s="15" t="s">
        <v>344</v>
      </c>
      <c r="D385" s="15" t="s">
        <v>1723</v>
      </c>
      <c r="E385" s="15">
        <v>12</v>
      </c>
      <c r="F385" s="15" t="s">
        <v>1327</v>
      </c>
      <c r="G385" s="29">
        <v>33376740</v>
      </c>
      <c r="H385" s="15" t="s">
        <v>1721</v>
      </c>
      <c r="I385" s="15" t="s">
        <v>1701</v>
      </c>
      <c r="J385" s="15" t="s">
        <v>1026</v>
      </c>
      <c r="K385" s="15"/>
      <c r="L385" s="30" t="s">
        <v>841</v>
      </c>
      <c r="M385" s="31">
        <v>33376740</v>
      </c>
      <c r="N385" s="30" t="s">
        <v>803</v>
      </c>
      <c r="O385" s="30" t="str">
        <f>IF(LEN(IF(OR(NOT(ISNUMBER(B385)),LEN(B385)&lt;&gt;8),"UNSPSC vacío, en texto, con varios códigos o sin 8 dígitos; ","")&amp;IF(AND(ISNUMBER(B385),LEN(B385)=8),IF(MOD(B385,10000)=0,"UNSPSC a nivel de segmento o familia; ",""),"")&amp;IF(NOT(ISNUMBER(E385)),"Duración vacía o en texto; ","")&amp;IF(NOT(ISNUMBER(G385)),"Valor vacío o en texto; ","")&amp;IF(ISNUMBER(M385),IF(M385&lt;1000000,"Valor inferior a $1.000.000: verificar; ",""),"Valor no interpretable; ")&amp;IF(N385="[PENDIENTE DE VERIFICAR]","Modalidad no identificable; ","")&amp;IF(OR(ISERROR(SEARCH("@itc.edu.co",J385)),SUMPRODUCT(--ISNUMBER(SEARCH({"á","é","í","ó","ú","ñ"},J385)))&gt;0),"Correo vacío o no institucional válido; ","")&amp;IF(LEN(TRIM(D385))=0,"Sin objeto contractual; ","")&amp;IF(AND(ISNUMBER(M385),N385="Mínima cuantía"),IF(M385&gt;39850000,"Mínima cuantía con valor superior al tope citado en el instructivo 2026 ($39.850.000): verificar modalidad; ",""),"")&amp;IF(AND(ISNUMBER(M385),OR(ISNUMBER(SEARCH("prestación de servicios",D385)),ISNUMBER(SEARCH("prestar servicios",D385)),ISNUMBER(SEARCH("prestar los servicios",D385)))),IF(M385&gt;=500000000,"Prestación de servicios por $500 millones o más: posible error de digitación; ",""),""))=0,"Sin observaciones",IF(OR(NOT(ISNUMBER(B385)),LEN(B385)&lt;&gt;8),"UNSPSC vacío, en texto, con varios códigos o sin 8 dígitos; ","")&amp;IF(AND(ISNUMBER(B385),LEN(B385)=8),IF(MOD(B385,10000)=0,"UNSPSC a nivel de segmento o familia; ",""),"")&amp;IF(NOT(ISNUMBER(E385)),"Duración vacía o en texto; ","")&amp;IF(NOT(ISNUMBER(G385)),"Valor vacío o en texto; ","")&amp;IF(ISNUMBER(M385),IF(M385&lt;1000000,"Valor inferior a $1.000.000: verificar; ",""),"Valor no interpretable; ")&amp;IF(N385="[PENDIENTE DE VERIFICAR]","Modalidad no identificable; ","")&amp;IF(OR(ISERROR(SEARCH("@itc.edu.co",J385)),SUMPRODUCT(--ISNUMBER(SEARCH({"á","é","í","ó","ú","ñ"},J385)))&gt;0),"Correo vacío o no institucional válido; ","")&amp;IF(LEN(TRIM(D385))=0,"Sin objeto contractual; ","")&amp;IF(AND(ISNUMBER(M385),N385="Mínima cuantía"),IF(M385&gt;39850000,"Mínima cuantía con valor superior al tope citado en el instructivo 2026 ($39.850.000): verificar modalidad; ",""),"")&amp;IF(AND(ISNUMBER(M385),OR(ISNUMBER(SEARCH("prestación de servicios",D385)),ISNUMBER(SEARCH("prestar servicios",D385)),ISNUMBER(SEARCH("prestar los servicios",D385)))),IF(M385&gt;=500000000,"Prestación de servicios por $500 millones o más: posible error de digitación; ",""),""))</f>
        <v>Sin observaciones</v>
      </c>
    </row>
    <row r="386" spans="1:15" ht="57" x14ac:dyDescent="0.3">
      <c r="A386" s="15" t="s">
        <v>1724</v>
      </c>
      <c r="B386" s="15">
        <v>81112307</v>
      </c>
      <c r="C386" s="15" t="s">
        <v>344</v>
      </c>
      <c r="D386" s="15" t="s">
        <v>1725</v>
      </c>
      <c r="E386" s="15">
        <v>12</v>
      </c>
      <c r="F386" s="15" t="s">
        <v>1327</v>
      </c>
      <c r="G386" s="29" t="s">
        <v>1720</v>
      </c>
      <c r="H386" s="15" t="s">
        <v>1721</v>
      </c>
      <c r="I386" s="15" t="s">
        <v>1701</v>
      </c>
      <c r="J386" s="15" t="s">
        <v>1026</v>
      </c>
      <c r="K386" s="15"/>
      <c r="L386" s="30" t="s">
        <v>841</v>
      </c>
      <c r="M386" s="31">
        <v>28704000</v>
      </c>
      <c r="N386" s="30" t="s">
        <v>803</v>
      </c>
      <c r="O386" s="30" t="str">
        <f>IF(LEN(IF(OR(NOT(ISNUMBER(B386)),LEN(B386)&lt;&gt;8),"UNSPSC vacío, en texto, con varios códigos o sin 8 dígitos; ","")&amp;IF(AND(ISNUMBER(B386),LEN(B386)=8),IF(MOD(B386,10000)=0,"UNSPSC a nivel de segmento o familia; ",""),"")&amp;IF(NOT(ISNUMBER(E386)),"Duración vacía o en texto; ","")&amp;IF(NOT(ISNUMBER(G386)),"Valor vacío o en texto; ","")&amp;IF(ISNUMBER(M386),IF(M386&lt;1000000,"Valor inferior a $1.000.000: verificar; ",""),"Valor no interpretable; ")&amp;IF(N386="[PENDIENTE DE VERIFICAR]","Modalidad no identificable; ","")&amp;IF(OR(ISERROR(SEARCH("@itc.edu.co",J386)),SUMPRODUCT(--ISNUMBER(SEARCH({"á","é","í","ó","ú","ñ"},J386)))&gt;0),"Correo vacío o no institucional válido; ","")&amp;IF(LEN(TRIM(D386))=0,"Sin objeto contractual; ","")&amp;IF(AND(ISNUMBER(M386),N386="Mínima cuantía"),IF(M386&gt;39850000,"Mínima cuantía con valor superior al tope citado en el instructivo 2026 ($39.850.000): verificar modalidad; ",""),"")&amp;IF(AND(ISNUMBER(M386),OR(ISNUMBER(SEARCH("prestación de servicios",D386)),ISNUMBER(SEARCH("prestar servicios",D386)),ISNUMBER(SEARCH("prestar los servicios",D386)))),IF(M386&gt;=500000000,"Prestación de servicios por $500 millones o más: posible error de digitación; ",""),""))=0,"Sin observaciones",IF(OR(NOT(ISNUMBER(B386)),LEN(B386)&lt;&gt;8),"UNSPSC vacío, en texto, con varios códigos o sin 8 dígitos; ","")&amp;IF(AND(ISNUMBER(B386),LEN(B386)=8),IF(MOD(B386,10000)=0,"UNSPSC a nivel de segmento o familia; ",""),"")&amp;IF(NOT(ISNUMBER(E386)),"Duración vacía o en texto; ","")&amp;IF(NOT(ISNUMBER(G386)),"Valor vacío o en texto; ","")&amp;IF(ISNUMBER(M386),IF(M386&lt;1000000,"Valor inferior a $1.000.000: verificar; ",""),"Valor no interpretable; ")&amp;IF(N386="[PENDIENTE DE VERIFICAR]","Modalidad no identificable; ","")&amp;IF(OR(ISERROR(SEARCH("@itc.edu.co",J386)),SUMPRODUCT(--ISNUMBER(SEARCH({"á","é","í","ó","ú","ñ"},J386)))&gt;0),"Correo vacío o no institucional válido; ","")&amp;IF(LEN(TRIM(D386))=0,"Sin objeto contractual; ","")&amp;IF(AND(ISNUMBER(M386),N386="Mínima cuantía"),IF(M386&gt;39850000,"Mínima cuantía con valor superior al tope citado en el instructivo 2026 ($39.850.000): verificar modalidad; ",""),"")&amp;IF(AND(ISNUMBER(M386),OR(ISNUMBER(SEARCH("prestación de servicios",D386)),ISNUMBER(SEARCH("prestar servicios",D386)),ISNUMBER(SEARCH("prestar los servicios",D386)))),IF(M386&gt;=500000000,"Prestación de servicios por $500 millones o más: posible error de digitación; ",""),""))</f>
        <v xml:space="preserve">Valor vacío o en texto; </v>
      </c>
    </row>
    <row r="387" spans="1:15" ht="45.6" x14ac:dyDescent="0.3">
      <c r="A387" s="15" t="s">
        <v>1726</v>
      </c>
      <c r="B387" s="15">
        <v>81112501</v>
      </c>
      <c r="C387" s="15" t="s">
        <v>344</v>
      </c>
      <c r="D387" s="15" t="s">
        <v>1727</v>
      </c>
      <c r="E387" s="15">
        <v>1</v>
      </c>
      <c r="F387" s="15" t="s">
        <v>1728</v>
      </c>
      <c r="G387" s="29" t="s">
        <v>1729</v>
      </c>
      <c r="H387" s="15" t="s">
        <v>1730</v>
      </c>
      <c r="I387" s="15" t="s">
        <v>1701</v>
      </c>
      <c r="J387" s="15" t="s">
        <v>1026</v>
      </c>
      <c r="K387" s="15"/>
      <c r="L387" s="30" t="s">
        <v>841</v>
      </c>
      <c r="M387" s="31">
        <v>6600000</v>
      </c>
      <c r="N387" s="30" t="s">
        <v>792</v>
      </c>
      <c r="O387" s="30" t="str">
        <f>IF(LEN(IF(OR(NOT(ISNUMBER(B387)),LEN(B387)&lt;&gt;8),"UNSPSC vacío, en texto, con varios códigos o sin 8 dígitos; ","")&amp;IF(AND(ISNUMBER(B387),LEN(B387)=8),IF(MOD(B387,10000)=0,"UNSPSC a nivel de segmento o familia; ",""),"")&amp;IF(NOT(ISNUMBER(E387)),"Duración vacía o en texto; ","")&amp;IF(NOT(ISNUMBER(G387)),"Valor vacío o en texto; ","")&amp;IF(ISNUMBER(M387),IF(M387&lt;1000000,"Valor inferior a $1.000.000: verificar; ",""),"Valor no interpretable; ")&amp;IF(N387="[PENDIENTE DE VERIFICAR]","Modalidad no identificable; ","")&amp;IF(OR(ISERROR(SEARCH("@itc.edu.co",J387)),SUMPRODUCT(--ISNUMBER(SEARCH({"á","é","í","ó","ú","ñ"},J387)))&gt;0),"Correo vacío o no institucional válido; ","")&amp;IF(LEN(TRIM(D387))=0,"Sin objeto contractual; ","")&amp;IF(AND(ISNUMBER(M387),N387="Mínima cuantía"),IF(M387&gt;39850000,"Mínima cuantía con valor superior al tope citado en el instructivo 2026 ($39.850.000): verificar modalidad; ",""),"")&amp;IF(AND(ISNUMBER(M387),OR(ISNUMBER(SEARCH("prestación de servicios",D387)),ISNUMBER(SEARCH("prestar servicios",D387)),ISNUMBER(SEARCH("prestar los servicios",D387)))),IF(M387&gt;=500000000,"Prestación de servicios por $500 millones o más: posible error de digitación; ",""),""))=0,"Sin observaciones",IF(OR(NOT(ISNUMBER(B387)),LEN(B387)&lt;&gt;8),"UNSPSC vacío, en texto, con varios códigos o sin 8 dígitos; ","")&amp;IF(AND(ISNUMBER(B387),LEN(B387)=8),IF(MOD(B387,10000)=0,"UNSPSC a nivel de segmento o familia; ",""),"")&amp;IF(NOT(ISNUMBER(E387)),"Duración vacía o en texto; ","")&amp;IF(NOT(ISNUMBER(G387)),"Valor vacío o en texto; ","")&amp;IF(ISNUMBER(M387),IF(M387&lt;1000000,"Valor inferior a $1.000.000: verificar; ",""),"Valor no interpretable; ")&amp;IF(N387="[PENDIENTE DE VERIFICAR]","Modalidad no identificable; ","")&amp;IF(OR(ISERROR(SEARCH("@itc.edu.co",J387)),SUMPRODUCT(--ISNUMBER(SEARCH({"á","é","í","ó","ú","ñ"},J387)))&gt;0),"Correo vacío o no institucional válido; ","")&amp;IF(LEN(TRIM(D387))=0,"Sin objeto contractual; ","")&amp;IF(AND(ISNUMBER(M387),N387="Mínima cuantía"),IF(M387&gt;39850000,"Mínima cuantía con valor superior al tope citado en el instructivo 2026 ($39.850.000): verificar modalidad; ",""),"")&amp;IF(AND(ISNUMBER(M387),OR(ISNUMBER(SEARCH("prestación de servicios",D387)),ISNUMBER(SEARCH("prestar servicios",D387)),ISNUMBER(SEARCH("prestar los servicios",D387)))),IF(M387&gt;=500000000,"Prestación de servicios por $500 millones o más: posible error de digitación; ",""),""))</f>
        <v xml:space="preserve">Valor vacío o en texto; </v>
      </c>
    </row>
    <row r="388" spans="1:15" ht="34.200000000000003" x14ac:dyDescent="0.3">
      <c r="A388" s="15" t="s">
        <v>1731</v>
      </c>
      <c r="B388" s="15">
        <v>81112501</v>
      </c>
      <c r="C388" s="15" t="s">
        <v>344</v>
      </c>
      <c r="D388" s="15" t="s">
        <v>1732</v>
      </c>
      <c r="E388" s="15">
        <v>1</v>
      </c>
      <c r="F388" s="15" t="s">
        <v>1728</v>
      </c>
      <c r="G388" s="29" t="s">
        <v>1733</v>
      </c>
      <c r="H388" s="15" t="s">
        <v>1730</v>
      </c>
      <c r="I388" s="15" t="s">
        <v>1701</v>
      </c>
      <c r="J388" s="15" t="s">
        <v>1026</v>
      </c>
      <c r="K388" s="15"/>
      <c r="L388" s="30" t="s">
        <v>841</v>
      </c>
      <c r="M388" s="31">
        <v>19260626</v>
      </c>
      <c r="N388" s="30" t="s">
        <v>792</v>
      </c>
      <c r="O388" s="30" t="str">
        <f>IF(LEN(IF(OR(NOT(ISNUMBER(B388)),LEN(B388)&lt;&gt;8),"UNSPSC vacío, en texto, con varios códigos o sin 8 dígitos; ","")&amp;IF(AND(ISNUMBER(B388),LEN(B388)=8),IF(MOD(B388,10000)=0,"UNSPSC a nivel de segmento o familia; ",""),"")&amp;IF(NOT(ISNUMBER(E388)),"Duración vacía o en texto; ","")&amp;IF(NOT(ISNUMBER(G388)),"Valor vacío o en texto; ","")&amp;IF(ISNUMBER(M388),IF(M388&lt;1000000,"Valor inferior a $1.000.000: verificar; ",""),"Valor no interpretable; ")&amp;IF(N388="[PENDIENTE DE VERIFICAR]","Modalidad no identificable; ","")&amp;IF(OR(ISERROR(SEARCH("@itc.edu.co",J388)),SUMPRODUCT(--ISNUMBER(SEARCH({"á","é","í","ó","ú","ñ"},J388)))&gt;0),"Correo vacío o no institucional válido; ","")&amp;IF(LEN(TRIM(D388))=0,"Sin objeto contractual; ","")&amp;IF(AND(ISNUMBER(M388),N388="Mínima cuantía"),IF(M388&gt;39850000,"Mínima cuantía con valor superior al tope citado en el instructivo 2026 ($39.850.000): verificar modalidad; ",""),"")&amp;IF(AND(ISNUMBER(M388),OR(ISNUMBER(SEARCH("prestación de servicios",D388)),ISNUMBER(SEARCH("prestar servicios",D388)),ISNUMBER(SEARCH("prestar los servicios",D388)))),IF(M388&gt;=500000000,"Prestación de servicios por $500 millones o más: posible error de digitación; ",""),""))=0,"Sin observaciones",IF(OR(NOT(ISNUMBER(B388)),LEN(B388)&lt;&gt;8),"UNSPSC vacío, en texto, con varios códigos o sin 8 dígitos; ","")&amp;IF(AND(ISNUMBER(B388),LEN(B388)=8),IF(MOD(B388,10000)=0,"UNSPSC a nivel de segmento o familia; ",""),"")&amp;IF(NOT(ISNUMBER(E388)),"Duración vacía o en texto; ","")&amp;IF(NOT(ISNUMBER(G388)),"Valor vacío o en texto; ","")&amp;IF(ISNUMBER(M388),IF(M388&lt;1000000,"Valor inferior a $1.000.000: verificar; ",""),"Valor no interpretable; ")&amp;IF(N388="[PENDIENTE DE VERIFICAR]","Modalidad no identificable; ","")&amp;IF(OR(ISERROR(SEARCH("@itc.edu.co",J388)),SUMPRODUCT(--ISNUMBER(SEARCH({"á","é","í","ó","ú","ñ"},J388)))&gt;0),"Correo vacío o no institucional válido; ","")&amp;IF(LEN(TRIM(D388))=0,"Sin objeto contractual; ","")&amp;IF(AND(ISNUMBER(M388),N388="Mínima cuantía"),IF(M388&gt;39850000,"Mínima cuantía con valor superior al tope citado en el instructivo 2026 ($39.850.000): verificar modalidad; ",""),"")&amp;IF(AND(ISNUMBER(M388),OR(ISNUMBER(SEARCH("prestación de servicios",D388)),ISNUMBER(SEARCH("prestar servicios",D388)),ISNUMBER(SEARCH("prestar los servicios",D388)))),IF(M388&gt;=500000000,"Prestación de servicios por $500 millones o más: posible error de digitación; ",""),""))</f>
        <v xml:space="preserve">Valor vacío o en texto; </v>
      </c>
    </row>
    <row r="389" spans="1:15" ht="34.200000000000003" x14ac:dyDescent="0.3">
      <c r="A389" s="15" t="s">
        <v>1734</v>
      </c>
      <c r="B389" s="15">
        <v>81112501</v>
      </c>
      <c r="C389" s="15" t="s">
        <v>344</v>
      </c>
      <c r="D389" s="15" t="s">
        <v>1735</v>
      </c>
      <c r="E389" s="15">
        <v>1</v>
      </c>
      <c r="F389" s="15" t="s">
        <v>1728</v>
      </c>
      <c r="G389" s="29" t="s">
        <v>1736</v>
      </c>
      <c r="H389" s="15" t="s">
        <v>1730</v>
      </c>
      <c r="I389" s="15" t="s">
        <v>1701</v>
      </c>
      <c r="J389" s="15" t="s">
        <v>1026</v>
      </c>
      <c r="K389" s="15"/>
      <c r="L389" s="30" t="s">
        <v>841</v>
      </c>
      <c r="M389" s="31">
        <v>14373330.51</v>
      </c>
      <c r="N389" s="30" t="s">
        <v>792</v>
      </c>
      <c r="O389" s="30" t="str">
        <f>IF(LEN(IF(OR(NOT(ISNUMBER(B389)),LEN(B389)&lt;&gt;8),"UNSPSC vacío, en texto, con varios códigos o sin 8 dígitos; ","")&amp;IF(AND(ISNUMBER(B389),LEN(B389)=8),IF(MOD(B389,10000)=0,"UNSPSC a nivel de segmento o familia; ",""),"")&amp;IF(NOT(ISNUMBER(E389)),"Duración vacía o en texto; ","")&amp;IF(NOT(ISNUMBER(G389)),"Valor vacío o en texto; ","")&amp;IF(ISNUMBER(M389),IF(M389&lt;1000000,"Valor inferior a $1.000.000: verificar; ",""),"Valor no interpretable; ")&amp;IF(N389="[PENDIENTE DE VERIFICAR]","Modalidad no identificable; ","")&amp;IF(OR(ISERROR(SEARCH("@itc.edu.co",J389)),SUMPRODUCT(--ISNUMBER(SEARCH({"á","é","í","ó","ú","ñ"},J389)))&gt;0),"Correo vacío o no institucional válido; ","")&amp;IF(LEN(TRIM(D389))=0,"Sin objeto contractual; ","")&amp;IF(AND(ISNUMBER(M389),N389="Mínima cuantía"),IF(M389&gt;39850000,"Mínima cuantía con valor superior al tope citado en el instructivo 2026 ($39.850.000): verificar modalidad; ",""),"")&amp;IF(AND(ISNUMBER(M389),OR(ISNUMBER(SEARCH("prestación de servicios",D389)),ISNUMBER(SEARCH("prestar servicios",D389)),ISNUMBER(SEARCH("prestar los servicios",D389)))),IF(M389&gt;=500000000,"Prestación de servicios por $500 millones o más: posible error de digitación; ",""),""))=0,"Sin observaciones",IF(OR(NOT(ISNUMBER(B389)),LEN(B389)&lt;&gt;8),"UNSPSC vacío, en texto, con varios códigos o sin 8 dígitos; ","")&amp;IF(AND(ISNUMBER(B389),LEN(B389)=8),IF(MOD(B389,10000)=0,"UNSPSC a nivel de segmento o familia; ",""),"")&amp;IF(NOT(ISNUMBER(E389)),"Duración vacía o en texto; ","")&amp;IF(NOT(ISNUMBER(G389)),"Valor vacío o en texto; ","")&amp;IF(ISNUMBER(M389),IF(M389&lt;1000000,"Valor inferior a $1.000.000: verificar; ",""),"Valor no interpretable; ")&amp;IF(N389="[PENDIENTE DE VERIFICAR]","Modalidad no identificable; ","")&amp;IF(OR(ISERROR(SEARCH("@itc.edu.co",J389)),SUMPRODUCT(--ISNUMBER(SEARCH({"á","é","í","ó","ú","ñ"},J389)))&gt;0),"Correo vacío o no institucional válido; ","")&amp;IF(LEN(TRIM(D389))=0,"Sin objeto contractual; ","")&amp;IF(AND(ISNUMBER(M389),N389="Mínima cuantía"),IF(M389&gt;39850000,"Mínima cuantía con valor superior al tope citado en el instructivo 2026 ($39.850.000): verificar modalidad; ",""),"")&amp;IF(AND(ISNUMBER(M389),OR(ISNUMBER(SEARCH("prestación de servicios",D389)),ISNUMBER(SEARCH("prestar servicios",D389)),ISNUMBER(SEARCH("prestar los servicios",D389)))),IF(M389&gt;=500000000,"Prestación de servicios por $500 millones o más: posible error de digitación; ",""),""))</f>
        <v xml:space="preserve">Valor vacío o en texto; </v>
      </c>
    </row>
    <row r="390" spans="1:15" ht="45.6" x14ac:dyDescent="0.3">
      <c r="A390" s="15" t="s">
        <v>1737</v>
      </c>
      <c r="B390" s="15">
        <v>81112501</v>
      </c>
      <c r="C390" s="15" t="s">
        <v>344</v>
      </c>
      <c r="D390" s="15" t="s">
        <v>1738</v>
      </c>
      <c r="E390" s="15">
        <v>1</v>
      </c>
      <c r="F390" s="15" t="s">
        <v>1728</v>
      </c>
      <c r="G390" s="29" t="s">
        <v>1739</v>
      </c>
      <c r="H390" s="15" t="s">
        <v>1730</v>
      </c>
      <c r="I390" s="15" t="s">
        <v>1701</v>
      </c>
      <c r="J390" s="15" t="s">
        <v>1026</v>
      </c>
      <c r="K390" s="15"/>
      <c r="L390" s="30" t="s">
        <v>841</v>
      </c>
      <c r="M390" s="31">
        <v>18378360</v>
      </c>
      <c r="N390" s="30" t="s">
        <v>792</v>
      </c>
      <c r="O390" s="30" t="str">
        <f>IF(LEN(IF(OR(NOT(ISNUMBER(B390)),LEN(B390)&lt;&gt;8),"UNSPSC vacío, en texto, con varios códigos o sin 8 dígitos; ","")&amp;IF(AND(ISNUMBER(B390),LEN(B390)=8),IF(MOD(B390,10000)=0,"UNSPSC a nivel de segmento o familia; ",""),"")&amp;IF(NOT(ISNUMBER(E390)),"Duración vacía o en texto; ","")&amp;IF(NOT(ISNUMBER(G390)),"Valor vacío o en texto; ","")&amp;IF(ISNUMBER(M390),IF(M390&lt;1000000,"Valor inferior a $1.000.000: verificar; ",""),"Valor no interpretable; ")&amp;IF(N390="[PENDIENTE DE VERIFICAR]","Modalidad no identificable; ","")&amp;IF(OR(ISERROR(SEARCH("@itc.edu.co",J390)),SUMPRODUCT(--ISNUMBER(SEARCH({"á","é","í","ó","ú","ñ"},J390)))&gt;0),"Correo vacío o no institucional válido; ","")&amp;IF(LEN(TRIM(D390))=0,"Sin objeto contractual; ","")&amp;IF(AND(ISNUMBER(M390),N390="Mínima cuantía"),IF(M390&gt;39850000,"Mínima cuantía con valor superior al tope citado en el instructivo 2026 ($39.850.000): verificar modalidad; ",""),"")&amp;IF(AND(ISNUMBER(M390),OR(ISNUMBER(SEARCH("prestación de servicios",D390)),ISNUMBER(SEARCH("prestar servicios",D390)),ISNUMBER(SEARCH("prestar los servicios",D390)))),IF(M390&gt;=500000000,"Prestación de servicios por $500 millones o más: posible error de digitación; ",""),""))=0,"Sin observaciones",IF(OR(NOT(ISNUMBER(B390)),LEN(B390)&lt;&gt;8),"UNSPSC vacío, en texto, con varios códigos o sin 8 dígitos; ","")&amp;IF(AND(ISNUMBER(B390),LEN(B390)=8),IF(MOD(B390,10000)=0,"UNSPSC a nivel de segmento o familia; ",""),"")&amp;IF(NOT(ISNUMBER(E390)),"Duración vacía o en texto; ","")&amp;IF(NOT(ISNUMBER(G390)),"Valor vacío o en texto; ","")&amp;IF(ISNUMBER(M390),IF(M390&lt;1000000,"Valor inferior a $1.000.000: verificar; ",""),"Valor no interpretable; ")&amp;IF(N390="[PENDIENTE DE VERIFICAR]","Modalidad no identificable; ","")&amp;IF(OR(ISERROR(SEARCH("@itc.edu.co",J390)),SUMPRODUCT(--ISNUMBER(SEARCH({"á","é","í","ó","ú","ñ"},J390)))&gt;0),"Correo vacío o no institucional válido; ","")&amp;IF(LEN(TRIM(D390))=0,"Sin objeto contractual; ","")&amp;IF(AND(ISNUMBER(M390),N390="Mínima cuantía"),IF(M390&gt;39850000,"Mínima cuantía con valor superior al tope citado en el instructivo 2026 ($39.850.000): verificar modalidad; ",""),"")&amp;IF(AND(ISNUMBER(M390),OR(ISNUMBER(SEARCH("prestación de servicios",D390)),ISNUMBER(SEARCH("prestar servicios",D390)),ISNUMBER(SEARCH("prestar los servicios",D390)))),IF(M390&gt;=500000000,"Prestación de servicios por $500 millones o más: posible error de digitación; ",""),""))</f>
        <v xml:space="preserve">Valor vacío o en texto; </v>
      </c>
    </row>
    <row r="391" spans="1:15" ht="45.6" x14ac:dyDescent="0.3">
      <c r="A391" s="15" t="s">
        <v>1740</v>
      </c>
      <c r="B391" s="15">
        <v>81112501</v>
      </c>
      <c r="C391" s="15" t="s">
        <v>344</v>
      </c>
      <c r="D391" s="15" t="s">
        <v>1741</v>
      </c>
      <c r="E391" s="15">
        <v>1</v>
      </c>
      <c r="F391" s="15" t="s">
        <v>1728</v>
      </c>
      <c r="G391" s="29" t="s">
        <v>1742</v>
      </c>
      <c r="H391" s="15" t="s">
        <v>1730</v>
      </c>
      <c r="I391" s="15" t="s">
        <v>1701</v>
      </c>
      <c r="J391" s="15" t="s">
        <v>1026</v>
      </c>
      <c r="K391" s="15"/>
      <c r="L391" s="30" t="s">
        <v>841</v>
      </c>
      <c r="M391" s="31">
        <v>39995787.340000004</v>
      </c>
      <c r="N391" s="30" t="s">
        <v>792</v>
      </c>
      <c r="O391" s="30" t="str">
        <f>IF(LEN(IF(OR(NOT(ISNUMBER(B391)),LEN(B391)&lt;&gt;8),"UNSPSC vacío, en texto, con varios códigos o sin 8 dígitos; ","")&amp;IF(AND(ISNUMBER(B391),LEN(B391)=8),IF(MOD(B391,10000)=0,"UNSPSC a nivel de segmento o familia; ",""),"")&amp;IF(NOT(ISNUMBER(E391)),"Duración vacía o en texto; ","")&amp;IF(NOT(ISNUMBER(G391)),"Valor vacío o en texto; ","")&amp;IF(ISNUMBER(M391),IF(M391&lt;1000000,"Valor inferior a $1.000.000: verificar; ",""),"Valor no interpretable; ")&amp;IF(N391="[PENDIENTE DE VERIFICAR]","Modalidad no identificable; ","")&amp;IF(OR(ISERROR(SEARCH("@itc.edu.co",J391)),SUMPRODUCT(--ISNUMBER(SEARCH({"á","é","í","ó","ú","ñ"},J391)))&gt;0),"Correo vacío o no institucional válido; ","")&amp;IF(LEN(TRIM(D391))=0,"Sin objeto contractual; ","")&amp;IF(AND(ISNUMBER(M391),N391="Mínima cuantía"),IF(M391&gt;39850000,"Mínima cuantía con valor superior al tope citado en el instructivo 2026 ($39.850.000): verificar modalidad; ",""),"")&amp;IF(AND(ISNUMBER(M391),OR(ISNUMBER(SEARCH("prestación de servicios",D391)),ISNUMBER(SEARCH("prestar servicios",D391)),ISNUMBER(SEARCH("prestar los servicios",D391)))),IF(M391&gt;=500000000,"Prestación de servicios por $500 millones o más: posible error de digitación; ",""),""))=0,"Sin observaciones",IF(OR(NOT(ISNUMBER(B391)),LEN(B391)&lt;&gt;8),"UNSPSC vacío, en texto, con varios códigos o sin 8 dígitos; ","")&amp;IF(AND(ISNUMBER(B391),LEN(B391)=8),IF(MOD(B391,10000)=0,"UNSPSC a nivel de segmento o familia; ",""),"")&amp;IF(NOT(ISNUMBER(E391)),"Duración vacía o en texto; ","")&amp;IF(NOT(ISNUMBER(G391)),"Valor vacío o en texto; ","")&amp;IF(ISNUMBER(M391),IF(M391&lt;1000000,"Valor inferior a $1.000.000: verificar; ",""),"Valor no interpretable; ")&amp;IF(N391="[PENDIENTE DE VERIFICAR]","Modalidad no identificable; ","")&amp;IF(OR(ISERROR(SEARCH("@itc.edu.co",J391)),SUMPRODUCT(--ISNUMBER(SEARCH({"á","é","í","ó","ú","ñ"},J391)))&gt;0),"Correo vacío o no institucional válido; ","")&amp;IF(LEN(TRIM(D391))=0,"Sin objeto contractual; ","")&amp;IF(AND(ISNUMBER(M391),N391="Mínima cuantía"),IF(M391&gt;39850000,"Mínima cuantía con valor superior al tope citado en el instructivo 2026 ($39.850.000): verificar modalidad; ",""),"")&amp;IF(AND(ISNUMBER(M391),OR(ISNUMBER(SEARCH("prestación de servicios",D391)),ISNUMBER(SEARCH("prestar servicios",D391)),ISNUMBER(SEARCH("prestar los servicios",D391)))),IF(M391&gt;=500000000,"Prestación de servicios por $500 millones o más: posible error de digitación; ",""),""))</f>
        <v xml:space="preserve">Valor vacío o en texto; Mínima cuantía con valor superior al tope citado en el instructivo 2026 ($39.850.000): verificar modalidad; </v>
      </c>
    </row>
    <row r="392" spans="1:15" ht="34.200000000000003" x14ac:dyDescent="0.3">
      <c r="A392" s="15" t="s">
        <v>1743</v>
      </c>
      <c r="B392" s="15">
        <v>81112501</v>
      </c>
      <c r="C392" s="15" t="s">
        <v>344</v>
      </c>
      <c r="D392" s="15" t="s">
        <v>1744</v>
      </c>
      <c r="E392" s="15">
        <v>1</v>
      </c>
      <c r="F392" s="15" t="s">
        <v>1728</v>
      </c>
      <c r="G392" s="29" t="s">
        <v>1745</v>
      </c>
      <c r="H392" s="15" t="s">
        <v>1730</v>
      </c>
      <c r="I392" s="15" t="s">
        <v>1701</v>
      </c>
      <c r="J392" s="15" t="s">
        <v>1026</v>
      </c>
      <c r="K392" s="15"/>
      <c r="L392" s="30" t="s">
        <v>841</v>
      </c>
      <c r="M392" s="31">
        <v>40025413.600000001</v>
      </c>
      <c r="N392" s="30" t="s">
        <v>792</v>
      </c>
      <c r="O392" s="30" t="str">
        <f>IF(LEN(IF(OR(NOT(ISNUMBER(B392)),LEN(B392)&lt;&gt;8),"UNSPSC vacío, en texto, con varios códigos o sin 8 dígitos; ","")&amp;IF(AND(ISNUMBER(B392),LEN(B392)=8),IF(MOD(B392,10000)=0,"UNSPSC a nivel de segmento o familia; ",""),"")&amp;IF(NOT(ISNUMBER(E392)),"Duración vacía o en texto; ","")&amp;IF(NOT(ISNUMBER(G392)),"Valor vacío o en texto; ","")&amp;IF(ISNUMBER(M392),IF(M392&lt;1000000,"Valor inferior a $1.000.000: verificar; ",""),"Valor no interpretable; ")&amp;IF(N392="[PENDIENTE DE VERIFICAR]","Modalidad no identificable; ","")&amp;IF(OR(ISERROR(SEARCH("@itc.edu.co",J392)),SUMPRODUCT(--ISNUMBER(SEARCH({"á","é","í","ó","ú","ñ"},J392)))&gt;0),"Correo vacío o no institucional válido; ","")&amp;IF(LEN(TRIM(D392))=0,"Sin objeto contractual; ","")&amp;IF(AND(ISNUMBER(M392),N392="Mínima cuantía"),IF(M392&gt;39850000,"Mínima cuantía con valor superior al tope citado en el instructivo 2026 ($39.850.000): verificar modalidad; ",""),"")&amp;IF(AND(ISNUMBER(M392),OR(ISNUMBER(SEARCH("prestación de servicios",D392)),ISNUMBER(SEARCH("prestar servicios",D392)),ISNUMBER(SEARCH("prestar los servicios",D392)))),IF(M392&gt;=500000000,"Prestación de servicios por $500 millones o más: posible error de digitación; ",""),""))=0,"Sin observaciones",IF(OR(NOT(ISNUMBER(B392)),LEN(B392)&lt;&gt;8),"UNSPSC vacío, en texto, con varios códigos o sin 8 dígitos; ","")&amp;IF(AND(ISNUMBER(B392),LEN(B392)=8),IF(MOD(B392,10000)=0,"UNSPSC a nivel de segmento o familia; ",""),"")&amp;IF(NOT(ISNUMBER(E392)),"Duración vacía o en texto; ","")&amp;IF(NOT(ISNUMBER(G392)),"Valor vacío o en texto; ","")&amp;IF(ISNUMBER(M392),IF(M392&lt;1000000,"Valor inferior a $1.000.000: verificar; ",""),"Valor no interpretable; ")&amp;IF(N392="[PENDIENTE DE VERIFICAR]","Modalidad no identificable; ","")&amp;IF(OR(ISERROR(SEARCH("@itc.edu.co",J392)),SUMPRODUCT(--ISNUMBER(SEARCH({"á","é","í","ó","ú","ñ"},J392)))&gt;0),"Correo vacío o no institucional válido; ","")&amp;IF(LEN(TRIM(D392))=0,"Sin objeto contractual; ","")&amp;IF(AND(ISNUMBER(M392),N392="Mínima cuantía"),IF(M392&gt;39850000,"Mínima cuantía con valor superior al tope citado en el instructivo 2026 ($39.850.000): verificar modalidad; ",""),"")&amp;IF(AND(ISNUMBER(M392),OR(ISNUMBER(SEARCH("prestación de servicios",D392)),ISNUMBER(SEARCH("prestar servicios",D392)),ISNUMBER(SEARCH("prestar los servicios",D392)))),IF(M392&gt;=500000000,"Prestación de servicios por $500 millones o más: posible error de digitación; ",""),""))</f>
        <v xml:space="preserve">Valor vacío o en texto; Mínima cuantía con valor superior al tope citado en el instructivo 2026 ($39.850.000): verificar modalidad; </v>
      </c>
    </row>
    <row r="393" spans="1:15" ht="34.200000000000003" x14ac:dyDescent="0.3">
      <c r="A393" s="15" t="s">
        <v>1746</v>
      </c>
      <c r="B393" s="15">
        <v>81112501</v>
      </c>
      <c r="C393" s="15" t="s">
        <v>344</v>
      </c>
      <c r="D393" s="15" t="s">
        <v>1747</v>
      </c>
      <c r="E393" s="15">
        <v>1</v>
      </c>
      <c r="F393" s="15" t="s">
        <v>1728</v>
      </c>
      <c r="G393" s="29" t="s">
        <v>1748</v>
      </c>
      <c r="H393" s="15" t="s">
        <v>1730</v>
      </c>
      <c r="I393" s="15" t="s">
        <v>1701</v>
      </c>
      <c r="J393" s="15" t="s">
        <v>1026</v>
      </c>
      <c r="K393" s="15"/>
      <c r="L393" s="30" t="s">
        <v>841</v>
      </c>
      <c r="M393" s="31">
        <v>38618118</v>
      </c>
      <c r="N393" s="30" t="s">
        <v>792</v>
      </c>
      <c r="O393" s="30" t="str">
        <f>IF(LEN(IF(OR(NOT(ISNUMBER(B393)),LEN(B393)&lt;&gt;8),"UNSPSC vacío, en texto, con varios códigos o sin 8 dígitos; ","")&amp;IF(AND(ISNUMBER(B393),LEN(B393)=8),IF(MOD(B393,10000)=0,"UNSPSC a nivel de segmento o familia; ",""),"")&amp;IF(NOT(ISNUMBER(E393)),"Duración vacía o en texto; ","")&amp;IF(NOT(ISNUMBER(G393)),"Valor vacío o en texto; ","")&amp;IF(ISNUMBER(M393),IF(M393&lt;1000000,"Valor inferior a $1.000.000: verificar; ",""),"Valor no interpretable; ")&amp;IF(N393="[PENDIENTE DE VERIFICAR]","Modalidad no identificable; ","")&amp;IF(OR(ISERROR(SEARCH("@itc.edu.co",J393)),SUMPRODUCT(--ISNUMBER(SEARCH({"á","é","í","ó","ú","ñ"},J393)))&gt;0),"Correo vacío o no institucional válido; ","")&amp;IF(LEN(TRIM(D393))=0,"Sin objeto contractual; ","")&amp;IF(AND(ISNUMBER(M393),N393="Mínima cuantía"),IF(M393&gt;39850000,"Mínima cuantía con valor superior al tope citado en el instructivo 2026 ($39.850.000): verificar modalidad; ",""),"")&amp;IF(AND(ISNUMBER(M393),OR(ISNUMBER(SEARCH("prestación de servicios",D393)),ISNUMBER(SEARCH("prestar servicios",D393)),ISNUMBER(SEARCH("prestar los servicios",D393)))),IF(M393&gt;=500000000,"Prestación de servicios por $500 millones o más: posible error de digitación; ",""),""))=0,"Sin observaciones",IF(OR(NOT(ISNUMBER(B393)),LEN(B393)&lt;&gt;8),"UNSPSC vacío, en texto, con varios códigos o sin 8 dígitos; ","")&amp;IF(AND(ISNUMBER(B393),LEN(B393)=8),IF(MOD(B393,10000)=0,"UNSPSC a nivel de segmento o familia; ",""),"")&amp;IF(NOT(ISNUMBER(E393)),"Duración vacía o en texto; ","")&amp;IF(NOT(ISNUMBER(G393)),"Valor vacío o en texto; ","")&amp;IF(ISNUMBER(M393),IF(M393&lt;1000000,"Valor inferior a $1.000.000: verificar; ",""),"Valor no interpretable; ")&amp;IF(N393="[PENDIENTE DE VERIFICAR]","Modalidad no identificable; ","")&amp;IF(OR(ISERROR(SEARCH("@itc.edu.co",J393)),SUMPRODUCT(--ISNUMBER(SEARCH({"á","é","í","ó","ú","ñ"},J393)))&gt;0),"Correo vacío o no institucional válido; ","")&amp;IF(LEN(TRIM(D393))=0,"Sin objeto contractual; ","")&amp;IF(AND(ISNUMBER(M393),N393="Mínima cuantía"),IF(M393&gt;39850000,"Mínima cuantía con valor superior al tope citado en el instructivo 2026 ($39.850.000): verificar modalidad; ",""),"")&amp;IF(AND(ISNUMBER(M393),OR(ISNUMBER(SEARCH("prestación de servicios",D393)),ISNUMBER(SEARCH("prestar servicios",D393)),ISNUMBER(SEARCH("prestar los servicios",D393)))),IF(M393&gt;=500000000,"Prestación de servicios por $500 millones o más: posible error de digitación; ",""),""))</f>
        <v xml:space="preserve">Valor vacío o en texto; </v>
      </c>
    </row>
    <row r="394" spans="1:15" ht="57" x14ac:dyDescent="0.3">
      <c r="A394" s="15" t="s">
        <v>1749</v>
      </c>
      <c r="B394" s="15">
        <v>81112501</v>
      </c>
      <c r="C394" s="15" t="s">
        <v>344</v>
      </c>
      <c r="D394" s="15" t="s">
        <v>1750</v>
      </c>
      <c r="E394" s="15">
        <v>1</v>
      </c>
      <c r="F394" s="15" t="s">
        <v>1728</v>
      </c>
      <c r="G394" s="29" t="s">
        <v>1751</v>
      </c>
      <c r="H394" s="15" t="s">
        <v>1730</v>
      </c>
      <c r="I394" s="15" t="s">
        <v>1701</v>
      </c>
      <c r="J394" s="15" t="s">
        <v>1026</v>
      </c>
      <c r="K394" s="15"/>
      <c r="L394" s="30" t="s">
        <v>841</v>
      </c>
      <c r="M394" s="31">
        <v>19800000</v>
      </c>
      <c r="N394" s="30" t="s">
        <v>792</v>
      </c>
      <c r="O394" s="30" t="str">
        <f>IF(LEN(IF(OR(NOT(ISNUMBER(B394)),LEN(B394)&lt;&gt;8),"UNSPSC vacío, en texto, con varios códigos o sin 8 dígitos; ","")&amp;IF(AND(ISNUMBER(B394),LEN(B394)=8),IF(MOD(B394,10000)=0,"UNSPSC a nivel de segmento o familia; ",""),"")&amp;IF(NOT(ISNUMBER(E394)),"Duración vacía o en texto; ","")&amp;IF(NOT(ISNUMBER(G394)),"Valor vacío o en texto; ","")&amp;IF(ISNUMBER(M394),IF(M394&lt;1000000,"Valor inferior a $1.000.000: verificar; ",""),"Valor no interpretable; ")&amp;IF(N394="[PENDIENTE DE VERIFICAR]","Modalidad no identificable; ","")&amp;IF(OR(ISERROR(SEARCH("@itc.edu.co",J394)),SUMPRODUCT(--ISNUMBER(SEARCH({"á","é","í","ó","ú","ñ"},J394)))&gt;0),"Correo vacío o no institucional válido; ","")&amp;IF(LEN(TRIM(D394))=0,"Sin objeto contractual; ","")&amp;IF(AND(ISNUMBER(M394),N394="Mínima cuantía"),IF(M394&gt;39850000,"Mínima cuantía con valor superior al tope citado en el instructivo 2026 ($39.850.000): verificar modalidad; ",""),"")&amp;IF(AND(ISNUMBER(M394),OR(ISNUMBER(SEARCH("prestación de servicios",D394)),ISNUMBER(SEARCH("prestar servicios",D394)),ISNUMBER(SEARCH("prestar los servicios",D394)))),IF(M394&gt;=500000000,"Prestación de servicios por $500 millones o más: posible error de digitación; ",""),""))=0,"Sin observaciones",IF(OR(NOT(ISNUMBER(B394)),LEN(B394)&lt;&gt;8),"UNSPSC vacío, en texto, con varios códigos o sin 8 dígitos; ","")&amp;IF(AND(ISNUMBER(B394),LEN(B394)=8),IF(MOD(B394,10000)=0,"UNSPSC a nivel de segmento o familia; ",""),"")&amp;IF(NOT(ISNUMBER(E394)),"Duración vacía o en texto; ","")&amp;IF(NOT(ISNUMBER(G394)),"Valor vacío o en texto; ","")&amp;IF(ISNUMBER(M394),IF(M394&lt;1000000,"Valor inferior a $1.000.000: verificar; ",""),"Valor no interpretable; ")&amp;IF(N394="[PENDIENTE DE VERIFICAR]","Modalidad no identificable; ","")&amp;IF(OR(ISERROR(SEARCH("@itc.edu.co",J394)),SUMPRODUCT(--ISNUMBER(SEARCH({"á","é","í","ó","ú","ñ"},J394)))&gt;0),"Correo vacío o no institucional válido; ","")&amp;IF(LEN(TRIM(D394))=0,"Sin objeto contractual; ","")&amp;IF(AND(ISNUMBER(M394),N394="Mínima cuantía"),IF(M394&gt;39850000,"Mínima cuantía con valor superior al tope citado en el instructivo 2026 ($39.850.000): verificar modalidad; ",""),"")&amp;IF(AND(ISNUMBER(M394),OR(ISNUMBER(SEARCH("prestación de servicios",D394)),ISNUMBER(SEARCH("prestar servicios",D394)),ISNUMBER(SEARCH("prestar los servicios",D394)))),IF(M394&gt;=500000000,"Prestación de servicios por $500 millones o más: posible error de digitación; ",""),""))</f>
        <v xml:space="preserve">Valor vacío o en texto; </v>
      </c>
    </row>
    <row r="395" spans="1:15" ht="34.200000000000003" x14ac:dyDescent="0.3">
      <c r="A395" s="15" t="s">
        <v>1752</v>
      </c>
      <c r="B395" s="15">
        <v>81112501</v>
      </c>
      <c r="C395" s="15" t="s">
        <v>344</v>
      </c>
      <c r="D395" s="15" t="s">
        <v>1753</v>
      </c>
      <c r="E395" s="15">
        <v>1</v>
      </c>
      <c r="F395" s="15" t="s">
        <v>1728</v>
      </c>
      <c r="G395" s="29" t="s">
        <v>1754</v>
      </c>
      <c r="H395" s="15" t="s">
        <v>1730</v>
      </c>
      <c r="I395" s="15" t="s">
        <v>1701</v>
      </c>
      <c r="J395" s="15" t="s">
        <v>1026</v>
      </c>
      <c r="K395" s="15"/>
      <c r="L395" s="30" t="s">
        <v>841</v>
      </c>
      <c r="M395" s="31">
        <v>17533400.5</v>
      </c>
      <c r="N395" s="30" t="s">
        <v>792</v>
      </c>
      <c r="O395" s="30" t="str">
        <f>IF(LEN(IF(OR(NOT(ISNUMBER(B395)),LEN(B395)&lt;&gt;8),"UNSPSC vacío, en texto, con varios códigos o sin 8 dígitos; ","")&amp;IF(AND(ISNUMBER(B395),LEN(B395)=8),IF(MOD(B395,10000)=0,"UNSPSC a nivel de segmento o familia; ",""),"")&amp;IF(NOT(ISNUMBER(E395)),"Duración vacía o en texto; ","")&amp;IF(NOT(ISNUMBER(G395)),"Valor vacío o en texto; ","")&amp;IF(ISNUMBER(M395),IF(M395&lt;1000000,"Valor inferior a $1.000.000: verificar; ",""),"Valor no interpretable; ")&amp;IF(N395="[PENDIENTE DE VERIFICAR]","Modalidad no identificable; ","")&amp;IF(OR(ISERROR(SEARCH("@itc.edu.co",J395)),SUMPRODUCT(--ISNUMBER(SEARCH({"á","é","í","ó","ú","ñ"},J395)))&gt;0),"Correo vacío o no institucional válido; ","")&amp;IF(LEN(TRIM(D395))=0,"Sin objeto contractual; ","")&amp;IF(AND(ISNUMBER(M395),N395="Mínima cuantía"),IF(M395&gt;39850000,"Mínima cuantía con valor superior al tope citado en el instructivo 2026 ($39.850.000): verificar modalidad; ",""),"")&amp;IF(AND(ISNUMBER(M395),OR(ISNUMBER(SEARCH("prestación de servicios",D395)),ISNUMBER(SEARCH("prestar servicios",D395)),ISNUMBER(SEARCH("prestar los servicios",D395)))),IF(M395&gt;=500000000,"Prestación de servicios por $500 millones o más: posible error de digitación; ",""),""))=0,"Sin observaciones",IF(OR(NOT(ISNUMBER(B395)),LEN(B395)&lt;&gt;8),"UNSPSC vacío, en texto, con varios códigos o sin 8 dígitos; ","")&amp;IF(AND(ISNUMBER(B395),LEN(B395)=8),IF(MOD(B395,10000)=0,"UNSPSC a nivel de segmento o familia; ",""),"")&amp;IF(NOT(ISNUMBER(E395)),"Duración vacía o en texto; ","")&amp;IF(NOT(ISNUMBER(G395)),"Valor vacío o en texto; ","")&amp;IF(ISNUMBER(M395),IF(M395&lt;1000000,"Valor inferior a $1.000.000: verificar; ",""),"Valor no interpretable; ")&amp;IF(N395="[PENDIENTE DE VERIFICAR]","Modalidad no identificable; ","")&amp;IF(OR(ISERROR(SEARCH("@itc.edu.co",J395)),SUMPRODUCT(--ISNUMBER(SEARCH({"á","é","í","ó","ú","ñ"},J395)))&gt;0),"Correo vacío o no institucional válido; ","")&amp;IF(LEN(TRIM(D395))=0,"Sin objeto contractual; ","")&amp;IF(AND(ISNUMBER(M395),N395="Mínima cuantía"),IF(M395&gt;39850000,"Mínima cuantía con valor superior al tope citado en el instructivo 2026 ($39.850.000): verificar modalidad; ",""),"")&amp;IF(AND(ISNUMBER(M395),OR(ISNUMBER(SEARCH("prestación de servicios",D395)),ISNUMBER(SEARCH("prestar servicios",D395)),ISNUMBER(SEARCH("prestar los servicios",D395)))),IF(M395&gt;=500000000,"Prestación de servicios por $500 millones o más: posible error de digitación; ",""),""))</f>
        <v xml:space="preserve">Valor vacío o en texto; </v>
      </c>
    </row>
    <row r="396" spans="1:15" ht="45.6" x14ac:dyDescent="0.3">
      <c r="A396" s="15" t="s">
        <v>1755</v>
      </c>
      <c r="B396" s="15">
        <v>81112501</v>
      </c>
      <c r="C396" s="15" t="s">
        <v>344</v>
      </c>
      <c r="D396" s="15" t="s">
        <v>1756</v>
      </c>
      <c r="E396" s="15">
        <v>1</v>
      </c>
      <c r="F396" s="15" t="s">
        <v>1728</v>
      </c>
      <c r="G396" s="29" t="s">
        <v>1757</v>
      </c>
      <c r="H396" s="15" t="s">
        <v>1730</v>
      </c>
      <c r="I396" s="15" t="s">
        <v>1701</v>
      </c>
      <c r="J396" s="15" t="s">
        <v>1026</v>
      </c>
      <c r="K396" s="15"/>
      <c r="L396" s="30" t="s">
        <v>841</v>
      </c>
      <c r="M396" s="31">
        <v>6272135.0999999996</v>
      </c>
      <c r="N396" s="30" t="s">
        <v>792</v>
      </c>
      <c r="O396" s="30" t="str">
        <f>IF(LEN(IF(OR(NOT(ISNUMBER(B396)),LEN(B396)&lt;&gt;8),"UNSPSC vacío, en texto, con varios códigos o sin 8 dígitos; ","")&amp;IF(AND(ISNUMBER(B396),LEN(B396)=8),IF(MOD(B396,10000)=0,"UNSPSC a nivel de segmento o familia; ",""),"")&amp;IF(NOT(ISNUMBER(E396)),"Duración vacía o en texto; ","")&amp;IF(NOT(ISNUMBER(G396)),"Valor vacío o en texto; ","")&amp;IF(ISNUMBER(M396),IF(M396&lt;1000000,"Valor inferior a $1.000.000: verificar; ",""),"Valor no interpretable; ")&amp;IF(N396="[PENDIENTE DE VERIFICAR]","Modalidad no identificable; ","")&amp;IF(OR(ISERROR(SEARCH("@itc.edu.co",J396)),SUMPRODUCT(--ISNUMBER(SEARCH({"á","é","í","ó","ú","ñ"},J396)))&gt;0),"Correo vacío o no institucional válido; ","")&amp;IF(LEN(TRIM(D396))=0,"Sin objeto contractual; ","")&amp;IF(AND(ISNUMBER(M396),N396="Mínima cuantía"),IF(M396&gt;39850000,"Mínima cuantía con valor superior al tope citado en el instructivo 2026 ($39.850.000): verificar modalidad; ",""),"")&amp;IF(AND(ISNUMBER(M396),OR(ISNUMBER(SEARCH("prestación de servicios",D396)),ISNUMBER(SEARCH("prestar servicios",D396)),ISNUMBER(SEARCH("prestar los servicios",D396)))),IF(M396&gt;=500000000,"Prestación de servicios por $500 millones o más: posible error de digitación; ",""),""))=0,"Sin observaciones",IF(OR(NOT(ISNUMBER(B396)),LEN(B396)&lt;&gt;8),"UNSPSC vacío, en texto, con varios códigos o sin 8 dígitos; ","")&amp;IF(AND(ISNUMBER(B396),LEN(B396)=8),IF(MOD(B396,10000)=0,"UNSPSC a nivel de segmento o familia; ",""),"")&amp;IF(NOT(ISNUMBER(E396)),"Duración vacía o en texto; ","")&amp;IF(NOT(ISNUMBER(G396)),"Valor vacío o en texto; ","")&amp;IF(ISNUMBER(M396),IF(M396&lt;1000000,"Valor inferior a $1.000.000: verificar; ",""),"Valor no interpretable; ")&amp;IF(N396="[PENDIENTE DE VERIFICAR]","Modalidad no identificable; ","")&amp;IF(OR(ISERROR(SEARCH("@itc.edu.co",J396)),SUMPRODUCT(--ISNUMBER(SEARCH({"á","é","í","ó","ú","ñ"},J396)))&gt;0),"Correo vacío o no institucional válido; ","")&amp;IF(LEN(TRIM(D396))=0,"Sin objeto contractual; ","")&amp;IF(AND(ISNUMBER(M396),N396="Mínima cuantía"),IF(M396&gt;39850000,"Mínima cuantía con valor superior al tope citado en el instructivo 2026 ($39.850.000): verificar modalidad; ",""),"")&amp;IF(AND(ISNUMBER(M396),OR(ISNUMBER(SEARCH("prestación de servicios",D396)),ISNUMBER(SEARCH("prestar servicios",D396)),ISNUMBER(SEARCH("prestar los servicios",D396)))),IF(M396&gt;=500000000,"Prestación de servicios por $500 millones o más: posible error de digitación; ",""),""))</f>
        <v xml:space="preserve">Valor vacío o en texto; </v>
      </c>
    </row>
    <row r="397" spans="1:15" ht="57" x14ac:dyDescent="0.3">
      <c r="A397" s="15" t="s">
        <v>1758</v>
      </c>
      <c r="B397" s="15">
        <v>81112501</v>
      </c>
      <c r="C397" s="15" t="s">
        <v>344</v>
      </c>
      <c r="D397" s="15" t="s">
        <v>1759</v>
      </c>
      <c r="E397" s="15">
        <v>1</v>
      </c>
      <c r="F397" s="15" t="s">
        <v>1728</v>
      </c>
      <c r="G397" s="29" t="s">
        <v>1760</v>
      </c>
      <c r="H397" s="15" t="s">
        <v>1730</v>
      </c>
      <c r="I397" s="15" t="s">
        <v>1701</v>
      </c>
      <c r="J397" s="15" t="s">
        <v>1026</v>
      </c>
      <c r="K397" s="15"/>
      <c r="L397" s="30" t="s">
        <v>841</v>
      </c>
      <c r="M397" s="31">
        <v>17199061</v>
      </c>
      <c r="N397" s="30" t="s">
        <v>792</v>
      </c>
      <c r="O397" s="30" t="str">
        <f>IF(LEN(IF(OR(NOT(ISNUMBER(B397)),LEN(B397)&lt;&gt;8),"UNSPSC vacío, en texto, con varios códigos o sin 8 dígitos; ","")&amp;IF(AND(ISNUMBER(B397),LEN(B397)=8),IF(MOD(B397,10000)=0,"UNSPSC a nivel de segmento o familia; ",""),"")&amp;IF(NOT(ISNUMBER(E397)),"Duración vacía o en texto; ","")&amp;IF(NOT(ISNUMBER(G397)),"Valor vacío o en texto; ","")&amp;IF(ISNUMBER(M397),IF(M397&lt;1000000,"Valor inferior a $1.000.000: verificar; ",""),"Valor no interpretable; ")&amp;IF(N397="[PENDIENTE DE VERIFICAR]","Modalidad no identificable; ","")&amp;IF(OR(ISERROR(SEARCH("@itc.edu.co",J397)),SUMPRODUCT(--ISNUMBER(SEARCH({"á","é","í","ó","ú","ñ"},J397)))&gt;0),"Correo vacío o no institucional válido; ","")&amp;IF(LEN(TRIM(D397))=0,"Sin objeto contractual; ","")&amp;IF(AND(ISNUMBER(M397),N397="Mínima cuantía"),IF(M397&gt;39850000,"Mínima cuantía con valor superior al tope citado en el instructivo 2026 ($39.850.000): verificar modalidad; ",""),"")&amp;IF(AND(ISNUMBER(M397),OR(ISNUMBER(SEARCH("prestación de servicios",D397)),ISNUMBER(SEARCH("prestar servicios",D397)),ISNUMBER(SEARCH("prestar los servicios",D397)))),IF(M397&gt;=500000000,"Prestación de servicios por $500 millones o más: posible error de digitación; ",""),""))=0,"Sin observaciones",IF(OR(NOT(ISNUMBER(B397)),LEN(B397)&lt;&gt;8),"UNSPSC vacío, en texto, con varios códigos o sin 8 dígitos; ","")&amp;IF(AND(ISNUMBER(B397),LEN(B397)=8),IF(MOD(B397,10000)=0,"UNSPSC a nivel de segmento o familia; ",""),"")&amp;IF(NOT(ISNUMBER(E397)),"Duración vacía o en texto; ","")&amp;IF(NOT(ISNUMBER(G397)),"Valor vacío o en texto; ","")&amp;IF(ISNUMBER(M397),IF(M397&lt;1000000,"Valor inferior a $1.000.000: verificar; ",""),"Valor no interpretable; ")&amp;IF(N397="[PENDIENTE DE VERIFICAR]","Modalidad no identificable; ","")&amp;IF(OR(ISERROR(SEARCH("@itc.edu.co",J397)),SUMPRODUCT(--ISNUMBER(SEARCH({"á","é","í","ó","ú","ñ"},J397)))&gt;0),"Correo vacío o no institucional válido; ","")&amp;IF(LEN(TRIM(D397))=0,"Sin objeto contractual; ","")&amp;IF(AND(ISNUMBER(M397),N397="Mínima cuantía"),IF(M397&gt;39850000,"Mínima cuantía con valor superior al tope citado en el instructivo 2026 ($39.850.000): verificar modalidad; ",""),"")&amp;IF(AND(ISNUMBER(M397),OR(ISNUMBER(SEARCH("prestación de servicios",D397)),ISNUMBER(SEARCH("prestar servicios",D397)),ISNUMBER(SEARCH("prestar los servicios",D397)))),IF(M397&gt;=500000000,"Prestación de servicios por $500 millones o más: posible error de digitación; ",""),""))</f>
        <v xml:space="preserve">Valor vacío o en texto; </v>
      </c>
    </row>
    <row r="398" spans="1:15" ht="45.6" x14ac:dyDescent="0.3">
      <c r="A398" s="15" t="s">
        <v>1761</v>
      </c>
      <c r="B398" s="15">
        <v>81112501</v>
      </c>
      <c r="C398" s="15" t="s">
        <v>344</v>
      </c>
      <c r="D398" s="15" t="s">
        <v>1762</v>
      </c>
      <c r="E398" s="15">
        <v>1</v>
      </c>
      <c r="F398" s="15" t="s">
        <v>1763</v>
      </c>
      <c r="G398" s="29" t="s">
        <v>1764</v>
      </c>
      <c r="H398" s="15" t="s">
        <v>1730</v>
      </c>
      <c r="I398" s="15" t="s">
        <v>1701</v>
      </c>
      <c r="J398" s="15" t="s">
        <v>1026</v>
      </c>
      <c r="K398" s="15"/>
      <c r="L398" s="30" t="s">
        <v>841</v>
      </c>
      <c r="M398" s="31">
        <v>198000000</v>
      </c>
      <c r="N398" s="30" t="s">
        <v>796</v>
      </c>
      <c r="O398" s="30" t="str">
        <f>IF(LEN(IF(OR(NOT(ISNUMBER(B398)),LEN(B398)&lt;&gt;8),"UNSPSC vacío, en texto, con varios códigos o sin 8 dígitos; ","")&amp;IF(AND(ISNUMBER(B398),LEN(B398)=8),IF(MOD(B398,10000)=0,"UNSPSC a nivel de segmento o familia; ",""),"")&amp;IF(NOT(ISNUMBER(E398)),"Duración vacía o en texto; ","")&amp;IF(NOT(ISNUMBER(G398)),"Valor vacío o en texto; ","")&amp;IF(ISNUMBER(M398),IF(M398&lt;1000000,"Valor inferior a $1.000.000: verificar; ",""),"Valor no interpretable; ")&amp;IF(N398="[PENDIENTE DE VERIFICAR]","Modalidad no identificable; ","")&amp;IF(OR(ISERROR(SEARCH("@itc.edu.co",J398)),SUMPRODUCT(--ISNUMBER(SEARCH({"á","é","í","ó","ú","ñ"},J398)))&gt;0),"Correo vacío o no institucional válido; ","")&amp;IF(LEN(TRIM(D398))=0,"Sin objeto contractual; ","")&amp;IF(AND(ISNUMBER(M398),N398="Mínima cuantía"),IF(M398&gt;39850000,"Mínima cuantía con valor superior al tope citado en el instructivo 2026 ($39.850.000): verificar modalidad; ",""),"")&amp;IF(AND(ISNUMBER(M398),OR(ISNUMBER(SEARCH("prestación de servicios",D398)),ISNUMBER(SEARCH("prestar servicios",D398)),ISNUMBER(SEARCH("prestar los servicios",D398)))),IF(M398&gt;=500000000,"Prestación de servicios por $500 millones o más: posible error de digitación; ",""),""))=0,"Sin observaciones",IF(OR(NOT(ISNUMBER(B398)),LEN(B398)&lt;&gt;8),"UNSPSC vacío, en texto, con varios códigos o sin 8 dígitos; ","")&amp;IF(AND(ISNUMBER(B398),LEN(B398)=8),IF(MOD(B398,10000)=0,"UNSPSC a nivel de segmento o familia; ",""),"")&amp;IF(NOT(ISNUMBER(E398)),"Duración vacía o en texto; ","")&amp;IF(NOT(ISNUMBER(G398)),"Valor vacío o en texto; ","")&amp;IF(ISNUMBER(M398),IF(M398&lt;1000000,"Valor inferior a $1.000.000: verificar; ",""),"Valor no interpretable; ")&amp;IF(N398="[PENDIENTE DE VERIFICAR]","Modalidad no identificable; ","")&amp;IF(OR(ISERROR(SEARCH("@itc.edu.co",J398)),SUMPRODUCT(--ISNUMBER(SEARCH({"á","é","í","ó","ú","ñ"},J398)))&gt;0),"Correo vacío o no institucional válido; ","")&amp;IF(LEN(TRIM(D398))=0,"Sin objeto contractual; ","")&amp;IF(AND(ISNUMBER(M398),N398="Mínima cuantía"),IF(M398&gt;39850000,"Mínima cuantía con valor superior al tope citado en el instructivo 2026 ($39.850.000): verificar modalidad; ",""),"")&amp;IF(AND(ISNUMBER(M398),OR(ISNUMBER(SEARCH("prestación de servicios",D398)),ISNUMBER(SEARCH("prestar servicios",D398)),ISNUMBER(SEARCH("prestar los servicios",D398)))),IF(M398&gt;=500000000,"Prestación de servicios por $500 millones o más: posible error de digitación; ",""),""))</f>
        <v xml:space="preserve">Valor vacío o en texto; </v>
      </c>
    </row>
    <row r="399" spans="1:15" ht="22.8" x14ac:dyDescent="0.3">
      <c r="A399" s="15" t="s">
        <v>1765</v>
      </c>
      <c r="B399" s="15">
        <v>81112501</v>
      </c>
      <c r="C399" s="15" t="s">
        <v>344</v>
      </c>
      <c r="D399" s="15" t="s">
        <v>1766</v>
      </c>
      <c r="E399" s="15">
        <v>1</v>
      </c>
      <c r="F399" s="15" t="s">
        <v>1763</v>
      </c>
      <c r="G399" s="29" t="s">
        <v>1767</v>
      </c>
      <c r="H399" s="15" t="s">
        <v>1730</v>
      </c>
      <c r="I399" s="15" t="s">
        <v>1701</v>
      </c>
      <c r="J399" s="15" t="s">
        <v>1026</v>
      </c>
      <c r="K399" s="15"/>
      <c r="L399" s="30" t="s">
        <v>841</v>
      </c>
      <c r="M399" s="31">
        <v>300000000</v>
      </c>
      <c r="N399" s="30" t="s">
        <v>796</v>
      </c>
      <c r="O399" s="30" t="str">
        <f>IF(LEN(IF(OR(NOT(ISNUMBER(B399)),LEN(B399)&lt;&gt;8),"UNSPSC vacío, en texto, con varios códigos o sin 8 dígitos; ","")&amp;IF(AND(ISNUMBER(B399),LEN(B399)=8),IF(MOD(B399,10000)=0,"UNSPSC a nivel de segmento o familia; ",""),"")&amp;IF(NOT(ISNUMBER(E399)),"Duración vacía o en texto; ","")&amp;IF(NOT(ISNUMBER(G399)),"Valor vacío o en texto; ","")&amp;IF(ISNUMBER(M399),IF(M399&lt;1000000,"Valor inferior a $1.000.000: verificar; ",""),"Valor no interpretable; ")&amp;IF(N399="[PENDIENTE DE VERIFICAR]","Modalidad no identificable; ","")&amp;IF(OR(ISERROR(SEARCH("@itc.edu.co",J399)),SUMPRODUCT(--ISNUMBER(SEARCH({"á","é","í","ó","ú","ñ"},J399)))&gt;0),"Correo vacío o no institucional válido; ","")&amp;IF(LEN(TRIM(D399))=0,"Sin objeto contractual; ","")&amp;IF(AND(ISNUMBER(M399),N399="Mínima cuantía"),IF(M399&gt;39850000,"Mínima cuantía con valor superior al tope citado en el instructivo 2026 ($39.850.000): verificar modalidad; ",""),"")&amp;IF(AND(ISNUMBER(M399),OR(ISNUMBER(SEARCH("prestación de servicios",D399)),ISNUMBER(SEARCH("prestar servicios",D399)),ISNUMBER(SEARCH("prestar los servicios",D399)))),IF(M399&gt;=500000000,"Prestación de servicios por $500 millones o más: posible error de digitación; ",""),""))=0,"Sin observaciones",IF(OR(NOT(ISNUMBER(B399)),LEN(B399)&lt;&gt;8),"UNSPSC vacío, en texto, con varios códigos o sin 8 dígitos; ","")&amp;IF(AND(ISNUMBER(B399),LEN(B399)=8),IF(MOD(B399,10000)=0,"UNSPSC a nivel de segmento o familia; ",""),"")&amp;IF(NOT(ISNUMBER(E399)),"Duración vacía o en texto; ","")&amp;IF(NOT(ISNUMBER(G399)),"Valor vacío o en texto; ","")&amp;IF(ISNUMBER(M399),IF(M399&lt;1000000,"Valor inferior a $1.000.000: verificar; ",""),"Valor no interpretable; ")&amp;IF(N399="[PENDIENTE DE VERIFICAR]","Modalidad no identificable; ","")&amp;IF(OR(ISERROR(SEARCH("@itc.edu.co",J399)),SUMPRODUCT(--ISNUMBER(SEARCH({"á","é","í","ó","ú","ñ"},J399)))&gt;0),"Correo vacío o no institucional válido; ","")&amp;IF(LEN(TRIM(D399))=0,"Sin objeto contractual; ","")&amp;IF(AND(ISNUMBER(M399),N399="Mínima cuantía"),IF(M399&gt;39850000,"Mínima cuantía con valor superior al tope citado en el instructivo 2026 ($39.850.000): verificar modalidad; ",""),"")&amp;IF(AND(ISNUMBER(M399),OR(ISNUMBER(SEARCH("prestación de servicios",D399)),ISNUMBER(SEARCH("prestar servicios",D399)),ISNUMBER(SEARCH("prestar los servicios",D399)))),IF(M399&gt;=500000000,"Prestación de servicios por $500 millones o más: posible error de digitación; ",""),""))</f>
        <v xml:space="preserve">Valor vacío o en texto; </v>
      </c>
    </row>
    <row r="400" spans="1:15" ht="45.6" x14ac:dyDescent="0.3">
      <c r="A400" s="15" t="s">
        <v>1768</v>
      </c>
      <c r="B400" s="15">
        <v>81112501</v>
      </c>
      <c r="C400" s="15" t="s">
        <v>344</v>
      </c>
      <c r="D400" s="15" t="s">
        <v>1769</v>
      </c>
      <c r="E400" s="15">
        <v>1</v>
      </c>
      <c r="F400" s="15" t="s">
        <v>1728</v>
      </c>
      <c r="G400" s="29" t="s">
        <v>1770</v>
      </c>
      <c r="H400" s="15" t="s">
        <v>1730</v>
      </c>
      <c r="I400" s="15" t="s">
        <v>1701</v>
      </c>
      <c r="J400" s="15" t="s">
        <v>1026</v>
      </c>
      <c r="K400" s="15"/>
      <c r="L400" s="30" t="s">
        <v>841</v>
      </c>
      <c r="M400" s="31">
        <v>20268468</v>
      </c>
      <c r="N400" s="30" t="s">
        <v>792</v>
      </c>
      <c r="O400" s="30" t="str">
        <f>IF(LEN(IF(OR(NOT(ISNUMBER(B400)),LEN(B400)&lt;&gt;8),"UNSPSC vacío, en texto, con varios códigos o sin 8 dígitos; ","")&amp;IF(AND(ISNUMBER(B400),LEN(B400)=8),IF(MOD(B400,10000)=0,"UNSPSC a nivel de segmento o familia; ",""),"")&amp;IF(NOT(ISNUMBER(E400)),"Duración vacía o en texto; ","")&amp;IF(NOT(ISNUMBER(G400)),"Valor vacío o en texto; ","")&amp;IF(ISNUMBER(M400),IF(M400&lt;1000000,"Valor inferior a $1.000.000: verificar; ",""),"Valor no interpretable; ")&amp;IF(N400="[PENDIENTE DE VERIFICAR]","Modalidad no identificable; ","")&amp;IF(OR(ISERROR(SEARCH("@itc.edu.co",J400)),SUMPRODUCT(--ISNUMBER(SEARCH({"á","é","í","ó","ú","ñ"},J400)))&gt;0),"Correo vacío o no institucional válido; ","")&amp;IF(LEN(TRIM(D400))=0,"Sin objeto contractual; ","")&amp;IF(AND(ISNUMBER(M400),N400="Mínima cuantía"),IF(M400&gt;39850000,"Mínima cuantía con valor superior al tope citado en el instructivo 2026 ($39.850.000): verificar modalidad; ",""),"")&amp;IF(AND(ISNUMBER(M400),OR(ISNUMBER(SEARCH("prestación de servicios",D400)),ISNUMBER(SEARCH("prestar servicios",D400)),ISNUMBER(SEARCH("prestar los servicios",D400)))),IF(M400&gt;=500000000,"Prestación de servicios por $500 millones o más: posible error de digitación; ",""),""))=0,"Sin observaciones",IF(OR(NOT(ISNUMBER(B400)),LEN(B400)&lt;&gt;8),"UNSPSC vacío, en texto, con varios códigos o sin 8 dígitos; ","")&amp;IF(AND(ISNUMBER(B400),LEN(B400)=8),IF(MOD(B400,10000)=0,"UNSPSC a nivel de segmento o familia; ",""),"")&amp;IF(NOT(ISNUMBER(E400)),"Duración vacía o en texto; ","")&amp;IF(NOT(ISNUMBER(G400)),"Valor vacío o en texto; ","")&amp;IF(ISNUMBER(M400),IF(M400&lt;1000000,"Valor inferior a $1.000.000: verificar; ",""),"Valor no interpretable; ")&amp;IF(N400="[PENDIENTE DE VERIFICAR]","Modalidad no identificable; ","")&amp;IF(OR(ISERROR(SEARCH("@itc.edu.co",J400)),SUMPRODUCT(--ISNUMBER(SEARCH({"á","é","í","ó","ú","ñ"},J400)))&gt;0),"Correo vacío o no institucional válido; ","")&amp;IF(LEN(TRIM(D400))=0,"Sin objeto contractual; ","")&amp;IF(AND(ISNUMBER(M400),N400="Mínima cuantía"),IF(M400&gt;39850000,"Mínima cuantía con valor superior al tope citado en el instructivo 2026 ($39.850.000): verificar modalidad; ",""),"")&amp;IF(AND(ISNUMBER(M400),OR(ISNUMBER(SEARCH("prestación de servicios",D400)),ISNUMBER(SEARCH("prestar servicios",D400)),ISNUMBER(SEARCH("prestar los servicios",D400)))),IF(M400&gt;=500000000,"Prestación de servicios por $500 millones o más: posible error de digitación; ",""),""))</f>
        <v xml:space="preserve">Valor vacío o en texto; </v>
      </c>
    </row>
    <row r="401" spans="1:15" ht="45.6" x14ac:dyDescent="0.3">
      <c r="A401" s="15" t="s">
        <v>1771</v>
      </c>
      <c r="B401" s="15">
        <v>81112501</v>
      </c>
      <c r="C401" s="15" t="s">
        <v>344</v>
      </c>
      <c r="D401" s="15" t="s">
        <v>1772</v>
      </c>
      <c r="E401" s="15">
        <v>1</v>
      </c>
      <c r="F401" s="15" t="s">
        <v>1728</v>
      </c>
      <c r="G401" s="29" t="s">
        <v>1773</v>
      </c>
      <c r="H401" s="15" t="s">
        <v>1730</v>
      </c>
      <c r="I401" s="15" t="s">
        <v>1701</v>
      </c>
      <c r="J401" s="15" t="s">
        <v>1026</v>
      </c>
      <c r="K401" s="15"/>
      <c r="L401" s="30" t="s">
        <v>841</v>
      </c>
      <c r="M401" s="31">
        <v>85800000</v>
      </c>
      <c r="N401" s="30" t="s">
        <v>792</v>
      </c>
      <c r="O401" s="30" t="str">
        <f>IF(LEN(IF(OR(NOT(ISNUMBER(B401)),LEN(B401)&lt;&gt;8),"UNSPSC vacío, en texto, con varios códigos o sin 8 dígitos; ","")&amp;IF(AND(ISNUMBER(B401),LEN(B401)=8),IF(MOD(B401,10000)=0,"UNSPSC a nivel de segmento o familia; ",""),"")&amp;IF(NOT(ISNUMBER(E401)),"Duración vacía o en texto; ","")&amp;IF(NOT(ISNUMBER(G401)),"Valor vacío o en texto; ","")&amp;IF(ISNUMBER(M401),IF(M401&lt;1000000,"Valor inferior a $1.000.000: verificar; ",""),"Valor no interpretable; ")&amp;IF(N401="[PENDIENTE DE VERIFICAR]","Modalidad no identificable; ","")&amp;IF(OR(ISERROR(SEARCH("@itc.edu.co",J401)),SUMPRODUCT(--ISNUMBER(SEARCH({"á","é","í","ó","ú","ñ"},J401)))&gt;0),"Correo vacío o no institucional válido; ","")&amp;IF(LEN(TRIM(D401))=0,"Sin objeto contractual; ","")&amp;IF(AND(ISNUMBER(M401),N401="Mínima cuantía"),IF(M401&gt;39850000,"Mínima cuantía con valor superior al tope citado en el instructivo 2026 ($39.850.000): verificar modalidad; ",""),"")&amp;IF(AND(ISNUMBER(M401),OR(ISNUMBER(SEARCH("prestación de servicios",D401)),ISNUMBER(SEARCH("prestar servicios",D401)),ISNUMBER(SEARCH("prestar los servicios",D401)))),IF(M401&gt;=500000000,"Prestación de servicios por $500 millones o más: posible error de digitación; ",""),""))=0,"Sin observaciones",IF(OR(NOT(ISNUMBER(B401)),LEN(B401)&lt;&gt;8),"UNSPSC vacío, en texto, con varios códigos o sin 8 dígitos; ","")&amp;IF(AND(ISNUMBER(B401),LEN(B401)=8),IF(MOD(B401,10000)=0,"UNSPSC a nivel de segmento o familia; ",""),"")&amp;IF(NOT(ISNUMBER(E401)),"Duración vacía o en texto; ","")&amp;IF(NOT(ISNUMBER(G401)),"Valor vacío o en texto; ","")&amp;IF(ISNUMBER(M401),IF(M401&lt;1000000,"Valor inferior a $1.000.000: verificar; ",""),"Valor no interpretable; ")&amp;IF(N401="[PENDIENTE DE VERIFICAR]","Modalidad no identificable; ","")&amp;IF(OR(ISERROR(SEARCH("@itc.edu.co",J401)),SUMPRODUCT(--ISNUMBER(SEARCH({"á","é","í","ó","ú","ñ"},J401)))&gt;0),"Correo vacío o no institucional válido; ","")&amp;IF(LEN(TRIM(D401))=0,"Sin objeto contractual; ","")&amp;IF(AND(ISNUMBER(M401),N401="Mínima cuantía"),IF(M401&gt;39850000,"Mínima cuantía con valor superior al tope citado en el instructivo 2026 ($39.850.000): verificar modalidad; ",""),"")&amp;IF(AND(ISNUMBER(M401),OR(ISNUMBER(SEARCH("prestación de servicios",D401)),ISNUMBER(SEARCH("prestar servicios",D401)),ISNUMBER(SEARCH("prestar los servicios",D401)))),IF(M401&gt;=500000000,"Prestación de servicios por $500 millones o más: posible error de digitación; ",""),""))</f>
        <v xml:space="preserve">Valor vacío o en texto; Mínima cuantía con valor superior al tope citado en el instructivo 2026 ($39.850.000): verificar modalidad; </v>
      </c>
    </row>
    <row r="402" spans="1:15" ht="34.200000000000003" x14ac:dyDescent="0.3">
      <c r="A402" s="15" t="s">
        <v>1774</v>
      </c>
      <c r="B402" s="15">
        <v>81112501</v>
      </c>
      <c r="C402" s="15" t="s">
        <v>344</v>
      </c>
      <c r="D402" s="15" t="s">
        <v>1775</v>
      </c>
      <c r="E402" s="15">
        <v>1</v>
      </c>
      <c r="F402" s="15" t="s">
        <v>1728</v>
      </c>
      <c r="G402" s="29" t="s">
        <v>1776</v>
      </c>
      <c r="H402" s="15" t="s">
        <v>1730</v>
      </c>
      <c r="I402" s="15" t="s">
        <v>1701</v>
      </c>
      <c r="J402" s="15" t="s">
        <v>1026</v>
      </c>
      <c r="K402" s="15"/>
      <c r="L402" s="30" t="s">
        <v>841</v>
      </c>
      <c r="M402" s="31">
        <v>112200000</v>
      </c>
      <c r="N402" s="30" t="s">
        <v>792</v>
      </c>
      <c r="O402" s="30" t="str">
        <f>IF(LEN(IF(OR(NOT(ISNUMBER(B402)),LEN(B402)&lt;&gt;8),"UNSPSC vacío, en texto, con varios códigos o sin 8 dígitos; ","")&amp;IF(AND(ISNUMBER(B402),LEN(B402)=8),IF(MOD(B402,10000)=0,"UNSPSC a nivel de segmento o familia; ",""),"")&amp;IF(NOT(ISNUMBER(E402)),"Duración vacía o en texto; ","")&amp;IF(NOT(ISNUMBER(G402)),"Valor vacío o en texto; ","")&amp;IF(ISNUMBER(M402),IF(M402&lt;1000000,"Valor inferior a $1.000.000: verificar; ",""),"Valor no interpretable; ")&amp;IF(N402="[PENDIENTE DE VERIFICAR]","Modalidad no identificable; ","")&amp;IF(OR(ISERROR(SEARCH("@itc.edu.co",J402)),SUMPRODUCT(--ISNUMBER(SEARCH({"á","é","í","ó","ú","ñ"},J402)))&gt;0),"Correo vacío o no institucional válido; ","")&amp;IF(LEN(TRIM(D402))=0,"Sin objeto contractual; ","")&amp;IF(AND(ISNUMBER(M402),N402="Mínima cuantía"),IF(M402&gt;39850000,"Mínima cuantía con valor superior al tope citado en el instructivo 2026 ($39.850.000): verificar modalidad; ",""),"")&amp;IF(AND(ISNUMBER(M402),OR(ISNUMBER(SEARCH("prestación de servicios",D402)),ISNUMBER(SEARCH("prestar servicios",D402)),ISNUMBER(SEARCH("prestar los servicios",D402)))),IF(M402&gt;=500000000,"Prestación de servicios por $500 millones o más: posible error de digitación; ",""),""))=0,"Sin observaciones",IF(OR(NOT(ISNUMBER(B402)),LEN(B402)&lt;&gt;8),"UNSPSC vacío, en texto, con varios códigos o sin 8 dígitos; ","")&amp;IF(AND(ISNUMBER(B402),LEN(B402)=8),IF(MOD(B402,10000)=0,"UNSPSC a nivel de segmento o familia; ",""),"")&amp;IF(NOT(ISNUMBER(E402)),"Duración vacía o en texto; ","")&amp;IF(NOT(ISNUMBER(G402)),"Valor vacío o en texto; ","")&amp;IF(ISNUMBER(M402),IF(M402&lt;1000000,"Valor inferior a $1.000.000: verificar; ",""),"Valor no interpretable; ")&amp;IF(N402="[PENDIENTE DE VERIFICAR]","Modalidad no identificable; ","")&amp;IF(OR(ISERROR(SEARCH("@itc.edu.co",J402)),SUMPRODUCT(--ISNUMBER(SEARCH({"á","é","í","ó","ú","ñ"},J402)))&gt;0),"Correo vacío o no institucional válido; ","")&amp;IF(LEN(TRIM(D402))=0,"Sin objeto contractual; ","")&amp;IF(AND(ISNUMBER(M402),N402="Mínima cuantía"),IF(M402&gt;39850000,"Mínima cuantía con valor superior al tope citado en el instructivo 2026 ($39.850.000): verificar modalidad; ",""),"")&amp;IF(AND(ISNUMBER(M402),OR(ISNUMBER(SEARCH("prestación de servicios",D402)),ISNUMBER(SEARCH("prestar servicios",D402)),ISNUMBER(SEARCH("prestar los servicios",D402)))),IF(M402&gt;=500000000,"Prestación de servicios por $500 millones o más: posible error de digitación; ",""),""))</f>
        <v xml:space="preserve">Valor vacío o en texto; Mínima cuantía con valor superior al tope citado en el instructivo 2026 ($39.850.000): verificar modalidad; </v>
      </c>
    </row>
    <row r="403" spans="1:15" ht="34.200000000000003" x14ac:dyDescent="0.3">
      <c r="A403" s="15" t="s">
        <v>703</v>
      </c>
      <c r="B403" s="15">
        <v>81161700</v>
      </c>
      <c r="C403" s="15" t="s">
        <v>344</v>
      </c>
      <c r="D403" s="15" t="s">
        <v>702</v>
      </c>
      <c r="E403" s="15">
        <v>1</v>
      </c>
      <c r="F403" s="15" t="s">
        <v>1763</v>
      </c>
      <c r="G403" s="29" t="s">
        <v>1777</v>
      </c>
      <c r="H403" s="15" t="s">
        <v>1778</v>
      </c>
      <c r="I403" s="15" t="s">
        <v>1701</v>
      </c>
      <c r="J403" s="15" t="s">
        <v>1026</v>
      </c>
      <c r="K403" s="15"/>
      <c r="L403" s="30" t="s">
        <v>841</v>
      </c>
      <c r="M403" s="31">
        <v>303087446.50999999</v>
      </c>
      <c r="N403" s="30" t="s">
        <v>796</v>
      </c>
      <c r="O403" s="30" t="str">
        <f>IF(LEN(IF(OR(NOT(ISNUMBER(B403)),LEN(B403)&lt;&gt;8),"UNSPSC vacío, en texto, con varios códigos o sin 8 dígitos; ","")&amp;IF(AND(ISNUMBER(B403),LEN(B403)=8),IF(MOD(B403,10000)=0,"UNSPSC a nivel de segmento o familia; ",""),"")&amp;IF(NOT(ISNUMBER(E403)),"Duración vacía o en texto; ","")&amp;IF(NOT(ISNUMBER(G403)),"Valor vacío o en texto; ","")&amp;IF(ISNUMBER(M403),IF(M403&lt;1000000,"Valor inferior a $1.000.000: verificar; ",""),"Valor no interpretable; ")&amp;IF(N403="[PENDIENTE DE VERIFICAR]","Modalidad no identificable; ","")&amp;IF(OR(ISERROR(SEARCH("@itc.edu.co",J403)),SUMPRODUCT(--ISNUMBER(SEARCH({"á","é","í","ó","ú","ñ"},J403)))&gt;0),"Correo vacío o no institucional válido; ","")&amp;IF(LEN(TRIM(D403))=0,"Sin objeto contractual; ","")&amp;IF(AND(ISNUMBER(M403),N403="Mínima cuantía"),IF(M403&gt;39850000,"Mínima cuantía con valor superior al tope citado en el instructivo 2026 ($39.850.000): verificar modalidad; ",""),"")&amp;IF(AND(ISNUMBER(M403),OR(ISNUMBER(SEARCH("prestación de servicios",D403)),ISNUMBER(SEARCH("prestar servicios",D403)),ISNUMBER(SEARCH("prestar los servicios",D403)))),IF(M403&gt;=500000000,"Prestación de servicios por $500 millones o más: posible error de digitación; ",""),""))=0,"Sin observaciones",IF(OR(NOT(ISNUMBER(B403)),LEN(B403)&lt;&gt;8),"UNSPSC vacío, en texto, con varios códigos o sin 8 dígitos; ","")&amp;IF(AND(ISNUMBER(B403),LEN(B403)=8),IF(MOD(B403,10000)=0,"UNSPSC a nivel de segmento o familia; ",""),"")&amp;IF(NOT(ISNUMBER(E403)),"Duración vacía o en texto; ","")&amp;IF(NOT(ISNUMBER(G403)),"Valor vacío o en texto; ","")&amp;IF(ISNUMBER(M403),IF(M403&lt;1000000,"Valor inferior a $1.000.000: verificar; ",""),"Valor no interpretable; ")&amp;IF(N403="[PENDIENTE DE VERIFICAR]","Modalidad no identificable; ","")&amp;IF(OR(ISERROR(SEARCH("@itc.edu.co",J403)),SUMPRODUCT(--ISNUMBER(SEARCH({"á","é","í","ó","ú","ñ"},J403)))&gt;0),"Correo vacío o no institucional válido; ","")&amp;IF(LEN(TRIM(D403))=0,"Sin objeto contractual; ","")&amp;IF(AND(ISNUMBER(M403),N403="Mínima cuantía"),IF(M403&gt;39850000,"Mínima cuantía con valor superior al tope citado en el instructivo 2026 ($39.850.000): verificar modalidad; ",""),"")&amp;IF(AND(ISNUMBER(M403),OR(ISNUMBER(SEARCH("prestación de servicios",D403)),ISNUMBER(SEARCH("prestar servicios",D403)),ISNUMBER(SEARCH("prestar los servicios",D403)))),IF(M403&gt;=500000000,"Prestación de servicios por $500 millones o más: posible error de digitación; ",""),""))</f>
        <v xml:space="preserve">Valor vacío o en texto; </v>
      </c>
    </row>
    <row r="404" spans="1:15" ht="45.6" x14ac:dyDescent="0.3">
      <c r="A404" s="15" t="s">
        <v>1779</v>
      </c>
      <c r="B404" s="15">
        <v>81112210</v>
      </c>
      <c r="C404" s="15" t="s">
        <v>344</v>
      </c>
      <c r="D404" s="15" t="s">
        <v>1780</v>
      </c>
      <c r="E404" s="15">
        <v>1</v>
      </c>
      <c r="F404" s="15" t="s">
        <v>1763</v>
      </c>
      <c r="G404" s="29" t="s">
        <v>1777</v>
      </c>
      <c r="H404" s="15" t="s">
        <v>1781</v>
      </c>
      <c r="I404" s="15" t="s">
        <v>1701</v>
      </c>
      <c r="J404" s="15" t="s">
        <v>1026</v>
      </c>
      <c r="K404" s="15"/>
      <c r="L404" s="30" t="s">
        <v>841</v>
      </c>
      <c r="M404" s="31">
        <v>303087446.50999999</v>
      </c>
      <c r="N404" s="30" t="s">
        <v>796</v>
      </c>
      <c r="O404" s="30" t="str">
        <f>IF(LEN(IF(OR(NOT(ISNUMBER(B404)),LEN(B404)&lt;&gt;8),"UNSPSC vacío, en texto, con varios códigos o sin 8 dígitos; ","")&amp;IF(AND(ISNUMBER(B404),LEN(B404)=8),IF(MOD(B404,10000)=0,"UNSPSC a nivel de segmento o familia; ",""),"")&amp;IF(NOT(ISNUMBER(E404)),"Duración vacía o en texto; ","")&amp;IF(NOT(ISNUMBER(G404)),"Valor vacío o en texto; ","")&amp;IF(ISNUMBER(M404),IF(M404&lt;1000000,"Valor inferior a $1.000.000: verificar; ",""),"Valor no interpretable; ")&amp;IF(N404="[PENDIENTE DE VERIFICAR]","Modalidad no identificable; ","")&amp;IF(OR(ISERROR(SEARCH("@itc.edu.co",J404)),SUMPRODUCT(--ISNUMBER(SEARCH({"á","é","í","ó","ú","ñ"},J404)))&gt;0),"Correo vacío o no institucional válido; ","")&amp;IF(LEN(TRIM(D404))=0,"Sin objeto contractual; ","")&amp;IF(AND(ISNUMBER(M404),N404="Mínima cuantía"),IF(M404&gt;39850000,"Mínima cuantía con valor superior al tope citado en el instructivo 2026 ($39.850.000): verificar modalidad; ",""),"")&amp;IF(AND(ISNUMBER(M404),OR(ISNUMBER(SEARCH("prestación de servicios",D404)),ISNUMBER(SEARCH("prestar servicios",D404)),ISNUMBER(SEARCH("prestar los servicios",D404)))),IF(M404&gt;=500000000,"Prestación de servicios por $500 millones o más: posible error de digitación; ",""),""))=0,"Sin observaciones",IF(OR(NOT(ISNUMBER(B404)),LEN(B404)&lt;&gt;8),"UNSPSC vacío, en texto, con varios códigos o sin 8 dígitos; ","")&amp;IF(AND(ISNUMBER(B404),LEN(B404)=8),IF(MOD(B404,10000)=0,"UNSPSC a nivel de segmento o familia; ",""),"")&amp;IF(NOT(ISNUMBER(E404)),"Duración vacía o en texto; ","")&amp;IF(NOT(ISNUMBER(G404)),"Valor vacío o en texto; ","")&amp;IF(ISNUMBER(M404),IF(M404&lt;1000000,"Valor inferior a $1.000.000: verificar; ",""),"Valor no interpretable; ")&amp;IF(N404="[PENDIENTE DE VERIFICAR]","Modalidad no identificable; ","")&amp;IF(OR(ISERROR(SEARCH("@itc.edu.co",J404)),SUMPRODUCT(--ISNUMBER(SEARCH({"á","é","í","ó","ú","ñ"},J404)))&gt;0),"Correo vacío o no institucional válido; ","")&amp;IF(LEN(TRIM(D404))=0,"Sin objeto contractual; ","")&amp;IF(AND(ISNUMBER(M404),N404="Mínima cuantía"),IF(M404&gt;39850000,"Mínima cuantía con valor superior al tope citado en el instructivo 2026 ($39.850.000): verificar modalidad; ",""),"")&amp;IF(AND(ISNUMBER(M404),OR(ISNUMBER(SEARCH("prestación de servicios",D404)),ISNUMBER(SEARCH("prestar servicios",D404)),ISNUMBER(SEARCH("prestar los servicios",D404)))),IF(M404&gt;=500000000,"Prestación de servicios por $500 millones o más: posible error de digitación; ",""),""))</f>
        <v xml:space="preserve">Valor vacío o en texto; </v>
      </c>
    </row>
    <row r="405" spans="1:15" ht="34.200000000000003" x14ac:dyDescent="0.3">
      <c r="A405" s="15" t="s">
        <v>1782</v>
      </c>
      <c r="B405" s="15">
        <v>81112210</v>
      </c>
      <c r="C405" s="15" t="s">
        <v>344</v>
      </c>
      <c r="D405" s="15" t="s">
        <v>1783</v>
      </c>
      <c r="E405" s="15">
        <v>1</v>
      </c>
      <c r="F405" s="15" t="s">
        <v>1728</v>
      </c>
      <c r="G405" s="29" t="s">
        <v>1784</v>
      </c>
      <c r="H405" s="15" t="s">
        <v>1781</v>
      </c>
      <c r="I405" s="15" t="s">
        <v>1701</v>
      </c>
      <c r="J405" s="15" t="s">
        <v>1026</v>
      </c>
      <c r="K405" s="15"/>
      <c r="L405" s="30" t="s">
        <v>841</v>
      </c>
      <c r="M405" s="31">
        <v>61510433.600000001</v>
      </c>
      <c r="N405" s="30" t="s">
        <v>792</v>
      </c>
      <c r="O405" s="30" t="str">
        <f>IF(LEN(IF(OR(NOT(ISNUMBER(B405)),LEN(B405)&lt;&gt;8),"UNSPSC vacío, en texto, con varios códigos o sin 8 dígitos; ","")&amp;IF(AND(ISNUMBER(B405),LEN(B405)=8),IF(MOD(B405,10000)=0,"UNSPSC a nivel de segmento o familia; ",""),"")&amp;IF(NOT(ISNUMBER(E405)),"Duración vacía o en texto; ","")&amp;IF(NOT(ISNUMBER(G405)),"Valor vacío o en texto; ","")&amp;IF(ISNUMBER(M405),IF(M405&lt;1000000,"Valor inferior a $1.000.000: verificar; ",""),"Valor no interpretable; ")&amp;IF(N405="[PENDIENTE DE VERIFICAR]","Modalidad no identificable; ","")&amp;IF(OR(ISERROR(SEARCH("@itc.edu.co",J405)),SUMPRODUCT(--ISNUMBER(SEARCH({"á","é","í","ó","ú","ñ"},J405)))&gt;0),"Correo vacío o no institucional válido; ","")&amp;IF(LEN(TRIM(D405))=0,"Sin objeto contractual; ","")&amp;IF(AND(ISNUMBER(M405),N405="Mínima cuantía"),IF(M405&gt;39850000,"Mínima cuantía con valor superior al tope citado en el instructivo 2026 ($39.850.000): verificar modalidad; ",""),"")&amp;IF(AND(ISNUMBER(M405),OR(ISNUMBER(SEARCH("prestación de servicios",D405)),ISNUMBER(SEARCH("prestar servicios",D405)),ISNUMBER(SEARCH("prestar los servicios",D405)))),IF(M405&gt;=500000000,"Prestación de servicios por $500 millones o más: posible error de digitación; ",""),""))=0,"Sin observaciones",IF(OR(NOT(ISNUMBER(B405)),LEN(B405)&lt;&gt;8),"UNSPSC vacío, en texto, con varios códigos o sin 8 dígitos; ","")&amp;IF(AND(ISNUMBER(B405),LEN(B405)=8),IF(MOD(B405,10000)=0,"UNSPSC a nivel de segmento o familia; ",""),"")&amp;IF(NOT(ISNUMBER(E405)),"Duración vacía o en texto; ","")&amp;IF(NOT(ISNUMBER(G405)),"Valor vacío o en texto; ","")&amp;IF(ISNUMBER(M405),IF(M405&lt;1000000,"Valor inferior a $1.000.000: verificar; ",""),"Valor no interpretable; ")&amp;IF(N405="[PENDIENTE DE VERIFICAR]","Modalidad no identificable; ","")&amp;IF(OR(ISERROR(SEARCH("@itc.edu.co",J405)),SUMPRODUCT(--ISNUMBER(SEARCH({"á","é","í","ó","ú","ñ"},J405)))&gt;0),"Correo vacío o no institucional válido; ","")&amp;IF(LEN(TRIM(D405))=0,"Sin objeto contractual; ","")&amp;IF(AND(ISNUMBER(M405),N405="Mínima cuantía"),IF(M405&gt;39850000,"Mínima cuantía con valor superior al tope citado en el instructivo 2026 ($39.850.000): verificar modalidad; ",""),"")&amp;IF(AND(ISNUMBER(M405),OR(ISNUMBER(SEARCH("prestación de servicios",D405)),ISNUMBER(SEARCH("prestar servicios",D405)),ISNUMBER(SEARCH("prestar los servicios",D405)))),IF(M405&gt;=500000000,"Prestación de servicios por $500 millones o más: posible error de digitación; ",""),""))</f>
        <v xml:space="preserve">Valor vacío o en texto; Mínima cuantía con valor superior al tope citado en el instructivo 2026 ($39.850.000): verificar modalidad; </v>
      </c>
    </row>
    <row r="406" spans="1:15" ht="34.200000000000003" x14ac:dyDescent="0.3">
      <c r="A406" s="15" t="s">
        <v>1785</v>
      </c>
      <c r="B406" s="15">
        <v>81112210</v>
      </c>
      <c r="C406" s="15" t="s">
        <v>344</v>
      </c>
      <c r="D406" s="15" t="s">
        <v>1786</v>
      </c>
      <c r="E406" s="15">
        <v>1</v>
      </c>
      <c r="F406" s="15" t="s">
        <v>1728</v>
      </c>
      <c r="G406" s="29" t="s">
        <v>1787</v>
      </c>
      <c r="H406" s="15" t="s">
        <v>1781</v>
      </c>
      <c r="I406" s="15" t="s">
        <v>1701</v>
      </c>
      <c r="J406" s="15" t="s">
        <v>1026</v>
      </c>
      <c r="K406" s="15"/>
      <c r="L406" s="30" t="s">
        <v>841</v>
      </c>
      <c r="M406" s="31">
        <v>35750000</v>
      </c>
      <c r="N406" s="30" t="s">
        <v>792</v>
      </c>
      <c r="O406" s="30" t="str">
        <f>IF(LEN(IF(OR(NOT(ISNUMBER(B406)),LEN(B406)&lt;&gt;8),"UNSPSC vacío, en texto, con varios códigos o sin 8 dígitos; ","")&amp;IF(AND(ISNUMBER(B406),LEN(B406)=8),IF(MOD(B406,10000)=0,"UNSPSC a nivel de segmento o familia; ",""),"")&amp;IF(NOT(ISNUMBER(E406)),"Duración vacía o en texto; ","")&amp;IF(NOT(ISNUMBER(G406)),"Valor vacío o en texto; ","")&amp;IF(ISNUMBER(M406),IF(M406&lt;1000000,"Valor inferior a $1.000.000: verificar; ",""),"Valor no interpretable; ")&amp;IF(N406="[PENDIENTE DE VERIFICAR]","Modalidad no identificable; ","")&amp;IF(OR(ISERROR(SEARCH("@itc.edu.co",J406)),SUMPRODUCT(--ISNUMBER(SEARCH({"á","é","í","ó","ú","ñ"},J406)))&gt;0),"Correo vacío o no institucional válido; ","")&amp;IF(LEN(TRIM(D406))=0,"Sin objeto contractual; ","")&amp;IF(AND(ISNUMBER(M406),N406="Mínima cuantía"),IF(M406&gt;39850000,"Mínima cuantía con valor superior al tope citado en el instructivo 2026 ($39.850.000): verificar modalidad; ",""),"")&amp;IF(AND(ISNUMBER(M406),OR(ISNUMBER(SEARCH("prestación de servicios",D406)),ISNUMBER(SEARCH("prestar servicios",D406)),ISNUMBER(SEARCH("prestar los servicios",D406)))),IF(M406&gt;=500000000,"Prestación de servicios por $500 millones o más: posible error de digitación; ",""),""))=0,"Sin observaciones",IF(OR(NOT(ISNUMBER(B406)),LEN(B406)&lt;&gt;8),"UNSPSC vacío, en texto, con varios códigos o sin 8 dígitos; ","")&amp;IF(AND(ISNUMBER(B406),LEN(B406)=8),IF(MOD(B406,10000)=0,"UNSPSC a nivel de segmento o familia; ",""),"")&amp;IF(NOT(ISNUMBER(E406)),"Duración vacía o en texto; ","")&amp;IF(NOT(ISNUMBER(G406)),"Valor vacío o en texto; ","")&amp;IF(ISNUMBER(M406),IF(M406&lt;1000000,"Valor inferior a $1.000.000: verificar; ",""),"Valor no interpretable; ")&amp;IF(N406="[PENDIENTE DE VERIFICAR]","Modalidad no identificable; ","")&amp;IF(OR(ISERROR(SEARCH("@itc.edu.co",J406)),SUMPRODUCT(--ISNUMBER(SEARCH({"á","é","í","ó","ú","ñ"},J406)))&gt;0),"Correo vacío o no institucional válido; ","")&amp;IF(LEN(TRIM(D406))=0,"Sin objeto contractual; ","")&amp;IF(AND(ISNUMBER(M406),N406="Mínima cuantía"),IF(M406&gt;39850000,"Mínima cuantía con valor superior al tope citado en el instructivo 2026 ($39.850.000): verificar modalidad; ",""),"")&amp;IF(AND(ISNUMBER(M406),OR(ISNUMBER(SEARCH("prestación de servicios",D406)),ISNUMBER(SEARCH("prestar servicios",D406)),ISNUMBER(SEARCH("prestar los servicios",D406)))),IF(M406&gt;=500000000,"Prestación de servicios por $500 millones o más: posible error de digitación; ",""),""))</f>
        <v xml:space="preserve">Valor vacío o en texto; </v>
      </c>
    </row>
    <row r="407" spans="1:15" ht="45.6" x14ac:dyDescent="0.3">
      <c r="A407" s="15" t="s">
        <v>1788</v>
      </c>
      <c r="B407" s="15">
        <v>81112210</v>
      </c>
      <c r="C407" s="15" t="s">
        <v>344</v>
      </c>
      <c r="D407" s="15" t="s">
        <v>1789</v>
      </c>
      <c r="E407" s="15">
        <v>1</v>
      </c>
      <c r="F407" s="15" t="s">
        <v>1728</v>
      </c>
      <c r="G407" s="29" t="s">
        <v>1790</v>
      </c>
      <c r="H407" s="15" t="s">
        <v>1781</v>
      </c>
      <c r="I407" s="15" t="s">
        <v>1701</v>
      </c>
      <c r="J407" s="15" t="s">
        <v>1026</v>
      </c>
      <c r="K407" s="15"/>
      <c r="L407" s="30" t="s">
        <v>841</v>
      </c>
      <c r="M407" s="31">
        <v>45000000</v>
      </c>
      <c r="N407" s="30" t="s">
        <v>792</v>
      </c>
      <c r="O407" s="30" t="str">
        <f>IF(LEN(IF(OR(NOT(ISNUMBER(B407)),LEN(B407)&lt;&gt;8),"UNSPSC vacío, en texto, con varios códigos o sin 8 dígitos; ","")&amp;IF(AND(ISNUMBER(B407),LEN(B407)=8),IF(MOD(B407,10000)=0,"UNSPSC a nivel de segmento o familia; ",""),"")&amp;IF(NOT(ISNUMBER(E407)),"Duración vacía o en texto; ","")&amp;IF(NOT(ISNUMBER(G407)),"Valor vacío o en texto; ","")&amp;IF(ISNUMBER(M407),IF(M407&lt;1000000,"Valor inferior a $1.000.000: verificar; ",""),"Valor no interpretable; ")&amp;IF(N407="[PENDIENTE DE VERIFICAR]","Modalidad no identificable; ","")&amp;IF(OR(ISERROR(SEARCH("@itc.edu.co",J407)),SUMPRODUCT(--ISNUMBER(SEARCH({"á","é","í","ó","ú","ñ"},J407)))&gt;0),"Correo vacío o no institucional válido; ","")&amp;IF(LEN(TRIM(D407))=0,"Sin objeto contractual; ","")&amp;IF(AND(ISNUMBER(M407),N407="Mínima cuantía"),IF(M407&gt;39850000,"Mínima cuantía con valor superior al tope citado en el instructivo 2026 ($39.850.000): verificar modalidad; ",""),"")&amp;IF(AND(ISNUMBER(M407),OR(ISNUMBER(SEARCH("prestación de servicios",D407)),ISNUMBER(SEARCH("prestar servicios",D407)),ISNUMBER(SEARCH("prestar los servicios",D407)))),IF(M407&gt;=500000000,"Prestación de servicios por $500 millones o más: posible error de digitación; ",""),""))=0,"Sin observaciones",IF(OR(NOT(ISNUMBER(B407)),LEN(B407)&lt;&gt;8),"UNSPSC vacío, en texto, con varios códigos o sin 8 dígitos; ","")&amp;IF(AND(ISNUMBER(B407),LEN(B407)=8),IF(MOD(B407,10000)=0,"UNSPSC a nivel de segmento o familia; ",""),"")&amp;IF(NOT(ISNUMBER(E407)),"Duración vacía o en texto; ","")&amp;IF(NOT(ISNUMBER(G407)),"Valor vacío o en texto; ","")&amp;IF(ISNUMBER(M407),IF(M407&lt;1000000,"Valor inferior a $1.000.000: verificar; ",""),"Valor no interpretable; ")&amp;IF(N407="[PENDIENTE DE VERIFICAR]","Modalidad no identificable; ","")&amp;IF(OR(ISERROR(SEARCH("@itc.edu.co",J407)),SUMPRODUCT(--ISNUMBER(SEARCH({"á","é","í","ó","ú","ñ"},J407)))&gt;0),"Correo vacío o no institucional válido; ","")&amp;IF(LEN(TRIM(D407))=0,"Sin objeto contractual; ","")&amp;IF(AND(ISNUMBER(M407),N407="Mínima cuantía"),IF(M407&gt;39850000,"Mínima cuantía con valor superior al tope citado en el instructivo 2026 ($39.850.000): verificar modalidad; ",""),"")&amp;IF(AND(ISNUMBER(M407),OR(ISNUMBER(SEARCH("prestación de servicios",D407)),ISNUMBER(SEARCH("prestar servicios",D407)),ISNUMBER(SEARCH("prestar los servicios",D407)))),IF(M407&gt;=500000000,"Prestación de servicios por $500 millones o más: posible error de digitación; ",""),""))</f>
        <v xml:space="preserve">Valor vacío o en texto; Mínima cuantía con valor superior al tope citado en el instructivo 2026 ($39.850.000): verificar modalidad; </v>
      </c>
    </row>
    <row r="408" spans="1:15" ht="34.200000000000003" x14ac:dyDescent="0.3">
      <c r="A408" s="15" t="s">
        <v>1791</v>
      </c>
      <c r="B408" s="15">
        <v>81112210</v>
      </c>
      <c r="C408" s="15" t="s">
        <v>344</v>
      </c>
      <c r="D408" s="15" t="s">
        <v>1792</v>
      </c>
      <c r="E408" s="15">
        <v>1</v>
      </c>
      <c r="F408" s="15" t="s">
        <v>1728</v>
      </c>
      <c r="G408" s="29" t="s">
        <v>1793</v>
      </c>
      <c r="H408" s="15" t="s">
        <v>1781</v>
      </c>
      <c r="I408" s="15" t="s">
        <v>1701</v>
      </c>
      <c r="J408" s="15" t="s">
        <v>1026</v>
      </c>
      <c r="K408" s="15"/>
      <c r="L408" s="30" t="s">
        <v>841</v>
      </c>
      <c r="M408" s="31">
        <v>38000000</v>
      </c>
      <c r="N408" s="30" t="s">
        <v>792</v>
      </c>
      <c r="O408" s="30" t="str">
        <f>IF(LEN(IF(OR(NOT(ISNUMBER(B408)),LEN(B408)&lt;&gt;8),"UNSPSC vacío, en texto, con varios códigos o sin 8 dígitos; ","")&amp;IF(AND(ISNUMBER(B408),LEN(B408)=8),IF(MOD(B408,10000)=0,"UNSPSC a nivel de segmento o familia; ",""),"")&amp;IF(NOT(ISNUMBER(E408)),"Duración vacía o en texto; ","")&amp;IF(NOT(ISNUMBER(G408)),"Valor vacío o en texto; ","")&amp;IF(ISNUMBER(M408),IF(M408&lt;1000000,"Valor inferior a $1.000.000: verificar; ",""),"Valor no interpretable; ")&amp;IF(N408="[PENDIENTE DE VERIFICAR]","Modalidad no identificable; ","")&amp;IF(OR(ISERROR(SEARCH("@itc.edu.co",J408)),SUMPRODUCT(--ISNUMBER(SEARCH({"á","é","í","ó","ú","ñ"},J408)))&gt;0),"Correo vacío o no institucional válido; ","")&amp;IF(LEN(TRIM(D408))=0,"Sin objeto contractual; ","")&amp;IF(AND(ISNUMBER(M408),N408="Mínima cuantía"),IF(M408&gt;39850000,"Mínima cuantía con valor superior al tope citado en el instructivo 2026 ($39.850.000): verificar modalidad; ",""),"")&amp;IF(AND(ISNUMBER(M408),OR(ISNUMBER(SEARCH("prestación de servicios",D408)),ISNUMBER(SEARCH("prestar servicios",D408)),ISNUMBER(SEARCH("prestar los servicios",D408)))),IF(M408&gt;=500000000,"Prestación de servicios por $500 millones o más: posible error de digitación; ",""),""))=0,"Sin observaciones",IF(OR(NOT(ISNUMBER(B408)),LEN(B408)&lt;&gt;8),"UNSPSC vacío, en texto, con varios códigos o sin 8 dígitos; ","")&amp;IF(AND(ISNUMBER(B408),LEN(B408)=8),IF(MOD(B408,10000)=0,"UNSPSC a nivel de segmento o familia; ",""),"")&amp;IF(NOT(ISNUMBER(E408)),"Duración vacía o en texto; ","")&amp;IF(NOT(ISNUMBER(G408)),"Valor vacío o en texto; ","")&amp;IF(ISNUMBER(M408),IF(M408&lt;1000000,"Valor inferior a $1.000.000: verificar; ",""),"Valor no interpretable; ")&amp;IF(N408="[PENDIENTE DE VERIFICAR]","Modalidad no identificable; ","")&amp;IF(OR(ISERROR(SEARCH("@itc.edu.co",J408)),SUMPRODUCT(--ISNUMBER(SEARCH({"á","é","í","ó","ú","ñ"},J408)))&gt;0),"Correo vacío o no institucional válido; ","")&amp;IF(LEN(TRIM(D408))=0,"Sin objeto contractual; ","")&amp;IF(AND(ISNUMBER(M408),N408="Mínima cuantía"),IF(M408&gt;39850000,"Mínima cuantía con valor superior al tope citado en el instructivo 2026 ($39.850.000): verificar modalidad; ",""),"")&amp;IF(AND(ISNUMBER(M408),OR(ISNUMBER(SEARCH("prestación de servicios",D408)),ISNUMBER(SEARCH("prestar servicios",D408)),ISNUMBER(SEARCH("prestar los servicios",D408)))),IF(M408&gt;=500000000,"Prestación de servicios por $500 millones o más: posible error de digitación; ",""),""))</f>
        <v xml:space="preserve">Valor vacío o en texto; </v>
      </c>
    </row>
    <row r="409" spans="1:15" ht="34.200000000000003" x14ac:dyDescent="0.3">
      <c r="A409" s="15" t="s">
        <v>606</v>
      </c>
      <c r="B409" s="15">
        <v>46191505</v>
      </c>
      <c r="C409" s="15" t="s">
        <v>344</v>
      </c>
      <c r="D409" s="15" t="s">
        <v>605</v>
      </c>
      <c r="E409" s="15">
        <v>1</v>
      </c>
      <c r="F409" s="15" t="s">
        <v>1728</v>
      </c>
      <c r="G409" s="29" t="s">
        <v>1794</v>
      </c>
      <c r="H409" s="15" t="s">
        <v>1795</v>
      </c>
      <c r="I409" s="15" t="s">
        <v>1701</v>
      </c>
      <c r="J409" s="15" t="s">
        <v>1026</v>
      </c>
      <c r="K409" s="15"/>
      <c r="L409" s="30" t="s">
        <v>841</v>
      </c>
      <c r="M409" s="31">
        <v>35000000</v>
      </c>
      <c r="N409" s="30" t="s">
        <v>792</v>
      </c>
      <c r="O409" s="30" t="str">
        <f>IF(LEN(IF(OR(NOT(ISNUMBER(B409)),LEN(B409)&lt;&gt;8),"UNSPSC vacío, en texto, con varios códigos o sin 8 dígitos; ","")&amp;IF(AND(ISNUMBER(B409),LEN(B409)=8),IF(MOD(B409,10000)=0,"UNSPSC a nivel de segmento o familia; ",""),"")&amp;IF(NOT(ISNUMBER(E409)),"Duración vacía o en texto; ","")&amp;IF(NOT(ISNUMBER(G409)),"Valor vacío o en texto; ","")&amp;IF(ISNUMBER(M409),IF(M409&lt;1000000,"Valor inferior a $1.000.000: verificar; ",""),"Valor no interpretable; ")&amp;IF(N409="[PENDIENTE DE VERIFICAR]","Modalidad no identificable; ","")&amp;IF(OR(ISERROR(SEARCH("@itc.edu.co",J409)),SUMPRODUCT(--ISNUMBER(SEARCH({"á","é","í","ó","ú","ñ"},J409)))&gt;0),"Correo vacío o no institucional válido; ","")&amp;IF(LEN(TRIM(D409))=0,"Sin objeto contractual; ","")&amp;IF(AND(ISNUMBER(M409),N409="Mínima cuantía"),IF(M409&gt;39850000,"Mínima cuantía con valor superior al tope citado en el instructivo 2026 ($39.850.000): verificar modalidad; ",""),"")&amp;IF(AND(ISNUMBER(M409),OR(ISNUMBER(SEARCH("prestación de servicios",D409)),ISNUMBER(SEARCH("prestar servicios",D409)),ISNUMBER(SEARCH("prestar los servicios",D409)))),IF(M409&gt;=500000000,"Prestación de servicios por $500 millones o más: posible error de digitación; ",""),""))=0,"Sin observaciones",IF(OR(NOT(ISNUMBER(B409)),LEN(B409)&lt;&gt;8),"UNSPSC vacío, en texto, con varios códigos o sin 8 dígitos; ","")&amp;IF(AND(ISNUMBER(B409),LEN(B409)=8),IF(MOD(B409,10000)=0,"UNSPSC a nivel de segmento o familia; ",""),"")&amp;IF(NOT(ISNUMBER(E409)),"Duración vacía o en texto; ","")&amp;IF(NOT(ISNUMBER(G409)),"Valor vacío o en texto; ","")&amp;IF(ISNUMBER(M409),IF(M409&lt;1000000,"Valor inferior a $1.000.000: verificar; ",""),"Valor no interpretable; ")&amp;IF(N409="[PENDIENTE DE VERIFICAR]","Modalidad no identificable; ","")&amp;IF(OR(ISERROR(SEARCH("@itc.edu.co",J409)),SUMPRODUCT(--ISNUMBER(SEARCH({"á","é","í","ó","ú","ñ"},J409)))&gt;0),"Correo vacío o no institucional válido; ","")&amp;IF(LEN(TRIM(D409))=0,"Sin objeto contractual; ","")&amp;IF(AND(ISNUMBER(M409),N409="Mínima cuantía"),IF(M409&gt;39850000,"Mínima cuantía con valor superior al tope citado en el instructivo 2026 ($39.850.000): verificar modalidad; ",""),"")&amp;IF(AND(ISNUMBER(M409),OR(ISNUMBER(SEARCH("prestación de servicios",D409)),ISNUMBER(SEARCH("prestar servicios",D409)),ISNUMBER(SEARCH("prestar los servicios",D409)))),IF(M409&gt;=500000000,"Prestación de servicios por $500 millones o más: posible error de digitación; ",""),""))</f>
        <v xml:space="preserve">Valor vacío o en texto; </v>
      </c>
    </row>
    <row r="410" spans="1:15" ht="34.200000000000003" x14ac:dyDescent="0.3">
      <c r="A410" s="15" t="s">
        <v>1796</v>
      </c>
      <c r="B410" s="15">
        <v>81112307</v>
      </c>
      <c r="C410" s="15" t="s">
        <v>344</v>
      </c>
      <c r="D410" s="15" t="s">
        <v>1797</v>
      </c>
      <c r="E410" s="15">
        <v>1</v>
      </c>
      <c r="F410" s="15" t="s">
        <v>1728</v>
      </c>
      <c r="G410" s="29" t="s">
        <v>1798</v>
      </c>
      <c r="H410" s="15" t="s">
        <v>1799</v>
      </c>
      <c r="I410" s="15" t="s">
        <v>1701</v>
      </c>
      <c r="J410" s="15" t="s">
        <v>1026</v>
      </c>
      <c r="K410" s="15"/>
      <c r="L410" s="30" t="s">
        <v>841</v>
      </c>
      <c r="M410" s="31">
        <v>60000000</v>
      </c>
      <c r="N410" s="30" t="s">
        <v>792</v>
      </c>
      <c r="O410" s="30" t="str">
        <f>IF(LEN(IF(OR(NOT(ISNUMBER(B410)),LEN(B410)&lt;&gt;8),"UNSPSC vacío, en texto, con varios códigos o sin 8 dígitos; ","")&amp;IF(AND(ISNUMBER(B410),LEN(B410)=8),IF(MOD(B410,10000)=0,"UNSPSC a nivel de segmento o familia; ",""),"")&amp;IF(NOT(ISNUMBER(E410)),"Duración vacía o en texto; ","")&amp;IF(NOT(ISNUMBER(G410)),"Valor vacío o en texto; ","")&amp;IF(ISNUMBER(M410),IF(M410&lt;1000000,"Valor inferior a $1.000.000: verificar; ",""),"Valor no interpretable; ")&amp;IF(N410="[PENDIENTE DE VERIFICAR]","Modalidad no identificable; ","")&amp;IF(OR(ISERROR(SEARCH("@itc.edu.co",J410)),SUMPRODUCT(--ISNUMBER(SEARCH({"á","é","í","ó","ú","ñ"},J410)))&gt;0),"Correo vacío o no institucional válido; ","")&amp;IF(LEN(TRIM(D410))=0,"Sin objeto contractual; ","")&amp;IF(AND(ISNUMBER(M410),N410="Mínima cuantía"),IF(M410&gt;39850000,"Mínima cuantía con valor superior al tope citado en el instructivo 2026 ($39.850.000): verificar modalidad; ",""),"")&amp;IF(AND(ISNUMBER(M410),OR(ISNUMBER(SEARCH("prestación de servicios",D410)),ISNUMBER(SEARCH("prestar servicios",D410)),ISNUMBER(SEARCH("prestar los servicios",D410)))),IF(M410&gt;=500000000,"Prestación de servicios por $500 millones o más: posible error de digitación; ",""),""))=0,"Sin observaciones",IF(OR(NOT(ISNUMBER(B410)),LEN(B410)&lt;&gt;8),"UNSPSC vacío, en texto, con varios códigos o sin 8 dígitos; ","")&amp;IF(AND(ISNUMBER(B410),LEN(B410)=8),IF(MOD(B410,10000)=0,"UNSPSC a nivel de segmento o familia; ",""),"")&amp;IF(NOT(ISNUMBER(E410)),"Duración vacía o en texto; ","")&amp;IF(NOT(ISNUMBER(G410)),"Valor vacío o en texto; ","")&amp;IF(ISNUMBER(M410),IF(M410&lt;1000000,"Valor inferior a $1.000.000: verificar; ",""),"Valor no interpretable; ")&amp;IF(N410="[PENDIENTE DE VERIFICAR]","Modalidad no identificable; ","")&amp;IF(OR(ISERROR(SEARCH("@itc.edu.co",J410)),SUMPRODUCT(--ISNUMBER(SEARCH({"á","é","í","ó","ú","ñ"},J410)))&gt;0),"Correo vacío o no institucional válido; ","")&amp;IF(LEN(TRIM(D410))=0,"Sin objeto contractual; ","")&amp;IF(AND(ISNUMBER(M410),N410="Mínima cuantía"),IF(M410&gt;39850000,"Mínima cuantía con valor superior al tope citado en el instructivo 2026 ($39.850.000): verificar modalidad; ",""),"")&amp;IF(AND(ISNUMBER(M410),OR(ISNUMBER(SEARCH("prestación de servicios",D410)),ISNUMBER(SEARCH("prestar servicios",D410)),ISNUMBER(SEARCH("prestar los servicios",D410)))),IF(M410&gt;=500000000,"Prestación de servicios por $500 millones o más: posible error de digitación; ",""),""))</f>
        <v xml:space="preserve">Valor vacío o en texto; Mínima cuantía con valor superior al tope citado en el instructivo 2026 ($39.850.000): verificar modalidad; </v>
      </c>
    </row>
    <row r="411" spans="1:15" ht="34.200000000000003" x14ac:dyDescent="0.3">
      <c r="A411" s="15" t="s">
        <v>1800</v>
      </c>
      <c r="B411" s="15">
        <v>81112307</v>
      </c>
      <c r="C411" s="15" t="s">
        <v>344</v>
      </c>
      <c r="D411" s="15" t="s">
        <v>1801</v>
      </c>
      <c r="E411" s="15">
        <v>1</v>
      </c>
      <c r="F411" s="15" t="s">
        <v>1728</v>
      </c>
      <c r="G411" s="29" t="s">
        <v>1798</v>
      </c>
      <c r="H411" s="15" t="s">
        <v>1802</v>
      </c>
      <c r="I411" s="15" t="s">
        <v>1701</v>
      </c>
      <c r="J411" s="15" t="s">
        <v>1026</v>
      </c>
      <c r="K411" s="15"/>
      <c r="L411" s="30" t="s">
        <v>841</v>
      </c>
      <c r="M411" s="31">
        <v>60000000</v>
      </c>
      <c r="N411" s="30" t="s">
        <v>792</v>
      </c>
      <c r="O411" s="30" t="str">
        <f>IF(LEN(IF(OR(NOT(ISNUMBER(B411)),LEN(B411)&lt;&gt;8),"UNSPSC vacío, en texto, con varios códigos o sin 8 dígitos; ","")&amp;IF(AND(ISNUMBER(B411),LEN(B411)=8),IF(MOD(B411,10000)=0,"UNSPSC a nivel de segmento o familia; ",""),"")&amp;IF(NOT(ISNUMBER(E411)),"Duración vacía o en texto; ","")&amp;IF(NOT(ISNUMBER(G411)),"Valor vacío o en texto; ","")&amp;IF(ISNUMBER(M411),IF(M411&lt;1000000,"Valor inferior a $1.000.000: verificar; ",""),"Valor no interpretable; ")&amp;IF(N411="[PENDIENTE DE VERIFICAR]","Modalidad no identificable; ","")&amp;IF(OR(ISERROR(SEARCH("@itc.edu.co",J411)),SUMPRODUCT(--ISNUMBER(SEARCH({"á","é","í","ó","ú","ñ"},J411)))&gt;0),"Correo vacío o no institucional válido; ","")&amp;IF(LEN(TRIM(D411))=0,"Sin objeto contractual; ","")&amp;IF(AND(ISNUMBER(M411),N411="Mínima cuantía"),IF(M411&gt;39850000,"Mínima cuantía con valor superior al tope citado en el instructivo 2026 ($39.850.000): verificar modalidad; ",""),"")&amp;IF(AND(ISNUMBER(M411),OR(ISNUMBER(SEARCH("prestación de servicios",D411)),ISNUMBER(SEARCH("prestar servicios",D411)),ISNUMBER(SEARCH("prestar los servicios",D411)))),IF(M411&gt;=500000000,"Prestación de servicios por $500 millones o más: posible error de digitación; ",""),""))=0,"Sin observaciones",IF(OR(NOT(ISNUMBER(B411)),LEN(B411)&lt;&gt;8),"UNSPSC vacío, en texto, con varios códigos o sin 8 dígitos; ","")&amp;IF(AND(ISNUMBER(B411),LEN(B411)=8),IF(MOD(B411,10000)=0,"UNSPSC a nivel de segmento o familia; ",""),"")&amp;IF(NOT(ISNUMBER(E411)),"Duración vacía o en texto; ","")&amp;IF(NOT(ISNUMBER(G411)),"Valor vacío o en texto; ","")&amp;IF(ISNUMBER(M411),IF(M411&lt;1000000,"Valor inferior a $1.000.000: verificar; ",""),"Valor no interpretable; ")&amp;IF(N411="[PENDIENTE DE VERIFICAR]","Modalidad no identificable; ","")&amp;IF(OR(ISERROR(SEARCH("@itc.edu.co",J411)),SUMPRODUCT(--ISNUMBER(SEARCH({"á","é","í","ó","ú","ñ"},J411)))&gt;0),"Correo vacío o no institucional válido; ","")&amp;IF(LEN(TRIM(D411))=0,"Sin objeto contractual; ","")&amp;IF(AND(ISNUMBER(M411),N411="Mínima cuantía"),IF(M411&gt;39850000,"Mínima cuantía con valor superior al tope citado en el instructivo 2026 ($39.850.000): verificar modalidad; ",""),"")&amp;IF(AND(ISNUMBER(M411),OR(ISNUMBER(SEARCH("prestación de servicios",D411)),ISNUMBER(SEARCH("prestar servicios",D411)),ISNUMBER(SEARCH("prestar los servicios",D411)))),IF(M411&gt;=500000000,"Prestación de servicios por $500 millones o más: posible error de digitación; ",""),""))</f>
        <v xml:space="preserve">Valor vacío o en texto; Mínima cuantía con valor superior al tope citado en el instructivo 2026 ($39.850.000): verificar modalidad; </v>
      </c>
    </row>
    <row r="412" spans="1:15" ht="34.200000000000003" x14ac:dyDescent="0.3">
      <c r="A412" s="15" t="s">
        <v>1803</v>
      </c>
      <c r="B412" s="15">
        <v>81112307</v>
      </c>
      <c r="C412" s="15" t="s">
        <v>344</v>
      </c>
      <c r="D412" s="15" t="s">
        <v>1804</v>
      </c>
      <c r="E412" s="15">
        <v>1</v>
      </c>
      <c r="F412" s="15" t="s">
        <v>1728</v>
      </c>
      <c r="G412" s="29" t="s">
        <v>1798</v>
      </c>
      <c r="H412" s="15" t="s">
        <v>1799</v>
      </c>
      <c r="I412" s="15" t="s">
        <v>1701</v>
      </c>
      <c r="J412" s="15" t="s">
        <v>1026</v>
      </c>
      <c r="K412" s="15"/>
      <c r="L412" s="30" t="s">
        <v>841</v>
      </c>
      <c r="M412" s="31">
        <v>60000000</v>
      </c>
      <c r="N412" s="30" t="s">
        <v>792</v>
      </c>
      <c r="O412" s="30" t="str">
        <f>IF(LEN(IF(OR(NOT(ISNUMBER(B412)),LEN(B412)&lt;&gt;8),"UNSPSC vacío, en texto, con varios códigos o sin 8 dígitos; ","")&amp;IF(AND(ISNUMBER(B412),LEN(B412)=8),IF(MOD(B412,10000)=0,"UNSPSC a nivel de segmento o familia; ",""),"")&amp;IF(NOT(ISNUMBER(E412)),"Duración vacía o en texto; ","")&amp;IF(NOT(ISNUMBER(G412)),"Valor vacío o en texto; ","")&amp;IF(ISNUMBER(M412),IF(M412&lt;1000000,"Valor inferior a $1.000.000: verificar; ",""),"Valor no interpretable; ")&amp;IF(N412="[PENDIENTE DE VERIFICAR]","Modalidad no identificable; ","")&amp;IF(OR(ISERROR(SEARCH("@itc.edu.co",J412)),SUMPRODUCT(--ISNUMBER(SEARCH({"á","é","í","ó","ú","ñ"},J412)))&gt;0),"Correo vacío o no institucional válido; ","")&amp;IF(LEN(TRIM(D412))=0,"Sin objeto contractual; ","")&amp;IF(AND(ISNUMBER(M412),N412="Mínima cuantía"),IF(M412&gt;39850000,"Mínima cuantía con valor superior al tope citado en el instructivo 2026 ($39.850.000): verificar modalidad; ",""),"")&amp;IF(AND(ISNUMBER(M412),OR(ISNUMBER(SEARCH("prestación de servicios",D412)),ISNUMBER(SEARCH("prestar servicios",D412)),ISNUMBER(SEARCH("prestar los servicios",D412)))),IF(M412&gt;=500000000,"Prestación de servicios por $500 millones o más: posible error de digitación; ",""),""))=0,"Sin observaciones",IF(OR(NOT(ISNUMBER(B412)),LEN(B412)&lt;&gt;8),"UNSPSC vacío, en texto, con varios códigos o sin 8 dígitos; ","")&amp;IF(AND(ISNUMBER(B412),LEN(B412)=8),IF(MOD(B412,10000)=0,"UNSPSC a nivel de segmento o familia; ",""),"")&amp;IF(NOT(ISNUMBER(E412)),"Duración vacía o en texto; ","")&amp;IF(NOT(ISNUMBER(G412)),"Valor vacío o en texto; ","")&amp;IF(ISNUMBER(M412),IF(M412&lt;1000000,"Valor inferior a $1.000.000: verificar; ",""),"Valor no interpretable; ")&amp;IF(N412="[PENDIENTE DE VERIFICAR]","Modalidad no identificable; ","")&amp;IF(OR(ISERROR(SEARCH("@itc.edu.co",J412)),SUMPRODUCT(--ISNUMBER(SEARCH({"á","é","í","ó","ú","ñ"},J412)))&gt;0),"Correo vacío o no institucional válido; ","")&amp;IF(LEN(TRIM(D412))=0,"Sin objeto contractual; ","")&amp;IF(AND(ISNUMBER(M412),N412="Mínima cuantía"),IF(M412&gt;39850000,"Mínima cuantía con valor superior al tope citado en el instructivo 2026 ($39.850.000): verificar modalidad; ",""),"")&amp;IF(AND(ISNUMBER(M412),OR(ISNUMBER(SEARCH("prestación de servicios",D412)),ISNUMBER(SEARCH("prestar servicios",D412)),ISNUMBER(SEARCH("prestar los servicios",D412)))),IF(M412&gt;=500000000,"Prestación de servicios por $500 millones o más: posible error de digitación; ",""),""))</f>
        <v xml:space="preserve">Valor vacío o en texto; Mínima cuantía con valor superior al tope citado en el instructivo 2026 ($39.850.000): verificar modalidad; </v>
      </c>
    </row>
    <row r="413" spans="1:15" ht="22.8" x14ac:dyDescent="0.3">
      <c r="A413" s="15" t="s">
        <v>1805</v>
      </c>
      <c r="B413" s="15">
        <v>81112307</v>
      </c>
      <c r="C413" s="15" t="s">
        <v>344</v>
      </c>
      <c r="D413" s="15" t="s">
        <v>1806</v>
      </c>
      <c r="E413" s="15">
        <v>1</v>
      </c>
      <c r="F413" s="15" t="s">
        <v>1763</v>
      </c>
      <c r="G413" s="29" t="s">
        <v>1807</v>
      </c>
      <c r="H413" s="15" t="s">
        <v>1799</v>
      </c>
      <c r="I413" s="15" t="s">
        <v>1701</v>
      </c>
      <c r="J413" s="15" t="s">
        <v>1026</v>
      </c>
      <c r="K413" s="15"/>
      <c r="L413" s="30" t="s">
        <v>841</v>
      </c>
      <c r="M413" s="31">
        <v>750000000</v>
      </c>
      <c r="N413" s="30" t="s">
        <v>796</v>
      </c>
      <c r="O413" s="30" t="str">
        <f>IF(LEN(IF(OR(NOT(ISNUMBER(B413)),LEN(B413)&lt;&gt;8),"UNSPSC vacío, en texto, con varios códigos o sin 8 dígitos; ","")&amp;IF(AND(ISNUMBER(B413),LEN(B413)=8),IF(MOD(B413,10000)=0,"UNSPSC a nivel de segmento o familia; ",""),"")&amp;IF(NOT(ISNUMBER(E413)),"Duración vacía o en texto; ","")&amp;IF(NOT(ISNUMBER(G413)),"Valor vacío o en texto; ","")&amp;IF(ISNUMBER(M413),IF(M413&lt;1000000,"Valor inferior a $1.000.000: verificar; ",""),"Valor no interpretable; ")&amp;IF(N413="[PENDIENTE DE VERIFICAR]","Modalidad no identificable; ","")&amp;IF(OR(ISERROR(SEARCH("@itc.edu.co",J413)),SUMPRODUCT(--ISNUMBER(SEARCH({"á","é","í","ó","ú","ñ"},J413)))&gt;0),"Correo vacío o no institucional válido; ","")&amp;IF(LEN(TRIM(D413))=0,"Sin objeto contractual; ","")&amp;IF(AND(ISNUMBER(M413),N413="Mínima cuantía"),IF(M413&gt;39850000,"Mínima cuantía con valor superior al tope citado en el instructivo 2026 ($39.850.000): verificar modalidad; ",""),"")&amp;IF(AND(ISNUMBER(M413),OR(ISNUMBER(SEARCH("prestación de servicios",D413)),ISNUMBER(SEARCH("prestar servicios",D413)),ISNUMBER(SEARCH("prestar los servicios",D413)))),IF(M413&gt;=500000000,"Prestación de servicios por $500 millones o más: posible error de digitación; ",""),""))=0,"Sin observaciones",IF(OR(NOT(ISNUMBER(B413)),LEN(B413)&lt;&gt;8),"UNSPSC vacío, en texto, con varios códigos o sin 8 dígitos; ","")&amp;IF(AND(ISNUMBER(B413),LEN(B413)=8),IF(MOD(B413,10000)=0,"UNSPSC a nivel de segmento o familia; ",""),"")&amp;IF(NOT(ISNUMBER(E413)),"Duración vacía o en texto; ","")&amp;IF(NOT(ISNUMBER(G413)),"Valor vacío o en texto; ","")&amp;IF(ISNUMBER(M413),IF(M413&lt;1000000,"Valor inferior a $1.000.000: verificar; ",""),"Valor no interpretable; ")&amp;IF(N413="[PENDIENTE DE VERIFICAR]","Modalidad no identificable; ","")&amp;IF(OR(ISERROR(SEARCH("@itc.edu.co",J413)),SUMPRODUCT(--ISNUMBER(SEARCH({"á","é","í","ó","ú","ñ"},J413)))&gt;0),"Correo vacío o no institucional válido; ","")&amp;IF(LEN(TRIM(D413))=0,"Sin objeto contractual; ","")&amp;IF(AND(ISNUMBER(M413),N413="Mínima cuantía"),IF(M413&gt;39850000,"Mínima cuantía con valor superior al tope citado en el instructivo 2026 ($39.850.000): verificar modalidad; ",""),"")&amp;IF(AND(ISNUMBER(M413),OR(ISNUMBER(SEARCH("prestación de servicios",D413)),ISNUMBER(SEARCH("prestar servicios",D413)),ISNUMBER(SEARCH("prestar los servicios",D413)))),IF(M413&gt;=500000000,"Prestación de servicios por $500 millones o más: posible error de digitación; ",""),""))</f>
        <v xml:space="preserve">Valor vacío o en texto; </v>
      </c>
    </row>
    <row r="414" spans="1:15" ht="22.8" x14ac:dyDescent="0.3">
      <c r="A414" s="15" t="s">
        <v>1808</v>
      </c>
      <c r="B414" s="15">
        <v>81112307</v>
      </c>
      <c r="C414" s="15" t="s">
        <v>344</v>
      </c>
      <c r="D414" s="15" t="s">
        <v>1809</v>
      </c>
      <c r="E414" s="15">
        <v>1</v>
      </c>
      <c r="F414" s="15" t="s">
        <v>1763</v>
      </c>
      <c r="G414" s="29" t="s">
        <v>1810</v>
      </c>
      <c r="H414" s="15" t="s">
        <v>1799</v>
      </c>
      <c r="I414" s="15" t="s">
        <v>1701</v>
      </c>
      <c r="J414" s="15" t="s">
        <v>1026</v>
      </c>
      <c r="K414" s="15"/>
      <c r="L414" s="30" t="s">
        <v>841</v>
      </c>
      <c r="M414" s="31">
        <v>160000000</v>
      </c>
      <c r="N414" s="30" t="s">
        <v>796</v>
      </c>
      <c r="O414" s="30" t="str">
        <f>IF(LEN(IF(OR(NOT(ISNUMBER(B414)),LEN(B414)&lt;&gt;8),"UNSPSC vacío, en texto, con varios códigos o sin 8 dígitos; ","")&amp;IF(AND(ISNUMBER(B414),LEN(B414)=8),IF(MOD(B414,10000)=0,"UNSPSC a nivel de segmento o familia; ",""),"")&amp;IF(NOT(ISNUMBER(E414)),"Duración vacía o en texto; ","")&amp;IF(NOT(ISNUMBER(G414)),"Valor vacío o en texto; ","")&amp;IF(ISNUMBER(M414),IF(M414&lt;1000000,"Valor inferior a $1.000.000: verificar; ",""),"Valor no interpretable; ")&amp;IF(N414="[PENDIENTE DE VERIFICAR]","Modalidad no identificable; ","")&amp;IF(OR(ISERROR(SEARCH("@itc.edu.co",J414)),SUMPRODUCT(--ISNUMBER(SEARCH({"á","é","í","ó","ú","ñ"},J414)))&gt;0),"Correo vacío o no institucional válido; ","")&amp;IF(LEN(TRIM(D414))=0,"Sin objeto contractual; ","")&amp;IF(AND(ISNUMBER(M414),N414="Mínima cuantía"),IF(M414&gt;39850000,"Mínima cuantía con valor superior al tope citado en el instructivo 2026 ($39.850.000): verificar modalidad; ",""),"")&amp;IF(AND(ISNUMBER(M414),OR(ISNUMBER(SEARCH("prestación de servicios",D414)),ISNUMBER(SEARCH("prestar servicios",D414)),ISNUMBER(SEARCH("prestar los servicios",D414)))),IF(M414&gt;=500000000,"Prestación de servicios por $500 millones o más: posible error de digitación; ",""),""))=0,"Sin observaciones",IF(OR(NOT(ISNUMBER(B414)),LEN(B414)&lt;&gt;8),"UNSPSC vacío, en texto, con varios códigos o sin 8 dígitos; ","")&amp;IF(AND(ISNUMBER(B414),LEN(B414)=8),IF(MOD(B414,10000)=0,"UNSPSC a nivel de segmento o familia; ",""),"")&amp;IF(NOT(ISNUMBER(E414)),"Duración vacía o en texto; ","")&amp;IF(NOT(ISNUMBER(G414)),"Valor vacío o en texto; ","")&amp;IF(ISNUMBER(M414),IF(M414&lt;1000000,"Valor inferior a $1.000.000: verificar; ",""),"Valor no interpretable; ")&amp;IF(N414="[PENDIENTE DE VERIFICAR]","Modalidad no identificable; ","")&amp;IF(OR(ISERROR(SEARCH("@itc.edu.co",J414)),SUMPRODUCT(--ISNUMBER(SEARCH({"á","é","í","ó","ú","ñ"},J414)))&gt;0),"Correo vacío o no institucional válido; ","")&amp;IF(LEN(TRIM(D414))=0,"Sin objeto contractual; ","")&amp;IF(AND(ISNUMBER(M414),N414="Mínima cuantía"),IF(M414&gt;39850000,"Mínima cuantía con valor superior al tope citado en el instructivo 2026 ($39.850.000): verificar modalidad; ",""),"")&amp;IF(AND(ISNUMBER(M414),OR(ISNUMBER(SEARCH("prestación de servicios",D414)),ISNUMBER(SEARCH("prestar servicios",D414)),ISNUMBER(SEARCH("prestar los servicios",D414)))),IF(M414&gt;=500000000,"Prestación de servicios por $500 millones o más: posible error de digitación; ",""),""))</f>
        <v xml:space="preserve">Valor vacío o en texto; </v>
      </c>
    </row>
    <row r="415" spans="1:15" ht="34.200000000000003" x14ac:dyDescent="0.3">
      <c r="A415" s="15" t="s">
        <v>1811</v>
      </c>
      <c r="B415" s="15">
        <v>81112307</v>
      </c>
      <c r="C415" s="15" t="s">
        <v>344</v>
      </c>
      <c r="D415" s="15" t="s">
        <v>1812</v>
      </c>
      <c r="E415" s="15">
        <v>1</v>
      </c>
      <c r="F415" s="15" t="s">
        <v>1813</v>
      </c>
      <c r="G415" s="29" t="s">
        <v>1814</v>
      </c>
      <c r="H415" s="15" t="s">
        <v>1799</v>
      </c>
      <c r="I415" s="15" t="s">
        <v>1701</v>
      </c>
      <c r="J415" s="15" t="s">
        <v>1026</v>
      </c>
      <c r="K415" s="15"/>
      <c r="L415" s="30" t="s">
        <v>841</v>
      </c>
      <c r="M415" s="31">
        <v>70000000</v>
      </c>
      <c r="N415" s="30" t="s">
        <v>792</v>
      </c>
      <c r="O415" s="30" t="str">
        <f>IF(LEN(IF(OR(NOT(ISNUMBER(B415)),LEN(B415)&lt;&gt;8),"UNSPSC vacío, en texto, con varios códigos o sin 8 dígitos; ","")&amp;IF(AND(ISNUMBER(B415),LEN(B415)=8),IF(MOD(B415,10000)=0,"UNSPSC a nivel de segmento o familia; ",""),"")&amp;IF(NOT(ISNUMBER(E415)),"Duración vacía o en texto; ","")&amp;IF(NOT(ISNUMBER(G415)),"Valor vacío o en texto; ","")&amp;IF(ISNUMBER(M415),IF(M415&lt;1000000,"Valor inferior a $1.000.000: verificar; ",""),"Valor no interpretable; ")&amp;IF(N415="[PENDIENTE DE VERIFICAR]","Modalidad no identificable; ","")&amp;IF(OR(ISERROR(SEARCH("@itc.edu.co",J415)),SUMPRODUCT(--ISNUMBER(SEARCH({"á","é","í","ó","ú","ñ"},J415)))&gt;0),"Correo vacío o no institucional válido; ","")&amp;IF(LEN(TRIM(D415))=0,"Sin objeto contractual; ","")&amp;IF(AND(ISNUMBER(M415),N415="Mínima cuantía"),IF(M415&gt;39850000,"Mínima cuantía con valor superior al tope citado en el instructivo 2026 ($39.850.000): verificar modalidad; ",""),"")&amp;IF(AND(ISNUMBER(M415),OR(ISNUMBER(SEARCH("prestación de servicios",D415)),ISNUMBER(SEARCH("prestar servicios",D415)),ISNUMBER(SEARCH("prestar los servicios",D415)))),IF(M415&gt;=500000000,"Prestación de servicios por $500 millones o más: posible error de digitación; ",""),""))=0,"Sin observaciones",IF(OR(NOT(ISNUMBER(B415)),LEN(B415)&lt;&gt;8),"UNSPSC vacío, en texto, con varios códigos o sin 8 dígitos; ","")&amp;IF(AND(ISNUMBER(B415),LEN(B415)=8),IF(MOD(B415,10000)=0,"UNSPSC a nivel de segmento o familia; ",""),"")&amp;IF(NOT(ISNUMBER(E415)),"Duración vacía o en texto; ","")&amp;IF(NOT(ISNUMBER(G415)),"Valor vacío o en texto; ","")&amp;IF(ISNUMBER(M415),IF(M415&lt;1000000,"Valor inferior a $1.000.000: verificar; ",""),"Valor no interpretable; ")&amp;IF(N415="[PENDIENTE DE VERIFICAR]","Modalidad no identificable; ","")&amp;IF(OR(ISERROR(SEARCH("@itc.edu.co",J415)),SUMPRODUCT(--ISNUMBER(SEARCH({"á","é","í","ó","ú","ñ"},J415)))&gt;0),"Correo vacío o no institucional válido; ","")&amp;IF(LEN(TRIM(D415))=0,"Sin objeto contractual; ","")&amp;IF(AND(ISNUMBER(M415),N415="Mínima cuantía"),IF(M415&gt;39850000,"Mínima cuantía con valor superior al tope citado en el instructivo 2026 ($39.850.000): verificar modalidad; ",""),"")&amp;IF(AND(ISNUMBER(M415),OR(ISNUMBER(SEARCH("prestación de servicios",D415)),ISNUMBER(SEARCH("prestar servicios",D415)),ISNUMBER(SEARCH("prestar los servicios",D415)))),IF(M415&gt;=500000000,"Prestación de servicios por $500 millones o más: posible error de digitación; ",""),""))</f>
        <v xml:space="preserve">Valor vacío o en texto; Mínima cuantía con valor superior al tope citado en el instructivo 2026 ($39.850.000): verificar modalidad; </v>
      </c>
    </row>
    <row r="416" spans="1:15" ht="22.8" x14ac:dyDescent="0.3">
      <c r="A416" s="15" t="s">
        <v>1815</v>
      </c>
      <c r="B416" s="15">
        <v>81112307</v>
      </c>
      <c r="C416" s="15" t="s">
        <v>344</v>
      </c>
      <c r="D416" s="15" t="s">
        <v>1816</v>
      </c>
      <c r="E416" s="15">
        <v>1</v>
      </c>
      <c r="F416" s="15" t="s">
        <v>1763</v>
      </c>
      <c r="G416" s="29" t="s">
        <v>1817</v>
      </c>
      <c r="H416" s="15" t="s">
        <v>1818</v>
      </c>
      <c r="I416" s="15" t="s">
        <v>1701</v>
      </c>
      <c r="J416" s="15" t="s">
        <v>1026</v>
      </c>
      <c r="K416" s="15"/>
      <c r="L416" s="30" t="s">
        <v>841</v>
      </c>
      <c r="M416" s="31">
        <v>350000000</v>
      </c>
      <c r="N416" s="30" t="s">
        <v>796</v>
      </c>
      <c r="O416" s="30" t="str">
        <f>IF(LEN(IF(OR(NOT(ISNUMBER(B416)),LEN(B416)&lt;&gt;8),"UNSPSC vacío, en texto, con varios códigos o sin 8 dígitos; ","")&amp;IF(AND(ISNUMBER(B416),LEN(B416)=8),IF(MOD(B416,10000)=0,"UNSPSC a nivel de segmento o familia; ",""),"")&amp;IF(NOT(ISNUMBER(E416)),"Duración vacía o en texto; ","")&amp;IF(NOT(ISNUMBER(G416)),"Valor vacío o en texto; ","")&amp;IF(ISNUMBER(M416),IF(M416&lt;1000000,"Valor inferior a $1.000.000: verificar; ",""),"Valor no interpretable; ")&amp;IF(N416="[PENDIENTE DE VERIFICAR]","Modalidad no identificable; ","")&amp;IF(OR(ISERROR(SEARCH("@itc.edu.co",J416)),SUMPRODUCT(--ISNUMBER(SEARCH({"á","é","í","ó","ú","ñ"},J416)))&gt;0),"Correo vacío o no institucional válido; ","")&amp;IF(LEN(TRIM(D416))=0,"Sin objeto contractual; ","")&amp;IF(AND(ISNUMBER(M416),N416="Mínima cuantía"),IF(M416&gt;39850000,"Mínima cuantía con valor superior al tope citado en el instructivo 2026 ($39.850.000): verificar modalidad; ",""),"")&amp;IF(AND(ISNUMBER(M416),OR(ISNUMBER(SEARCH("prestación de servicios",D416)),ISNUMBER(SEARCH("prestar servicios",D416)),ISNUMBER(SEARCH("prestar los servicios",D416)))),IF(M416&gt;=500000000,"Prestación de servicios por $500 millones o más: posible error de digitación; ",""),""))=0,"Sin observaciones",IF(OR(NOT(ISNUMBER(B416)),LEN(B416)&lt;&gt;8),"UNSPSC vacío, en texto, con varios códigos o sin 8 dígitos; ","")&amp;IF(AND(ISNUMBER(B416),LEN(B416)=8),IF(MOD(B416,10000)=0,"UNSPSC a nivel de segmento o familia; ",""),"")&amp;IF(NOT(ISNUMBER(E416)),"Duración vacía o en texto; ","")&amp;IF(NOT(ISNUMBER(G416)),"Valor vacío o en texto; ","")&amp;IF(ISNUMBER(M416),IF(M416&lt;1000000,"Valor inferior a $1.000.000: verificar; ",""),"Valor no interpretable; ")&amp;IF(N416="[PENDIENTE DE VERIFICAR]","Modalidad no identificable; ","")&amp;IF(OR(ISERROR(SEARCH("@itc.edu.co",J416)),SUMPRODUCT(--ISNUMBER(SEARCH({"á","é","í","ó","ú","ñ"},J416)))&gt;0),"Correo vacío o no institucional válido; ","")&amp;IF(LEN(TRIM(D416))=0,"Sin objeto contractual; ","")&amp;IF(AND(ISNUMBER(M416),N416="Mínima cuantía"),IF(M416&gt;39850000,"Mínima cuantía con valor superior al tope citado en el instructivo 2026 ($39.850.000): verificar modalidad; ",""),"")&amp;IF(AND(ISNUMBER(M416),OR(ISNUMBER(SEARCH("prestación de servicios",D416)),ISNUMBER(SEARCH("prestar servicios",D416)),ISNUMBER(SEARCH("prestar los servicios",D416)))),IF(M416&gt;=500000000,"Prestación de servicios por $500 millones o más: posible error de digitación; ",""),""))</f>
        <v xml:space="preserve">Valor vacío o en texto; </v>
      </c>
    </row>
    <row r="417" spans="1:15" ht="34.200000000000003" x14ac:dyDescent="0.3">
      <c r="A417" s="15" t="s">
        <v>1819</v>
      </c>
      <c r="B417" s="15">
        <v>81112210</v>
      </c>
      <c r="C417" s="15" t="s">
        <v>344</v>
      </c>
      <c r="D417" s="15" t="s">
        <v>1820</v>
      </c>
      <c r="E417" s="15">
        <v>1</v>
      </c>
      <c r="F417" s="15" t="s">
        <v>1813</v>
      </c>
      <c r="G417" s="29" t="s">
        <v>1821</v>
      </c>
      <c r="H417" s="15" t="s">
        <v>1781</v>
      </c>
      <c r="I417" s="15" t="s">
        <v>1701</v>
      </c>
      <c r="J417" s="15" t="s">
        <v>1026</v>
      </c>
      <c r="K417" s="15"/>
      <c r="L417" s="30" t="s">
        <v>841</v>
      </c>
      <c r="M417" s="31">
        <v>60000000</v>
      </c>
      <c r="N417" s="30" t="s">
        <v>792</v>
      </c>
      <c r="O417" s="30" t="str">
        <f>IF(LEN(IF(OR(NOT(ISNUMBER(B417)),LEN(B417)&lt;&gt;8),"UNSPSC vacío, en texto, con varios códigos o sin 8 dígitos; ","")&amp;IF(AND(ISNUMBER(B417),LEN(B417)=8),IF(MOD(B417,10000)=0,"UNSPSC a nivel de segmento o familia; ",""),"")&amp;IF(NOT(ISNUMBER(E417)),"Duración vacía o en texto; ","")&amp;IF(NOT(ISNUMBER(G417)),"Valor vacío o en texto; ","")&amp;IF(ISNUMBER(M417),IF(M417&lt;1000000,"Valor inferior a $1.000.000: verificar; ",""),"Valor no interpretable; ")&amp;IF(N417="[PENDIENTE DE VERIFICAR]","Modalidad no identificable; ","")&amp;IF(OR(ISERROR(SEARCH("@itc.edu.co",J417)),SUMPRODUCT(--ISNUMBER(SEARCH({"á","é","í","ó","ú","ñ"},J417)))&gt;0),"Correo vacío o no institucional válido; ","")&amp;IF(LEN(TRIM(D417))=0,"Sin objeto contractual; ","")&amp;IF(AND(ISNUMBER(M417),N417="Mínima cuantía"),IF(M417&gt;39850000,"Mínima cuantía con valor superior al tope citado en el instructivo 2026 ($39.850.000): verificar modalidad; ",""),"")&amp;IF(AND(ISNUMBER(M417),OR(ISNUMBER(SEARCH("prestación de servicios",D417)),ISNUMBER(SEARCH("prestar servicios",D417)),ISNUMBER(SEARCH("prestar los servicios",D417)))),IF(M417&gt;=500000000,"Prestación de servicios por $500 millones o más: posible error de digitación; ",""),""))=0,"Sin observaciones",IF(OR(NOT(ISNUMBER(B417)),LEN(B417)&lt;&gt;8),"UNSPSC vacío, en texto, con varios códigos o sin 8 dígitos; ","")&amp;IF(AND(ISNUMBER(B417),LEN(B417)=8),IF(MOD(B417,10000)=0,"UNSPSC a nivel de segmento o familia; ",""),"")&amp;IF(NOT(ISNUMBER(E417)),"Duración vacía o en texto; ","")&amp;IF(NOT(ISNUMBER(G417)),"Valor vacío o en texto; ","")&amp;IF(ISNUMBER(M417),IF(M417&lt;1000000,"Valor inferior a $1.000.000: verificar; ",""),"Valor no interpretable; ")&amp;IF(N417="[PENDIENTE DE VERIFICAR]","Modalidad no identificable; ","")&amp;IF(OR(ISERROR(SEARCH("@itc.edu.co",J417)),SUMPRODUCT(--ISNUMBER(SEARCH({"á","é","í","ó","ú","ñ"},J417)))&gt;0),"Correo vacío o no institucional válido; ","")&amp;IF(LEN(TRIM(D417))=0,"Sin objeto contractual; ","")&amp;IF(AND(ISNUMBER(M417),N417="Mínima cuantía"),IF(M417&gt;39850000,"Mínima cuantía con valor superior al tope citado en el instructivo 2026 ($39.850.000): verificar modalidad; ",""),"")&amp;IF(AND(ISNUMBER(M417),OR(ISNUMBER(SEARCH("prestación de servicios",D417)),ISNUMBER(SEARCH("prestar servicios",D417)),ISNUMBER(SEARCH("prestar los servicios",D417)))),IF(M417&gt;=500000000,"Prestación de servicios por $500 millones o más: posible error de digitación; ",""),""))</f>
        <v xml:space="preserve">Valor vacío o en texto; Mínima cuantía con valor superior al tope citado en el instructivo 2026 ($39.850.000): verificar modalidad; </v>
      </c>
    </row>
    <row r="418" spans="1:15" ht="22.8" x14ac:dyDescent="0.3">
      <c r="A418" s="15" t="s">
        <v>1822</v>
      </c>
      <c r="B418" s="15">
        <v>81112307</v>
      </c>
      <c r="C418" s="15" t="s">
        <v>344</v>
      </c>
      <c r="D418" s="15" t="s">
        <v>1823</v>
      </c>
      <c r="E418" s="15">
        <v>1</v>
      </c>
      <c r="F418" s="15" t="s">
        <v>1763</v>
      </c>
      <c r="G418" s="29" t="s">
        <v>1824</v>
      </c>
      <c r="H418" s="15" t="s">
        <v>1799</v>
      </c>
      <c r="I418" s="15" t="s">
        <v>1701</v>
      </c>
      <c r="J418" s="15" t="s">
        <v>1026</v>
      </c>
      <c r="K418" s="15"/>
      <c r="L418" s="30" t="s">
        <v>841</v>
      </c>
      <c r="M418" s="31">
        <v>1670000000</v>
      </c>
      <c r="N418" s="30" t="s">
        <v>796</v>
      </c>
      <c r="O418" s="30" t="str">
        <f>IF(LEN(IF(OR(NOT(ISNUMBER(B418)),LEN(B418)&lt;&gt;8),"UNSPSC vacío, en texto, con varios códigos o sin 8 dígitos; ","")&amp;IF(AND(ISNUMBER(B418),LEN(B418)=8),IF(MOD(B418,10000)=0,"UNSPSC a nivel de segmento o familia; ",""),"")&amp;IF(NOT(ISNUMBER(E418)),"Duración vacía o en texto; ","")&amp;IF(NOT(ISNUMBER(G418)),"Valor vacío o en texto; ","")&amp;IF(ISNUMBER(M418),IF(M418&lt;1000000,"Valor inferior a $1.000.000: verificar; ",""),"Valor no interpretable; ")&amp;IF(N418="[PENDIENTE DE VERIFICAR]","Modalidad no identificable; ","")&amp;IF(OR(ISERROR(SEARCH("@itc.edu.co",J418)),SUMPRODUCT(--ISNUMBER(SEARCH({"á","é","í","ó","ú","ñ"},J418)))&gt;0),"Correo vacío o no institucional válido; ","")&amp;IF(LEN(TRIM(D418))=0,"Sin objeto contractual; ","")&amp;IF(AND(ISNUMBER(M418),N418="Mínima cuantía"),IF(M418&gt;39850000,"Mínima cuantía con valor superior al tope citado en el instructivo 2026 ($39.850.000): verificar modalidad; ",""),"")&amp;IF(AND(ISNUMBER(M418),OR(ISNUMBER(SEARCH("prestación de servicios",D418)),ISNUMBER(SEARCH("prestar servicios",D418)),ISNUMBER(SEARCH("prestar los servicios",D418)))),IF(M418&gt;=500000000,"Prestación de servicios por $500 millones o más: posible error de digitación; ",""),""))=0,"Sin observaciones",IF(OR(NOT(ISNUMBER(B418)),LEN(B418)&lt;&gt;8),"UNSPSC vacío, en texto, con varios códigos o sin 8 dígitos; ","")&amp;IF(AND(ISNUMBER(B418),LEN(B418)=8),IF(MOD(B418,10000)=0,"UNSPSC a nivel de segmento o familia; ",""),"")&amp;IF(NOT(ISNUMBER(E418)),"Duración vacía o en texto; ","")&amp;IF(NOT(ISNUMBER(G418)),"Valor vacío o en texto; ","")&amp;IF(ISNUMBER(M418),IF(M418&lt;1000000,"Valor inferior a $1.000.000: verificar; ",""),"Valor no interpretable; ")&amp;IF(N418="[PENDIENTE DE VERIFICAR]","Modalidad no identificable; ","")&amp;IF(OR(ISERROR(SEARCH("@itc.edu.co",J418)),SUMPRODUCT(--ISNUMBER(SEARCH({"á","é","í","ó","ú","ñ"},J418)))&gt;0),"Correo vacío o no institucional válido; ","")&amp;IF(LEN(TRIM(D418))=0,"Sin objeto contractual; ","")&amp;IF(AND(ISNUMBER(M418),N418="Mínima cuantía"),IF(M418&gt;39850000,"Mínima cuantía con valor superior al tope citado en el instructivo 2026 ($39.850.000): verificar modalidad; ",""),"")&amp;IF(AND(ISNUMBER(M418),OR(ISNUMBER(SEARCH("prestación de servicios",D418)),ISNUMBER(SEARCH("prestar servicios",D418)),ISNUMBER(SEARCH("prestar los servicios",D418)))),IF(M418&gt;=500000000,"Prestación de servicios por $500 millones o más: posible error de digitación; ",""),""))</f>
        <v xml:space="preserve">Valor vacío o en texto; </v>
      </c>
    </row>
    <row r="419" spans="1:15" ht="22.8" x14ac:dyDescent="0.3">
      <c r="A419" s="15" t="s">
        <v>1825</v>
      </c>
      <c r="B419" s="15">
        <v>81112307</v>
      </c>
      <c r="C419" s="15" t="s">
        <v>344</v>
      </c>
      <c r="D419" s="15" t="s">
        <v>1826</v>
      </c>
      <c r="E419" s="15">
        <v>1</v>
      </c>
      <c r="F419" s="15" t="s">
        <v>1763</v>
      </c>
      <c r="G419" s="29" t="s">
        <v>1827</v>
      </c>
      <c r="H419" s="15" t="s">
        <v>1799</v>
      </c>
      <c r="I419" s="15" t="s">
        <v>1701</v>
      </c>
      <c r="J419" s="15" t="s">
        <v>1026</v>
      </c>
      <c r="K419" s="15"/>
      <c r="L419" s="30" t="s">
        <v>841</v>
      </c>
      <c r="M419" s="31">
        <v>150000000</v>
      </c>
      <c r="N419" s="30" t="s">
        <v>796</v>
      </c>
      <c r="O419" s="30" t="str">
        <f>IF(LEN(IF(OR(NOT(ISNUMBER(B419)),LEN(B419)&lt;&gt;8),"UNSPSC vacío, en texto, con varios códigos o sin 8 dígitos; ","")&amp;IF(AND(ISNUMBER(B419),LEN(B419)=8),IF(MOD(B419,10000)=0,"UNSPSC a nivel de segmento o familia; ",""),"")&amp;IF(NOT(ISNUMBER(E419)),"Duración vacía o en texto; ","")&amp;IF(NOT(ISNUMBER(G419)),"Valor vacío o en texto; ","")&amp;IF(ISNUMBER(M419),IF(M419&lt;1000000,"Valor inferior a $1.000.000: verificar; ",""),"Valor no interpretable; ")&amp;IF(N419="[PENDIENTE DE VERIFICAR]","Modalidad no identificable; ","")&amp;IF(OR(ISERROR(SEARCH("@itc.edu.co",J419)),SUMPRODUCT(--ISNUMBER(SEARCH({"á","é","í","ó","ú","ñ"},J419)))&gt;0),"Correo vacío o no institucional válido; ","")&amp;IF(LEN(TRIM(D419))=0,"Sin objeto contractual; ","")&amp;IF(AND(ISNUMBER(M419),N419="Mínima cuantía"),IF(M419&gt;39850000,"Mínima cuantía con valor superior al tope citado en el instructivo 2026 ($39.850.000): verificar modalidad; ",""),"")&amp;IF(AND(ISNUMBER(M419),OR(ISNUMBER(SEARCH("prestación de servicios",D419)),ISNUMBER(SEARCH("prestar servicios",D419)),ISNUMBER(SEARCH("prestar los servicios",D419)))),IF(M419&gt;=500000000,"Prestación de servicios por $500 millones o más: posible error de digitación; ",""),""))=0,"Sin observaciones",IF(OR(NOT(ISNUMBER(B419)),LEN(B419)&lt;&gt;8),"UNSPSC vacío, en texto, con varios códigos o sin 8 dígitos; ","")&amp;IF(AND(ISNUMBER(B419),LEN(B419)=8),IF(MOD(B419,10000)=0,"UNSPSC a nivel de segmento o familia; ",""),"")&amp;IF(NOT(ISNUMBER(E419)),"Duración vacía o en texto; ","")&amp;IF(NOT(ISNUMBER(G419)),"Valor vacío o en texto; ","")&amp;IF(ISNUMBER(M419),IF(M419&lt;1000000,"Valor inferior a $1.000.000: verificar; ",""),"Valor no interpretable; ")&amp;IF(N419="[PENDIENTE DE VERIFICAR]","Modalidad no identificable; ","")&amp;IF(OR(ISERROR(SEARCH("@itc.edu.co",J419)),SUMPRODUCT(--ISNUMBER(SEARCH({"á","é","í","ó","ú","ñ"},J419)))&gt;0),"Correo vacío o no institucional válido; ","")&amp;IF(LEN(TRIM(D419))=0,"Sin objeto contractual; ","")&amp;IF(AND(ISNUMBER(M419),N419="Mínima cuantía"),IF(M419&gt;39850000,"Mínima cuantía con valor superior al tope citado en el instructivo 2026 ($39.850.000): verificar modalidad; ",""),"")&amp;IF(AND(ISNUMBER(M419),OR(ISNUMBER(SEARCH("prestación de servicios",D419)),ISNUMBER(SEARCH("prestar servicios",D419)),ISNUMBER(SEARCH("prestar los servicios",D419)))),IF(M419&gt;=500000000,"Prestación de servicios por $500 millones o más: posible error de digitación; ",""),""))</f>
        <v xml:space="preserve">Valor vacío o en texto; </v>
      </c>
    </row>
    <row r="420" spans="1:15" ht="22.8" x14ac:dyDescent="0.3">
      <c r="A420" s="15" t="s">
        <v>1828</v>
      </c>
      <c r="B420" s="15">
        <v>81112307</v>
      </c>
      <c r="C420" s="15" t="s">
        <v>344</v>
      </c>
      <c r="D420" s="15" t="s">
        <v>1829</v>
      </c>
      <c r="E420" s="15">
        <v>1</v>
      </c>
      <c r="F420" s="15" t="s">
        <v>1763</v>
      </c>
      <c r="G420" s="29" t="s">
        <v>1830</v>
      </c>
      <c r="H420" s="15" t="s">
        <v>1799</v>
      </c>
      <c r="I420" s="15" t="s">
        <v>1701</v>
      </c>
      <c r="J420" s="15" t="s">
        <v>1026</v>
      </c>
      <c r="K420" s="15"/>
      <c r="L420" s="30" t="s">
        <v>841</v>
      </c>
      <c r="M420" s="31">
        <v>650000000</v>
      </c>
      <c r="N420" s="30" t="s">
        <v>796</v>
      </c>
      <c r="O420" s="30" t="str">
        <f>IF(LEN(IF(OR(NOT(ISNUMBER(B420)),LEN(B420)&lt;&gt;8),"UNSPSC vacío, en texto, con varios códigos o sin 8 dígitos; ","")&amp;IF(AND(ISNUMBER(B420),LEN(B420)=8),IF(MOD(B420,10000)=0,"UNSPSC a nivel de segmento o familia; ",""),"")&amp;IF(NOT(ISNUMBER(E420)),"Duración vacía o en texto; ","")&amp;IF(NOT(ISNUMBER(G420)),"Valor vacío o en texto; ","")&amp;IF(ISNUMBER(M420),IF(M420&lt;1000000,"Valor inferior a $1.000.000: verificar; ",""),"Valor no interpretable; ")&amp;IF(N420="[PENDIENTE DE VERIFICAR]","Modalidad no identificable; ","")&amp;IF(OR(ISERROR(SEARCH("@itc.edu.co",J420)),SUMPRODUCT(--ISNUMBER(SEARCH({"á","é","í","ó","ú","ñ"},J420)))&gt;0),"Correo vacío o no institucional válido; ","")&amp;IF(LEN(TRIM(D420))=0,"Sin objeto contractual; ","")&amp;IF(AND(ISNUMBER(M420),N420="Mínima cuantía"),IF(M420&gt;39850000,"Mínima cuantía con valor superior al tope citado en el instructivo 2026 ($39.850.000): verificar modalidad; ",""),"")&amp;IF(AND(ISNUMBER(M420),OR(ISNUMBER(SEARCH("prestación de servicios",D420)),ISNUMBER(SEARCH("prestar servicios",D420)),ISNUMBER(SEARCH("prestar los servicios",D420)))),IF(M420&gt;=500000000,"Prestación de servicios por $500 millones o más: posible error de digitación; ",""),""))=0,"Sin observaciones",IF(OR(NOT(ISNUMBER(B420)),LEN(B420)&lt;&gt;8),"UNSPSC vacío, en texto, con varios códigos o sin 8 dígitos; ","")&amp;IF(AND(ISNUMBER(B420),LEN(B420)=8),IF(MOD(B420,10000)=0,"UNSPSC a nivel de segmento o familia; ",""),"")&amp;IF(NOT(ISNUMBER(E420)),"Duración vacía o en texto; ","")&amp;IF(NOT(ISNUMBER(G420)),"Valor vacío o en texto; ","")&amp;IF(ISNUMBER(M420),IF(M420&lt;1000000,"Valor inferior a $1.000.000: verificar; ",""),"Valor no interpretable; ")&amp;IF(N420="[PENDIENTE DE VERIFICAR]","Modalidad no identificable; ","")&amp;IF(OR(ISERROR(SEARCH("@itc.edu.co",J420)),SUMPRODUCT(--ISNUMBER(SEARCH({"á","é","í","ó","ú","ñ"},J420)))&gt;0),"Correo vacío o no institucional válido; ","")&amp;IF(LEN(TRIM(D420))=0,"Sin objeto contractual; ","")&amp;IF(AND(ISNUMBER(M420),N420="Mínima cuantía"),IF(M420&gt;39850000,"Mínima cuantía con valor superior al tope citado en el instructivo 2026 ($39.850.000): verificar modalidad; ",""),"")&amp;IF(AND(ISNUMBER(M420),OR(ISNUMBER(SEARCH("prestación de servicios",D420)),ISNUMBER(SEARCH("prestar servicios",D420)),ISNUMBER(SEARCH("prestar los servicios",D420)))),IF(M420&gt;=500000000,"Prestación de servicios por $500 millones o más: posible error de digitación; ",""),""))</f>
        <v xml:space="preserve">Valor vacío o en texto; </v>
      </c>
    </row>
    <row r="421" spans="1:15" ht="22.8" x14ac:dyDescent="0.3">
      <c r="A421" s="15" t="s">
        <v>1831</v>
      </c>
      <c r="B421" s="15">
        <v>81112307</v>
      </c>
      <c r="C421" s="15" t="s">
        <v>344</v>
      </c>
      <c r="D421" s="15" t="s">
        <v>1832</v>
      </c>
      <c r="E421" s="15">
        <v>1</v>
      </c>
      <c r="F421" s="15" t="s">
        <v>1763</v>
      </c>
      <c r="G421" s="29" t="s">
        <v>1830</v>
      </c>
      <c r="H421" s="15" t="s">
        <v>1799</v>
      </c>
      <c r="I421" s="15" t="s">
        <v>1701</v>
      </c>
      <c r="J421" s="15" t="s">
        <v>1026</v>
      </c>
      <c r="K421" s="15"/>
      <c r="L421" s="30" t="s">
        <v>841</v>
      </c>
      <c r="M421" s="31">
        <v>650000000</v>
      </c>
      <c r="N421" s="30" t="s">
        <v>796</v>
      </c>
      <c r="O421" s="30" t="str">
        <f>IF(LEN(IF(OR(NOT(ISNUMBER(B421)),LEN(B421)&lt;&gt;8),"UNSPSC vacío, en texto, con varios códigos o sin 8 dígitos; ","")&amp;IF(AND(ISNUMBER(B421),LEN(B421)=8),IF(MOD(B421,10000)=0,"UNSPSC a nivel de segmento o familia; ",""),"")&amp;IF(NOT(ISNUMBER(E421)),"Duración vacía o en texto; ","")&amp;IF(NOT(ISNUMBER(G421)),"Valor vacío o en texto; ","")&amp;IF(ISNUMBER(M421),IF(M421&lt;1000000,"Valor inferior a $1.000.000: verificar; ",""),"Valor no interpretable; ")&amp;IF(N421="[PENDIENTE DE VERIFICAR]","Modalidad no identificable; ","")&amp;IF(OR(ISERROR(SEARCH("@itc.edu.co",J421)),SUMPRODUCT(--ISNUMBER(SEARCH({"á","é","í","ó","ú","ñ"},J421)))&gt;0),"Correo vacío o no institucional válido; ","")&amp;IF(LEN(TRIM(D421))=0,"Sin objeto contractual; ","")&amp;IF(AND(ISNUMBER(M421),N421="Mínima cuantía"),IF(M421&gt;39850000,"Mínima cuantía con valor superior al tope citado en el instructivo 2026 ($39.850.000): verificar modalidad; ",""),"")&amp;IF(AND(ISNUMBER(M421),OR(ISNUMBER(SEARCH("prestación de servicios",D421)),ISNUMBER(SEARCH("prestar servicios",D421)),ISNUMBER(SEARCH("prestar los servicios",D421)))),IF(M421&gt;=500000000,"Prestación de servicios por $500 millones o más: posible error de digitación; ",""),""))=0,"Sin observaciones",IF(OR(NOT(ISNUMBER(B421)),LEN(B421)&lt;&gt;8),"UNSPSC vacío, en texto, con varios códigos o sin 8 dígitos; ","")&amp;IF(AND(ISNUMBER(B421),LEN(B421)=8),IF(MOD(B421,10000)=0,"UNSPSC a nivel de segmento o familia; ",""),"")&amp;IF(NOT(ISNUMBER(E421)),"Duración vacía o en texto; ","")&amp;IF(NOT(ISNUMBER(G421)),"Valor vacío o en texto; ","")&amp;IF(ISNUMBER(M421),IF(M421&lt;1000000,"Valor inferior a $1.000.000: verificar; ",""),"Valor no interpretable; ")&amp;IF(N421="[PENDIENTE DE VERIFICAR]","Modalidad no identificable; ","")&amp;IF(OR(ISERROR(SEARCH("@itc.edu.co",J421)),SUMPRODUCT(--ISNUMBER(SEARCH({"á","é","í","ó","ú","ñ"},J421)))&gt;0),"Correo vacío o no institucional válido; ","")&amp;IF(LEN(TRIM(D421))=0,"Sin objeto contractual; ","")&amp;IF(AND(ISNUMBER(M421),N421="Mínima cuantía"),IF(M421&gt;39850000,"Mínima cuantía con valor superior al tope citado en el instructivo 2026 ($39.850.000): verificar modalidad; ",""),"")&amp;IF(AND(ISNUMBER(M421),OR(ISNUMBER(SEARCH("prestación de servicios",D421)),ISNUMBER(SEARCH("prestar servicios",D421)),ISNUMBER(SEARCH("prestar los servicios",D421)))),IF(M421&gt;=500000000,"Prestación de servicios por $500 millones o más: posible error de digitación; ",""),""))</f>
        <v xml:space="preserve">Valor vacío o en texto; </v>
      </c>
    </row>
    <row r="422" spans="1:15" ht="22.8" x14ac:dyDescent="0.3">
      <c r="A422" s="15" t="s">
        <v>1833</v>
      </c>
      <c r="B422" s="15">
        <v>81112307</v>
      </c>
      <c r="C422" s="15" t="s">
        <v>344</v>
      </c>
      <c r="D422" s="15" t="s">
        <v>1834</v>
      </c>
      <c r="E422" s="15">
        <v>1</v>
      </c>
      <c r="F422" s="15" t="s">
        <v>1728</v>
      </c>
      <c r="G422" s="29" t="s">
        <v>1835</v>
      </c>
      <c r="H422" s="15" t="s">
        <v>1799</v>
      </c>
      <c r="I422" s="15" t="s">
        <v>1701</v>
      </c>
      <c r="J422" s="15" t="s">
        <v>1026</v>
      </c>
      <c r="K422" s="15"/>
      <c r="L422" s="30" t="s">
        <v>841</v>
      </c>
      <c r="M422" s="31">
        <v>35000000</v>
      </c>
      <c r="N422" s="30" t="s">
        <v>792</v>
      </c>
      <c r="O422" s="30" t="str">
        <f>IF(LEN(IF(OR(NOT(ISNUMBER(B422)),LEN(B422)&lt;&gt;8),"UNSPSC vacío, en texto, con varios códigos o sin 8 dígitos; ","")&amp;IF(AND(ISNUMBER(B422),LEN(B422)=8),IF(MOD(B422,10000)=0,"UNSPSC a nivel de segmento o familia; ",""),"")&amp;IF(NOT(ISNUMBER(E422)),"Duración vacía o en texto; ","")&amp;IF(NOT(ISNUMBER(G422)),"Valor vacío o en texto; ","")&amp;IF(ISNUMBER(M422),IF(M422&lt;1000000,"Valor inferior a $1.000.000: verificar; ",""),"Valor no interpretable; ")&amp;IF(N422="[PENDIENTE DE VERIFICAR]","Modalidad no identificable; ","")&amp;IF(OR(ISERROR(SEARCH("@itc.edu.co",J422)),SUMPRODUCT(--ISNUMBER(SEARCH({"á","é","í","ó","ú","ñ"},J422)))&gt;0),"Correo vacío o no institucional válido; ","")&amp;IF(LEN(TRIM(D422))=0,"Sin objeto contractual; ","")&amp;IF(AND(ISNUMBER(M422),N422="Mínima cuantía"),IF(M422&gt;39850000,"Mínima cuantía con valor superior al tope citado en el instructivo 2026 ($39.850.000): verificar modalidad; ",""),"")&amp;IF(AND(ISNUMBER(M422),OR(ISNUMBER(SEARCH("prestación de servicios",D422)),ISNUMBER(SEARCH("prestar servicios",D422)),ISNUMBER(SEARCH("prestar los servicios",D422)))),IF(M422&gt;=500000000,"Prestación de servicios por $500 millones o más: posible error de digitación; ",""),""))=0,"Sin observaciones",IF(OR(NOT(ISNUMBER(B422)),LEN(B422)&lt;&gt;8),"UNSPSC vacío, en texto, con varios códigos o sin 8 dígitos; ","")&amp;IF(AND(ISNUMBER(B422),LEN(B422)=8),IF(MOD(B422,10000)=0,"UNSPSC a nivel de segmento o familia; ",""),"")&amp;IF(NOT(ISNUMBER(E422)),"Duración vacía o en texto; ","")&amp;IF(NOT(ISNUMBER(G422)),"Valor vacío o en texto; ","")&amp;IF(ISNUMBER(M422),IF(M422&lt;1000000,"Valor inferior a $1.000.000: verificar; ",""),"Valor no interpretable; ")&amp;IF(N422="[PENDIENTE DE VERIFICAR]","Modalidad no identificable; ","")&amp;IF(OR(ISERROR(SEARCH("@itc.edu.co",J422)),SUMPRODUCT(--ISNUMBER(SEARCH({"á","é","í","ó","ú","ñ"},J422)))&gt;0),"Correo vacío o no institucional válido; ","")&amp;IF(LEN(TRIM(D422))=0,"Sin objeto contractual; ","")&amp;IF(AND(ISNUMBER(M422),N422="Mínima cuantía"),IF(M422&gt;39850000,"Mínima cuantía con valor superior al tope citado en el instructivo 2026 ($39.850.000): verificar modalidad; ",""),"")&amp;IF(AND(ISNUMBER(M422),OR(ISNUMBER(SEARCH("prestación de servicios",D422)),ISNUMBER(SEARCH("prestar servicios",D422)),ISNUMBER(SEARCH("prestar los servicios",D422)))),IF(M422&gt;=500000000,"Prestación de servicios por $500 millones o más: posible error de digitación; ",""),""))</f>
        <v xml:space="preserve">Valor vacío o en texto; </v>
      </c>
    </row>
    <row r="423" spans="1:15" ht="34.200000000000003" x14ac:dyDescent="0.3">
      <c r="A423" s="15" t="s">
        <v>1836</v>
      </c>
      <c r="B423" s="15">
        <v>81112307</v>
      </c>
      <c r="C423" s="15" t="s">
        <v>344</v>
      </c>
      <c r="D423" s="15" t="s">
        <v>1837</v>
      </c>
      <c r="E423" s="15">
        <v>1</v>
      </c>
      <c r="F423" s="15" t="s">
        <v>1728</v>
      </c>
      <c r="G423" s="29" t="s">
        <v>1838</v>
      </c>
      <c r="H423" s="15" t="s">
        <v>1799</v>
      </c>
      <c r="I423" s="15" t="s">
        <v>1701</v>
      </c>
      <c r="J423" s="15" t="s">
        <v>1026</v>
      </c>
      <c r="K423" s="15"/>
      <c r="L423" s="30" t="s">
        <v>841</v>
      </c>
      <c r="M423" s="31">
        <v>150000000</v>
      </c>
      <c r="N423" s="30" t="s">
        <v>792</v>
      </c>
      <c r="O423" s="30" t="str">
        <f>IF(LEN(IF(OR(NOT(ISNUMBER(B423)),LEN(B423)&lt;&gt;8),"UNSPSC vacío, en texto, con varios códigos o sin 8 dígitos; ","")&amp;IF(AND(ISNUMBER(B423),LEN(B423)=8),IF(MOD(B423,10000)=0,"UNSPSC a nivel de segmento o familia; ",""),"")&amp;IF(NOT(ISNUMBER(E423)),"Duración vacía o en texto; ","")&amp;IF(NOT(ISNUMBER(G423)),"Valor vacío o en texto; ","")&amp;IF(ISNUMBER(M423),IF(M423&lt;1000000,"Valor inferior a $1.000.000: verificar; ",""),"Valor no interpretable; ")&amp;IF(N423="[PENDIENTE DE VERIFICAR]","Modalidad no identificable; ","")&amp;IF(OR(ISERROR(SEARCH("@itc.edu.co",J423)),SUMPRODUCT(--ISNUMBER(SEARCH({"á","é","í","ó","ú","ñ"},J423)))&gt;0),"Correo vacío o no institucional válido; ","")&amp;IF(LEN(TRIM(D423))=0,"Sin objeto contractual; ","")&amp;IF(AND(ISNUMBER(M423),N423="Mínima cuantía"),IF(M423&gt;39850000,"Mínima cuantía con valor superior al tope citado en el instructivo 2026 ($39.850.000): verificar modalidad; ",""),"")&amp;IF(AND(ISNUMBER(M423),OR(ISNUMBER(SEARCH("prestación de servicios",D423)),ISNUMBER(SEARCH("prestar servicios",D423)),ISNUMBER(SEARCH("prestar los servicios",D423)))),IF(M423&gt;=500000000,"Prestación de servicios por $500 millones o más: posible error de digitación; ",""),""))=0,"Sin observaciones",IF(OR(NOT(ISNUMBER(B423)),LEN(B423)&lt;&gt;8),"UNSPSC vacío, en texto, con varios códigos o sin 8 dígitos; ","")&amp;IF(AND(ISNUMBER(B423),LEN(B423)=8),IF(MOD(B423,10000)=0,"UNSPSC a nivel de segmento o familia; ",""),"")&amp;IF(NOT(ISNUMBER(E423)),"Duración vacía o en texto; ","")&amp;IF(NOT(ISNUMBER(G423)),"Valor vacío o en texto; ","")&amp;IF(ISNUMBER(M423),IF(M423&lt;1000000,"Valor inferior a $1.000.000: verificar; ",""),"Valor no interpretable; ")&amp;IF(N423="[PENDIENTE DE VERIFICAR]","Modalidad no identificable; ","")&amp;IF(OR(ISERROR(SEARCH("@itc.edu.co",J423)),SUMPRODUCT(--ISNUMBER(SEARCH({"á","é","í","ó","ú","ñ"},J423)))&gt;0),"Correo vacío o no institucional válido; ","")&amp;IF(LEN(TRIM(D423))=0,"Sin objeto contractual; ","")&amp;IF(AND(ISNUMBER(M423),N423="Mínima cuantía"),IF(M423&gt;39850000,"Mínima cuantía con valor superior al tope citado en el instructivo 2026 ($39.850.000): verificar modalidad; ",""),"")&amp;IF(AND(ISNUMBER(M423),OR(ISNUMBER(SEARCH("prestación de servicios",D423)),ISNUMBER(SEARCH("prestar servicios",D423)),ISNUMBER(SEARCH("prestar los servicios",D423)))),IF(M423&gt;=500000000,"Prestación de servicios por $500 millones o más: posible error de digitación; ",""),""))</f>
        <v xml:space="preserve">Valor vacío o en texto; Mínima cuantía con valor superior al tope citado en el instructivo 2026 ($39.850.000): verificar modalidad; </v>
      </c>
    </row>
    <row r="424" spans="1:15" ht="22.8" x14ac:dyDescent="0.3">
      <c r="A424" s="15" t="s">
        <v>1839</v>
      </c>
      <c r="B424" s="15">
        <v>81112307</v>
      </c>
      <c r="C424" s="15" t="s">
        <v>344</v>
      </c>
      <c r="D424" s="15" t="s">
        <v>1840</v>
      </c>
      <c r="E424" s="15">
        <v>1</v>
      </c>
      <c r="F424" s="15" t="s">
        <v>1728</v>
      </c>
      <c r="G424" s="29" t="s">
        <v>1835</v>
      </c>
      <c r="H424" s="15" t="s">
        <v>1799</v>
      </c>
      <c r="I424" s="15" t="s">
        <v>1701</v>
      </c>
      <c r="J424" s="15" t="s">
        <v>1026</v>
      </c>
      <c r="K424" s="15"/>
      <c r="L424" s="30" t="s">
        <v>841</v>
      </c>
      <c r="M424" s="31">
        <v>35000000</v>
      </c>
      <c r="N424" s="30" t="s">
        <v>792</v>
      </c>
      <c r="O424" s="30" t="str">
        <f>IF(LEN(IF(OR(NOT(ISNUMBER(B424)),LEN(B424)&lt;&gt;8),"UNSPSC vacío, en texto, con varios códigos o sin 8 dígitos; ","")&amp;IF(AND(ISNUMBER(B424),LEN(B424)=8),IF(MOD(B424,10000)=0,"UNSPSC a nivel de segmento o familia; ",""),"")&amp;IF(NOT(ISNUMBER(E424)),"Duración vacía o en texto; ","")&amp;IF(NOT(ISNUMBER(G424)),"Valor vacío o en texto; ","")&amp;IF(ISNUMBER(M424),IF(M424&lt;1000000,"Valor inferior a $1.000.000: verificar; ",""),"Valor no interpretable; ")&amp;IF(N424="[PENDIENTE DE VERIFICAR]","Modalidad no identificable; ","")&amp;IF(OR(ISERROR(SEARCH("@itc.edu.co",J424)),SUMPRODUCT(--ISNUMBER(SEARCH({"á","é","í","ó","ú","ñ"},J424)))&gt;0),"Correo vacío o no institucional válido; ","")&amp;IF(LEN(TRIM(D424))=0,"Sin objeto contractual; ","")&amp;IF(AND(ISNUMBER(M424),N424="Mínima cuantía"),IF(M424&gt;39850000,"Mínima cuantía con valor superior al tope citado en el instructivo 2026 ($39.850.000): verificar modalidad; ",""),"")&amp;IF(AND(ISNUMBER(M424),OR(ISNUMBER(SEARCH("prestación de servicios",D424)),ISNUMBER(SEARCH("prestar servicios",D424)),ISNUMBER(SEARCH("prestar los servicios",D424)))),IF(M424&gt;=500000000,"Prestación de servicios por $500 millones o más: posible error de digitación; ",""),""))=0,"Sin observaciones",IF(OR(NOT(ISNUMBER(B424)),LEN(B424)&lt;&gt;8),"UNSPSC vacío, en texto, con varios códigos o sin 8 dígitos; ","")&amp;IF(AND(ISNUMBER(B424),LEN(B424)=8),IF(MOD(B424,10000)=0,"UNSPSC a nivel de segmento o familia; ",""),"")&amp;IF(NOT(ISNUMBER(E424)),"Duración vacía o en texto; ","")&amp;IF(NOT(ISNUMBER(G424)),"Valor vacío o en texto; ","")&amp;IF(ISNUMBER(M424),IF(M424&lt;1000000,"Valor inferior a $1.000.000: verificar; ",""),"Valor no interpretable; ")&amp;IF(N424="[PENDIENTE DE VERIFICAR]","Modalidad no identificable; ","")&amp;IF(OR(ISERROR(SEARCH("@itc.edu.co",J424)),SUMPRODUCT(--ISNUMBER(SEARCH({"á","é","í","ó","ú","ñ"},J424)))&gt;0),"Correo vacío o no institucional válido; ","")&amp;IF(LEN(TRIM(D424))=0,"Sin objeto contractual; ","")&amp;IF(AND(ISNUMBER(M424),N424="Mínima cuantía"),IF(M424&gt;39850000,"Mínima cuantía con valor superior al tope citado en el instructivo 2026 ($39.850.000): verificar modalidad; ",""),"")&amp;IF(AND(ISNUMBER(M424),OR(ISNUMBER(SEARCH("prestación de servicios",D424)),ISNUMBER(SEARCH("prestar servicios",D424)),ISNUMBER(SEARCH("prestar los servicios",D424)))),IF(M424&gt;=500000000,"Prestación de servicios por $500 millones o más: posible error de digitación; ",""),""))</f>
        <v xml:space="preserve">Valor vacío o en texto; </v>
      </c>
    </row>
    <row r="425" spans="1:15" ht="22.8" x14ac:dyDescent="0.3">
      <c r="A425" s="15" t="s">
        <v>1841</v>
      </c>
      <c r="B425" s="15">
        <v>81112307</v>
      </c>
      <c r="C425" s="15" t="s">
        <v>344</v>
      </c>
      <c r="D425" s="15" t="s">
        <v>1842</v>
      </c>
      <c r="E425" s="15">
        <v>1</v>
      </c>
      <c r="F425" s="15" t="s">
        <v>1763</v>
      </c>
      <c r="G425" s="29" t="s">
        <v>1838</v>
      </c>
      <c r="H425" s="15" t="s">
        <v>1799</v>
      </c>
      <c r="I425" s="15" t="s">
        <v>1701</v>
      </c>
      <c r="J425" s="15" t="s">
        <v>1026</v>
      </c>
      <c r="K425" s="15"/>
      <c r="L425" s="30" t="s">
        <v>841</v>
      </c>
      <c r="M425" s="31">
        <v>150000000</v>
      </c>
      <c r="N425" s="30" t="s">
        <v>796</v>
      </c>
      <c r="O425" s="30" t="str">
        <f>IF(LEN(IF(OR(NOT(ISNUMBER(B425)),LEN(B425)&lt;&gt;8),"UNSPSC vacío, en texto, con varios códigos o sin 8 dígitos; ","")&amp;IF(AND(ISNUMBER(B425),LEN(B425)=8),IF(MOD(B425,10000)=0,"UNSPSC a nivel de segmento o familia; ",""),"")&amp;IF(NOT(ISNUMBER(E425)),"Duración vacía o en texto; ","")&amp;IF(NOT(ISNUMBER(G425)),"Valor vacío o en texto; ","")&amp;IF(ISNUMBER(M425),IF(M425&lt;1000000,"Valor inferior a $1.000.000: verificar; ",""),"Valor no interpretable; ")&amp;IF(N425="[PENDIENTE DE VERIFICAR]","Modalidad no identificable; ","")&amp;IF(OR(ISERROR(SEARCH("@itc.edu.co",J425)),SUMPRODUCT(--ISNUMBER(SEARCH({"á","é","í","ó","ú","ñ"},J425)))&gt;0),"Correo vacío o no institucional válido; ","")&amp;IF(LEN(TRIM(D425))=0,"Sin objeto contractual; ","")&amp;IF(AND(ISNUMBER(M425),N425="Mínima cuantía"),IF(M425&gt;39850000,"Mínima cuantía con valor superior al tope citado en el instructivo 2026 ($39.850.000): verificar modalidad; ",""),"")&amp;IF(AND(ISNUMBER(M425),OR(ISNUMBER(SEARCH("prestación de servicios",D425)),ISNUMBER(SEARCH("prestar servicios",D425)),ISNUMBER(SEARCH("prestar los servicios",D425)))),IF(M425&gt;=500000000,"Prestación de servicios por $500 millones o más: posible error de digitación; ",""),""))=0,"Sin observaciones",IF(OR(NOT(ISNUMBER(B425)),LEN(B425)&lt;&gt;8),"UNSPSC vacío, en texto, con varios códigos o sin 8 dígitos; ","")&amp;IF(AND(ISNUMBER(B425),LEN(B425)=8),IF(MOD(B425,10000)=0,"UNSPSC a nivel de segmento o familia; ",""),"")&amp;IF(NOT(ISNUMBER(E425)),"Duración vacía o en texto; ","")&amp;IF(NOT(ISNUMBER(G425)),"Valor vacío o en texto; ","")&amp;IF(ISNUMBER(M425),IF(M425&lt;1000000,"Valor inferior a $1.000.000: verificar; ",""),"Valor no interpretable; ")&amp;IF(N425="[PENDIENTE DE VERIFICAR]","Modalidad no identificable; ","")&amp;IF(OR(ISERROR(SEARCH("@itc.edu.co",J425)),SUMPRODUCT(--ISNUMBER(SEARCH({"á","é","í","ó","ú","ñ"},J425)))&gt;0),"Correo vacío o no institucional válido; ","")&amp;IF(LEN(TRIM(D425))=0,"Sin objeto contractual; ","")&amp;IF(AND(ISNUMBER(M425),N425="Mínima cuantía"),IF(M425&gt;39850000,"Mínima cuantía con valor superior al tope citado en el instructivo 2026 ($39.850.000): verificar modalidad; ",""),"")&amp;IF(AND(ISNUMBER(M425),OR(ISNUMBER(SEARCH("prestación de servicios",D425)),ISNUMBER(SEARCH("prestar servicios",D425)),ISNUMBER(SEARCH("prestar los servicios",D425)))),IF(M425&gt;=500000000,"Prestación de servicios por $500 millones o más: posible error de digitación; ",""),""))</f>
        <v xml:space="preserve">Valor vacío o en texto; </v>
      </c>
    </row>
    <row r="426" spans="1:15" ht="34.200000000000003" x14ac:dyDescent="0.3">
      <c r="A426" s="15" t="s">
        <v>1843</v>
      </c>
      <c r="B426" s="15">
        <v>81112200</v>
      </c>
      <c r="C426" s="15" t="s">
        <v>1844</v>
      </c>
      <c r="D426" s="15" t="s">
        <v>1845</v>
      </c>
      <c r="E426" s="15">
        <v>1</v>
      </c>
      <c r="F426" s="15" t="s">
        <v>1412</v>
      </c>
      <c r="G426" s="29">
        <v>10500000</v>
      </c>
      <c r="H426" s="15" t="s">
        <v>1846</v>
      </c>
      <c r="I426" s="15" t="s">
        <v>1847</v>
      </c>
      <c r="J426" s="15" t="s">
        <v>1848</v>
      </c>
      <c r="K426" s="15"/>
      <c r="L426" s="30" t="s">
        <v>929</v>
      </c>
      <c r="M426" s="31">
        <v>10500000</v>
      </c>
      <c r="N426" s="30" t="s">
        <v>792</v>
      </c>
      <c r="O426" s="30" t="str">
        <f>IF(LEN(IF(OR(NOT(ISNUMBER(B426)),LEN(B426)&lt;&gt;8),"UNSPSC vacío, en texto, con varios códigos o sin 8 dígitos; ","")&amp;IF(AND(ISNUMBER(B426),LEN(B426)=8),IF(MOD(B426,10000)=0,"UNSPSC a nivel de segmento o familia; ",""),"")&amp;IF(NOT(ISNUMBER(E426)),"Duración vacía o en texto; ","")&amp;IF(NOT(ISNUMBER(G426)),"Valor vacío o en texto; ","")&amp;IF(ISNUMBER(M426),IF(M426&lt;1000000,"Valor inferior a $1.000.000: verificar; ",""),"Valor no interpretable; ")&amp;IF(N426="[PENDIENTE DE VERIFICAR]","Modalidad no identificable; ","")&amp;IF(OR(ISERROR(SEARCH("@itc.edu.co",J426)),SUMPRODUCT(--ISNUMBER(SEARCH({"á","é","í","ó","ú","ñ"},J426)))&gt;0),"Correo vacío o no institucional válido; ","")&amp;IF(LEN(TRIM(D426))=0,"Sin objeto contractual; ","")&amp;IF(AND(ISNUMBER(M426),N426="Mínima cuantía"),IF(M426&gt;39850000,"Mínima cuantía con valor superior al tope citado en el instructivo 2026 ($39.850.000): verificar modalidad; ",""),"")&amp;IF(AND(ISNUMBER(M426),OR(ISNUMBER(SEARCH("prestación de servicios",D426)),ISNUMBER(SEARCH("prestar servicios",D426)),ISNUMBER(SEARCH("prestar los servicios",D426)))),IF(M426&gt;=500000000,"Prestación de servicios por $500 millones o más: posible error de digitación; ",""),""))=0,"Sin observaciones",IF(OR(NOT(ISNUMBER(B426)),LEN(B426)&lt;&gt;8),"UNSPSC vacío, en texto, con varios códigos o sin 8 dígitos; ","")&amp;IF(AND(ISNUMBER(B426),LEN(B426)=8),IF(MOD(B426,10000)=0,"UNSPSC a nivel de segmento o familia; ",""),"")&amp;IF(NOT(ISNUMBER(E426)),"Duración vacía o en texto; ","")&amp;IF(NOT(ISNUMBER(G426)),"Valor vacío o en texto; ","")&amp;IF(ISNUMBER(M426),IF(M426&lt;1000000,"Valor inferior a $1.000.000: verificar; ",""),"Valor no interpretable; ")&amp;IF(N426="[PENDIENTE DE VERIFICAR]","Modalidad no identificable; ","")&amp;IF(OR(ISERROR(SEARCH("@itc.edu.co",J426)),SUMPRODUCT(--ISNUMBER(SEARCH({"á","é","í","ó","ú","ñ"},J426)))&gt;0),"Correo vacío o no institucional válido; ","")&amp;IF(LEN(TRIM(D426))=0,"Sin objeto contractual; ","")&amp;IF(AND(ISNUMBER(M426),N426="Mínima cuantía"),IF(M426&gt;39850000,"Mínima cuantía con valor superior al tope citado en el instructivo 2026 ($39.850.000): verificar modalidad; ",""),"")&amp;IF(AND(ISNUMBER(M426),OR(ISNUMBER(SEARCH("prestación de servicios",D426)),ISNUMBER(SEARCH("prestar servicios",D426)),ISNUMBER(SEARCH("prestar los servicios",D426)))),IF(M426&gt;=500000000,"Prestación de servicios por $500 millones o más: posible error de digitación; ",""),""))</f>
        <v>Sin observaciones</v>
      </c>
    </row>
    <row r="427" spans="1:15" ht="34.200000000000003" x14ac:dyDescent="0.3">
      <c r="A427" s="15" t="s">
        <v>682</v>
      </c>
      <c r="B427" s="15">
        <v>80141902</v>
      </c>
      <c r="C427" s="15" t="s">
        <v>683</v>
      </c>
      <c r="D427" s="15" t="s">
        <v>681</v>
      </c>
      <c r="E427" s="15">
        <v>1</v>
      </c>
      <c r="F427" s="15" t="s">
        <v>1412</v>
      </c>
      <c r="G427" s="29">
        <v>27000000</v>
      </c>
      <c r="H427" s="15" t="s">
        <v>1846</v>
      </c>
      <c r="I427" s="15" t="s">
        <v>1847</v>
      </c>
      <c r="J427" s="15"/>
      <c r="K427" s="15"/>
      <c r="L427" s="30" t="s">
        <v>929</v>
      </c>
      <c r="M427" s="31">
        <v>27000000</v>
      </c>
      <c r="N427" s="30" t="s">
        <v>792</v>
      </c>
      <c r="O427" s="30" t="str">
        <f>IF(LEN(IF(OR(NOT(ISNUMBER(B427)),LEN(B427)&lt;&gt;8),"UNSPSC vacío, en texto, con varios códigos o sin 8 dígitos; ","")&amp;IF(AND(ISNUMBER(B427),LEN(B427)=8),IF(MOD(B427,10000)=0,"UNSPSC a nivel de segmento o familia; ",""),"")&amp;IF(NOT(ISNUMBER(E427)),"Duración vacía o en texto; ","")&amp;IF(NOT(ISNUMBER(G427)),"Valor vacío o en texto; ","")&amp;IF(ISNUMBER(M427),IF(M427&lt;1000000,"Valor inferior a $1.000.000: verificar; ",""),"Valor no interpretable; ")&amp;IF(N427="[PENDIENTE DE VERIFICAR]","Modalidad no identificable; ","")&amp;IF(OR(ISERROR(SEARCH("@itc.edu.co",J427)),SUMPRODUCT(--ISNUMBER(SEARCH({"á","é","í","ó","ú","ñ"},J427)))&gt;0),"Correo vacío o no institucional válido; ","")&amp;IF(LEN(TRIM(D427))=0,"Sin objeto contractual; ","")&amp;IF(AND(ISNUMBER(M427),N427="Mínima cuantía"),IF(M427&gt;39850000,"Mínima cuantía con valor superior al tope citado en el instructivo 2026 ($39.850.000): verificar modalidad; ",""),"")&amp;IF(AND(ISNUMBER(M427),OR(ISNUMBER(SEARCH("prestación de servicios",D427)),ISNUMBER(SEARCH("prestar servicios",D427)),ISNUMBER(SEARCH("prestar los servicios",D427)))),IF(M427&gt;=500000000,"Prestación de servicios por $500 millones o más: posible error de digitación; ",""),""))=0,"Sin observaciones",IF(OR(NOT(ISNUMBER(B427)),LEN(B427)&lt;&gt;8),"UNSPSC vacío, en texto, con varios códigos o sin 8 dígitos; ","")&amp;IF(AND(ISNUMBER(B427),LEN(B427)=8),IF(MOD(B427,10000)=0,"UNSPSC a nivel de segmento o familia; ",""),"")&amp;IF(NOT(ISNUMBER(E427)),"Duración vacía o en texto; ","")&amp;IF(NOT(ISNUMBER(G427)),"Valor vacío o en texto; ","")&amp;IF(ISNUMBER(M427),IF(M427&lt;1000000,"Valor inferior a $1.000.000: verificar; ",""),"Valor no interpretable; ")&amp;IF(N427="[PENDIENTE DE VERIFICAR]","Modalidad no identificable; ","")&amp;IF(OR(ISERROR(SEARCH("@itc.edu.co",J427)),SUMPRODUCT(--ISNUMBER(SEARCH({"á","é","í","ó","ú","ñ"},J427)))&gt;0),"Correo vacío o no institucional válido; ","")&amp;IF(LEN(TRIM(D427))=0,"Sin objeto contractual; ","")&amp;IF(AND(ISNUMBER(M427),N427="Mínima cuantía"),IF(M427&gt;39850000,"Mínima cuantía con valor superior al tope citado en el instructivo 2026 ($39.850.000): verificar modalidad; ",""),"")&amp;IF(AND(ISNUMBER(M427),OR(ISNUMBER(SEARCH("prestación de servicios",D427)),ISNUMBER(SEARCH("prestar servicios",D427)),ISNUMBER(SEARCH("prestar los servicios",D427)))),IF(M427&gt;=500000000,"Prestación de servicios por $500 millones o más: posible error de digitación; ",""),""))</f>
        <v xml:space="preserve">Correo vacío o no institucional válido; </v>
      </c>
    </row>
    <row r="428" spans="1:15" ht="57" x14ac:dyDescent="0.3">
      <c r="A428" s="15" t="s">
        <v>595</v>
      </c>
      <c r="B428" s="15">
        <v>44120000</v>
      </c>
      <c r="C428" s="15" t="s">
        <v>596</v>
      </c>
      <c r="D428" s="15" t="s">
        <v>1849</v>
      </c>
      <c r="E428" s="15">
        <v>3</v>
      </c>
      <c r="F428" s="15" t="s">
        <v>1412</v>
      </c>
      <c r="G428" s="29">
        <v>51280107</v>
      </c>
      <c r="H428" s="15" t="s">
        <v>986</v>
      </c>
      <c r="I428" s="15"/>
      <c r="J428" s="15" t="s">
        <v>987</v>
      </c>
      <c r="K428" s="15"/>
      <c r="L428" s="30" t="s">
        <v>977</v>
      </c>
      <c r="M428" s="31">
        <v>51280107</v>
      </c>
      <c r="N428" s="30" t="s">
        <v>792</v>
      </c>
      <c r="O428" s="30" t="str">
        <f>IF(LEN(IF(OR(NOT(ISNUMBER(B428)),LEN(B428)&lt;&gt;8),"UNSPSC vacío, en texto, con varios códigos o sin 8 dígitos; ","")&amp;IF(AND(ISNUMBER(B428),LEN(B428)=8),IF(MOD(B428,10000)=0,"UNSPSC a nivel de segmento o familia; ",""),"")&amp;IF(NOT(ISNUMBER(E428)),"Duración vacía o en texto; ","")&amp;IF(NOT(ISNUMBER(G428)),"Valor vacío o en texto; ","")&amp;IF(ISNUMBER(M428),IF(M428&lt;1000000,"Valor inferior a $1.000.000: verificar; ",""),"Valor no interpretable; ")&amp;IF(N428="[PENDIENTE DE VERIFICAR]","Modalidad no identificable; ","")&amp;IF(OR(ISERROR(SEARCH("@itc.edu.co",J428)),SUMPRODUCT(--ISNUMBER(SEARCH({"á","é","í","ó","ú","ñ"},J428)))&gt;0),"Correo vacío o no institucional válido; ","")&amp;IF(LEN(TRIM(D428))=0,"Sin objeto contractual; ","")&amp;IF(AND(ISNUMBER(M428),N428="Mínima cuantía"),IF(M428&gt;39850000,"Mínima cuantía con valor superior al tope citado en el instructivo 2026 ($39.850.000): verificar modalidad; ",""),"")&amp;IF(AND(ISNUMBER(M428),OR(ISNUMBER(SEARCH("prestación de servicios",D428)),ISNUMBER(SEARCH("prestar servicios",D428)),ISNUMBER(SEARCH("prestar los servicios",D428)))),IF(M428&gt;=500000000,"Prestación de servicios por $500 millones o más: posible error de digitación; ",""),""))=0,"Sin observaciones",IF(OR(NOT(ISNUMBER(B428)),LEN(B428)&lt;&gt;8),"UNSPSC vacío, en texto, con varios códigos o sin 8 dígitos; ","")&amp;IF(AND(ISNUMBER(B428),LEN(B428)=8),IF(MOD(B428,10000)=0,"UNSPSC a nivel de segmento o familia; ",""),"")&amp;IF(NOT(ISNUMBER(E428)),"Duración vacía o en texto; ","")&amp;IF(NOT(ISNUMBER(G428)),"Valor vacío o en texto; ","")&amp;IF(ISNUMBER(M428),IF(M428&lt;1000000,"Valor inferior a $1.000.000: verificar; ",""),"Valor no interpretable; ")&amp;IF(N428="[PENDIENTE DE VERIFICAR]","Modalidad no identificable; ","")&amp;IF(OR(ISERROR(SEARCH("@itc.edu.co",J428)),SUMPRODUCT(--ISNUMBER(SEARCH({"á","é","í","ó","ú","ñ"},J428)))&gt;0),"Correo vacío o no institucional válido; ","")&amp;IF(LEN(TRIM(D428))=0,"Sin objeto contractual; ","")&amp;IF(AND(ISNUMBER(M428),N428="Mínima cuantía"),IF(M428&gt;39850000,"Mínima cuantía con valor superior al tope citado en el instructivo 2026 ($39.850.000): verificar modalidad; ",""),"")&amp;IF(AND(ISNUMBER(M428),OR(ISNUMBER(SEARCH("prestación de servicios",D428)),ISNUMBER(SEARCH("prestar servicios",D428)),ISNUMBER(SEARCH("prestar los servicios",D428)))),IF(M428&gt;=500000000,"Prestación de servicios por $500 millones o más: posible error de digitación; ",""),""))</f>
        <v xml:space="preserve">UNSPSC a nivel de segmento o familia; Mínima cuantía con valor superior al tope citado en el instructivo 2026 ($39.850.000): verificar modalidad; </v>
      </c>
    </row>
  </sheetData>
  <sheetProtection password="CC6D" sheet="1" formatColumns="0" formatRows="0" autoFilter="0"/>
  <autoFilter ref="A4:O428" xr:uid="{00000000-0009-0000-0000-000003000000}"/>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13"/>
  <sheetViews>
    <sheetView showGridLines="0" zoomScaleNormal="100" workbookViewId="0">
      <pane ySplit="3" topLeftCell="A4" activePane="bottomLeft" state="frozen"/>
      <selection pane="bottomLeft"/>
    </sheetView>
  </sheetViews>
  <sheetFormatPr baseColWidth="10" defaultColWidth="8.6640625" defaultRowHeight="14.4" x14ac:dyDescent="0.3"/>
  <cols>
    <col min="1" max="1" width="56" customWidth="1"/>
    <col min="2" max="2" width="18" customWidth="1"/>
    <col min="3" max="4" width="20" customWidth="1"/>
    <col min="5" max="6" width="18" customWidth="1"/>
    <col min="7" max="7" width="20" customWidth="1"/>
  </cols>
  <sheetData>
    <row r="1" spans="1:3" ht="17.399999999999999" x14ac:dyDescent="0.3">
      <c r="A1" s="10" t="s">
        <v>1850</v>
      </c>
    </row>
    <row r="2" spans="1:3" x14ac:dyDescent="0.3">
      <c r="A2" s="11" t="s">
        <v>1851</v>
      </c>
    </row>
    <row r="4" spans="1:3" x14ac:dyDescent="0.3">
      <c r="A4" s="32" t="s">
        <v>1852</v>
      </c>
    </row>
    <row r="5" spans="1:3" x14ac:dyDescent="0.3">
      <c r="A5" s="12" t="s">
        <v>1853</v>
      </c>
      <c r="B5" s="12" t="s">
        <v>1854</v>
      </c>
      <c r="C5" s="12" t="s">
        <v>1855</v>
      </c>
    </row>
    <row r="6" spans="1:3" ht="30" customHeight="1" x14ac:dyDescent="0.3">
      <c r="A6" s="33" t="s">
        <v>1856</v>
      </c>
      <c r="B6" s="34" t="s">
        <v>1157</v>
      </c>
      <c r="C6" s="35" t="s">
        <v>1857</v>
      </c>
    </row>
    <row r="7" spans="1:3" ht="30" customHeight="1" x14ac:dyDescent="0.3">
      <c r="A7" s="33" t="s">
        <v>1858</v>
      </c>
      <c r="B7" s="34" t="s">
        <v>1157</v>
      </c>
      <c r="C7" s="35" t="s">
        <v>1859</v>
      </c>
    </row>
    <row r="8" spans="1:3" ht="30" customHeight="1" x14ac:dyDescent="0.3">
      <c r="A8" s="33" t="s">
        <v>1860</v>
      </c>
      <c r="B8" s="34" t="s">
        <v>1157</v>
      </c>
      <c r="C8" s="35" t="s">
        <v>1861</v>
      </c>
    </row>
    <row r="9" spans="1:3" ht="30" customHeight="1" x14ac:dyDescent="0.3">
      <c r="A9" s="33" t="s">
        <v>1862</v>
      </c>
      <c r="B9" s="36" t="s">
        <v>1157</v>
      </c>
      <c r="C9" s="35" t="s">
        <v>1863</v>
      </c>
    </row>
    <row r="11" spans="1:3" x14ac:dyDescent="0.3">
      <c r="A11" s="32" t="s">
        <v>1864</v>
      </c>
    </row>
    <row r="12" spans="1:3" x14ac:dyDescent="0.3">
      <c r="A12" s="12" t="s">
        <v>1865</v>
      </c>
      <c r="B12" s="12" t="s">
        <v>1854</v>
      </c>
    </row>
    <row r="13" spans="1:3" x14ac:dyDescent="0.3">
      <c r="A13" s="33" t="s">
        <v>1866</v>
      </c>
      <c r="B13" s="37">
        <f>COUNTIF('Formulación PDN 2027'!$AJ$7:$AJ$506,"?*")</f>
        <v>0</v>
      </c>
    </row>
    <row r="14" spans="1:3" ht="26.4" x14ac:dyDescent="0.3">
      <c r="A14" s="33" t="s">
        <v>1867</v>
      </c>
      <c r="B14" s="37">
        <f>COUNTIF('Formulación PDN 2027'!$AJ$7:$AJ$506,"OK")</f>
        <v>0</v>
      </c>
    </row>
    <row r="15" spans="1:3" x14ac:dyDescent="0.3">
      <c r="A15" s="33" t="s">
        <v>1868</v>
      </c>
      <c r="B15" s="37">
        <f>COUNTIF('Formulación PDN 2027'!$AJ$7:$AJ$506,"?*")-COUNTIF('Formulación PDN 2027'!$AJ$7:$AJ$506,"OK")</f>
        <v>0</v>
      </c>
    </row>
    <row r="16" spans="1:3" x14ac:dyDescent="0.3">
      <c r="A16" s="33" t="s">
        <v>1869</v>
      </c>
      <c r="B16" s="38">
        <f>SUM('Formulación PDN 2027'!$W$7:$W$506)</f>
        <v>0</v>
      </c>
    </row>
    <row r="17" spans="1:2" x14ac:dyDescent="0.3">
      <c r="A17" s="33" t="s">
        <v>1870</v>
      </c>
      <c r="B17" s="38">
        <f>SUM('Formulación PDN 2027'!$X$7:$X$506)</f>
        <v>0</v>
      </c>
    </row>
    <row r="18" spans="1:2" x14ac:dyDescent="0.3">
      <c r="A18" s="33" t="s">
        <v>1871</v>
      </c>
      <c r="B18" s="38">
        <f>SUMIFS('Formulación PDN 2027'!$X$7:$X$506,'Formulación PDN 2027'!$AJ$7:$AJ$506,"OK")</f>
        <v>0</v>
      </c>
    </row>
    <row r="19" spans="1:2" x14ac:dyDescent="0.3">
      <c r="A19" s="33" t="s">
        <v>1872</v>
      </c>
      <c r="B19" s="37">
        <f>COUNTIF('Formulación PDN 2027'!$AF$7:$AF$506,"Sí")</f>
        <v>0</v>
      </c>
    </row>
    <row r="20" spans="1:2" ht="26.4" x14ac:dyDescent="0.3">
      <c r="A20" s="33" t="s">
        <v>1873</v>
      </c>
      <c r="B20" s="37">
        <f>COUNTIF('Formulación PDN 2027'!$H$7:$H$506,"A27*")</f>
        <v>0</v>
      </c>
    </row>
    <row r="21" spans="1:2" x14ac:dyDescent="0.3">
      <c r="A21" s="33" t="s">
        <v>1874</v>
      </c>
      <c r="B21" s="37">
        <f>COUNTIF('Formulación PDN 2027'!$H$7:$H$506,"PROPIA*")</f>
        <v>0</v>
      </c>
    </row>
    <row r="23" spans="1:2" x14ac:dyDescent="0.3">
      <c r="A23" s="32" t="s">
        <v>1875</v>
      </c>
    </row>
    <row r="24" spans="1:2" x14ac:dyDescent="0.3">
      <c r="A24" s="12" t="s">
        <v>1876</v>
      </c>
      <c r="B24" s="12" t="s">
        <v>1877</v>
      </c>
    </row>
    <row r="25" spans="1:2" x14ac:dyDescent="0.3">
      <c r="A25" s="39" t="s">
        <v>1878</v>
      </c>
      <c r="B25" s="40">
        <f>COUNTIF('Formulación PDN 2027'!$AJ$7:$AJ$506,A25)</f>
        <v>0</v>
      </c>
    </row>
    <row r="26" spans="1:2" x14ac:dyDescent="0.3">
      <c r="A26" s="39" t="s">
        <v>1879</v>
      </c>
      <c r="B26" s="40">
        <f>COUNTIF('Formulación PDN 2027'!$AJ$7:$AJ$506,A26)</f>
        <v>0</v>
      </c>
    </row>
    <row r="27" spans="1:2" x14ac:dyDescent="0.3">
      <c r="A27" s="39" t="s">
        <v>1880</v>
      </c>
      <c r="B27" s="40">
        <f>COUNTIF('Formulación PDN 2027'!$AJ$7:$AJ$506,A27)</f>
        <v>0</v>
      </c>
    </row>
    <row r="28" spans="1:2" x14ac:dyDescent="0.3">
      <c r="A28" s="39" t="s">
        <v>1881</v>
      </c>
      <c r="B28" s="40">
        <f>COUNTIF('Formulación PDN 2027'!$AJ$7:$AJ$506,A28)</f>
        <v>0</v>
      </c>
    </row>
    <row r="29" spans="1:2" x14ac:dyDescent="0.3">
      <c r="A29" s="39" t="s">
        <v>1882</v>
      </c>
      <c r="B29" s="40">
        <f>COUNTIF('Formulación PDN 2027'!$AJ$7:$AJ$506,A29)</f>
        <v>0</v>
      </c>
    </row>
    <row r="30" spans="1:2" x14ac:dyDescent="0.3">
      <c r="A30" s="39" t="s">
        <v>1883</v>
      </c>
      <c r="B30" s="40">
        <f>COUNTIF('Formulación PDN 2027'!$AJ$7:$AJ$506,A30)</f>
        <v>0</v>
      </c>
    </row>
    <row r="31" spans="1:2" x14ac:dyDescent="0.3">
      <c r="A31" s="39" t="s">
        <v>1884</v>
      </c>
      <c r="B31" s="40">
        <f>COUNTIF('Formulación PDN 2027'!$AJ$7:$AJ$506,A31)</f>
        <v>0</v>
      </c>
    </row>
    <row r="32" spans="1:2" x14ac:dyDescent="0.3">
      <c r="A32" s="39" t="s">
        <v>1885</v>
      </c>
      <c r="B32" s="40">
        <f>COUNTIF('Formulación PDN 2027'!$AJ$7:$AJ$506,A32)</f>
        <v>0</v>
      </c>
    </row>
    <row r="33" spans="1:7" x14ac:dyDescent="0.3">
      <c r="A33" s="39" t="s">
        <v>1886</v>
      </c>
      <c r="B33" s="40">
        <f>COUNTIF('Formulación PDN 2027'!$AJ$7:$AJ$506,A33)</f>
        <v>0</v>
      </c>
    </row>
    <row r="34" spans="1:7" x14ac:dyDescent="0.3">
      <c r="A34" s="39" t="s">
        <v>1887</v>
      </c>
      <c r="B34" s="40">
        <f>COUNTIF('Formulación PDN 2027'!$AJ$7:$AJ$506,A34)</f>
        <v>0</v>
      </c>
    </row>
    <row r="35" spans="1:7" x14ac:dyDescent="0.3">
      <c r="A35" s="39" t="s">
        <v>1888</v>
      </c>
      <c r="B35" s="40">
        <f>COUNTIF('Formulación PDN 2027'!$AJ$7:$AJ$506,A35)</f>
        <v>0</v>
      </c>
    </row>
    <row r="36" spans="1:7" x14ac:dyDescent="0.3">
      <c r="A36" s="39" t="s">
        <v>1889</v>
      </c>
      <c r="B36" s="40">
        <f>COUNTIF('Formulación PDN 2027'!$AJ$7:$AJ$506,A36)</f>
        <v>0</v>
      </c>
    </row>
    <row r="37" spans="1:7" x14ac:dyDescent="0.3">
      <c r="A37" s="39" t="s">
        <v>1890</v>
      </c>
      <c r="B37" s="40">
        <f>COUNTIF('Formulación PDN 2027'!$AJ$7:$AJ$506,A37)</f>
        <v>0</v>
      </c>
    </row>
    <row r="38" spans="1:7" x14ac:dyDescent="0.3">
      <c r="A38" s="39" t="s">
        <v>1891</v>
      </c>
      <c r="B38" s="40">
        <f>COUNTIF('Formulación PDN 2027'!$AJ$7:$AJ$506,A38)</f>
        <v>0</v>
      </c>
    </row>
    <row r="39" spans="1:7" x14ac:dyDescent="0.3">
      <c r="A39" s="39" t="s">
        <v>1892</v>
      </c>
      <c r="B39" s="40">
        <f>COUNTIF('Formulación PDN 2027'!$AJ$7:$AJ$506,A39)</f>
        <v>0</v>
      </c>
    </row>
    <row r="40" spans="1:7" x14ac:dyDescent="0.3">
      <c r="A40" s="39" t="s">
        <v>1893</v>
      </c>
      <c r="B40" s="40">
        <f>COUNTIF('Formulación PDN 2027'!$AJ$7:$AJ$506,A40)</f>
        <v>0</v>
      </c>
    </row>
    <row r="42" spans="1:7" x14ac:dyDescent="0.3">
      <c r="A42" s="32" t="s">
        <v>1894</v>
      </c>
    </row>
    <row r="43" spans="1:7" ht="26.4" x14ac:dyDescent="0.3">
      <c r="A43" s="12" t="s">
        <v>1895</v>
      </c>
      <c r="B43" s="12" t="s">
        <v>1896</v>
      </c>
      <c r="C43" s="12" t="s">
        <v>1897</v>
      </c>
      <c r="D43" s="12" t="s">
        <v>1898</v>
      </c>
      <c r="E43" s="12" t="s">
        <v>1899</v>
      </c>
      <c r="F43" s="12" t="s">
        <v>1900</v>
      </c>
      <c r="G43" s="12" t="s">
        <v>1901</v>
      </c>
    </row>
    <row r="44" spans="1:7" x14ac:dyDescent="0.3">
      <c r="A44" s="39" t="s">
        <v>858</v>
      </c>
      <c r="B44" s="39">
        <f>COUNTIF('2026'!$L$5:$L$428,A44)</f>
        <v>9</v>
      </c>
      <c r="C44" s="41">
        <f>SUMIFS('2026'!$M$5:$M$428,'2026'!$L$5:$L$428,A44)</f>
        <v>1562463047</v>
      </c>
      <c r="D44" s="39">
        <f>COUNTIFS('Formulación PDN 2027'!$C$7:$C$506,A44,'Formulación PDN 2027'!$AJ$7:$AJ$506,"?*")</f>
        <v>0</v>
      </c>
      <c r="E44" s="41">
        <f>SUMIFS('Formulación PDN 2027'!$W$7:$W$506,'Formulación PDN 2027'!$C$7:$C$506,A44)</f>
        <v>0</v>
      </c>
      <c r="F44" s="41">
        <f>SUMIFS('Formulación PDN 2027'!$X$7:$X$506,'Formulación PDN 2027'!$C$7:$C$506,A44)</f>
        <v>0</v>
      </c>
      <c r="G44" s="39">
        <f>COUNTIFS('Formulación PDN 2027'!$C$7:$C$506,A44,'Formulación PDN 2027'!$AJ$7:$AJ$506,"?*")-COUNTIFS('Formulación PDN 2027'!$C$7:$C$506,A44,'Formulación PDN 2027'!$AJ$7:$AJ$506,"OK")</f>
        <v>0</v>
      </c>
    </row>
    <row r="45" spans="1:7" x14ac:dyDescent="0.3">
      <c r="A45" s="39" t="s">
        <v>814</v>
      </c>
      <c r="B45" s="39">
        <f>COUNTIF('2026'!$L$5:$L$428,A45)</f>
        <v>39</v>
      </c>
      <c r="C45" s="41">
        <f>SUMIFS('2026'!$M$5:$M$428,'2026'!$L$5:$L$428,A45)</f>
        <v>1689159573</v>
      </c>
      <c r="D45" s="39">
        <f>COUNTIFS('Formulación PDN 2027'!$C$7:$C$506,A45,'Formulación PDN 2027'!$AJ$7:$AJ$506,"?*")</f>
        <v>0</v>
      </c>
      <c r="E45" s="41">
        <f>SUMIFS('Formulación PDN 2027'!$W$7:$W$506,'Formulación PDN 2027'!$C$7:$C$506,A45)</f>
        <v>0</v>
      </c>
      <c r="F45" s="41">
        <f>SUMIFS('Formulación PDN 2027'!$X$7:$X$506,'Formulación PDN 2027'!$C$7:$C$506,A45)</f>
        <v>0</v>
      </c>
      <c r="G45" s="39">
        <f>COUNTIFS('Formulación PDN 2027'!$C$7:$C$506,A45,'Formulación PDN 2027'!$AJ$7:$AJ$506,"?*")-COUNTIFS('Formulación PDN 2027'!$C$7:$C$506,A45,'Formulación PDN 2027'!$AJ$7:$AJ$506,"OK")</f>
        <v>0</v>
      </c>
    </row>
    <row r="46" spans="1:7" x14ac:dyDescent="0.3">
      <c r="A46" s="39" t="s">
        <v>891</v>
      </c>
      <c r="B46" s="39">
        <f>COUNTIF('2026'!$L$5:$L$428,A46)</f>
        <v>2</v>
      </c>
      <c r="C46" s="41">
        <f>SUMIFS('2026'!$M$5:$M$428,'2026'!$L$5:$L$428,A46)</f>
        <v>105600000</v>
      </c>
      <c r="D46" s="39">
        <f>COUNTIFS('Formulación PDN 2027'!$C$7:$C$506,A46,'Formulación PDN 2027'!$AJ$7:$AJ$506,"?*")</f>
        <v>0</v>
      </c>
      <c r="E46" s="41">
        <f>SUMIFS('Formulación PDN 2027'!$W$7:$W$506,'Formulación PDN 2027'!$C$7:$C$506,A46)</f>
        <v>0</v>
      </c>
      <c r="F46" s="41">
        <f>SUMIFS('Formulación PDN 2027'!$X$7:$X$506,'Formulación PDN 2027'!$C$7:$C$506,A46)</f>
        <v>0</v>
      </c>
      <c r="G46" s="39">
        <f>COUNTIFS('Formulación PDN 2027'!$C$7:$C$506,A46,'Formulación PDN 2027'!$AJ$7:$AJ$506,"?*")-COUNTIFS('Formulación PDN 2027'!$C$7:$C$506,A46,'Formulación PDN 2027'!$AJ$7:$AJ$506,"OK")</f>
        <v>0</v>
      </c>
    </row>
    <row r="47" spans="1:7" x14ac:dyDescent="0.3">
      <c r="A47" s="39" t="s">
        <v>850</v>
      </c>
      <c r="B47" s="39">
        <f>COUNTIF('2026'!$L$5:$L$428,A47)</f>
        <v>2</v>
      </c>
      <c r="C47" s="41">
        <f>SUMIFS('2026'!$M$5:$M$428,'2026'!$L$5:$L$428,A47)</f>
        <v>139200000</v>
      </c>
      <c r="D47" s="39">
        <f>COUNTIFS('Formulación PDN 2027'!$C$7:$C$506,A47,'Formulación PDN 2027'!$AJ$7:$AJ$506,"?*")</f>
        <v>0</v>
      </c>
      <c r="E47" s="41">
        <f>SUMIFS('Formulación PDN 2027'!$W$7:$W$506,'Formulación PDN 2027'!$C$7:$C$506,A47)</f>
        <v>0</v>
      </c>
      <c r="F47" s="41">
        <f>SUMIFS('Formulación PDN 2027'!$X$7:$X$506,'Formulación PDN 2027'!$C$7:$C$506,A47)</f>
        <v>0</v>
      </c>
      <c r="G47" s="39">
        <f>COUNTIFS('Formulación PDN 2027'!$C$7:$C$506,A47,'Formulación PDN 2027'!$AJ$7:$AJ$506,"?*")-COUNTIFS('Formulación PDN 2027'!$C$7:$C$506,A47,'Formulación PDN 2027'!$AJ$7:$AJ$506,"OK")</f>
        <v>0</v>
      </c>
    </row>
    <row r="48" spans="1:7" x14ac:dyDescent="0.3">
      <c r="A48" s="39" t="s">
        <v>1140</v>
      </c>
      <c r="B48" s="39">
        <f>COUNTIF('2026'!$L$5:$L$428,A48)</f>
        <v>33</v>
      </c>
      <c r="C48" s="41">
        <f>SUMIFS('2026'!$M$5:$M$428,'2026'!$L$5:$L$428,A48)</f>
        <v>1599080000</v>
      </c>
      <c r="D48" s="39">
        <f>COUNTIFS('Formulación PDN 2027'!$C$7:$C$506,A48,'Formulación PDN 2027'!$AJ$7:$AJ$506,"?*")</f>
        <v>0</v>
      </c>
      <c r="E48" s="41">
        <f>SUMIFS('Formulación PDN 2027'!$W$7:$W$506,'Formulación PDN 2027'!$C$7:$C$506,A48)</f>
        <v>0</v>
      </c>
      <c r="F48" s="41">
        <f>SUMIFS('Formulación PDN 2027'!$X$7:$X$506,'Formulación PDN 2027'!$C$7:$C$506,A48)</f>
        <v>0</v>
      </c>
      <c r="G48" s="39">
        <f>COUNTIFS('Formulación PDN 2027'!$C$7:$C$506,A48,'Formulación PDN 2027'!$AJ$7:$AJ$506,"?*")-COUNTIFS('Formulación PDN 2027'!$C$7:$C$506,A48,'Formulación PDN 2027'!$AJ$7:$AJ$506,"OK")</f>
        <v>0</v>
      </c>
    </row>
    <row r="49" spans="1:7" x14ac:dyDescent="0.3">
      <c r="A49" s="39" t="s">
        <v>1294</v>
      </c>
      <c r="B49" s="39">
        <f>COUNTIF('2026'!$L$5:$L$428,A49)</f>
        <v>23</v>
      </c>
      <c r="C49" s="41">
        <f>SUMIFS('2026'!$M$5:$M$428,'2026'!$L$5:$L$428,A49)</f>
        <v>791833779</v>
      </c>
      <c r="D49" s="39">
        <f>COUNTIFS('Formulación PDN 2027'!$C$7:$C$506,A49,'Formulación PDN 2027'!$AJ$7:$AJ$506,"?*")</f>
        <v>0</v>
      </c>
      <c r="E49" s="41">
        <f>SUMIFS('Formulación PDN 2027'!$W$7:$W$506,'Formulación PDN 2027'!$C$7:$C$506,A49)</f>
        <v>0</v>
      </c>
      <c r="F49" s="41">
        <f>SUMIFS('Formulación PDN 2027'!$X$7:$X$506,'Formulación PDN 2027'!$C$7:$C$506,A49)</f>
        <v>0</v>
      </c>
      <c r="G49" s="39">
        <f>COUNTIFS('Formulación PDN 2027'!$C$7:$C$506,A49,'Formulación PDN 2027'!$AJ$7:$AJ$506,"?*")-COUNTIFS('Formulación PDN 2027'!$C$7:$C$506,A49,'Formulación PDN 2027'!$AJ$7:$AJ$506,"OK")</f>
        <v>0</v>
      </c>
    </row>
    <row r="50" spans="1:7" x14ac:dyDescent="0.3">
      <c r="A50" s="39" t="s">
        <v>1135</v>
      </c>
      <c r="B50" s="39">
        <f>COUNTIF('2026'!$L$5:$L$428,A50)</f>
        <v>2</v>
      </c>
      <c r="C50" s="41">
        <f>SUMIFS('2026'!$M$5:$M$428,'2026'!$L$5:$L$428,A50)</f>
        <v>0</v>
      </c>
      <c r="D50" s="39">
        <f>COUNTIFS('Formulación PDN 2027'!$C$7:$C$506,A50,'Formulación PDN 2027'!$AJ$7:$AJ$506,"?*")</f>
        <v>0</v>
      </c>
      <c r="E50" s="41">
        <f>SUMIFS('Formulación PDN 2027'!$W$7:$W$506,'Formulación PDN 2027'!$C$7:$C$506,A50)</f>
        <v>0</v>
      </c>
      <c r="F50" s="41">
        <f>SUMIFS('Formulación PDN 2027'!$X$7:$X$506,'Formulación PDN 2027'!$C$7:$C$506,A50)</f>
        <v>0</v>
      </c>
      <c r="G50" s="39">
        <f>COUNTIFS('Formulación PDN 2027'!$C$7:$C$506,A50,'Formulación PDN 2027'!$AJ$7:$AJ$506,"?*")-COUNTIFS('Formulación PDN 2027'!$C$7:$C$506,A50,'Formulación PDN 2027'!$AJ$7:$AJ$506,"OK")</f>
        <v>0</v>
      </c>
    </row>
    <row r="51" spans="1:7" x14ac:dyDescent="0.3">
      <c r="A51" s="39" t="s">
        <v>1902</v>
      </c>
      <c r="B51" s="39">
        <f>COUNTIF('2026'!$L$5:$L$428,A51)</f>
        <v>0</v>
      </c>
      <c r="C51" s="41">
        <f>SUMIFS('2026'!$M$5:$M$428,'2026'!$L$5:$L$428,A51)</f>
        <v>0</v>
      </c>
      <c r="D51" s="39">
        <f>COUNTIFS('Formulación PDN 2027'!$C$7:$C$506,A51,'Formulación PDN 2027'!$AJ$7:$AJ$506,"?*")</f>
        <v>0</v>
      </c>
      <c r="E51" s="41">
        <f>SUMIFS('Formulación PDN 2027'!$W$7:$W$506,'Formulación PDN 2027'!$C$7:$C$506,A51)</f>
        <v>0</v>
      </c>
      <c r="F51" s="41">
        <f>SUMIFS('Formulación PDN 2027'!$X$7:$X$506,'Formulación PDN 2027'!$C$7:$C$506,A51)</f>
        <v>0</v>
      </c>
      <c r="G51" s="39">
        <f>COUNTIFS('Formulación PDN 2027'!$C$7:$C$506,A51,'Formulación PDN 2027'!$AJ$7:$AJ$506,"?*")-COUNTIFS('Formulación PDN 2027'!$C$7:$C$506,A51,'Formulación PDN 2027'!$AJ$7:$AJ$506,"OK")</f>
        <v>0</v>
      </c>
    </row>
    <row r="52" spans="1:7" x14ac:dyDescent="0.3">
      <c r="A52" s="39" t="s">
        <v>1331</v>
      </c>
      <c r="B52" s="39">
        <f>COUNTIF('2026'!$L$5:$L$428,A52)</f>
        <v>16</v>
      </c>
      <c r="C52" s="41">
        <f>SUMIFS('2026'!$M$5:$M$428,'2026'!$L$5:$L$428,A52)</f>
        <v>359000000</v>
      </c>
      <c r="D52" s="39">
        <f>COUNTIFS('Formulación PDN 2027'!$C$7:$C$506,A52,'Formulación PDN 2027'!$AJ$7:$AJ$506,"?*")</f>
        <v>0</v>
      </c>
      <c r="E52" s="41">
        <f>SUMIFS('Formulación PDN 2027'!$W$7:$W$506,'Formulación PDN 2027'!$C$7:$C$506,A52)</f>
        <v>0</v>
      </c>
      <c r="F52" s="41">
        <f>SUMIFS('Formulación PDN 2027'!$X$7:$X$506,'Formulación PDN 2027'!$C$7:$C$506,A52)</f>
        <v>0</v>
      </c>
      <c r="G52" s="39">
        <f>COUNTIFS('Formulación PDN 2027'!$C$7:$C$506,A52,'Formulación PDN 2027'!$AJ$7:$AJ$506,"?*")-COUNTIFS('Formulación PDN 2027'!$C$7:$C$506,A52,'Formulación PDN 2027'!$AJ$7:$AJ$506,"OK")</f>
        <v>0</v>
      </c>
    </row>
    <row r="53" spans="1:7" x14ac:dyDescent="0.3">
      <c r="A53" s="39" t="s">
        <v>1440</v>
      </c>
      <c r="B53" s="39">
        <f>COUNTIF('2026'!$L$5:$L$428,A53)</f>
        <v>98</v>
      </c>
      <c r="C53" s="41">
        <f>SUMIFS('2026'!$M$5:$M$428,'2026'!$L$5:$L$428,A53)</f>
        <v>13821062000</v>
      </c>
      <c r="D53" s="39">
        <f>COUNTIFS('Formulación PDN 2027'!$C$7:$C$506,A53,'Formulación PDN 2027'!$AJ$7:$AJ$506,"?*")</f>
        <v>0</v>
      </c>
      <c r="E53" s="41">
        <f>SUMIFS('Formulación PDN 2027'!$W$7:$W$506,'Formulación PDN 2027'!$C$7:$C$506,A53)</f>
        <v>0</v>
      </c>
      <c r="F53" s="41">
        <f>SUMIFS('Formulación PDN 2027'!$X$7:$X$506,'Formulación PDN 2027'!$C$7:$C$506,A53)</f>
        <v>0</v>
      </c>
      <c r="G53" s="39">
        <f>COUNTIFS('Formulación PDN 2027'!$C$7:$C$506,A53,'Formulación PDN 2027'!$AJ$7:$AJ$506,"?*")-COUNTIFS('Formulación PDN 2027'!$C$7:$C$506,A53,'Formulación PDN 2027'!$AJ$7:$AJ$506,"OK")</f>
        <v>0</v>
      </c>
    </row>
    <row r="54" spans="1:7" x14ac:dyDescent="0.3">
      <c r="A54" s="39" t="s">
        <v>1372</v>
      </c>
      <c r="B54" s="39">
        <f>COUNTIF('2026'!$L$5:$L$428,A54)</f>
        <v>4</v>
      </c>
      <c r="C54" s="41">
        <f>SUMIFS('2026'!$M$5:$M$428,'2026'!$L$5:$L$428,A54)</f>
        <v>30500000</v>
      </c>
      <c r="D54" s="39">
        <f>COUNTIFS('Formulación PDN 2027'!$C$7:$C$506,A54,'Formulación PDN 2027'!$AJ$7:$AJ$506,"?*")</f>
        <v>0</v>
      </c>
      <c r="E54" s="41">
        <f>SUMIFS('Formulación PDN 2027'!$W$7:$W$506,'Formulación PDN 2027'!$C$7:$C$506,A54)</f>
        <v>0</v>
      </c>
      <c r="F54" s="41">
        <f>SUMIFS('Formulación PDN 2027'!$X$7:$X$506,'Formulación PDN 2027'!$C$7:$C$506,A54)</f>
        <v>0</v>
      </c>
      <c r="G54" s="39">
        <f>COUNTIFS('Formulación PDN 2027'!$C$7:$C$506,A54,'Formulación PDN 2027'!$AJ$7:$AJ$506,"?*")-COUNTIFS('Formulación PDN 2027'!$C$7:$C$506,A54,'Formulación PDN 2027'!$AJ$7:$AJ$506,"OK")</f>
        <v>0</v>
      </c>
    </row>
    <row r="55" spans="1:7" x14ac:dyDescent="0.3">
      <c r="A55" s="39" t="s">
        <v>977</v>
      </c>
      <c r="B55" s="39">
        <f>COUNTIF('2026'!$L$5:$L$428,A55)</f>
        <v>50</v>
      </c>
      <c r="C55" s="41">
        <f>SUMIFS('2026'!$M$5:$M$428,'2026'!$L$5:$L$428,A55)</f>
        <v>6802994764.5</v>
      </c>
      <c r="D55" s="39">
        <f>COUNTIFS('Formulación PDN 2027'!$C$7:$C$506,A55,'Formulación PDN 2027'!$AJ$7:$AJ$506,"?*")</f>
        <v>0</v>
      </c>
      <c r="E55" s="41">
        <f>SUMIFS('Formulación PDN 2027'!$W$7:$W$506,'Formulación PDN 2027'!$C$7:$C$506,A55)</f>
        <v>0</v>
      </c>
      <c r="F55" s="41">
        <f>SUMIFS('Formulación PDN 2027'!$X$7:$X$506,'Formulación PDN 2027'!$C$7:$C$506,A55)</f>
        <v>0</v>
      </c>
      <c r="G55" s="39">
        <f>COUNTIFS('Formulación PDN 2027'!$C$7:$C$506,A55,'Formulación PDN 2027'!$AJ$7:$AJ$506,"?*")-COUNTIFS('Formulación PDN 2027'!$C$7:$C$506,A55,'Formulación PDN 2027'!$AJ$7:$AJ$506,"OK")</f>
        <v>0</v>
      </c>
    </row>
    <row r="56" spans="1:7" x14ac:dyDescent="0.3">
      <c r="A56" s="39" t="s">
        <v>1103</v>
      </c>
      <c r="B56" s="39">
        <f>COUNTIF('2026'!$L$5:$L$428,A56)</f>
        <v>21</v>
      </c>
      <c r="C56" s="41">
        <f>SUMIFS('2026'!$M$5:$M$428,'2026'!$L$5:$L$428,A56)</f>
        <v>5744027400</v>
      </c>
      <c r="D56" s="39">
        <f>COUNTIFS('Formulación PDN 2027'!$C$7:$C$506,A56,'Formulación PDN 2027'!$AJ$7:$AJ$506,"?*")</f>
        <v>0</v>
      </c>
      <c r="E56" s="41">
        <f>SUMIFS('Formulación PDN 2027'!$W$7:$W$506,'Formulación PDN 2027'!$C$7:$C$506,A56)</f>
        <v>0</v>
      </c>
      <c r="F56" s="41">
        <f>SUMIFS('Formulación PDN 2027'!$X$7:$X$506,'Formulación PDN 2027'!$C$7:$C$506,A56)</f>
        <v>0</v>
      </c>
      <c r="G56" s="39">
        <f>COUNTIFS('Formulación PDN 2027'!$C$7:$C$506,A56,'Formulación PDN 2027'!$AJ$7:$AJ$506,"?*")-COUNTIFS('Formulación PDN 2027'!$C$7:$C$506,A56,'Formulación PDN 2027'!$AJ$7:$AJ$506,"OK")</f>
        <v>0</v>
      </c>
    </row>
    <row r="57" spans="1:7" x14ac:dyDescent="0.3">
      <c r="A57" s="39" t="s">
        <v>841</v>
      </c>
      <c r="B57" s="39">
        <f>COUNTIF('2026'!$L$5:$L$428,A57)</f>
        <v>68</v>
      </c>
      <c r="C57" s="41">
        <f>SUMIFS('2026'!$M$5:$M$428,'2026'!$L$5:$L$428,A57)</f>
        <v>8309705994.6700001</v>
      </c>
      <c r="D57" s="39">
        <f>COUNTIFS('Formulación PDN 2027'!$C$7:$C$506,A57,'Formulación PDN 2027'!$AJ$7:$AJ$506,"?*")</f>
        <v>0</v>
      </c>
      <c r="E57" s="41">
        <f>SUMIFS('Formulación PDN 2027'!$W$7:$W$506,'Formulación PDN 2027'!$C$7:$C$506,A57)</f>
        <v>0</v>
      </c>
      <c r="F57" s="41">
        <f>SUMIFS('Formulación PDN 2027'!$X$7:$X$506,'Formulación PDN 2027'!$C$7:$C$506,A57)</f>
        <v>0</v>
      </c>
      <c r="G57" s="39">
        <f>COUNTIFS('Formulación PDN 2027'!$C$7:$C$506,A57,'Formulación PDN 2027'!$AJ$7:$AJ$506,"?*")-COUNTIFS('Formulación PDN 2027'!$C$7:$C$506,A57,'Formulación PDN 2027'!$AJ$7:$AJ$506,"OK")</f>
        <v>0</v>
      </c>
    </row>
    <row r="58" spans="1:7" x14ac:dyDescent="0.3">
      <c r="A58" s="39" t="s">
        <v>791</v>
      </c>
      <c r="B58" s="39">
        <f>COUNTIF('2026'!$L$5:$L$428,A58)</f>
        <v>8</v>
      </c>
      <c r="C58" s="41">
        <f>SUMIFS('2026'!$M$5:$M$428,'2026'!$L$5:$L$428,A58)</f>
        <v>635770394</v>
      </c>
      <c r="D58" s="39">
        <f>COUNTIFS('Formulación PDN 2027'!$C$7:$C$506,A58,'Formulación PDN 2027'!$AJ$7:$AJ$506,"?*")</f>
        <v>0</v>
      </c>
      <c r="E58" s="41">
        <f>SUMIFS('Formulación PDN 2027'!$W$7:$W$506,'Formulación PDN 2027'!$C$7:$C$506,A58)</f>
        <v>0</v>
      </c>
      <c r="F58" s="41">
        <f>SUMIFS('Formulación PDN 2027'!$X$7:$X$506,'Formulación PDN 2027'!$C$7:$C$506,A58)</f>
        <v>0</v>
      </c>
      <c r="G58" s="39">
        <f>COUNTIFS('Formulación PDN 2027'!$C$7:$C$506,A58,'Formulación PDN 2027'!$AJ$7:$AJ$506,"?*")-COUNTIFS('Formulación PDN 2027'!$C$7:$C$506,A58,'Formulación PDN 2027'!$AJ$7:$AJ$506,"OK")</f>
        <v>0</v>
      </c>
    </row>
    <row r="59" spans="1:7" x14ac:dyDescent="0.3">
      <c r="A59" s="39" t="s">
        <v>911</v>
      </c>
      <c r="B59" s="39">
        <f>COUNTIF('2026'!$L$5:$L$428,A59)</f>
        <v>7</v>
      </c>
      <c r="C59" s="41">
        <f>SUMIFS('2026'!$M$5:$M$428,'2026'!$L$5:$L$428,A59)</f>
        <v>307375782</v>
      </c>
      <c r="D59" s="39">
        <f>COUNTIFS('Formulación PDN 2027'!$C$7:$C$506,A59,'Formulación PDN 2027'!$AJ$7:$AJ$506,"?*")</f>
        <v>0</v>
      </c>
      <c r="E59" s="41">
        <f>SUMIFS('Formulación PDN 2027'!$W$7:$W$506,'Formulación PDN 2027'!$C$7:$C$506,A59)</f>
        <v>0</v>
      </c>
      <c r="F59" s="41">
        <f>SUMIFS('Formulación PDN 2027'!$X$7:$X$506,'Formulación PDN 2027'!$C$7:$C$506,A59)</f>
        <v>0</v>
      </c>
      <c r="G59" s="39">
        <f>COUNTIFS('Formulación PDN 2027'!$C$7:$C$506,A59,'Formulación PDN 2027'!$AJ$7:$AJ$506,"?*")-COUNTIFS('Formulación PDN 2027'!$C$7:$C$506,A59,'Formulación PDN 2027'!$AJ$7:$AJ$506,"OK")</f>
        <v>0</v>
      </c>
    </row>
    <row r="60" spans="1:7" x14ac:dyDescent="0.3">
      <c r="A60" s="39" t="s">
        <v>929</v>
      </c>
      <c r="B60" s="39">
        <f>COUNTIF('2026'!$L$5:$L$428,A60)</f>
        <v>42</v>
      </c>
      <c r="C60" s="41">
        <f>SUMIFS('2026'!$M$5:$M$428,'2026'!$L$5:$L$428,A60)</f>
        <v>8511927474</v>
      </c>
      <c r="D60" s="39">
        <f>COUNTIFS('Formulación PDN 2027'!$C$7:$C$506,A60,'Formulación PDN 2027'!$AJ$7:$AJ$506,"?*")</f>
        <v>0</v>
      </c>
      <c r="E60" s="41">
        <f>SUMIFS('Formulación PDN 2027'!$W$7:$W$506,'Formulación PDN 2027'!$C$7:$C$506,A60)</f>
        <v>0</v>
      </c>
      <c r="F60" s="41">
        <f>SUMIFS('Formulación PDN 2027'!$X$7:$X$506,'Formulación PDN 2027'!$C$7:$C$506,A60)</f>
        <v>0</v>
      </c>
      <c r="G60" s="39">
        <f>COUNTIFS('Formulación PDN 2027'!$C$7:$C$506,A60,'Formulación PDN 2027'!$AJ$7:$AJ$506,"?*")-COUNTIFS('Formulación PDN 2027'!$C$7:$C$506,A60,'Formulación PDN 2027'!$AJ$7:$AJ$506,"OK")</f>
        <v>0</v>
      </c>
    </row>
    <row r="61" spans="1:7" x14ac:dyDescent="0.3">
      <c r="A61" s="39" t="s">
        <v>1903</v>
      </c>
      <c r="B61" s="19">
        <f>COUNTIF('2026'!$L$5:$L$428,"[PENDIENTE DE VERIFICAR]")</f>
        <v>0</v>
      </c>
      <c r="C61" s="42">
        <f>SUMIFS('2026'!$M$5:$M$428,'2026'!$L$5:$L$428,"[PENDIENTE DE VERIFICAR]")</f>
        <v>0</v>
      </c>
      <c r="D61" s="19"/>
      <c r="E61" s="19"/>
      <c r="F61" s="19"/>
      <c r="G61" s="19"/>
    </row>
    <row r="62" spans="1:7" x14ac:dyDescent="0.3">
      <c r="A62" s="40" t="s">
        <v>1904</v>
      </c>
      <c r="B62" s="40">
        <f t="shared" ref="B62:G62" si="0">SUM(B44:B61)</f>
        <v>424</v>
      </c>
      <c r="C62" s="38">
        <f t="shared" si="0"/>
        <v>50409700208.169998</v>
      </c>
      <c r="D62" s="40">
        <f t="shared" si="0"/>
        <v>0</v>
      </c>
      <c r="E62" s="38">
        <f t="shared" si="0"/>
        <v>0</v>
      </c>
      <c r="F62" s="38">
        <f t="shared" si="0"/>
        <v>0</v>
      </c>
      <c r="G62" s="40">
        <f t="shared" si="0"/>
        <v>0</v>
      </c>
    </row>
    <row r="64" spans="1:7" x14ac:dyDescent="0.3">
      <c r="A64" s="32" t="s">
        <v>1905</v>
      </c>
    </row>
    <row r="65" spans="1:3" ht="26.4" x14ac:dyDescent="0.3">
      <c r="A65" s="12" t="s">
        <v>743</v>
      </c>
      <c r="B65" s="12" t="s">
        <v>1906</v>
      </c>
      <c r="C65" s="12" t="s">
        <v>1900</v>
      </c>
    </row>
    <row r="66" spans="1:3" x14ac:dyDescent="0.3">
      <c r="A66" s="39" t="s">
        <v>1907</v>
      </c>
      <c r="B66" s="39">
        <f>COUNTIFS('Formulación PDN 2027'!$F$7:$F$506,A66)</f>
        <v>0</v>
      </c>
      <c r="C66" s="41">
        <f>SUMIFS('Formulación PDN 2027'!$X$7:$X$506,'Formulación PDN 2027'!$F$7:$F$506,A66)</f>
        <v>0</v>
      </c>
    </row>
    <row r="67" spans="1:3" x14ac:dyDescent="0.3">
      <c r="A67" s="39" t="s">
        <v>1908</v>
      </c>
      <c r="B67" s="39">
        <f>COUNTIFS('Formulación PDN 2027'!$F$7:$F$506,A67)</f>
        <v>0</v>
      </c>
      <c r="C67" s="41">
        <f>SUMIFS('Formulación PDN 2027'!$X$7:$X$506,'Formulación PDN 2027'!$F$7:$F$506,A67)</f>
        <v>0</v>
      </c>
    </row>
    <row r="68" spans="1:3" x14ac:dyDescent="0.3">
      <c r="A68" s="39" t="s">
        <v>1909</v>
      </c>
      <c r="B68" s="39">
        <f>COUNTIFS('Formulación PDN 2027'!$F$7:$F$506,A68)</f>
        <v>0</v>
      </c>
      <c r="C68" s="41">
        <f>SUMIFS('Formulación PDN 2027'!$X$7:$X$506,'Formulación PDN 2027'!$F$7:$F$506,A68)</f>
        <v>0</v>
      </c>
    </row>
    <row r="69" spans="1:3" x14ac:dyDescent="0.3">
      <c r="A69" s="39" t="s">
        <v>1910</v>
      </c>
      <c r="B69" s="39">
        <f>COUNTIFS('Formulación PDN 2027'!$F$7:$F$506,A69)</f>
        <v>0</v>
      </c>
      <c r="C69" s="41">
        <f>SUMIFS('Formulación PDN 2027'!$X$7:$X$506,'Formulación PDN 2027'!$F$7:$F$506,A69)</f>
        <v>0</v>
      </c>
    </row>
    <row r="70" spans="1:3" x14ac:dyDescent="0.3">
      <c r="A70" s="39" t="s">
        <v>1911</v>
      </c>
      <c r="B70" s="39">
        <f>COUNTIFS('Formulación PDN 2027'!$F$7:$F$506,A70)</f>
        <v>0</v>
      </c>
      <c r="C70" s="41">
        <f>SUMIFS('Formulación PDN 2027'!$X$7:$X$506,'Formulación PDN 2027'!$F$7:$F$506,A70)</f>
        <v>0</v>
      </c>
    </row>
    <row r="71" spans="1:3" x14ac:dyDescent="0.3">
      <c r="A71" s="39" t="s">
        <v>1912</v>
      </c>
      <c r="B71" s="39">
        <f>COUNTIFS('Formulación PDN 2027'!$F$7:$F$506,A71)</f>
        <v>0</v>
      </c>
      <c r="C71" s="41">
        <f>SUMIFS('Formulación PDN 2027'!$X$7:$X$506,'Formulación PDN 2027'!$F$7:$F$506,A71)</f>
        <v>0</v>
      </c>
    </row>
    <row r="73" spans="1:3" x14ac:dyDescent="0.3">
      <c r="A73" s="32" t="s">
        <v>1913</v>
      </c>
    </row>
    <row r="74" spans="1:3" x14ac:dyDescent="0.3">
      <c r="A74" s="12" t="s">
        <v>1914</v>
      </c>
      <c r="B74" s="12" t="s">
        <v>1906</v>
      </c>
      <c r="C74" s="12" t="s">
        <v>1915</v>
      </c>
    </row>
    <row r="75" spans="1:3" x14ac:dyDescent="0.3">
      <c r="A75" s="33" t="s">
        <v>803</v>
      </c>
      <c r="B75" s="39">
        <f>COUNTIF('Formulación PDN 2027'!$S$7:$S$506,A75)</f>
        <v>0</v>
      </c>
      <c r="C75" s="41">
        <f>SUMIFS('Formulación PDN 2027'!$W$7:$W$506,'Formulación PDN 2027'!$S$7:$S$506,A75)</f>
        <v>0</v>
      </c>
    </row>
    <row r="76" spans="1:3" x14ac:dyDescent="0.3">
      <c r="A76" s="33" t="s">
        <v>792</v>
      </c>
      <c r="B76" s="39">
        <f>COUNTIF('Formulación PDN 2027'!$S$7:$S$506,A76)</f>
        <v>0</v>
      </c>
      <c r="C76" s="41">
        <f>SUMIFS('Formulación PDN 2027'!$W$7:$W$506,'Formulación PDN 2027'!$S$7:$S$506,A76)</f>
        <v>0</v>
      </c>
    </row>
    <row r="77" spans="1:3" x14ac:dyDescent="0.3">
      <c r="A77" s="33" t="s">
        <v>1111</v>
      </c>
      <c r="B77" s="39">
        <f>COUNTIF('Formulación PDN 2027'!$S$7:$S$506,A77)</f>
        <v>0</v>
      </c>
      <c r="C77" s="41">
        <f>SUMIFS('Formulación PDN 2027'!$W$7:$W$506,'Formulación PDN 2027'!$S$7:$S$506,A77)</f>
        <v>0</v>
      </c>
    </row>
    <row r="78" spans="1:3" x14ac:dyDescent="0.3">
      <c r="A78" s="33" t="s">
        <v>796</v>
      </c>
      <c r="B78" s="39">
        <f>COUNTIF('Formulación PDN 2027'!$S$7:$S$506,A78)</f>
        <v>0</v>
      </c>
      <c r="C78" s="41">
        <f>SUMIFS('Formulación PDN 2027'!$W$7:$W$506,'Formulación PDN 2027'!$S$7:$S$506,A78)</f>
        <v>0</v>
      </c>
    </row>
    <row r="79" spans="1:3" ht="26.4" x14ac:dyDescent="0.3">
      <c r="A79" s="33" t="s">
        <v>1916</v>
      </c>
      <c r="B79" s="39">
        <f>COUNTIF('Formulación PDN 2027'!$S$7:$S$506,A79)</f>
        <v>0</v>
      </c>
      <c r="C79" s="41">
        <f>SUMIFS('Formulación PDN 2027'!$W$7:$W$506,'Formulación PDN 2027'!$S$7:$S$506,A79)</f>
        <v>0</v>
      </c>
    </row>
    <row r="80" spans="1:3" x14ac:dyDescent="0.3">
      <c r="A80" s="33" t="s">
        <v>1212</v>
      </c>
      <c r="B80" s="39">
        <f>COUNTIF('Formulación PDN 2027'!$S$7:$S$506,A80)</f>
        <v>0</v>
      </c>
      <c r="C80" s="41">
        <f>SUMIFS('Formulación PDN 2027'!$W$7:$W$506,'Formulación PDN 2027'!$S$7:$S$506,A80)</f>
        <v>0</v>
      </c>
    </row>
    <row r="81" spans="1:6" x14ac:dyDescent="0.3">
      <c r="A81" s="33" t="s">
        <v>1208</v>
      </c>
      <c r="B81" s="39">
        <f>COUNTIF('Formulación PDN 2027'!$S$7:$S$506,A81)</f>
        <v>0</v>
      </c>
      <c r="C81" s="41">
        <f>SUMIFS('Formulación PDN 2027'!$W$7:$W$506,'Formulación PDN 2027'!$S$7:$S$506,A81)</f>
        <v>0</v>
      </c>
    </row>
    <row r="83" spans="1:6" x14ac:dyDescent="0.3">
      <c r="A83" s="32" t="s">
        <v>1917</v>
      </c>
    </row>
    <row r="84" spans="1:6" ht="26.4" x14ac:dyDescent="0.3">
      <c r="A84" s="12" t="s">
        <v>1918</v>
      </c>
      <c r="B84" s="12" t="s">
        <v>1906</v>
      </c>
      <c r="C84" s="12" t="s">
        <v>1900</v>
      </c>
    </row>
    <row r="85" spans="1:6" x14ac:dyDescent="0.3">
      <c r="A85" s="33" t="s">
        <v>1919</v>
      </c>
      <c r="B85" s="39">
        <f>COUNTIF('Formulación PDN 2027'!$T$7:$T$506,A85)</f>
        <v>0</v>
      </c>
      <c r="C85" s="41">
        <f>SUMIFS('Formulación PDN 2027'!$X$7:$X$506,'Formulación PDN 2027'!$T$7:$T$506,A85)</f>
        <v>0</v>
      </c>
    </row>
    <row r="86" spans="1:6" x14ac:dyDescent="0.3">
      <c r="A86" s="33" t="s">
        <v>1920</v>
      </c>
      <c r="B86" s="39">
        <f>COUNTIF('Formulación PDN 2027'!$T$7:$T$506,A86)</f>
        <v>0</v>
      </c>
      <c r="C86" s="41">
        <f>SUMIFS('Formulación PDN 2027'!$X$7:$X$506,'Formulación PDN 2027'!$T$7:$T$506,A86)</f>
        <v>0</v>
      </c>
    </row>
    <row r="87" spans="1:6" x14ac:dyDescent="0.3">
      <c r="A87" s="33" t="s">
        <v>1921</v>
      </c>
      <c r="B87" s="39">
        <f>COUNTIF('Formulación PDN 2027'!$T$7:$T$506,A87)</f>
        <v>0</v>
      </c>
      <c r="C87" s="41">
        <f>SUMIFS('Formulación PDN 2027'!$X$7:$X$506,'Formulación PDN 2027'!$T$7:$T$506,A87)</f>
        <v>0</v>
      </c>
    </row>
    <row r="88" spans="1:6" x14ac:dyDescent="0.3">
      <c r="A88" s="33" t="s">
        <v>1922</v>
      </c>
      <c r="B88" s="39">
        <f>COUNTIF('Formulación PDN 2027'!$T$7:$T$506,A88)</f>
        <v>0</v>
      </c>
      <c r="C88" s="41">
        <f>SUMIFS('Formulación PDN 2027'!$X$7:$X$506,'Formulación PDN 2027'!$T$7:$T$506,A88)</f>
        <v>0</v>
      </c>
    </row>
    <row r="89" spans="1:6" x14ac:dyDescent="0.3">
      <c r="A89" s="33" t="s">
        <v>1923</v>
      </c>
      <c r="B89" s="39">
        <f>COUNTIF('Formulación PDN 2027'!$T$7:$T$506,A89)</f>
        <v>0</v>
      </c>
      <c r="C89" s="41">
        <f>SUMIFS('Formulación PDN 2027'!$X$7:$X$506,'Formulación PDN 2027'!$T$7:$T$506,A89)</f>
        <v>0</v>
      </c>
    </row>
    <row r="90" spans="1:6" ht="26.4" x14ac:dyDescent="0.3">
      <c r="A90" s="33" t="s">
        <v>1924</v>
      </c>
      <c r="B90" s="39">
        <f>COUNTIF('Formulación PDN 2027'!$T$7:$T$506,A90)</f>
        <v>0</v>
      </c>
      <c r="C90" s="41">
        <f>SUMIFS('Formulación PDN 2027'!$X$7:$X$506,'Formulación PDN 2027'!$T$7:$T$506,A90)</f>
        <v>0</v>
      </c>
    </row>
    <row r="91" spans="1:6" x14ac:dyDescent="0.3">
      <c r="A91" s="33" t="s">
        <v>1925</v>
      </c>
      <c r="B91" s="39">
        <f>COUNTIF('Formulación PDN 2027'!$T$7:$T$506,A91)</f>
        <v>0</v>
      </c>
      <c r="C91" s="41">
        <f>SUMIFS('Formulación PDN 2027'!$X$7:$X$506,'Formulación PDN 2027'!$T$7:$T$506,A91)</f>
        <v>0</v>
      </c>
    </row>
    <row r="92" spans="1:6" x14ac:dyDescent="0.3">
      <c r="A92" s="33" t="s">
        <v>1926</v>
      </c>
      <c r="B92" s="39">
        <f>COUNTIF('Formulación PDN 2027'!$T$7:$T$506,A92)</f>
        <v>0</v>
      </c>
      <c r="C92" s="41">
        <f>SUMIFS('Formulación PDN 2027'!$X$7:$X$506,'Formulación PDN 2027'!$T$7:$T$506,A92)</f>
        <v>0</v>
      </c>
    </row>
    <row r="94" spans="1:6" x14ac:dyDescent="0.3">
      <c r="A94" s="32" t="s">
        <v>1927</v>
      </c>
    </row>
    <row r="95" spans="1:6" ht="39.6" x14ac:dyDescent="0.3">
      <c r="A95" s="12" t="s">
        <v>1928</v>
      </c>
      <c r="B95" s="12" t="s">
        <v>1929</v>
      </c>
      <c r="C95" s="12" t="s">
        <v>1930</v>
      </c>
      <c r="D95" s="12" t="s">
        <v>1931</v>
      </c>
      <c r="E95" s="12" t="s">
        <v>1932</v>
      </c>
      <c r="F95" s="12" t="s">
        <v>1933</v>
      </c>
    </row>
    <row r="96" spans="1:6" ht="34.200000000000003" x14ac:dyDescent="0.3">
      <c r="A96" s="15" t="s">
        <v>1934</v>
      </c>
      <c r="B96" s="15" t="s">
        <v>1935</v>
      </c>
      <c r="C96" s="15" t="s">
        <v>1936</v>
      </c>
      <c r="D96" s="15">
        <f>COUNTIF('Formulación PDN 2027'!$H$7:$H$506,A96)</f>
        <v>0</v>
      </c>
      <c r="E96" s="43">
        <f>SUMIFS('Formulación PDN 2027'!$X$7:$X$506,'Formulación PDN 2027'!$H$7:$H$506,A96)</f>
        <v>0</v>
      </c>
      <c r="F96" s="15" t="str">
        <f t="shared" ref="F96:F113" si="1">IF(D96=0,"Sin necesidades registradas","Con necesidades")</f>
        <v>Sin necesidades registradas</v>
      </c>
    </row>
    <row r="97" spans="1:6" ht="34.200000000000003" x14ac:dyDescent="0.3">
      <c r="A97" s="15" t="s">
        <v>1937</v>
      </c>
      <c r="B97" s="15" t="s">
        <v>1935</v>
      </c>
      <c r="C97" s="15" t="s">
        <v>1938</v>
      </c>
      <c r="D97" s="15">
        <f>COUNTIF('Formulación PDN 2027'!$H$7:$H$506,A97)</f>
        <v>0</v>
      </c>
      <c r="E97" s="43">
        <f>SUMIFS('Formulación PDN 2027'!$X$7:$X$506,'Formulación PDN 2027'!$H$7:$H$506,A97)</f>
        <v>0</v>
      </c>
      <c r="F97" s="15" t="str">
        <f t="shared" si="1"/>
        <v>Sin necesidades registradas</v>
      </c>
    </row>
    <row r="98" spans="1:6" ht="34.200000000000003" x14ac:dyDescent="0.3">
      <c r="A98" s="15" t="s">
        <v>1939</v>
      </c>
      <c r="B98" s="15" t="s">
        <v>1935</v>
      </c>
      <c r="C98" s="15" t="s">
        <v>1940</v>
      </c>
      <c r="D98" s="15">
        <f>COUNTIF('Formulación PDN 2027'!$H$7:$H$506,A98)</f>
        <v>0</v>
      </c>
      <c r="E98" s="43">
        <f>SUMIFS('Formulación PDN 2027'!$X$7:$X$506,'Formulación PDN 2027'!$H$7:$H$506,A98)</f>
        <v>0</v>
      </c>
      <c r="F98" s="15" t="str">
        <f t="shared" si="1"/>
        <v>Sin necesidades registradas</v>
      </c>
    </row>
    <row r="99" spans="1:6" ht="22.8" x14ac:dyDescent="0.3">
      <c r="A99" s="15" t="s">
        <v>1941</v>
      </c>
      <c r="B99" s="15" t="s">
        <v>1942</v>
      </c>
      <c r="C99" s="15" t="s">
        <v>1943</v>
      </c>
      <c r="D99" s="15">
        <f>COUNTIF('Formulación PDN 2027'!$H$7:$H$506,A99)</f>
        <v>0</v>
      </c>
      <c r="E99" s="43">
        <f>SUMIFS('Formulación PDN 2027'!$X$7:$X$506,'Formulación PDN 2027'!$H$7:$H$506,A99)</f>
        <v>0</v>
      </c>
      <c r="F99" s="15" t="str">
        <f t="shared" si="1"/>
        <v>Sin necesidades registradas</v>
      </c>
    </row>
    <row r="100" spans="1:6" ht="22.8" x14ac:dyDescent="0.3">
      <c r="A100" s="15" t="s">
        <v>1944</v>
      </c>
      <c r="B100" s="15" t="s">
        <v>1942</v>
      </c>
      <c r="C100" s="15" t="s">
        <v>1945</v>
      </c>
      <c r="D100" s="15">
        <f>COUNTIF('Formulación PDN 2027'!$H$7:$H$506,A100)</f>
        <v>0</v>
      </c>
      <c r="E100" s="43">
        <f>SUMIFS('Formulación PDN 2027'!$X$7:$X$506,'Formulación PDN 2027'!$H$7:$H$506,A100)</f>
        <v>0</v>
      </c>
      <c r="F100" s="15" t="str">
        <f t="shared" si="1"/>
        <v>Sin necesidades registradas</v>
      </c>
    </row>
    <row r="101" spans="1:6" ht="22.8" x14ac:dyDescent="0.3">
      <c r="A101" s="15" t="s">
        <v>1946</v>
      </c>
      <c r="B101" s="15" t="s">
        <v>1947</v>
      </c>
      <c r="C101" s="15" t="s">
        <v>1948</v>
      </c>
      <c r="D101" s="15">
        <f>COUNTIF('Formulación PDN 2027'!$H$7:$H$506,A101)</f>
        <v>0</v>
      </c>
      <c r="E101" s="43">
        <f>SUMIFS('Formulación PDN 2027'!$X$7:$X$506,'Formulación PDN 2027'!$H$7:$H$506,A101)</f>
        <v>0</v>
      </c>
      <c r="F101" s="15" t="str">
        <f t="shared" si="1"/>
        <v>Sin necesidades registradas</v>
      </c>
    </row>
    <row r="102" spans="1:6" ht="22.8" x14ac:dyDescent="0.3">
      <c r="A102" s="15" t="s">
        <v>1949</v>
      </c>
      <c r="B102" s="15" t="s">
        <v>1947</v>
      </c>
      <c r="C102" s="15" t="s">
        <v>1950</v>
      </c>
      <c r="D102" s="15">
        <f>COUNTIF('Formulación PDN 2027'!$H$7:$H$506,A102)</f>
        <v>0</v>
      </c>
      <c r="E102" s="43">
        <f>SUMIFS('Formulación PDN 2027'!$X$7:$X$506,'Formulación PDN 2027'!$H$7:$H$506,A102)</f>
        <v>0</v>
      </c>
      <c r="F102" s="15" t="str">
        <f t="shared" si="1"/>
        <v>Sin necesidades registradas</v>
      </c>
    </row>
    <row r="103" spans="1:6" ht="22.8" x14ac:dyDescent="0.3">
      <c r="A103" s="15" t="s">
        <v>1951</v>
      </c>
      <c r="B103" s="15" t="s">
        <v>1947</v>
      </c>
      <c r="C103" s="15" t="s">
        <v>1952</v>
      </c>
      <c r="D103" s="15">
        <f>COUNTIF('Formulación PDN 2027'!$H$7:$H$506,A103)</f>
        <v>0</v>
      </c>
      <c r="E103" s="43">
        <f>SUMIFS('Formulación PDN 2027'!$X$7:$X$506,'Formulación PDN 2027'!$H$7:$H$506,A103)</f>
        <v>0</v>
      </c>
      <c r="F103" s="15" t="str">
        <f t="shared" si="1"/>
        <v>Sin necesidades registradas</v>
      </c>
    </row>
    <row r="104" spans="1:6" ht="22.8" x14ac:dyDescent="0.3">
      <c r="A104" s="15" t="s">
        <v>1953</v>
      </c>
      <c r="B104" s="15" t="s">
        <v>1947</v>
      </c>
      <c r="C104" s="15" t="s">
        <v>1954</v>
      </c>
      <c r="D104" s="15">
        <f>COUNTIF('Formulación PDN 2027'!$H$7:$H$506,A104)</f>
        <v>0</v>
      </c>
      <c r="E104" s="43">
        <f>SUMIFS('Formulación PDN 2027'!$X$7:$X$506,'Formulación PDN 2027'!$H$7:$H$506,A104)</f>
        <v>0</v>
      </c>
      <c r="F104" s="15" t="str">
        <f t="shared" si="1"/>
        <v>Sin necesidades registradas</v>
      </c>
    </row>
    <row r="105" spans="1:6" ht="45.6" x14ac:dyDescent="0.3">
      <c r="A105" s="15" t="s">
        <v>1955</v>
      </c>
      <c r="B105" s="15" t="s">
        <v>1956</v>
      </c>
      <c r="C105" s="15" t="s">
        <v>1957</v>
      </c>
      <c r="D105" s="15">
        <f>COUNTIF('Formulación PDN 2027'!$H$7:$H$506,A105)</f>
        <v>0</v>
      </c>
      <c r="E105" s="43">
        <f>SUMIFS('Formulación PDN 2027'!$X$7:$X$506,'Formulación PDN 2027'!$H$7:$H$506,A105)</f>
        <v>0</v>
      </c>
      <c r="F105" s="15" t="str">
        <f t="shared" si="1"/>
        <v>Sin necesidades registradas</v>
      </c>
    </row>
    <row r="106" spans="1:6" ht="22.8" x14ac:dyDescent="0.3">
      <c r="A106" s="15" t="s">
        <v>1958</v>
      </c>
      <c r="B106" s="15" t="s">
        <v>1947</v>
      </c>
      <c r="C106" s="15" t="s">
        <v>1959</v>
      </c>
      <c r="D106" s="15">
        <f>COUNTIF('Formulación PDN 2027'!$H$7:$H$506,A106)</f>
        <v>0</v>
      </c>
      <c r="E106" s="43">
        <f>SUMIFS('Formulación PDN 2027'!$X$7:$X$506,'Formulación PDN 2027'!$H$7:$H$506,A106)</f>
        <v>0</v>
      </c>
      <c r="F106" s="15" t="str">
        <f t="shared" si="1"/>
        <v>Sin necesidades registradas</v>
      </c>
    </row>
    <row r="107" spans="1:6" ht="22.8" x14ac:dyDescent="0.3">
      <c r="A107" s="15" t="s">
        <v>1960</v>
      </c>
      <c r="B107" s="15" t="s">
        <v>1961</v>
      </c>
      <c r="C107" s="15" t="s">
        <v>1962</v>
      </c>
      <c r="D107" s="15">
        <f>COUNTIF('Formulación PDN 2027'!$H$7:$H$506,A107)</f>
        <v>0</v>
      </c>
      <c r="E107" s="43">
        <f>SUMIFS('Formulación PDN 2027'!$X$7:$X$506,'Formulación PDN 2027'!$H$7:$H$506,A107)</f>
        <v>0</v>
      </c>
      <c r="F107" s="15" t="str">
        <f t="shared" si="1"/>
        <v>Sin necesidades registradas</v>
      </c>
    </row>
    <row r="108" spans="1:6" ht="22.8" x14ac:dyDescent="0.3">
      <c r="A108" s="15" t="s">
        <v>1963</v>
      </c>
      <c r="B108" s="15" t="s">
        <v>1964</v>
      </c>
      <c r="C108" s="15" t="s">
        <v>1965</v>
      </c>
      <c r="D108" s="15">
        <f>COUNTIF('Formulación PDN 2027'!$H$7:$H$506,A108)</f>
        <v>0</v>
      </c>
      <c r="E108" s="43">
        <f>SUMIFS('Formulación PDN 2027'!$X$7:$X$506,'Formulación PDN 2027'!$H$7:$H$506,A108)</f>
        <v>0</v>
      </c>
      <c r="F108" s="15" t="str">
        <f t="shared" si="1"/>
        <v>Sin necesidades registradas</v>
      </c>
    </row>
    <row r="109" spans="1:6" ht="22.8" x14ac:dyDescent="0.3">
      <c r="A109" s="15" t="s">
        <v>1966</v>
      </c>
      <c r="B109" s="15" t="s">
        <v>1967</v>
      </c>
      <c r="C109" s="15" t="s">
        <v>1968</v>
      </c>
      <c r="D109" s="15">
        <f>COUNTIF('Formulación PDN 2027'!$H$7:$H$506,A109)</f>
        <v>0</v>
      </c>
      <c r="E109" s="43">
        <f>SUMIFS('Formulación PDN 2027'!$X$7:$X$506,'Formulación PDN 2027'!$H$7:$H$506,A109)</f>
        <v>0</v>
      </c>
      <c r="F109" s="15" t="str">
        <f t="shared" si="1"/>
        <v>Sin necesidades registradas</v>
      </c>
    </row>
    <row r="110" spans="1:6" ht="34.200000000000003" x14ac:dyDescent="0.3">
      <c r="A110" s="15" t="s">
        <v>1969</v>
      </c>
      <c r="B110" s="15" t="s">
        <v>1970</v>
      </c>
      <c r="C110" s="15" t="s">
        <v>1971</v>
      </c>
      <c r="D110" s="15">
        <f>COUNTIF('Formulación PDN 2027'!$H$7:$H$506,A110)</f>
        <v>0</v>
      </c>
      <c r="E110" s="43">
        <f>SUMIFS('Formulación PDN 2027'!$X$7:$X$506,'Formulación PDN 2027'!$H$7:$H$506,A110)</f>
        <v>0</v>
      </c>
      <c r="F110" s="15" t="str">
        <f t="shared" si="1"/>
        <v>Sin necesidades registradas</v>
      </c>
    </row>
    <row r="111" spans="1:6" ht="34.200000000000003" x14ac:dyDescent="0.3">
      <c r="A111" s="15" t="s">
        <v>1972</v>
      </c>
      <c r="B111" s="15" t="s">
        <v>1973</v>
      </c>
      <c r="C111" s="15" t="s">
        <v>1974</v>
      </c>
      <c r="D111" s="15">
        <f>COUNTIF('Formulación PDN 2027'!$H$7:$H$506,A111)</f>
        <v>0</v>
      </c>
      <c r="E111" s="43">
        <f>SUMIFS('Formulación PDN 2027'!$X$7:$X$506,'Formulación PDN 2027'!$H$7:$H$506,A111)</f>
        <v>0</v>
      </c>
      <c r="F111" s="15" t="str">
        <f t="shared" si="1"/>
        <v>Sin necesidades registradas</v>
      </c>
    </row>
    <row r="112" spans="1:6" ht="34.200000000000003" x14ac:dyDescent="0.3">
      <c r="A112" s="15" t="s">
        <v>1975</v>
      </c>
      <c r="B112" s="15" t="s">
        <v>1947</v>
      </c>
      <c r="C112" s="15" t="s">
        <v>1976</v>
      </c>
      <c r="D112" s="15">
        <f>COUNTIF('Formulación PDN 2027'!$H$7:$H$506,A112)</f>
        <v>0</v>
      </c>
      <c r="E112" s="43">
        <f>SUMIFS('Formulación PDN 2027'!$X$7:$X$506,'Formulación PDN 2027'!$H$7:$H$506,A112)</f>
        <v>0</v>
      </c>
      <c r="F112" s="15" t="str">
        <f t="shared" si="1"/>
        <v>Sin necesidades registradas</v>
      </c>
    </row>
    <row r="113" spans="1:6" ht="34.200000000000003" x14ac:dyDescent="0.3">
      <c r="A113" s="15" t="s">
        <v>1977</v>
      </c>
      <c r="B113" s="15" t="s">
        <v>1947</v>
      </c>
      <c r="C113" s="15" t="s">
        <v>1978</v>
      </c>
      <c r="D113" s="15">
        <f>COUNTIF('Formulación PDN 2027'!$H$7:$H$506,A113)</f>
        <v>0</v>
      </c>
      <c r="E113" s="43">
        <f>SUMIFS('Formulación PDN 2027'!$X$7:$X$506,'Formulación PDN 2027'!$H$7:$H$506,A113)</f>
        <v>0</v>
      </c>
      <c r="F113" s="15" t="str">
        <f t="shared" si="1"/>
        <v>Sin necesidades registradas</v>
      </c>
    </row>
  </sheetData>
  <sheetProtection password="CC6D" sheet="1" formatColumns="0" formatRows="0" autoFilter="0"/>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505"/>
  <sheetViews>
    <sheetView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8.6640625" defaultRowHeight="14.4" x14ac:dyDescent="0.3"/>
  <cols>
    <col min="1" max="1" width="12" customWidth="1"/>
    <col min="2" max="2" width="13" customWidth="1"/>
    <col min="3" max="3" width="16" customWidth="1"/>
    <col min="4" max="4" width="50" customWidth="1"/>
    <col min="5" max="6" width="13" customWidth="1"/>
    <col min="7" max="7" width="11" customWidth="1"/>
    <col min="8" max="8" width="12" customWidth="1"/>
    <col min="9" max="9" width="28" customWidth="1"/>
    <col min="10" max="10" width="30" customWidth="1"/>
    <col min="11" max="12" width="16" customWidth="1"/>
    <col min="13" max="13" width="11" customWidth="1"/>
    <col min="14" max="14" width="14" customWidth="1"/>
    <col min="15" max="15" width="16" customWidth="1"/>
    <col min="16" max="16" width="18" customWidth="1"/>
    <col min="17" max="17" width="22" customWidth="1"/>
    <col min="18" max="18" width="14" customWidth="1"/>
    <col min="19" max="19" width="24" customWidth="1"/>
    <col min="20" max="21" width="28" customWidth="1"/>
    <col min="22" max="22" width="10" customWidth="1"/>
    <col min="23" max="23" width="40" customWidth="1"/>
    <col min="24" max="24" width="14" customWidth="1"/>
    <col min="25" max="25" width="10" customWidth="1"/>
  </cols>
  <sheetData>
    <row r="1" spans="1:25" ht="17.399999999999999" x14ac:dyDescent="0.3">
      <c r="A1" s="10" t="s">
        <v>1979</v>
      </c>
    </row>
    <row r="2" spans="1:25" x14ac:dyDescent="0.3">
      <c r="A2" s="11" t="s">
        <v>1980</v>
      </c>
    </row>
    <row r="3" spans="1:25" x14ac:dyDescent="0.3">
      <c r="A3" s="22" t="s">
        <v>1981</v>
      </c>
    </row>
    <row r="4" spans="1:25" ht="15" customHeight="1" x14ac:dyDescent="0.3">
      <c r="A4" s="1" t="s">
        <v>1982</v>
      </c>
      <c r="B4" s="1"/>
      <c r="C4" s="1"/>
      <c r="D4" s="1"/>
      <c r="E4" s="1"/>
      <c r="F4" s="1"/>
      <c r="G4" s="1"/>
      <c r="H4" s="1"/>
      <c r="I4" s="1"/>
      <c r="J4" s="1"/>
      <c r="K4" s="1"/>
      <c r="L4" s="1"/>
      <c r="M4" s="1"/>
      <c r="N4" s="1"/>
      <c r="O4" s="1"/>
      <c r="P4" s="1"/>
      <c r="Q4" s="1"/>
      <c r="R4" s="1"/>
      <c r="S4" s="1"/>
      <c r="T4" s="3" t="s">
        <v>1983</v>
      </c>
      <c r="U4" s="3"/>
      <c r="V4" s="3"/>
      <c r="W4" s="3"/>
      <c r="X4" s="3"/>
      <c r="Y4" s="3"/>
    </row>
    <row r="5" spans="1:25" ht="66" customHeight="1" x14ac:dyDescent="0.3">
      <c r="A5" s="12" t="s">
        <v>39</v>
      </c>
      <c r="B5" s="12" t="s">
        <v>1984</v>
      </c>
      <c r="C5" s="12" t="s">
        <v>83</v>
      </c>
      <c r="D5" s="12" t="s">
        <v>1985</v>
      </c>
      <c r="E5" s="12" t="s">
        <v>1986</v>
      </c>
      <c r="F5" s="12" t="s">
        <v>1987</v>
      </c>
      <c r="G5" s="12" t="s">
        <v>752</v>
      </c>
      <c r="H5" s="12" t="s">
        <v>1988</v>
      </c>
      <c r="I5" s="12" t="s">
        <v>100</v>
      </c>
      <c r="J5" s="12" t="s">
        <v>754</v>
      </c>
      <c r="K5" s="12" t="s">
        <v>112</v>
      </c>
      <c r="L5" s="12" t="s">
        <v>1989</v>
      </c>
      <c r="M5" s="12" t="s">
        <v>1990</v>
      </c>
      <c r="N5" s="12" t="s">
        <v>1991</v>
      </c>
      <c r="O5" s="12" t="s">
        <v>1992</v>
      </c>
      <c r="P5" s="12" t="s">
        <v>1993</v>
      </c>
      <c r="Q5" s="12" t="s">
        <v>1994</v>
      </c>
      <c r="R5" s="12" t="s">
        <v>1995</v>
      </c>
      <c r="S5" s="12" t="s">
        <v>1996</v>
      </c>
      <c r="T5" s="24" t="s">
        <v>1997</v>
      </c>
      <c r="U5" s="24" t="s">
        <v>1998</v>
      </c>
      <c r="V5" s="24" t="s">
        <v>1999</v>
      </c>
      <c r="W5" s="24" t="s">
        <v>2000</v>
      </c>
      <c r="X5" s="24" t="s">
        <v>755</v>
      </c>
      <c r="Y5" s="24" t="s">
        <v>767</v>
      </c>
    </row>
    <row r="6" spans="1:25" x14ac:dyDescent="0.3">
      <c r="A6" s="15" t="str">
        <f>IFERROR(INDEX('Formulación PDN 2027'!$A$7:$A$506,MATCH(ROW()-5,'Formulación PDN 2027'!$AK$7:$AK$506,0))&amp;"","")</f>
        <v/>
      </c>
      <c r="B6" s="20" t="str">
        <f>IFERROR(INDEX('Formulación PDN 2027'!$M$7:$M$506,MATCH(ROW()-5,'Formulación PDN 2027'!$AK$7:$AK$506,0)),"")</f>
        <v/>
      </c>
      <c r="C6" s="15" t="str">
        <f>IFERROR(INDEX('Formulación PDN 2027'!$N$7:$N$506,MATCH(ROW()-5,'Formulación PDN 2027'!$AK$7:$AK$506,0))&amp;"","")</f>
        <v/>
      </c>
      <c r="D6" s="15" t="str">
        <f>IFERROR(INDEX('Formulación PDN 2027'!$L$7:$L$506,MATCH(ROW()-5,'Formulación PDN 2027'!$AK$7:$AK$506,0))&amp;"","")</f>
        <v/>
      </c>
      <c r="E6" s="15" t="str">
        <f>IFERROR(MATCH(INDEX('Formulación PDN 2027'!$O$7:$O$506,MATCH(ROW()-5,'Formulación PDN 2027'!$AK$7:$AK$506,0)),L_MESES,0),"")</f>
        <v/>
      </c>
      <c r="F6" s="15" t="str">
        <f>IFERROR(MATCH(INDEX('Formulación PDN 2027'!$P$7:$P$506,MATCH(ROW()-5,'Formulación PDN 2027'!$AK$7:$AK$506,0)),L_MESES,0),"")</f>
        <v/>
      </c>
      <c r="G6" s="15" t="str">
        <f>IFERROR(INDEX('Formulación PDN 2027'!$Q$7:$Q$506,MATCH(ROW()-5,'Formulación PDN 2027'!$AK$7:$AK$506,0)),"")</f>
        <v/>
      </c>
      <c r="H6" s="15" t="str">
        <f>IFERROR(INDEX('Formulación PDN 2027'!$R$7:$R$506,MATCH(ROW()-5,'Formulación PDN 2027'!$AK$7:$AK$506,0))&amp;"","")</f>
        <v/>
      </c>
      <c r="I6" s="15" t="str">
        <f>IFERROR(INDEX('Formulación PDN 2027'!$S$7:$S$506,MATCH(ROW()-5,'Formulación PDN 2027'!$AK$7:$AK$506,0))&amp;"","")</f>
        <v/>
      </c>
      <c r="J6" s="15" t="str">
        <f>IFERROR(INDEX('Formulación PDN 2027'!$T$7:$T$506,MATCH(ROW()-5,'Formulación PDN 2027'!$AK$7:$AK$506,0))&amp;"","")</f>
        <v/>
      </c>
      <c r="K6" s="43" t="str">
        <f>IFERROR(INDEX('Formulación PDN 2027'!$W$7:$W$506,MATCH(ROW()-5,'Formulación PDN 2027'!$AK$7:$AK$506,0)),"")</f>
        <v/>
      </c>
      <c r="L6" s="43" t="str">
        <f>IFERROR(INDEX('Formulación PDN 2027'!$X$7:$X$506,MATCH(ROW()-5,'Formulación PDN 2027'!$AK$7:$AK$506,0)),"")</f>
        <v/>
      </c>
      <c r="M6" s="15" t="str">
        <f>IFERROR(INDEX('Formulación PDN 2027'!$Y$7:$Y$506,MATCH(ROW()-5,'Formulación PDN 2027'!$AK$7:$AK$506,0))&amp;"","")</f>
        <v/>
      </c>
      <c r="N6" s="15" t="str">
        <f>IFERROR(INDEX('Formulación PDN 2027'!$Z$7:$Z$506,MATCH(ROW()-5,'Formulación PDN 2027'!$AK$7:$AK$506,0))&amp;"","")</f>
        <v/>
      </c>
      <c r="O6" s="15"/>
      <c r="P6" s="15" t="str">
        <f>IFERROR(INDEX('Formulación PDN 2027'!$AA$7:$AA$506,MATCH(ROW()-5,'Formulación PDN 2027'!$AK$7:$AK$506,0))&amp;"","")</f>
        <v/>
      </c>
      <c r="Q6" s="15" t="str">
        <f>IFERROR(INDEX('Formulación PDN 2027'!$AB$7:$AB$506,MATCH(ROW()-5,'Formulación PDN 2027'!$AK$7:$AK$506,0))&amp;"","")</f>
        <v/>
      </c>
      <c r="R6" s="15" t="str">
        <f>IFERROR(INDEX('Formulación PDN 2027'!$AD$7:$AD$506,MATCH(ROW()-5,'Formulación PDN 2027'!$AK$7:$AK$506,0))&amp;"","")</f>
        <v/>
      </c>
      <c r="S6" s="15" t="str">
        <f>IFERROR(INDEX('Formulación PDN 2027'!$AE$7:$AE$506,MATCH(ROW()-5,'Formulación PDN 2027'!$AK$7:$AK$506,0))&amp;"","")</f>
        <v/>
      </c>
      <c r="T6" s="15" t="str">
        <f>IFERROR(INDEX('Formulación PDN 2027'!$C$7:$C$506,MATCH(ROW()-5,'Formulación PDN 2027'!$AK$7:$AK$506,0))&amp;"","")</f>
        <v/>
      </c>
      <c r="U6" s="15" t="str">
        <f>IFERROR(INDEX('Formulación PDN 2027'!$B$7:$B$506,MATCH(ROW()-5,'Formulación PDN 2027'!$AK$7:$AK$506,0))&amp;"","")</f>
        <v/>
      </c>
      <c r="V6" s="15" t="str">
        <f>IFERROR(LEFT(INDEX('Formulación PDN 2027'!$E$7:$E$506,MATCH(ROW()-5,'Formulación PDN 2027'!$AK$7:$AK$506,0)),7),"")</f>
        <v/>
      </c>
      <c r="W6" s="15" t="str">
        <f>IFERROR(INDEX('Formulación PDN 2027'!$H$7:$H$506,MATCH(ROW()-5,'Formulación PDN 2027'!$AK$7:$AK$506,0))&amp;"","")</f>
        <v/>
      </c>
      <c r="X6" s="15" t="str">
        <f>IFERROR(INDEX('Formulación PDN 2027'!$U$7:$U$506,MATCH(ROW()-5,'Formulación PDN 2027'!$AK$7:$AK$506,0))&amp;"","")</f>
        <v/>
      </c>
      <c r="Y6" s="15" t="str">
        <f>IFERROR(INDEX('Formulación PDN 2027'!$AH$7:$AH$506,MATCH(ROW()-5,'Formulación PDN 2027'!$AK$7:$AK$506,0))&amp;"","")</f>
        <v/>
      </c>
    </row>
    <row r="7" spans="1:25" x14ac:dyDescent="0.3">
      <c r="A7" s="15" t="str">
        <f>IFERROR(INDEX('Formulación PDN 2027'!$A$7:$A$506,MATCH(ROW()-5,'Formulación PDN 2027'!$AK$7:$AK$506,0))&amp;"","")</f>
        <v/>
      </c>
      <c r="B7" s="20" t="str">
        <f>IFERROR(INDEX('Formulación PDN 2027'!$M$7:$M$506,MATCH(ROW()-5,'Formulación PDN 2027'!$AK$7:$AK$506,0)),"")</f>
        <v/>
      </c>
      <c r="C7" s="15" t="str">
        <f>IFERROR(INDEX('Formulación PDN 2027'!$N$7:$N$506,MATCH(ROW()-5,'Formulación PDN 2027'!$AK$7:$AK$506,0))&amp;"","")</f>
        <v/>
      </c>
      <c r="D7" s="15" t="str">
        <f>IFERROR(INDEX('Formulación PDN 2027'!$L$7:$L$506,MATCH(ROW()-5,'Formulación PDN 2027'!$AK$7:$AK$506,0))&amp;"","")</f>
        <v/>
      </c>
      <c r="E7" s="15" t="str">
        <f>IFERROR(MATCH(INDEX('Formulación PDN 2027'!$O$7:$O$506,MATCH(ROW()-5,'Formulación PDN 2027'!$AK$7:$AK$506,0)),L_MESES,0),"")</f>
        <v/>
      </c>
      <c r="F7" s="15" t="str">
        <f>IFERROR(MATCH(INDEX('Formulación PDN 2027'!$P$7:$P$506,MATCH(ROW()-5,'Formulación PDN 2027'!$AK$7:$AK$506,0)),L_MESES,0),"")</f>
        <v/>
      </c>
      <c r="G7" s="15" t="str">
        <f>IFERROR(INDEX('Formulación PDN 2027'!$Q$7:$Q$506,MATCH(ROW()-5,'Formulación PDN 2027'!$AK$7:$AK$506,0)),"")</f>
        <v/>
      </c>
      <c r="H7" s="15" t="str">
        <f>IFERROR(INDEX('Formulación PDN 2027'!$R$7:$R$506,MATCH(ROW()-5,'Formulación PDN 2027'!$AK$7:$AK$506,0))&amp;"","")</f>
        <v/>
      </c>
      <c r="I7" s="15" t="str">
        <f>IFERROR(INDEX('Formulación PDN 2027'!$S$7:$S$506,MATCH(ROW()-5,'Formulación PDN 2027'!$AK$7:$AK$506,0))&amp;"","")</f>
        <v/>
      </c>
      <c r="J7" s="15" t="str">
        <f>IFERROR(INDEX('Formulación PDN 2027'!$T$7:$T$506,MATCH(ROW()-5,'Formulación PDN 2027'!$AK$7:$AK$506,0))&amp;"","")</f>
        <v/>
      </c>
      <c r="K7" s="43" t="str">
        <f>IFERROR(INDEX('Formulación PDN 2027'!$W$7:$W$506,MATCH(ROW()-5,'Formulación PDN 2027'!$AK$7:$AK$506,0)),"")</f>
        <v/>
      </c>
      <c r="L7" s="43" t="str">
        <f>IFERROR(INDEX('Formulación PDN 2027'!$X$7:$X$506,MATCH(ROW()-5,'Formulación PDN 2027'!$AK$7:$AK$506,0)),"")</f>
        <v/>
      </c>
      <c r="M7" s="15" t="str">
        <f>IFERROR(INDEX('Formulación PDN 2027'!$Y$7:$Y$506,MATCH(ROW()-5,'Formulación PDN 2027'!$AK$7:$AK$506,0))&amp;"","")</f>
        <v/>
      </c>
      <c r="N7" s="15" t="str">
        <f>IFERROR(INDEX('Formulación PDN 2027'!$Z$7:$Z$506,MATCH(ROW()-5,'Formulación PDN 2027'!$AK$7:$AK$506,0))&amp;"","")</f>
        <v/>
      </c>
      <c r="O7" s="15"/>
      <c r="P7" s="15" t="str">
        <f>IFERROR(INDEX('Formulación PDN 2027'!$AA$7:$AA$506,MATCH(ROW()-5,'Formulación PDN 2027'!$AK$7:$AK$506,0))&amp;"","")</f>
        <v/>
      </c>
      <c r="Q7" s="15" t="str">
        <f>IFERROR(INDEX('Formulación PDN 2027'!$AB$7:$AB$506,MATCH(ROW()-5,'Formulación PDN 2027'!$AK$7:$AK$506,0))&amp;"","")</f>
        <v/>
      </c>
      <c r="R7" s="15" t="str">
        <f>IFERROR(INDEX('Formulación PDN 2027'!$AD$7:$AD$506,MATCH(ROW()-5,'Formulación PDN 2027'!$AK$7:$AK$506,0))&amp;"","")</f>
        <v/>
      </c>
      <c r="S7" s="15" t="str">
        <f>IFERROR(INDEX('Formulación PDN 2027'!$AE$7:$AE$506,MATCH(ROW()-5,'Formulación PDN 2027'!$AK$7:$AK$506,0))&amp;"","")</f>
        <v/>
      </c>
      <c r="T7" s="15" t="str">
        <f>IFERROR(INDEX('Formulación PDN 2027'!$C$7:$C$506,MATCH(ROW()-5,'Formulación PDN 2027'!$AK$7:$AK$506,0))&amp;"","")</f>
        <v/>
      </c>
      <c r="U7" s="15" t="str">
        <f>IFERROR(INDEX('Formulación PDN 2027'!$B$7:$B$506,MATCH(ROW()-5,'Formulación PDN 2027'!$AK$7:$AK$506,0))&amp;"","")</f>
        <v/>
      </c>
      <c r="V7" s="15" t="str">
        <f>IFERROR(LEFT(INDEX('Formulación PDN 2027'!$E$7:$E$506,MATCH(ROW()-5,'Formulación PDN 2027'!$AK$7:$AK$506,0)),7),"")</f>
        <v/>
      </c>
      <c r="W7" s="15" t="str">
        <f>IFERROR(INDEX('Formulación PDN 2027'!$H$7:$H$506,MATCH(ROW()-5,'Formulación PDN 2027'!$AK$7:$AK$506,0))&amp;"","")</f>
        <v/>
      </c>
      <c r="X7" s="15" t="str">
        <f>IFERROR(INDEX('Formulación PDN 2027'!$U$7:$U$506,MATCH(ROW()-5,'Formulación PDN 2027'!$AK$7:$AK$506,0))&amp;"","")</f>
        <v/>
      </c>
      <c r="Y7" s="15" t="str">
        <f>IFERROR(INDEX('Formulación PDN 2027'!$AH$7:$AH$506,MATCH(ROW()-5,'Formulación PDN 2027'!$AK$7:$AK$506,0))&amp;"","")</f>
        <v/>
      </c>
    </row>
    <row r="8" spans="1:25" x14ac:dyDescent="0.3">
      <c r="A8" s="15" t="str">
        <f>IFERROR(INDEX('Formulación PDN 2027'!$A$7:$A$506,MATCH(ROW()-5,'Formulación PDN 2027'!$AK$7:$AK$506,0))&amp;"","")</f>
        <v/>
      </c>
      <c r="B8" s="20" t="str">
        <f>IFERROR(INDEX('Formulación PDN 2027'!$M$7:$M$506,MATCH(ROW()-5,'Formulación PDN 2027'!$AK$7:$AK$506,0)),"")</f>
        <v/>
      </c>
      <c r="C8" s="15" t="str">
        <f>IFERROR(INDEX('Formulación PDN 2027'!$N$7:$N$506,MATCH(ROW()-5,'Formulación PDN 2027'!$AK$7:$AK$506,0))&amp;"","")</f>
        <v/>
      </c>
      <c r="D8" s="15" t="str">
        <f>IFERROR(INDEX('Formulación PDN 2027'!$L$7:$L$506,MATCH(ROW()-5,'Formulación PDN 2027'!$AK$7:$AK$506,0))&amp;"","")</f>
        <v/>
      </c>
      <c r="E8" s="15" t="str">
        <f>IFERROR(MATCH(INDEX('Formulación PDN 2027'!$O$7:$O$506,MATCH(ROW()-5,'Formulación PDN 2027'!$AK$7:$AK$506,0)),L_MESES,0),"")</f>
        <v/>
      </c>
      <c r="F8" s="15" t="str">
        <f>IFERROR(MATCH(INDEX('Formulación PDN 2027'!$P$7:$P$506,MATCH(ROW()-5,'Formulación PDN 2027'!$AK$7:$AK$506,0)),L_MESES,0),"")</f>
        <v/>
      </c>
      <c r="G8" s="15" t="str">
        <f>IFERROR(INDEX('Formulación PDN 2027'!$Q$7:$Q$506,MATCH(ROW()-5,'Formulación PDN 2027'!$AK$7:$AK$506,0)),"")</f>
        <v/>
      </c>
      <c r="H8" s="15" t="str">
        <f>IFERROR(INDEX('Formulación PDN 2027'!$R$7:$R$506,MATCH(ROW()-5,'Formulación PDN 2027'!$AK$7:$AK$506,0))&amp;"","")</f>
        <v/>
      </c>
      <c r="I8" s="15" t="str">
        <f>IFERROR(INDEX('Formulación PDN 2027'!$S$7:$S$506,MATCH(ROW()-5,'Formulación PDN 2027'!$AK$7:$AK$506,0))&amp;"","")</f>
        <v/>
      </c>
      <c r="J8" s="15" t="str">
        <f>IFERROR(INDEX('Formulación PDN 2027'!$T$7:$T$506,MATCH(ROW()-5,'Formulación PDN 2027'!$AK$7:$AK$506,0))&amp;"","")</f>
        <v/>
      </c>
      <c r="K8" s="43" t="str">
        <f>IFERROR(INDEX('Formulación PDN 2027'!$W$7:$W$506,MATCH(ROW()-5,'Formulación PDN 2027'!$AK$7:$AK$506,0)),"")</f>
        <v/>
      </c>
      <c r="L8" s="43" t="str">
        <f>IFERROR(INDEX('Formulación PDN 2027'!$X$7:$X$506,MATCH(ROW()-5,'Formulación PDN 2027'!$AK$7:$AK$506,0)),"")</f>
        <v/>
      </c>
      <c r="M8" s="15" t="str">
        <f>IFERROR(INDEX('Formulación PDN 2027'!$Y$7:$Y$506,MATCH(ROW()-5,'Formulación PDN 2027'!$AK$7:$AK$506,0))&amp;"","")</f>
        <v/>
      </c>
      <c r="N8" s="15" t="str">
        <f>IFERROR(INDEX('Formulación PDN 2027'!$Z$7:$Z$506,MATCH(ROW()-5,'Formulación PDN 2027'!$AK$7:$AK$506,0))&amp;"","")</f>
        <v/>
      </c>
      <c r="O8" s="15"/>
      <c r="P8" s="15" t="str">
        <f>IFERROR(INDEX('Formulación PDN 2027'!$AA$7:$AA$506,MATCH(ROW()-5,'Formulación PDN 2027'!$AK$7:$AK$506,0))&amp;"","")</f>
        <v/>
      </c>
      <c r="Q8" s="15" t="str">
        <f>IFERROR(INDEX('Formulación PDN 2027'!$AB$7:$AB$506,MATCH(ROW()-5,'Formulación PDN 2027'!$AK$7:$AK$506,0))&amp;"","")</f>
        <v/>
      </c>
      <c r="R8" s="15" t="str">
        <f>IFERROR(INDEX('Formulación PDN 2027'!$AD$7:$AD$506,MATCH(ROW()-5,'Formulación PDN 2027'!$AK$7:$AK$506,0))&amp;"","")</f>
        <v/>
      </c>
      <c r="S8" s="15" t="str">
        <f>IFERROR(INDEX('Formulación PDN 2027'!$AE$7:$AE$506,MATCH(ROW()-5,'Formulación PDN 2027'!$AK$7:$AK$506,0))&amp;"","")</f>
        <v/>
      </c>
      <c r="T8" s="15" t="str">
        <f>IFERROR(INDEX('Formulación PDN 2027'!$C$7:$C$506,MATCH(ROW()-5,'Formulación PDN 2027'!$AK$7:$AK$506,0))&amp;"","")</f>
        <v/>
      </c>
      <c r="U8" s="15" t="str">
        <f>IFERROR(INDEX('Formulación PDN 2027'!$B$7:$B$506,MATCH(ROW()-5,'Formulación PDN 2027'!$AK$7:$AK$506,0))&amp;"","")</f>
        <v/>
      </c>
      <c r="V8" s="15" t="str">
        <f>IFERROR(LEFT(INDEX('Formulación PDN 2027'!$E$7:$E$506,MATCH(ROW()-5,'Formulación PDN 2027'!$AK$7:$AK$506,0)),7),"")</f>
        <v/>
      </c>
      <c r="W8" s="15" t="str">
        <f>IFERROR(INDEX('Formulación PDN 2027'!$H$7:$H$506,MATCH(ROW()-5,'Formulación PDN 2027'!$AK$7:$AK$506,0))&amp;"","")</f>
        <v/>
      </c>
      <c r="X8" s="15" t="str">
        <f>IFERROR(INDEX('Formulación PDN 2027'!$U$7:$U$506,MATCH(ROW()-5,'Formulación PDN 2027'!$AK$7:$AK$506,0))&amp;"","")</f>
        <v/>
      </c>
      <c r="Y8" s="15" t="str">
        <f>IFERROR(INDEX('Formulación PDN 2027'!$AH$7:$AH$506,MATCH(ROW()-5,'Formulación PDN 2027'!$AK$7:$AK$506,0))&amp;"","")</f>
        <v/>
      </c>
    </row>
    <row r="9" spans="1:25" x14ac:dyDescent="0.3">
      <c r="A9" s="15" t="str">
        <f>IFERROR(INDEX('Formulación PDN 2027'!$A$7:$A$506,MATCH(ROW()-5,'Formulación PDN 2027'!$AK$7:$AK$506,0))&amp;"","")</f>
        <v/>
      </c>
      <c r="B9" s="20" t="str">
        <f>IFERROR(INDEX('Formulación PDN 2027'!$M$7:$M$506,MATCH(ROW()-5,'Formulación PDN 2027'!$AK$7:$AK$506,0)),"")</f>
        <v/>
      </c>
      <c r="C9" s="15" t="str">
        <f>IFERROR(INDEX('Formulación PDN 2027'!$N$7:$N$506,MATCH(ROW()-5,'Formulación PDN 2027'!$AK$7:$AK$506,0))&amp;"","")</f>
        <v/>
      </c>
      <c r="D9" s="15" t="str">
        <f>IFERROR(INDEX('Formulación PDN 2027'!$L$7:$L$506,MATCH(ROW()-5,'Formulación PDN 2027'!$AK$7:$AK$506,0))&amp;"","")</f>
        <v/>
      </c>
      <c r="E9" s="15" t="str">
        <f>IFERROR(MATCH(INDEX('Formulación PDN 2027'!$O$7:$O$506,MATCH(ROW()-5,'Formulación PDN 2027'!$AK$7:$AK$506,0)),L_MESES,0),"")</f>
        <v/>
      </c>
      <c r="F9" s="15" t="str">
        <f>IFERROR(MATCH(INDEX('Formulación PDN 2027'!$P$7:$P$506,MATCH(ROW()-5,'Formulación PDN 2027'!$AK$7:$AK$506,0)),L_MESES,0),"")</f>
        <v/>
      </c>
      <c r="G9" s="15" t="str">
        <f>IFERROR(INDEX('Formulación PDN 2027'!$Q$7:$Q$506,MATCH(ROW()-5,'Formulación PDN 2027'!$AK$7:$AK$506,0)),"")</f>
        <v/>
      </c>
      <c r="H9" s="15" t="str">
        <f>IFERROR(INDEX('Formulación PDN 2027'!$R$7:$R$506,MATCH(ROW()-5,'Formulación PDN 2027'!$AK$7:$AK$506,0))&amp;"","")</f>
        <v/>
      </c>
      <c r="I9" s="15" t="str">
        <f>IFERROR(INDEX('Formulación PDN 2027'!$S$7:$S$506,MATCH(ROW()-5,'Formulación PDN 2027'!$AK$7:$AK$506,0))&amp;"","")</f>
        <v/>
      </c>
      <c r="J9" s="15" t="str">
        <f>IFERROR(INDEX('Formulación PDN 2027'!$T$7:$T$506,MATCH(ROW()-5,'Formulación PDN 2027'!$AK$7:$AK$506,0))&amp;"","")</f>
        <v/>
      </c>
      <c r="K9" s="43" t="str">
        <f>IFERROR(INDEX('Formulación PDN 2027'!$W$7:$W$506,MATCH(ROW()-5,'Formulación PDN 2027'!$AK$7:$AK$506,0)),"")</f>
        <v/>
      </c>
      <c r="L9" s="43" t="str">
        <f>IFERROR(INDEX('Formulación PDN 2027'!$X$7:$X$506,MATCH(ROW()-5,'Formulación PDN 2027'!$AK$7:$AK$506,0)),"")</f>
        <v/>
      </c>
      <c r="M9" s="15" t="str">
        <f>IFERROR(INDEX('Formulación PDN 2027'!$Y$7:$Y$506,MATCH(ROW()-5,'Formulación PDN 2027'!$AK$7:$AK$506,0))&amp;"","")</f>
        <v/>
      </c>
      <c r="N9" s="15" t="str">
        <f>IFERROR(INDEX('Formulación PDN 2027'!$Z$7:$Z$506,MATCH(ROW()-5,'Formulación PDN 2027'!$AK$7:$AK$506,0))&amp;"","")</f>
        <v/>
      </c>
      <c r="O9" s="15"/>
      <c r="P9" s="15" t="str">
        <f>IFERROR(INDEX('Formulación PDN 2027'!$AA$7:$AA$506,MATCH(ROW()-5,'Formulación PDN 2027'!$AK$7:$AK$506,0))&amp;"","")</f>
        <v/>
      </c>
      <c r="Q9" s="15" t="str">
        <f>IFERROR(INDEX('Formulación PDN 2027'!$AB$7:$AB$506,MATCH(ROW()-5,'Formulación PDN 2027'!$AK$7:$AK$506,0))&amp;"","")</f>
        <v/>
      </c>
      <c r="R9" s="15" t="str">
        <f>IFERROR(INDEX('Formulación PDN 2027'!$AD$7:$AD$506,MATCH(ROW()-5,'Formulación PDN 2027'!$AK$7:$AK$506,0))&amp;"","")</f>
        <v/>
      </c>
      <c r="S9" s="15" t="str">
        <f>IFERROR(INDEX('Formulación PDN 2027'!$AE$7:$AE$506,MATCH(ROW()-5,'Formulación PDN 2027'!$AK$7:$AK$506,0))&amp;"","")</f>
        <v/>
      </c>
      <c r="T9" s="15" t="str">
        <f>IFERROR(INDEX('Formulación PDN 2027'!$C$7:$C$506,MATCH(ROW()-5,'Formulación PDN 2027'!$AK$7:$AK$506,0))&amp;"","")</f>
        <v/>
      </c>
      <c r="U9" s="15" t="str">
        <f>IFERROR(INDEX('Formulación PDN 2027'!$B$7:$B$506,MATCH(ROW()-5,'Formulación PDN 2027'!$AK$7:$AK$506,0))&amp;"","")</f>
        <v/>
      </c>
      <c r="V9" s="15" t="str">
        <f>IFERROR(LEFT(INDEX('Formulación PDN 2027'!$E$7:$E$506,MATCH(ROW()-5,'Formulación PDN 2027'!$AK$7:$AK$506,0)),7),"")</f>
        <v/>
      </c>
      <c r="W9" s="15" t="str">
        <f>IFERROR(INDEX('Formulación PDN 2027'!$H$7:$H$506,MATCH(ROW()-5,'Formulación PDN 2027'!$AK$7:$AK$506,0))&amp;"","")</f>
        <v/>
      </c>
      <c r="X9" s="15" t="str">
        <f>IFERROR(INDEX('Formulación PDN 2027'!$U$7:$U$506,MATCH(ROW()-5,'Formulación PDN 2027'!$AK$7:$AK$506,0))&amp;"","")</f>
        <v/>
      </c>
      <c r="Y9" s="15" t="str">
        <f>IFERROR(INDEX('Formulación PDN 2027'!$AH$7:$AH$506,MATCH(ROW()-5,'Formulación PDN 2027'!$AK$7:$AK$506,0))&amp;"","")</f>
        <v/>
      </c>
    </row>
    <row r="10" spans="1:25" x14ac:dyDescent="0.3">
      <c r="A10" s="15" t="str">
        <f>IFERROR(INDEX('Formulación PDN 2027'!$A$7:$A$506,MATCH(ROW()-5,'Formulación PDN 2027'!$AK$7:$AK$506,0))&amp;"","")</f>
        <v/>
      </c>
      <c r="B10" s="20" t="str">
        <f>IFERROR(INDEX('Formulación PDN 2027'!$M$7:$M$506,MATCH(ROW()-5,'Formulación PDN 2027'!$AK$7:$AK$506,0)),"")</f>
        <v/>
      </c>
      <c r="C10" s="15" t="str">
        <f>IFERROR(INDEX('Formulación PDN 2027'!$N$7:$N$506,MATCH(ROW()-5,'Formulación PDN 2027'!$AK$7:$AK$506,0))&amp;"","")</f>
        <v/>
      </c>
      <c r="D10" s="15" t="str">
        <f>IFERROR(INDEX('Formulación PDN 2027'!$L$7:$L$506,MATCH(ROW()-5,'Formulación PDN 2027'!$AK$7:$AK$506,0))&amp;"","")</f>
        <v/>
      </c>
      <c r="E10" s="15" t="str">
        <f>IFERROR(MATCH(INDEX('Formulación PDN 2027'!$O$7:$O$506,MATCH(ROW()-5,'Formulación PDN 2027'!$AK$7:$AK$506,0)),L_MESES,0),"")</f>
        <v/>
      </c>
      <c r="F10" s="15" t="str">
        <f>IFERROR(MATCH(INDEX('Formulación PDN 2027'!$P$7:$P$506,MATCH(ROW()-5,'Formulación PDN 2027'!$AK$7:$AK$506,0)),L_MESES,0),"")</f>
        <v/>
      </c>
      <c r="G10" s="15" t="str">
        <f>IFERROR(INDEX('Formulación PDN 2027'!$Q$7:$Q$506,MATCH(ROW()-5,'Formulación PDN 2027'!$AK$7:$AK$506,0)),"")</f>
        <v/>
      </c>
      <c r="H10" s="15" t="str">
        <f>IFERROR(INDEX('Formulación PDN 2027'!$R$7:$R$506,MATCH(ROW()-5,'Formulación PDN 2027'!$AK$7:$AK$506,0))&amp;"","")</f>
        <v/>
      </c>
      <c r="I10" s="15" t="str">
        <f>IFERROR(INDEX('Formulación PDN 2027'!$S$7:$S$506,MATCH(ROW()-5,'Formulación PDN 2027'!$AK$7:$AK$506,0))&amp;"","")</f>
        <v/>
      </c>
      <c r="J10" s="15" t="str">
        <f>IFERROR(INDEX('Formulación PDN 2027'!$T$7:$T$506,MATCH(ROW()-5,'Formulación PDN 2027'!$AK$7:$AK$506,0))&amp;"","")</f>
        <v/>
      </c>
      <c r="K10" s="43" t="str">
        <f>IFERROR(INDEX('Formulación PDN 2027'!$W$7:$W$506,MATCH(ROW()-5,'Formulación PDN 2027'!$AK$7:$AK$506,0)),"")</f>
        <v/>
      </c>
      <c r="L10" s="43" t="str">
        <f>IFERROR(INDEX('Formulación PDN 2027'!$X$7:$X$506,MATCH(ROW()-5,'Formulación PDN 2027'!$AK$7:$AK$506,0)),"")</f>
        <v/>
      </c>
      <c r="M10" s="15" t="str">
        <f>IFERROR(INDEX('Formulación PDN 2027'!$Y$7:$Y$506,MATCH(ROW()-5,'Formulación PDN 2027'!$AK$7:$AK$506,0))&amp;"","")</f>
        <v/>
      </c>
      <c r="N10" s="15" t="str">
        <f>IFERROR(INDEX('Formulación PDN 2027'!$Z$7:$Z$506,MATCH(ROW()-5,'Formulación PDN 2027'!$AK$7:$AK$506,0))&amp;"","")</f>
        <v/>
      </c>
      <c r="O10" s="15"/>
      <c r="P10" s="15" t="str">
        <f>IFERROR(INDEX('Formulación PDN 2027'!$AA$7:$AA$506,MATCH(ROW()-5,'Formulación PDN 2027'!$AK$7:$AK$506,0))&amp;"","")</f>
        <v/>
      </c>
      <c r="Q10" s="15" t="str">
        <f>IFERROR(INDEX('Formulación PDN 2027'!$AB$7:$AB$506,MATCH(ROW()-5,'Formulación PDN 2027'!$AK$7:$AK$506,0))&amp;"","")</f>
        <v/>
      </c>
      <c r="R10" s="15" t="str">
        <f>IFERROR(INDEX('Formulación PDN 2027'!$AD$7:$AD$506,MATCH(ROW()-5,'Formulación PDN 2027'!$AK$7:$AK$506,0))&amp;"","")</f>
        <v/>
      </c>
      <c r="S10" s="15" t="str">
        <f>IFERROR(INDEX('Formulación PDN 2027'!$AE$7:$AE$506,MATCH(ROW()-5,'Formulación PDN 2027'!$AK$7:$AK$506,0))&amp;"","")</f>
        <v/>
      </c>
      <c r="T10" s="15" t="str">
        <f>IFERROR(INDEX('Formulación PDN 2027'!$C$7:$C$506,MATCH(ROW()-5,'Formulación PDN 2027'!$AK$7:$AK$506,0))&amp;"","")</f>
        <v/>
      </c>
      <c r="U10" s="15" t="str">
        <f>IFERROR(INDEX('Formulación PDN 2027'!$B$7:$B$506,MATCH(ROW()-5,'Formulación PDN 2027'!$AK$7:$AK$506,0))&amp;"","")</f>
        <v/>
      </c>
      <c r="V10" s="15" t="str">
        <f>IFERROR(LEFT(INDEX('Formulación PDN 2027'!$E$7:$E$506,MATCH(ROW()-5,'Formulación PDN 2027'!$AK$7:$AK$506,0)),7),"")</f>
        <v/>
      </c>
      <c r="W10" s="15" t="str">
        <f>IFERROR(INDEX('Formulación PDN 2027'!$H$7:$H$506,MATCH(ROW()-5,'Formulación PDN 2027'!$AK$7:$AK$506,0))&amp;"","")</f>
        <v/>
      </c>
      <c r="X10" s="15" t="str">
        <f>IFERROR(INDEX('Formulación PDN 2027'!$U$7:$U$506,MATCH(ROW()-5,'Formulación PDN 2027'!$AK$7:$AK$506,0))&amp;"","")</f>
        <v/>
      </c>
      <c r="Y10" s="15" t="str">
        <f>IFERROR(INDEX('Formulación PDN 2027'!$AH$7:$AH$506,MATCH(ROW()-5,'Formulación PDN 2027'!$AK$7:$AK$506,0))&amp;"","")</f>
        <v/>
      </c>
    </row>
    <row r="11" spans="1:25" x14ac:dyDescent="0.3">
      <c r="A11" s="15" t="str">
        <f>IFERROR(INDEX('Formulación PDN 2027'!$A$7:$A$506,MATCH(ROW()-5,'Formulación PDN 2027'!$AK$7:$AK$506,0))&amp;"","")</f>
        <v/>
      </c>
      <c r="B11" s="20" t="str">
        <f>IFERROR(INDEX('Formulación PDN 2027'!$M$7:$M$506,MATCH(ROW()-5,'Formulación PDN 2027'!$AK$7:$AK$506,0)),"")</f>
        <v/>
      </c>
      <c r="C11" s="15" t="str">
        <f>IFERROR(INDEX('Formulación PDN 2027'!$N$7:$N$506,MATCH(ROW()-5,'Formulación PDN 2027'!$AK$7:$AK$506,0))&amp;"","")</f>
        <v/>
      </c>
      <c r="D11" s="15" t="str">
        <f>IFERROR(INDEX('Formulación PDN 2027'!$L$7:$L$506,MATCH(ROW()-5,'Formulación PDN 2027'!$AK$7:$AK$506,0))&amp;"","")</f>
        <v/>
      </c>
      <c r="E11" s="15" t="str">
        <f>IFERROR(MATCH(INDEX('Formulación PDN 2027'!$O$7:$O$506,MATCH(ROW()-5,'Formulación PDN 2027'!$AK$7:$AK$506,0)),L_MESES,0),"")</f>
        <v/>
      </c>
      <c r="F11" s="15" t="str">
        <f>IFERROR(MATCH(INDEX('Formulación PDN 2027'!$P$7:$P$506,MATCH(ROW()-5,'Formulación PDN 2027'!$AK$7:$AK$506,0)),L_MESES,0),"")</f>
        <v/>
      </c>
      <c r="G11" s="15" t="str">
        <f>IFERROR(INDEX('Formulación PDN 2027'!$Q$7:$Q$506,MATCH(ROW()-5,'Formulación PDN 2027'!$AK$7:$AK$506,0)),"")</f>
        <v/>
      </c>
      <c r="H11" s="15" t="str">
        <f>IFERROR(INDEX('Formulación PDN 2027'!$R$7:$R$506,MATCH(ROW()-5,'Formulación PDN 2027'!$AK$7:$AK$506,0))&amp;"","")</f>
        <v/>
      </c>
      <c r="I11" s="15" t="str">
        <f>IFERROR(INDEX('Formulación PDN 2027'!$S$7:$S$506,MATCH(ROW()-5,'Formulación PDN 2027'!$AK$7:$AK$506,0))&amp;"","")</f>
        <v/>
      </c>
      <c r="J11" s="15" t="str">
        <f>IFERROR(INDEX('Formulación PDN 2027'!$T$7:$T$506,MATCH(ROW()-5,'Formulación PDN 2027'!$AK$7:$AK$506,0))&amp;"","")</f>
        <v/>
      </c>
      <c r="K11" s="43" t="str">
        <f>IFERROR(INDEX('Formulación PDN 2027'!$W$7:$W$506,MATCH(ROW()-5,'Formulación PDN 2027'!$AK$7:$AK$506,0)),"")</f>
        <v/>
      </c>
      <c r="L11" s="43" t="str">
        <f>IFERROR(INDEX('Formulación PDN 2027'!$X$7:$X$506,MATCH(ROW()-5,'Formulación PDN 2027'!$AK$7:$AK$506,0)),"")</f>
        <v/>
      </c>
      <c r="M11" s="15" t="str">
        <f>IFERROR(INDEX('Formulación PDN 2027'!$Y$7:$Y$506,MATCH(ROW()-5,'Formulación PDN 2027'!$AK$7:$AK$506,0))&amp;"","")</f>
        <v/>
      </c>
      <c r="N11" s="15" t="str">
        <f>IFERROR(INDEX('Formulación PDN 2027'!$Z$7:$Z$506,MATCH(ROW()-5,'Formulación PDN 2027'!$AK$7:$AK$506,0))&amp;"","")</f>
        <v/>
      </c>
      <c r="O11" s="15"/>
      <c r="P11" s="15" t="str">
        <f>IFERROR(INDEX('Formulación PDN 2027'!$AA$7:$AA$506,MATCH(ROW()-5,'Formulación PDN 2027'!$AK$7:$AK$506,0))&amp;"","")</f>
        <v/>
      </c>
      <c r="Q11" s="15" t="str">
        <f>IFERROR(INDEX('Formulación PDN 2027'!$AB$7:$AB$506,MATCH(ROW()-5,'Formulación PDN 2027'!$AK$7:$AK$506,0))&amp;"","")</f>
        <v/>
      </c>
      <c r="R11" s="15" t="str">
        <f>IFERROR(INDEX('Formulación PDN 2027'!$AD$7:$AD$506,MATCH(ROW()-5,'Formulación PDN 2027'!$AK$7:$AK$506,0))&amp;"","")</f>
        <v/>
      </c>
      <c r="S11" s="15" t="str">
        <f>IFERROR(INDEX('Formulación PDN 2027'!$AE$7:$AE$506,MATCH(ROW()-5,'Formulación PDN 2027'!$AK$7:$AK$506,0))&amp;"","")</f>
        <v/>
      </c>
      <c r="T11" s="15" t="str">
        <f>IFERROR(INDEX('Formulación PDN 2027'!$C$7:$C$506,MATCH(ROW()-5,'Formulación PDN 2027'!$AK$7:$AK$506,0))&amp;"","")</f>
        <v/>
      </c>
      <c r="U11" s="15" t="str">
        <f>IFERROR(INDEX('Formulación PDN 2027'!$B$7:$B$506,MATCH(ROW()-5,'Formulación PDN 2027'!$AK$7:$AK$506,0))&amp;"","")</f>
        <v/>
      </c>
      <c r="V11" s="15" t="str">
        <f>IFERROR(LEFT(INDEX('Formulación PDN 2027'!$E$7:$E$506,MATCH(ROW()-5,'Formulación PDN 2027'!$AK$7:$AK$506,0)),7),"")</f>
        <v/>
      </c>
      <c r="W11" s="15" t="str">
        <f>IFERROR(INDEX('Formulación PDN 2027'!$H$7:$H$506,MATCH(ROW()-5,'Formulación PDN 2027'!$AK$7:$AK$506,0))&amp;"","")</f>
        <v/>
      </c>
      <c r="X11" s="15" t="str">
        <f>IFERROR(INDEX('Formulación PDN 2027'!$U$7:$U$506,MATCH(ROW()-5,'Formulación PDN 2027'!$AK$7:$AK$506,0))&amp;"","")</f>
        <v/>
      </c>
      <c r="Y11" s="15" t="str">
        <f>IFERROR(INDEX('Formulación PDN 2027'!$AH$7:$AH$506,MATCH(ROW()-5,'Formulación PDN 2027'!$AK$7:$AK$506,0))&amp;"","")</f>
        <v/>
      </c>
    </row>
    <row r="12" spans="1:25" x14ac:dyDescent="0.3">
      <c r="A12" s="15" t="str">
        <f>IFERROR(INDEX('Formulación PDN 2027'!$A$7:$A$506,MATCH(ROW()-5,'Formulación PDN 2027'!$AK$7:$AK$506,0))&amp;"","")</f>
        <v/>
      </c>
      <c r="B12" s="20" t="str">
        <f>IFERROR(INDEX('Formulación PDN 2027'!$M$7:$M$506,MATCH(ROW()-5,'Formulación PDN 2027'!$AK$7:$AK$506,0)),"")</f>
        <v/>
      </c>
      <c r="C12" s="15" t="str">
        <f>IFERROR(INDEX('Formulación PDN 2027'!$N$7:$N$506,MATCH(ROW()-5,'Formulación PDN 2027'!$AK$7:$AK$506,0))&amp;"","")</f>
        <v/>
      </c>
      <c r="D12" s="15" t="str">
        <f>IFERROR(INDEX('Formulación PDN 2027'!$L$7:$L$506,MATCH(ROW()-5,'Formulación PDN 2027'!$AK$7:$AK$506,0))&amp;"","")</f>
        <v/>
      </c>
      <c r="E12" s="15" t="str">
        <f>IFERROR(MATCH(INDEX('Formulación PDN 2027'!$O$7:$O$506,MATCH(ROW()-5,'Formulación PDN 2027'!$AK$7:$AK$506,0)),L_MESES,0),"")</f>
        <v/>
      </c>
      <c r="F12" s="15" t="str">
        <f>IFERROR(MATCH(INDEX('Formulación PDN 2027'!$P$7:$P$506,MATCH(ROW()-5,'Formulación PDN 2027'!$AK$7:$AK$506,0)),L_MESES,0),"")</f>
        <v/>
      </c>
      <c r="G12" s="15" t="str">
        <f>IFERROR(INDEX('Formulación PDN 2027'!$Q$7:$Q$506,MATCH(ROW()-5,'Formulación PDN 2027'!$AK$7:$AK$506,0)),"")</f>
        <v/>
      </c>
      <c r="H12" s="15" t="str">
        <f>IFERROR(INDEX('Formulación PDN 2027'!$R$7:$R$506,MATCH(ROW()-5,'Formulación PDN 2027'!$AK$7:$AK$506,0))&amp;"","")</f>
        <v/>
      </c>
      <c r="I12" s="15" t="str">
        <f>IFERROR(INDEX('Formulación PDN 2027'!$S$7:$S$506,MATCH(ROW()-5,'Formulación PDN 2027'!$AK$7:$AK$506,0))&amp;"","")</f>
        <v/>
      </c>
      <c r="J12" s="15" t="str">
        <f>IFERROR(INDEX('Formulación PDN 2027'!$T$7:$T$506,MATCH(ROW()-5,'Formulación PDN 2027'!$AK$7:$AK$506,0))&amp;"","")</f>
        <v/>
      </c>
      <c r="K12" s="43" t="str">
        <f>IFERROR(INDEX('Formulación PDN 2027'!$W$7:$W$506,MATCH(ROW()-5,'Formulación PDN 2027'!$AK$7:$AK$506,0)),"")</f>
        <v/>
      </c>
      <c r="L12" s="43" t="str">
        <f>IFERROR(INDEX('Formulación PDN 2027'!$X$7:$X$506,MATCH(ROW()-5,'Formulación PDN 2027'!$AK$7:$AK$506,0)),"")</f>
        <v/>
      </c>
      <c r="M12" s="15" t="str">
        <f>IFERROR(INDEX('Formulación PDN 2027'!$Y$7:$Y$506,MATCH(ROW()-5,'Formulación PDN 2027'!$AK$7:$AK$506,0))&amp;"","")</f>
        <v/>
      </c>
      <c r="N12" s="15" t="str">
        <f>IFERROR(INDEX('Formulación PDN 2027'!$Z$7:$Z$506,MATCH(ROW()-5,'Formulación PDN 2027'!$AK$7:$AK$506,0))&amp;"","")</f>
        <v/>
      </c>
      <c r="O12" s="15"/>
      <c r="P12" s="15" t="str">
        <f>IFERROR(INDEX('Formulación PDN 2027'!$AA$7:$AA$506,MATCH(ROW()-5,'Formulación PDN 2027'!$AK$7:$AK$506,0))&amp;"","")</f>
        <v/>
      </c>
      <c r="Q12" s="15" t="str">
        <f>IFERROR(INDEX('Formulación PDN 2027'!$AB$7:$AB$506,MATCH(ROW()-5,'Formulación PDN 2027'!$AK$7:$AK$506,0))&amp;"","")</f>
        <v/>
      </c>
      <c r="R12" s="15" t="str">
        <f>IFERROR(INDEX('Formulación PDN 2027'!$AD$7:$AD$506,MATCH(ROW()-5,'Formulación PDN 2027'!$AK$7:$AK$506,0))&amp;"","")</f>
        <v/>
      </c>
      <c r="S12" s="15" t="str">
        <f>IFERROR(INDEX('Formulación PDN 2027'!$AE$7:$AE$506,MATCH(ROW()-5,'Formulación PDN 2027'!$AK$7:$AK$506,0))&amp;"","")</f>
        <v/>
      </c>
      <c r="T12" s="15" t="str">
        <f>IFERROR(INDEX('Formulación PDN 2027'!$C$7:$C$506,MATCH(ROW()-5,'Formulación PDN 2027'!$AK$7:$AK$506,0))&amp;"","")</f>
        <v/>
      </c>
      <c r="U12" s="15" t="str">
        <f>IFERROR(INDEX('Formulación PDN 2027'!$B$7:$B$506,MATCH(ROW()-5,'Formulación PDN 2027'!$AK$7:$AK$506,0))&amp;"","")</f>
        <v/>
      </c>
      <c r="V12" s="15" t="str">
        <f>IFERROR(LEFT(INDEX('Formulación PDN 2027'!$E$7:$E$506,MATCH(ROW()-5,'Formulación PDN 2027'!$AK$7:$AK$506,0)),7),"")</f>
        <v/>
      </c>
      <c r="W12" s="15" t="str">
        <f>IFERROR(INDEX('Formulación PDN 2027'!$H$7:$H$506,MATCH(ROW()-5,'Formulación PDN 2027'!$AK$7:$AK$506,0))&amp;"","")</f>
        <v/>
      </c>
      <c r="X12" s="15" t="str">
        <f>IFERROR(INDEX('Formulación PDN 2027'!$U$7:$U$506,MATCH(ROW()-5,'Formulación PDN 2027'!$AK$7:$AK$506,0))&amp;"","")</f>
        <v/>
      </c>
      <c r="Y12" s="15" t="str">
        <f>IFERROR(INDEX('Formulación PDN 2027'!$AH$7:$AH$506,MATCH(ROW()-5,'Formulación PDN 2027'!$AK$7:$AK$506,0))&amp;"","")</f>
        <v/>
      </c>
    </row>
    <row r="13" spans="1:25" x14ac:dyDescent="0.3">
      <c r="A13" s="15" t="str">
        <f>IFERROR(INDEX('Formulación PDN 2027'!$A$7:$A$506,MATCH(ROW()-5,'Formulación PDN 2027'!$AK$7:$AK$506,0))&amp;"","")</f>
        <v/>
      </c>
      <c r="B13" s="20" t="str">
        <f>IFERROR(INDEX('Formulación PDN 2027'!$M$7:$M$506,MATCH(ROW()-5,'Formulación PDN 2027'!$AK$7:$AK$506,0)),"")</f>
        <v/>
      </c>
      <c r="C13" s="15" t="str">
        <f>IFERROR(INDEX('Formulación PDN 2027'!$N$7:$N$506,MATCH(ROW()-5,'Formulación PDN 2027'!$AK$7:$AK$506,0))&amp;"","")</f>
        <v/>
      </c>
      <c r="D13" s="15" t="str">
        <f>IFERROR(INDEX('Formulación PDN 2027'!$L$7:$L$506,MATCH(ROW()-5,'Formulación PDN 2027'!$AK$7:$AK$506,0))&amp;"","")</f>
        <v/>
      </c>
      <c r="E13" s="15" t="str">
        <f>IFERROR(MATCH(INDEX('Formulación PDN 2027'!$O$7:$O$506,MATCH(ROW()-5,'Formulación PDN 2027'!$AK$7:$AK$506,0)),L_MESES,0),"")</f>
        <v/>
      </c>
      <c r="F13" s="15" t="str">
        <f>IFERROR(MATCH(INDEX('Formulación PDN 2027'!$P$7:$P$506,MATCH(ROW()-5,'Formulación PDN 2027'!$AK$7:$AK$506,0)),L_MESES,0),"")</f>
        <v/>
      </c>
      <c r="G13" s="15" t="str">
        <f>IFERROR(INDEX('Formulación PDN 2027'!$Q$7:$Q$506,MATCH(ROW()-5,'Formulación PDN 2027'!$AK$7:$AK$506,0)),"")</f>
        <v/>
      </c>
      <c r="H13" s="15" t="str">
        <f>IFERROR(INDEX('Formulación PDN 2027'!$R$7:$R$506,MATCH(ROW()-5,'Formulación PDN 2027'!$AK$7:$AK$506,0))&amp;"","")</f>
        <v/>
      </c>
      <c r="I13" s="15" t="str">
        <f>IFERROR(INDEX('Formulación PDN 2027'!$S$7:$S$506,MATCH(ROW()-5,'Formulación PDN 2027'!$AK$7:$AK$506,0))&amp;"","")</f>
        <v/>
      </c>
      <c r="J13" s="15" t="str">
        <f>IFERROR(INDEX('Formulación PDN 2027'!$T$7:$T$506,MATCH(ROW()-5,'Formulación PDN 2027'!$AK$7:$AK$506,0))&amp;"","")</f>
        <v/>
      </c>
      <c r="K13" s="43" t="str">
        <f>IFERROR(INDEX('Formulación PDN 2027'!$W$7:$W$506,MATCH(ROW()-5,'Formulación PDN 2027'!$AK$7:$AK$506,0)),"")</f>
        <v/>
      </c>
      <c r="L13" s="43" t="str">
        <f>IFERROR(INDEX('Formulación PDN 2027'!$X$7:$X$506,MATCH(ROW()-5,'Formulación PDN 2027'!$AK$7:$AK$506,0)),"")</f>
        <v/>
      </c>
      <c r="M13" s="15" t="str">
        <f>IFERROR(INDEX('Formulación PDN 2027'!$Y$7:$Y$506,MATCH(ROW()-5,'Formulación PDN 2027'!$AK$7:$AK$506,0))&amp;"","")</f>
        <v/>
      </c>
      <c r="N13" s="15" t="str">
        <f>IFERROR(INDEX('Formulación PDN 2027'!$Z$7:$Z$506,MATCH(ROW()-5,'Formulación PDN 2027'!$AK$7:$AK$506,0))&amp;"","")</f>
        <v/>
      </c>
      <c r="O13" s="15"/>
      <c r="P13" s="15" t="str">
        <f>IFERROR(INDEX('Formulación PDN 2027'!$AA$7:$AA$506,MATCH(ROW()-5,'Formulación PDN 2027'!$AK$7:$AK$506,0))&amp;"","")</f>
        <v/>
      </c>
      <c r="Q13" s="15" t="str">
        <f>IFERROR(INDEX('Formulación PDN 2027'!$AB$7:$AB$506,MATCH(ROW()-5,'Formulación PDN 2027'!$AK$7:$AK$506,0))&amp;"","")</f>
        <v/>
      </c>
      <c r="R13" s="15" t="str">
        <f>IFERROR(INDEX('Formulación PDN 2027'!$AD$7:$AD$506,MATCH(ROW()-5,'Formulación PDN 2027'!$AK$7:$AK$506,0))&amp;"","")</f>
        <v/>
      </c>
      <c r="S13" s="15" t="str">
        <f>IFERROR(INDEX('Formulación PDN 2027'!$AE$7:$AE$506,MATCH(ROW()-5,'Formulación PDN 2027'!$AK$7:$AK$506,0))&amp;"","")</f>
        <v/>
      </c>
      <c r="T13" s="15" t="str">
        <f>IFERROR(INDEX('Formulación PDN 2027'!$C$7:$C$506,MATCH(ROW()-5,'Formulación PDN 2027'!$AK$7:$AK$506,0))&amp;"","")</f>
        <v/>
      </c>
      <c r="U13" s="15" t="str">
        <f>IFERROR(INDEX('Formulación PDN 2027'!$B$7:$B$506,MATCH(ROW()-5,'Formulación PDN 2027'!$AK$7:$AK$506,0))&amp;"","")</f>
        <v/>
      </c>
      <c r="V13" s="15" t="str">
        <f>IFERROR(LEFT(INDEX('Formulación PDN 2027'!$E$7:$E$506,MATCH(ROW()-5,'Formulación PDN 2027'!$AK$7:$AK$506,0)),7),"")</f>
        <v/>
      </c>
      <c r="W13" s="15" t="str">
        <f>IFERROR(INDEX('Formulación PDN 2027'!$H$7:$H$506,MATCH(ROW()-5,'Formulación PDN 2027'!$AK$7:$AK$506,0))&amp;"","")</f>
        <v/>
      </c>
      <c r="X13" s="15" t="str">
        <f>IFERROR(INDEX('Formulación PDN 2027'!$U$7:$U$506,MATCH(ROW()-5,'Formulación PDN 2027'!$AK$7:$AK$506,0))&amp;"","")</f>
        <v/>
      </c>
      <c r="Y13" s="15" t="str">
        <f>IFERROR(INDEX('Formulación PDN 2027'!$AH$7:$AH$506,MATCH(ROW()-5,'Formulación PDN 2027'!$AK$7:$AK$506,0))&amp;"","")</f>
        <v/>
      </c>
    </row>
    <row r="14" spans="1:25" x14ac:dyDescent="0.3">
      <c r="A14" s="15" t="str">
        <f>IFERROR(INDEX('Formulación PDN 2027'!$A$7:$A$506,MATCH(ROW()-5,'Formulación PDN 2027'!$AK$7:$AK$506,0))&amp;"","")</f>
        <v/>
      </c>
      <c r="B14" s="20" t="str">
        <f>IFERROR(INDEX('Formulación PDN 2027'!$M$7:$M$506,MATCH(ROW()-5,'Formulación PDN 2027'!$AK$7:$AK$506,0)),"")</f>
        <v/>
      </c>
      <c r="C14" s="15" t="str">
        <f>IFERROR(INDEX('Formulación PDN 2027'!$N$7:$N$506,MATCH(ROW()-5,'Formulación PDN 2027'!$AK$7:$AK$506,0))&amp;"","")</f>
        <v/>
      </c>
      <c r="D14" s="15" t="str">
        <f>IFERROR(INDEX('Formulación PDN 2027'!$L$7:$L$506,MATCH(ROW()-5,'Formulación PDN 2027'!$AK$7:$AK$506,0))&amp;"","")</f>
        <v/>
      </c>
      <c r="E14" s="15" t="str">
        <f>IFERROR(MATCH(INDEX('Formulación PDN 2027'!$O$7:$O$506,MATCH(ROW()-5,'Formulación PDN 2027'!$AK$7:$AK$506,0)),L_MESES,0),"")</f>
        <v/>
      </c>
      <c r="F14" s="15" t="str">
        <f>IFERROR(MATCH(INDEX('Formulación PDN 2027'!$P$7:$P$506,MATCH(ROW()-5,'Formulación PDN 2027'!$AK$7:$AK$506,0)),L_MESES,0),"")</f>
        <v/>
      </c>
      <c r="G14" s="15" t="str">
        <f>IFERROR(INDEX('Formulación PDN 2027'!$Q$7:$Q$506,MATCH(ROW()-5,'Formulación PDN 2027'!$AK$7:$AK$506,0)),"")</f>
        <v/>
      </c>
      <c r="H14" s="15" t="str">
        <f>IFERROR(INDEX('Formulación PDN 2027'!$R$7:$R$506,MATCH(ROW()-5,'Formulación PDN 2027'!$AK$7:$AK$506,0))&amp;"","")</f>
        <v/>
      </c>
      <c r="I14" s="15" t="str">
        <f>IFERROR(INDEX('Formulación PDN 2027'!$S$7:$S$506,MATCH(ROW()-5,'Formulación PDN 2027'!$AK$7:$AK$506,0))&amp;"","")</f>
        <v/>
      </c>
      <c r="J14" s="15" t="str">
        <f>IFERROR(INDEX('Formulación PDN 2027'!$T$7:$T$506,MATCH(ROW()-5,'Formulación PDN 2027'!$AK$7:$AK$506,0))&amp;"","")</f>
        <v/>
      </c>
      <c r="K14" s="43" t="str">
        <f>IFERROR(INDEX('Formulación PDN 2027'!$W$7:$W$506,MATCH(ROW()-5,'Formulación PDN 2027'!$AK$7:$AK$506,0)),"")</f>
        <v/>
      </c>
      <c r="L14" s="43" t="str">
        <f>IFERROR(INDEX('Formulación PDN 2027'!$X$7:$X$506,MATCH(ROW()-5,'Formulación PDN 2027'!$AK$7:$AK$506,0)),"")</f>
        <v/>
      </c>
      <c r="M14" s="15" t="str">
        <f>IFERROR(INDEX('Formulación PDN 2027'!$Y$7:$Y$506,MATCH(ROW()-5,'Formulación PDN 2027'!$AK$7:$AK$506,0))&amp;"","")</f>
        <v/>
      </c>
      <c r="N14" s="15" t="str">
        <f>IFERROR(INDEX('Formulación PDN 2027'!$Z$7:$Z$506,MATCH(ROW()-5,'Formulación PDN 2027'!$AK$7:$AK$506,0))&amp;"","")</f>
        <v/>
      </c>
      <c r="O14" s="15"/>
      <c r="P14" s="15" t="str">
        <f>IFERROR(INDEX('Formulación PDN 2027'!$AA$7:$AA$506,MATCH(ROW()-5,'Formulación PDN 2027'!$AK$7:$AK$506,0))&amp;"","")</f>
        <v/>
      </c>
      <c r="Q14" s="15" t="str">
        <f>IFERROR(INDEX('Formulación PDN 2027'!$AB$7:$AB$506,MATCH(ROW()-5,'Formulación PDN 2027'!$AK$7:$AK$506,0))&amp;"","")</f>
        <v/>
      </c>
      <c r="R14" s="15" t="str">
        <f>IFERROR(INDEX('Formulación PDN 2027'!$AD$7:$AD$506,MATCH(ROW()-5,'Formulación PDN 2027'!$AK$7:$AK$506,0))&amp;"","")</f>
        <v/>
      </c>
      <c r="S14" s="15" t="str">
        <f>IFERROR(INDEX('Formulación PDN 2027'!$AE$7:$AE$506,MATCH(ROW()-5,'Formulación PDN 2027'!$AK$7:$AK$506,0))&amp;"","")</f>
        <v/>
      </c>
      <c r="T14" s="15" t="str">
        <f>IFERROR(INDEX('Formulación PDN 2027'!$C$7:$C$506,MATCH(ROW()-5,'Formulación PDN 2027'!$AK$7:$AK$506,0))&amp;"","")</f>
        <v/>
      </c>
      <c r="U14" s="15" t="str">
        <f>IFERROR(INDEX('Formulación PDN 2027'!$B$7:$B$506,MATCH(ROW()-5,'Formulación PDN 2027'!$AK$7:$AK$506,0))&amp;"","")</f>
        <v/>
      </c>
      <c r="V14" s="15" t="str">
        <f>IFERROR(LEFT(INDEX('Formulación PDN 2027'!$E$7:$E$506,MATCH(ROW()-5,'Formulación PDN 2027'!$AK$7:$AK$506,0)),7),"")</f>
        <v/>
      </c>
      <c r="W14" s="15" t="str">
        <f>IFERROR(INDEX('Formulación PDN 2027'!$H$7:$H$506,MATCH(ROW()-5,'Formulación PDN 2027'!$AK$7:$AK$506,0))&amp;"","")</f>
        <v/>
      </c>
      <c r="X14" s="15" t="str">
        <f>IFERROR(INDEX('Formulación PDN 2027'!$U$7:$U$506,MATCH(ROW()-5,'Formulación PDN 2027'!$AK$7:$AK$506,0))&amp;"","")</f>
        <v/>
      </c>
      <c r="Y14" s="15" t="str">
        <f>IFERROR(INDEX('Formulación PDN 2027'!$AH$7:$AH$506,MATCH(ROW()-5,'Formulación PDN 2027'!$AK$7:$AK$506,0))&amp;"","")</f>
        <v/>
      </c>
    </row>
    <row r="15" spans="1:25" x14ac:dyDescent="0.3">
      <c r="A15" s="15" t="str">
        <f>IFERROR(INDEX('Formulación PDN 2027'!$A$7:$A$506,MATCH(ROW()-5,'Formulación PDN 2027'!$AK$7:$AK$506,0))&amp;"","")</f>
        <v/>
      </c>
      <c r="B15" s="20" t="str">
        <f>IFERROR(INDEX('Formulación PDN 2027'!$M$7:$M$506,MATCH(ROW()-5,'Formulación PDN 2027'!$AK$7:$AK$506,0)),"")</f>
        <v/>
      </c>
      <c r="C15" s="15" t="str">
        <f>IFERROR(INDEX('Formulación PDN 2027'!$N$7:$N$506,MATCH(ROW()-5,'Formulación PDN 2027'!$AK$7:$AK$506,0))&amp;"","")</f>
        <v/>
      </c>
      <c r="D15" s="15" t="str">
        <f>IFERROR(INDEX('Formulación PDN 2027'!$L$7:$L$506,MATCH(ROW()-5,'Formulación PDN 2027'!$AK$7:$AK$506,0))&amp;"","")</f>
        <v/>
      </c>
      <c r="E15" s="15" t="str">
        <f>IFERROR(MATCH(INDEX('Formulación PDN 2027'!$O$7:$O$506,MATCH(ROW()-5,'Formulación PDN 2027'!$AK$7:$AK$506,0)),L_MESES,0),"")</f>
        <v/>
      </c>
      <c r="F15" s="15" t="str">
        <f>IFERROR(MATCH(INDEX('Formulación PDN 2027'!$P$7:$P$506,MATCH(ROW()-5,'Formulación PDN 2027'!$AK$7:$AK$506,0)),L_MESES,0),"")</f>
        <v/>
      </c>
      <c r="G15" s="15" t="str">
        <f>IFERROR(INDEX('Formulación PDN 2027'!$Q$7:$Q$506,MATCH(ROW()-5,'Formulación PDN 2027'!$AK$7:$AK$506,0)),"")</f>
        <v/>
      </c>
      <c r="H15" s="15" t="str">
        <f>IFERROR(INDEX('Formulación PDN 2027'!$R$7:$R$506,MATCH(ROW()-5,'Formulación PDN 2027'!$AK$7:$AK$506,0))&amp;"","")</f>
        <v/>
      </c>
      <c r="I15" s="15" t="str">
        <f>IFERROR(INDEX('Formulación PDN 2027'!$S$7:$S$506,MATCH(ROW()-5,'Formulación PDN 2027'!$AK$7:$AK$506,0))&amp;"","")</f>
        <v/>
      </c>
      <c r="J15" s="15" t="str">
        <f>IFERROR(INDEX('Formulación PDN 2027'!$T$7:$T$506,MATCH(ROW()-5,'Formulación PDN 2027'!$AK$7:$AK$506,0))&amp;"","")</f>
        <v/>
      </c>
      <c r="K15" s="43" t="str">
        <f>IFERROR(INDEX('Formulación PDN 2027'!$W$7:$W$506,MATCH(ROW()-5,'Formulación PDN 2027'!$AK$7:$AK$506,0)),"")</f>
        <v/>
      </c>
      <c r="L15" s="43" t="str">
        <f>IFERROR(INDEX('Formulación PDN 2027'!$X$7:$X$506,MATCH(ROW()-5,'Formulación PDN 2027'!$AK$7:$AK$506,0)),"")</f>
        <v/>
      </c>
      <c r="M15" s="15" t="str">
        <f>IFERROR(INDEX('Formulación PDN 2027'!$Y$7:$Y$506,MATCH(ROW()-5,'Formulación PDN 2027'!$AK$7:$AK$506,0))&amp;"","")</f>
        <v/>
      </c>
      <c r="N15" s="15" t="str">
        <f>IFERROR(INDEX('Formulación PDN 2027'!$Z$7:$Z$506,MATCH(ROW()-5,'Formulación PDN 2027'!$AK$7:$AK$506,0))&amp;"","")</f>
        <v/>
      </c>
      <c r="O15" s="15"/>
      <c r="P15" s="15" t="str">
        <f>IFERROR(INDEX('Formulación PDN 2027'!$AA$7:$AA$506,MATCH(ROW()-5,'Formulación PDN 2027'!$AK$7:$AK$506,0))&amp;"","")</f>
        <v/>
      </c>
      <c r="Q15" s="15" t="str">
        <f>IFERROR(INDEX('Formulación PDN 2027'!$AB$7:$AB$506,MATCH(ROW()-5,'Formulación PDN 2027'!$AK$7:$AK$506,0))&amp;"","")</f>
        <v/>
      </c>
      <c r="R15" s="15" t="str">
        <f>IFERROR(INDEX('Formulación PDN 2027'!$AD$7:$AD$506,MATCH(ROW()-5,'Formulación PDN 2027'!$AK$7:$AK$506,0))&amp;"","")</f>
        <v/>
      </c>
      <c r="S15" s="15" t="str">
        <f>IFERROR(INDEX('Formulación PDN 2027'!$AE$7:$AE$506,MATCH(ROW()-5,'Formulación PDN 2027'!$AK$7:$AK$506,0))&amp;"","")</f>
        <v/>
      </c>
      <c r="T15" s="15" t="str">
        <f>IFERROR(INDEX('Formulación PDN 2027'!$C$7:$C$506,MATCH(ROW()-5,'Formulación PDN 2027'!$AK$7:$AK$506,0))&amp;"","")</f>
        <v/>
      </c>
      <c r="U15" s="15" t="str">
        <f>IFERROR(INDEX('Formulación PDN 2027'!$B$7:$B$506,MATCH(ROW()-5,'Formulación PDN 2027'!$AK$7:$AK$506,0))&amp;"","")</f>
        <v/>
      </c>
      <c r="V15" s="15" t="str">
        <f>IFERROR(LEFT(INDEX('Formulación PDN 2027'!$E$7:$E$506,MATCH(ROW()-5,'Formulación PDN 2027'!$AK$7:$AK$506,0)),7),"")</f>
        <v/>
      </c>
      <c r="W15" s="15" t="str">
        <f>IFERROR(INDEX('Formulación PDN 2027'!$H$7:$H$506,MATCH(ROW()-5,'Formulación PDN 2027'!$AK$7:$AK$506,0))&amp;"","")</f>
        <v/>
      </c>
      <c r="X15" s="15" t="str">
        <f>IFERROR(INDEX('Formulación PDN 2027'!$U$7:$U$506,MATCH(ROW()-5,'Formulación PDN 2027'!$AK$7:$AK$506,0))&amp;"","")</f>
        <v/>
      </c>
      <c r="Y15" s="15" t="str">
        <f>IFERROR(INDEX('Formulación PDN 2027'!$AH$7:$AH$506,MATCH(ROW()-5,'Formulación PDN 2027'!$AK$7:$AK$506,0))&amp;"","")</f>
        <v/>
      </c>
    </row>
    <row r="16" spans="1:25" x14ac:dyDescent="0.3">
      <c r="A16" s="15" t="str">
        <f>IFERROR(INDEX('Formulación PDN 2027'!$A$7:$A$506,MATCH(ROW()-5,'Formulación PDN 2027'!$AK$7:$AK$506,0))&amp;"","")</f>
        <v/>
      </c>
      <c r="B16" s="20" t="str">
        <f>IFERROR(INDEX('Formulación PDN 2027'!$M$7:$M$506,MATCH(ROW()-5,'Formulación PDN 2027'!$AK$7:$AK$506,0)),"")</f>
        <v/>
      </c>
      <c r="C16" s="15" t="str">
        <f>IFERROR(INDEX('Formulación PDN 2027'!$N$7:$N$506,MATCH(ROW()-5,'Formulación PDN 2027'!$AK$7:$AK$506,0))&amp;"","")</f>
        <v/>
      </c>
      <c r="D16" s="15" t="str">
        <f>IFERROR(INDEX('Formulación PDN 2027'!$L$7:$L$506,MATCH(ROW()-5,'Formulación PDN 2027'!$AK$7:$AK$506,0))&amp;"","")</f>
        <v/>
      </c>
      <c r="E16" s="15" t="str">
        <f>IFERROR(MATCH(INDEX('Formulación PDN 2027'!$O$7:$O$506,MATCH(ROW()-5,'Formulación PDN 2027'!$AK$7:$AK$506,0)),L_MESES,0),"")</f>
        <v/>
      </c>
      <c r="F16" s="15" t="str">
        <f>IFERROR(MATCH(INDEX('Formulación PDN 2027'!$P$7:$P$506,MATCH(ROW()-5,'Formulación PDN 2027'!$AK$7:$AK$506,0)),L_MESES,0),"")</f>
        <v/>
      </c>
      <c r="G16" s="15" t="str">
        <f>IFERROR(INDEX('Formulación PDN 2027'!$Q$7:$Q$506,MATCH(ROW()-5,'Formulación PDN 2027'!$AK$7:$AK$506,0)),"")</f>
        <v/>
      </c>
      <c r="H16" s="15" t="str">
        <f>IFERROR(INDEX('Formulación PDN 2027'!$R$7:$R$506,MATCH(ROW()-5,'Formulación PDN 2027'!$AK$7:$AK$506,0))&amp;"","")</f>
        <v/>
      </c>
      <c r="I16" s="15" t="str">
        <f>IFERROR(INDEX('Formulación PDN 2027'!$S$7:$S$506,MATCH(ROW()-5,'Formulación PDN 2027'!$AK$7:$AK$506,0))&amp;"","")</f>
        <v/>
      </c>
      <c r="J16" s="15" t="str">
        <f>IFERROR(INDEX('Formulación PDN 2027'!$T$7:$T$506,MATCH(ROW()-5,'Formulación PDN 2027'!$AK$7:$AK$506,0))&amp;"","")</f>
        <v/>
      </c>
      <c r="K16" s="43" t="str">
        <f>IFERROR(INDEX('Formulación PDN 2027'!$W$7:$W$506,MATCH(ROW()-5,'Formulación PDN 2027'!$AK$7:$AK$506,0)),"")</f>
        <v/>
      </c>
      <c r="L16" s="43" t="str">
        <f>IFERROR(INDEX('Formulación PDN 2027'!$X$7:$X$506,MATCH(ROW()-5,'Formulación PDN 2027'!$AK$7:$AK$506,0)),"")</f>
        <v/>
      </c>
      <c r="M16" s="15" t="str">
        <f>IFERROR(INDEX('Formulación PDN 2027'!$Y$7:$Y$506,MATCH(ROW()-5,'Formulación PDN 2027'!$AK$7:$AK$506,0))&amp;"","")</f>
        <v/>
      </c>
      <c r="N16" s="15" t="str">
        <f>IFERROR(INDEX('Formulación PDN 2027'!$Z$7:$Z$506,MATCH(ROW()-5,'Formulación PDN 2027'!$AK$7:$AK$506,0))&amp;"","")</f>
        <v/>
      </c>
      <c r="O16" s="15"/>
      <c r="P16" s="15" t="str">
        <f>IFERROR(INDEX('Formulación PDN 2027'!$AA$7:$AA$506,MATCH(ROW()-5,'Formulación PDN 2027'!$AK$7:$AK$506,0))&amp;"","")</f>
        <v/>
      </c>
      <c r="Q16" s="15" t="str">
        <f>IFERROR(INDEX('Formulación PDN 2027'!$AB$7:$AB$506,MATCH(ROW()-5,'Formulación PDN 2027'!$AK$7:$AK$506,0))&amp;"","")</f>
        <v/>
      </c>
      <c r="R16" s="15" t="str">
        <f>IFERROR(INDEX('Formulación PDN 2027'!$AD$7:$AD$506,MATCH(ROW()-5,'Formulación PDN 2027'!$AK$7:$AK$506,0))&amp;"","")</f>
        <v/>
      </c>
      <c r="S16" s="15" t="str">
        <f>IFERROR(INDEX('Formulación PDN 2027'!$AE$7:$AE$506,MATCH(ROW()-5,'Formulación PDN 2027'!$AK$7:$AK$506,0))&amp;"","")</f>
        <v/>
      </c>
      <c r="T16" s="15" t="str">
        <f>IFERROR(INDEX('Formulación PDN 2027'!$C$7:$C$506,MATCH(ROW()-5,'Formulación PDN 2027'!$AK$7:$AK$506,0))&amp;"","")</f>
        <v/>
      </c>
      <c r="U16" s="15" t="str">
        <f>IFERROR(INDEX('Formulación PDN 2027'!$B$7:$B$506,MATCH(ROW()-5,'Formulación PDN 2027'!$AK$7:$AK$506,0))&amp;"","")</f>
        <v/>
      </c>
      <c r="V16" s="15" t="str">
        <f>IFERROR(LEFT(INDEX('Formulación PDN 2027'!$E$7:$E$506,MATCH(ROW()-5,'Formulación PDN 2027'!$AK$7:$AK$506,0)),7),"")</f>
        <v/>
      </c>
      <c r="W16" s="15" t="str">
        <f>IFERROR(INDEX('Formulación PDN 2027'!$H$7:$H$506,MATCH(ROW()-5,'Formulación PDN 2027'!$AK$7:$AK$506,0))&amp;"","")</f>
        <v/>
      </c>
      <c r="X16" s="15" t="str">
        <f>IFERROR(INDEX('Formulación PDN 2027'!$U$7:$U$506,MATCH(ROW()-5,'Formulación PDN 2027'!$AK$7:$AK$506,0))&amp;"","")</f>
        <v/>
      </c>
      <c r="Y16" s="15" t="str">
        <f>IFERROR(INDEX('Formulación PDN 2027'!$AH$7:$AH$506,MATCH(ROW()-5,'Formulación PDN 2027'!$AK$7:$AK$506,0))&amp;"","")</f>
        <v/>
      </c>
    </row>
    <row r="17" spans="1:25" x14ac:dyDescent="0.3">
      <c r="A17" s="15" t="str">
        <f>IFERROR(INDEX('Formulación PDN 2027'!$A$7:$A$506,MATCH(ROW()-5,'Formulación PDN 2027'!$AK$7:$AK$506,0))&amp;"","")</f>
        <v/>
      </c>
      <c r="B17" s="20" t="str">
        <f>IFERROR(INDEX('Formulación PDN 2027'!$M$7:$M$506,MATCH(ROW()-5,'Formulación PDN 2027'!$AK$7:$AK$506,0)),"")</f>
        <v/>
      </c>
      <c r="C17" s="15" t="str">
        <f>IFERROR(INDEX('Formulación PDN 2027'!$N$7:$N$506,MATCH(ROW()-5,'Formulación PDN 2027'!$AK$7:$AK$506,0))&amp;"","")</f>
        <v/>
      </c>
      <c r="D17" s="15" t="str">
        <f>IFERROR(INDEX('Formulación PDN 2027'!$L$7:$L$506,MATCH(ROW()-5,'Formulación PDN 2027'!$AK$7:$AK$506,0))&amp;"","")</f>
        <v/>
      </c>
      <c r="E17" s="15" t="str">
        <f>IFERROR(MATCH(INDEX('Formulación PDN 2027'!$O$7:$O$506,MATCH(ROW()-5,'Formulación PDN 2027'!$AK$7:$AK$506,0)),L_MESES,0),"")</f>
        <v/>
      </c>
      <c r="F17" s="15" t="str">
        <f>IFERROR(MATCH(INDEX('Formulación PDN 2027'!$P$7:$P$506,MATCH(ROW()-5,'Formulación PDN 2027'!$AK$7:$AK$506,0)),L_MESES,0),"")</f>
        <v/>
      </c>
      <c r="G17" s="15" t="str">
        <f>IFERROR(INDEX('Formulación PDN 2027'!$Q$7:$Q$506,MATCH(ROW()-5,'Formulación PDN 2027'!$AK$7:$AK$506,0)),"")</f>
        <v/>
      </c>
      <c r="H17" s="15" t="str">
        <f>IFERROR(INDEX('Formulación PDN 2027'!$R$7:$R$506,MATCH(ROW()-5,'Formulación PDN 2027'!$AK$7:$AK$506,0))&amp;"","")</f>
        <v/>
      </c>
      <c r="I17" s="15" t="str">
        <f>IFERROR(INDEX('Formulación PDN 2027'!$S$7:$S$506,MATCH(ROW()-5,'Formulación PDN 2027'!$AK$7:$AK$506,0))&amp;"","")</f>
        <v/>
      </c>
      <c r="J17" s="15" t="str">
        <f>IFERROR(INDEX('Formulación PDN 2027'!$T$7:$T$506,MATCH(ROW()-5,'Formulación PDN 2027'!$AK$7:$AK$506,0))&amp;"","")</f>
        <v/>
      </c>
      <c r="K17" s="43" t="str">
        <f>IFERROR(INDEX('Formulación PDN 2027'!$W$7:$W$506,MATCH(ROW()-5,'Formulación PDN 2027'!$AK$7:$AK$506,0)),"")</f>
        <v/>
      </c>
      <c r="L17" s="43" t="str">
        <f>IFERROR(INDEX('Formulación PDN 2027'!$X$7:$X$506,MATCH(ROW()-5,'Formulación PDN 2027'!$AK$7:$AK$506,0)),"")</f>
        <v/>
      </c>
      <c r="M17" s="15" t="str">
        <f>IFERROR(INDEX('Formulación PDN 2027'!$Y$7:$Y$506,MATCH(ROW()-5,'Formulación PDN 2027'!$AK$7:$AK$506,0))&amp;"","")</f>
        <v/>
      </c>
      <c r="N17" s="15" t="str">
        <f>IFERROR(INDEX('Formulación PDN 2027'!$Z$7:$Z$506,MATCH(ROW()-5,'Formulación PDN 2027'!$AK$7:$AK$506,0))&amp;"","")</f>
        <v/>
      </c>
      <c r="O17" s="15"/>
      <c r="P17" s="15" t="str">
        <f>IFERROR(INDEX('Formulación PDN 2027'!$AA$7:$AA$506,MATCH(ROW()-5,'Formulación PDN 2027'!$AK$7:$AK$506,0))&amp;"","")</f>
        <v/>
      </c>
      <c r="Q17" s="15" t="str">
        <f>IFERROR(INDEX('Formulación PDN 2027'!$AB$7:$AB$506,MATCH(ROW()-5,'Formulación PDN 2027'!$AK$7:$AK$506,0))&amp;"","")</f>
        <v/>
      </c>
      <c r="R17" s="15" t="str">
        <f>IFERROR(INDEX('Formulación PDN 2027'!$AD$7:$AD$506,MATCH(ROW()-5,'Formulación PDN 2027'!$AK$7:$AK$506,0))&amp;"","")</f>
        <v/>
      </c>
      <c r="S17" s="15" t="str">
        <f>IFERROR(INDEX('Formulación PDN 2027'!$AE$7:$AE$506,MATCH(ROW()-5,'Formulación PDN 2027'!$AK$7:$AK$506,0))&amp;"","")</f>
        <v/>
      </c>
      <c r="T17" s="15" t="str">
        <f>IFERROR(INDEX('Formulación PDN 2027'!$C$7:$C$506,MATCH(ROW()-5,'Formulación PDN 2027'!$AK$7:$AK$506,0))&amp;"","")</f>
        <v/>
      </c>
      <c r="U17" s="15" t="str">
        <f>IFERROR(INDEX('Formulación PDN 2027'!$B$7:$B$506,MATCH(ROW()-5,'Formulación PDN 2027'!$AK$7:$AK$506,0))&amp;"","")</f>
        <v/>
      </c>
      <c r="V17" s="15" t="str">
        <f>IFERROR(LEFT(INDEX('Formulación PDN 2027'!$E$7:$E$506,MATCH(ROW()-5,'Formulación PDN 2027'!$AK$7:$AK$506,0)),7),"")</f>
        <v/>
      </c>
      <c r="W17" s="15" t="str">
        <f>IFERROR(INDEX('Formulación PDN 2027'!$H$7:$H$506,MATCH(ROW()-5,'Formulación PDN 2027'!$AK$7:$AK$506,0))&amp;"","")</f>
        <v/>
      </c>
      <c r="X17" s="15" t="str">
        <f>IFERROR(INDEX('Formulación PDN 2027'!$U$7:$U$506,MATCH(ROW()-5,'Formulación PDN 2027'!$AK$7:$AK$506,0))&amp;"","")</f>
        <v/>
      </c>
      <c r="Y17" s="15" t="str">
        <f>IFERROR(INDEX('Formulación PDN 2027'!$AH$7:$AH$506,MATCH(ROW()-5,'Formulación PDN 2027'!$AK$7:$AK$506,0))&amp;"","")</f>
        <v/>
      </c>
    </row>
    <row r="18" spans="1:25" x14ac:dyDescent="0.3">
      <c r="A18" s="15" t="str">
        <f>IFERROR(INDEX('Formulación PDN 2027'!$A$7:$A$506,MATCH(ROW()-5,'Formulación PDN 2027'!$AK$7:$AK$506,0))&amp;"","")</f>
        <v/>
      </c>
      <c r="B18" s="20" t="str">
        <f>IFERROR(INDEX('Formulación PDN 2027'!$M$7:$M$506,MATCH(ROW()-5,'Formulación PDN 2027'!$AK$7:$AK$506,0)),"")</f>
        <v/>
      </c>
      <c r="C18" s="15" t="str">
        <f>IFERROR(INDEX('Formulación PDN 2027'!$N$7:$N$506,MATCH(ROW()-5,'Formulación PDN 2027'!$AK$7:$AK$506,0))&amp;"","")</f>
        <v/>
      </c>
      <c r="D18" s="15" t="str">
        <f>IFERROR(INDEX('Formulación PDN 2027'!$L$7:$L$506,MATCH(ROW()-5,'Formulación PDN 2027'!$AK$7:$AK$506,0))&amp;"","")</f>
        <v/>
      </c>
      <c r="E18" s="15" t="str">
        <f>IFERROR(MATCH(INDEX('Formulación PDN 2027'!$O$7:$O$506,MATCH(ROW()-5,'Formulación PDN 2027'!$AK$7:$AK$506,0)),L_MESES,0),"")</f>
        <v/>
      </c>
      <c r="F18" s="15" t="str">
        <f>IFERROR(MATCH(INDEX('Formulación PDN 2027'!$P$7:$P$506,MATCH(ROW()-5,'Formulación PDN 2027'!$AK$7:$AK$506,0)),L_MESES,0),"")</f>
        <v/>
      </c>
      <c r="G18" s="15" t="str">
        <f>IFERROR(INDEX('Formulación PDN 2027'!$Q$7:$Q$506,MATCH(ROW()-5,'Formulación PDN 2027'!$AK$7:$AK$506,0)),"")</f>
        <v/>
      </c>
      <c r="H18" s="15" t="str">
        <f>IFERROR(INDEX('Formulación PDN 2027'!$R$7:$R$506,MATCH(ROW()-5,'Formulación PDN 2027'!$AK$7:$AK$506,0))&amp;"","")</f>
        <v/>
      </c>
      <c r="I18" s="15" t="str">
        <f>IFERROR(INDEX('Formulación PDN 2027'!$S$7:$S$506,MATCH(ROW()-5,'Formulación PDN 2027'!$AK$7:$AK$506,0))&amp;"","")</f>
        <v/>
      </c>
      <c r="J18" s="15" t="str">
        <f>IFERROR(INDEX('Formulación PDN 2027'!$T$7:$T$506,MATCH(ROW()-5,'Formulación PDN 2027'!$AK$7:$AK$506,0))&amp;"","")</f>
        <v/>
      </c>
      <c r="K18" s="43" t="str">
        <f>IFERROR(INDEX('Formulación PDN 2027'!$W$7:$W$506,MATCH(ROW()-5,'Formulación PDN 2027'!$AK$7:$AK$506,0)),"")</f>
        <v/>
      </c>
      <c r="L18" s="43" t="str">
        <f>IFERROR(INDEX('Formulación PDN 2027'!$X$7:$X$506,MATCH(ROW()-5,'Formulación PDN 2027'!$AK$7:$AK$506,0)),"")</f>
        <v/>
      </c>
      <c r="M18" s="15" t="str">
        <f>IFERROR(INDEX('Formulación PDN 2027'!$Y$7:$Y$506,MATCH(ROW()-5,'Formulación PDN 2027'!$AK$7:$AK$506,0))&amp;"","")</f>
        <v/>
      </c>
      <c r="N18" s="15" t="str">
        <f>IFERROR(INDEX('Formulación PDN 2027'!$Z$7:$Z$506,MATCH(ROW()-5,'Formulación PDN 2027'!$AK$7:$AK$506,0))&amp;"","")</f>
        <v/>
      </c>
      <c r="O18" s="15"/>
      <c r="P18" s="15" t="str">
        <f>IFERROR(INDEX('Formulación PDN 2027'!$AA$7:$AA$506,MATCH(ROW()-5,'Formulación PDN 2027'!$AK$7:$AK$506,0))&amp;"","")</f>
        <v/>
      </c>
      <c r="Q18" s="15" t="str">
        <f>IFERROR(INDEX('Formulación PDN 2027'!$AB$7:$AB$506,MATCH(ROW()-5,'Formulación PDN 2027'!$AK$7:$AK$506,0))&amp;"","")</f>
        <v/>
      </c>
      <c r="R18" s="15" t="str">
        <f>IFERROR(INDEX('Formulación PDN 2027'!$AD$7:$AD$506,MATCH(ROW()-5,'Formulación PDN 2027'!$AK$7:$AK$506,0))&amp;"","")</f>
        <v/>
      </c>
      <c r="S18" s="15" t="str">
        <f>IFERROR(INDEX('Formulación PDN 2027'!$AE$7:$AE$506,MATCH(ROW()-5,'Formulación PDN 2027'!$AK$7:$AK$506,0))&amp;"","")</f>
        <v/>
      </c>
      <c r="T18" s="15" t="str">
        <f>IFERROR(INDEX('Formulación PDN 2027'!$C$7:$C$506,MATCH(ROW()-5,'Formulación PDN 2027'!$AK$7:$AK$506,0))&amp;"","")</f>
        <v/>
      </c>
      <c r="U18" s="15" t="str">
        <f>IFERROR(INDEX('Formulación PDN 2027'!$B$7:$B$506,MATCH(ROW()-5,'Formulación PDN 2027'!$AK$7:$AK$506,0))&amp;"","")</f>
        <v/>
      </c>
      <c r="V18" s="15" t="str">
        <f>IFERROR(LEFT(INDEX('Formulación PDN 2027'!$E$7:$E$506,MATCH(ROW()-5,'Formulación PDN 2027'!$AK$7:$AK$506,0)),7),"")</f>
        <v/>
      </c>
      <c r="W18" s="15" t="str">
        <f>IFERROR(INDEX('Formulación PDN 2027'!$H$7:$H$506,MATCH(ROW()-5,'Formulación PDN 2027'!$AK$7:$AK$506,0))&amp;"","")</f>
        <v/>
      </c>
      <c r="X18" s="15" t="str">
        <f>IFERROR(INDEX('Formulación PDN 2027'!$U$7:$U$506,MATCH(ROW()-5,'Formulación PDN 2027'!$AK$7:$AK$506,0))&amp;"","")</f>
        <v/>
      </c>
      <c r="Y18" s="15" t="str">
        <f>IFERROR(INDEX('Formulación PDN 2027'!$AH$7:$AH$506,MATCH(ROW()-5,'Formulación PDN 2027'!$AK$7:$AK$506,0))&amp;"","")</f>
        <v/>
      </c>
    </row>
    <row r="19" spans="1:25" x14ac:dyDescent="0.3">
      <c r="A19" s="15" t="str">
        <f>IFERROR(INDEX('Formulación PDN 2027'!$A$7:$A$506,MATCH(ROW()-5,'Formulación PDN 2027'!$AK$7:$AK$506,0))&amp;"","")</f>
        <v/>
      </c>
      <c r="B19" s="20" t="str">
        <f>IFERROR(INDEX('Formulación PDN 2027'!$M$7:$M$506,MATCH(ROW()-5,'Formulación PDN 2027'!$AK$7:$AK$506,0)),"")</f>
        <v/>
      </c>
      <c r="C19" s="15" t="str">
        <f>IFERROR(INDEX('Formulación PDN 2027'!$N$7:$N$506,MATCH(ROW()-5,'Formulación PDN 2027'!$AK$7:$AK$506,0))&amp;"","")</f>
        <v/>
      </c>
      <c r="D19" s="15" t="str">
        <f>IFERROR(INDEX('Formulación PDN 2027'!$L$7:$L$506,MATCH(ROW()-5,'Formulación PDN 2027'!$AK$7:$AK$506,0))&amp;"","")</f>
        <v/>
      </c>
      <c r="E19" s="15" t="str">
        <f>IFERROR(MATCH(INDEX('Formulación PDN 2027'!$O$7:$O$506,MATCH(ROW()-5,'Formulación PDN 2027'!$AK$7:$AK$506,0)),L_MESES,0),"")</f>
        <v/>
      </c>
      <c r="F19" s="15" t="str">
        <f>IFERROR(MATCH(INDEX('Formulación PDN 2027'!$P$7:$P$506,MATCH(ROW()-5,'Formulación PDN 2027'!$AK$7:$AK$506,0)),L_MESES,0),"")</f>
        <v/>
      </c>
      <c r="G19" s="15" t="str">
        <f>IFERROR(INDEX('Formulación PDN 2027'!$Q$7:$Q$506,MATCH(ROW()-5,'Formulación PDN 2027'!$AK$7:$AK$506,0)),"")</f>
        <v/>
      </c>
      <c r="H19" s="15" t="str">
        <f>IFERROR(INDEX('Formulación PDN 2027'!$R$7:$R$506,MATCH(ROW()-5,'Formulación PDN 2027'!$AK$7:$AK$506,0))&amp;"","")</f>
        <v/>
      </c>
      <c r="I19" s="15" t="str">
        <f>IFERROR(INDEX('Formulación PDN 2027'!$S$7:$S$506,MATCH(ROW()-5,'Formulación PDN 2027'!$AK$7:$AK$506,0))&amp;"","")</f>
        <v/>
      </c>
      <c r="J19" s="15" t="str">
        <f>IFERROR(INDEX('Formulación PDN 2027'!$T$7:$T$506,MATCH(ROW()-5,'Formulación PDN 2027'!$AK$7:$AK$506,0))&amp;"","")</f>
        <v/>
      </c>
      <c r="K19" s="43" t="str">
        <f>IFERROR(INDEX('Formulación PDN 2027'!$W$7:$W$506,MATCH(ROW()-5,'Formulación PDN 2027'!$AK$7:$AK$506,0)),"")</f>
        <v/>
      </c>
      <c r="L19" s="43" t="str">
        <f>IFERROR(INDEX('Formulación PDN 2027'!$X$7:$X$506,MATCH(ROW()-5,'Formulación PDN 2027'!$AK$7:$AK$506,0)),"")</f>
        <v/>
      </c>
      <c r="M19" s="15" t="str">
        <f>IFERROR(INDEX('Formulación PDN 2027'!$Y$7:$Y$506,MATCH(ROW()-5,'Formulación PDN 2027'!$AK$7:$AK$506,0))&amp;"","")</f>
        <v/>
      </c>
      <c r="N19" s="15" t="str">
        <f>IFERROR(INDEX('Formulación PDN 2027'!$Z$7:$Z$506,MATCH(ROW()-5,'Formulación PDN 2027'!$AK$7:$AK$506,0))&amp;"","")</f>
        <v/>
      </c>
      <c r="O19" s="15"/>
      <c r="P19" s="15" t="str">
        <f>IFERROR(INDEX('Formulación PDN 2027'!$AA$7:$AA$506,MATCH(ROW()-5,'Formulación PDN 2027'!$AK$7:$AK$506,0))&amp;"","")</f>
        <v/>
      </c>
      <c r="Q19" s="15" t="str">
        <f>IFERROR(INDEX('Formulación PDN 2027'!$AB$7:$AB$506,MATCH(ROW()-5,'Formulación PDN 2027'!$AK$7:$AK$506,0))&amp;"","")</f>
        <v/>
      </c>
      <c r="R19" s="15" t="str">
        <f>IFERROR(INDEX('Formulación PDN 2027'!$AD$7:$AD$506,MATCH(ROW()-5,'Formulación PDN 2027'!$AK$7:$AK$506,0))&amp;"","")</f>
        <v/>
      </c>
      <c r="S19" s="15" t="str">
        <f>IFERROR(INDEX('Formulación PDN 2027'!$AE$7:$AE$506,MATCH(ROW()-5,'Formulación PDN 2027'!$AK$7:$AK$506,0))&amp;"","")</f>
        <v/>
      </c>
      <c r="T19" s="15" t="str">
        <f>IFERROR(INDEX('Formulación PDN 2027'!$C$7:$C$506,MATCH(ROW()-5,'Formulación PDN 2027'!$AK$7:$AK$506,0))&amp;"","")</f>
        <v/>
      </c>
      <c r="U19" s="15" t="str">
        <f>IFERROR(INDEX('Formulación PDN 2027'!$B$7:$B$506,MATCH(ROW()-5,'Formulación PDN 2027'!$AK$7:$AK$506,0))&amp;"","")</f>
        <v/>
      </c>
      <c r="V19" s="15" t="str">
        <f>IFERROR(LEFT(INDEX('Formulación PDN 2027'!$E$7:$E$506,MATCH(ROW()-5,'Formulación PDN 2027'!$AK$7:$AK$506,0)),7),"")</f>
        <v/>
      </c>
      <c r="W19" s="15" t="str">
        <f>IFERROR(INDEX('Formulación PDN 2027'!$H$7:$H$506,MATCH(ROW()-5,'Formulación PDN 2027'!$AK$7:$AK$506,0))&amp;"","")</f>
        <v/>
      </c>
      <c r="X19" s="15" t="str">
        <f>IFERROR(INDEX('Formulación PDN 2027'!$U$7:$U$506,MATCH(ROW()-5,'Formulación PDN 2027'!$AK$7:$AK$506,0))&amp;"","")</f>
        <v/>
      </c>
      <c r="Y19" s="15" t="str">
        <f>IFERROR(INDEX('Formulación PDN 2027'!$AH$7:$AH$506,MATCH(ROW()-5,'Formulación PDN 2027'!$AK$7:$AK$506,0))&amp;"","")</f>
        <v/>
      </c>
    </row>
    <row r="20" spans="1:25" x14ac:dyDescent="0.3">
      <c r="A20" s="15" t="str">
        <f>IFERROR(INDEX('Formulación PDN 2027'!$A$7:$A$506,MATCH(ROW()-5,'Formulación PDN 2027'!$AK$7:$AK$506,0))&amp;"","")</f>
        <v/>
      </c>
      <c r="B20" s="20" t="str">
        <f>IFERROR(INDEX('Formulación PDN 2027'!$M$7:$M$506,MATCH(ROW()-5,'Formulación PDN 2027'!$AK$7:$AK$506,0)),"")</f>
        <v/>
      </c>
      <c r="C20" s="15" t="str">
        <f>IFERROR(INDEX('Formulación PDN 2027'!$N$7:$N$506,MATCH(ROW()-5,'Formulación PDN 2027'!$AK$7:$AK$506,0))&amp;"","")</f>
        <v/>
      </c>
      <c r="D20" s="15" t="str">
        <f>IFERROR(INDEX('Formulación PDN 2027'!$L$7:$L$506,MATCH(ROW()-5,'Formulación PDN 2027'!$AK$7:$AK$506,0))&amp;"","")</f>
        <v/>
      </c>
      <c r="E20" s="15" t="str">
        <f>IFERROR(MATCH(INDEX('Formulación PDN 2027'!$O$7:$O$506,MATCH(ROW()-5,'Formulación PDN 2027'!$AK$7:$AK$506,0)),L_MESES,0),"")</f>
        <v/>
      </c>
      <c r="F20" s="15" t="str">
        <f>IFERROR(MATCH(INDEX('Formulación PDN 2027'!$P$7:$P$506,MATCH(ROW()-5,'Formulación PDN 2027'!$AK$7:$AK$506,0)),L_MESES,0),"")</f>
        <v/>
      </c>
      <c r="G20" s="15" t="str">
        <f>IFERROR(INDEX('Formulación PDN 2027'!$Q$7:$Q$506,MATCH(ROW()-5,'Formulación PDN 2027'!$AK$7:$AK$506,0)),"")</f>
        <v/>
      </c>
      <c r="H20" s="15" t="str">
        <f>IFERROR(INDEX('Formulación PDN 2027'!$R$7:$R$506,MATCH(ROW()-5,'Formulación PDN 2027'!$AK$7:$AK$506,0))&amp;"","")</f>
        <v/>
      </c>
      <c r="I20" s="15" t="str">
        <f>IFERROR(INDEX('Formulación PDN 2027'!$S$7:$S$506,MATCH(ROW()-5,'Formulación PDN 2027'!$AK$7:$AK$506,0))&amp;"","")</f>
        <v/>
      </c>
      <c r="J20" s="15" t="str">
        <f>IFERROR(INDEX('Formulación PDN 2027'!$T$7:$T$506,MATCH(ROW()-5,'Formulación PDN 2027'!$AK$7:$AK$506,0))&amp;"","")</f>
        <v/>
      </c>
      <c r="K20" s="43" t="str">
        <f>IFERROR(INDEX('Formulación PDN 2027'!$W$7:$W$506,MATCH(ROW()-5,'Formulación PDN 2027'!$AK$7:$AK$506,0)),"")</f>
        <v/>
      </c>
      <c r="L20" s="43" t="str">
        <f>IFERROR(INDEX('Formulación PDN 2027'!$X$7:$X$506,MATCH(ROW()-5,'Formulación PDN 2027'!$AK$7:$AK$506,0)),"")</f>
        <v/>
      </c>
      <c r="M20" s="15" t="str">
        <f>IFERROR(INDEX('Formulación PDN 2027'!$Y$7:$Y$506,MATCH(ROW()-5,'Formulación PDN 2027'!$AK$7:$AK$506,0))&amp;"","")</f>
        <v/>
      </c>
      <c r="N20" s="15" t="str">
        <f>IFERROR(INDEX('Formulación PDN 2027'!$Z$7:$Z$506,MATCH(ROW()-5,'Formulación PDN 2027'!$AK$7:$AK$506,0))&amp;"","")</f>
        <v/>
      </c>
      <c r="O20" s="15"/>
      <c r="P20" s="15" t="str">
        <f>IFERROR(INDEX('Formulación PDN 2027'!$AA$7:$AA$506,MATCH(ROW()-5,'Formulación PDN 2027'!$AK$7:$AK$506,0))&amp;"","")</f>
        <v/>
      </c>
      <c r="Q20" s="15" t="str">
        <f>IFERROR(INDEX('Formulación PDN 2027'!$AB$7:$AB$506,MATCH(ROW()-5,'Formulación PDN 2027'!$AK$7:$AK$506,0))&amp;"","")</f>
        <v/>
      </c>
      <c r="R20" s="15" t="str">
        <f>IFERROR(INDEX('Formulación PDN 2027'!$AD$7:$AD$506,MATCH(ROW()-5,'Formulación PDN 2027'!$AK$7:$AK$506,0))&amp;"","")</f>
        <v/>
      </c>
      <c r="S20" s="15" t="str">
        <f>IFERROR(INDEX('Formulación PDN 2027'!$AE$7:$AE$506,MATCH(ROW()-5,'Formulación PDN 2027'!$AK$7:$AK$506,0))&amp;"","")</f>
        <v/>
      </c>
      <c r="T20" s="15" t="str">
        <f>IFERROR(INDEX('Formulación PDN 2027'!$C$7:$C$506,MATCH(ROW()-5,'Formulación PDN 2027'!$AK$7:$AK$506,0))&amp;"","")</f>
        <v/>
      </c>
      <c r="U20" s="15" t="str">
        <f>IFERROR(INDEX('Formulación PDN 2027'!$B$7:$B$506,MATCH(ROW()-5,'Formulación PDN 2027'!$AK$7:$AK$506,0))&amp;"","")</f>
        <v/>
      </c>
      <c r="V20" s="15" t="str">
        <f>IFERROR(LEFT(INDEX('Formulación PDN 2027'!$E$7:$E$506,MATCH(ROW()-5,'Formulación PDN 2027'!$AK$7:$AK$506,0)),7),"")</f>
        <v/>
      </c>
      <c r="W20" s="15" t="str">
        <f>IFERROR(INDEX('Formulación PDN 2027'!$H$7:$H$506,MATCH(ROW()-5,'Formulación PDN 2027'!$AK$7:$AK$506,0))&amp;"","")</f>
        <v/>
      </c>
      <c r="X20" s="15" t="str">
        <f>IFERROR(INDEX('Formulación PDN 2027'!$U$7:$U$506,MATCH(ROW()-5,'Formulación PDN 2027'!$AK$7:$AK$506,0))&amp;"","")</f>
        <v/>
      </c>
      <c r="Y20" s="15" t="str">
        <f>IFERROR(INDEX('Formulación PDN 2027'!$AH$7:$AH$506,MATCH(ROW()-5,'Formulación PDN 2027'!$AK$7:$AK$506,0))&amp;"","")</f>
        <v/>
      </c>
    </row>
    <row r="21" spans="1:25" x14ac:dyDescent="0.3">
      <c r="A21" s="15" t="str">
        <f>IFERROR(INDEX('Formulación PDN 2027'!$A$7:$A$506,MATCH(ROW()-5,'Formulación PDN 2027'!$AK$7:$AK$506,0))&amp;"","")</f>
        <v/>
      </c>
      <c r="B21" s="20" t="str">
        <f>IFERROR(INDEX('Formulación PDN 2027'!$M$7:$M$506,MATCH(ROW()-5,'Formulación PDN 2027'!$AK$7:$AK$506,0)),"")</f>
        <v/>
      </c>
      <c r="C21" s="15" t="str">
        <f>IFERROR(INDEX('Formulación PDN 2027'!$N$7:$N$506,MATCH(ROW()-5,'Formulación PDN 2027'!$AK$7:$AK$506,0))&amp;"","")</f>
        <v/>
      </c>
      <c r="D21" s="15" t="str">
        <f>IFERROR(INDEX('Formulación PDN 2027'!$L$7:$L$506,MATCH(ROW()-5,'Formulación PDN 2027'!$AK$7:$AK$506,0))&amp;"","")</f>
        <v/>
      </c>
      <c r="E21" s="15" t="str">
        <f>IFERROR(MATCH(INDEX('Formulación PDN 2027'!$O$7:$O$506,MATCH(ROW()-5,'Formulación PDN 2027'!$AK$7:$AK$506,0)),L_MESES,0),"")</f>
        <v/>
      </c>
      <c r="F21" s="15" t="str">
        <f>IFERROR(MATCH(INDEX('Formulación PDN 2027'!$P$7:$P$506,MATCH(ROW()-5,'Formulación PDN 2027'!$AK$7:$AK$506,0)),L_MESES,0),"")</f>
        <v/>
      </c>
      <c r="G21" s="15" t="str">
        <f>IFERROR(INDEX('Formulación PDN 2027'!$Q$7:$Q$506,MATCH(ROW()-5,'Formulación PDN 2027'!$AK$7:$AK$506,0)),"")</f>
        <v/>
      </c>
      <c r="H21" s="15" t="str">
        <f>IFERROR(INDEX('Formulación PDN 2027'!$R$7:$R$506,MATCH(ROW()-5,'Formulación PDN 2027'!$AK$7:$AK$506,0))&amp;"","")</f>
        <v/>
      </c>
      <c r="I21" s="15" t="str">
        <f>IFERROR(INDEX('Formulación PDN 2027'!$S$7:$S$506,MATCH(ROW()-5,'Formulación PDN 2027'!$AK$7:$AK$506,0))&amp;"","")</f>
        <v/>
      </c>
      <c r="J21" s="15" t="str">
        <f>IFERROR(INDEX('Formulación PDN 2027'!$T$7:$T$506,MATCH(ROW()-5,'Formulación PDN 2027'!$AK$7:$AK$506,0))&amp;"","")</f>
        <v/>
      </c>
      <c r="K21" s="43" t="str">
        <f>IFERROR(INDEX('Formulación PDN 2027'!$W$7:$W$506,MATCH(ROW()-5,'Formulación PDN 2027'!$AK$7:$AK$506,0)),"")</f>
        <v/>
      </c>
      <c r="L21" s="43" t="str">
        <f>IFERROR(INDEX('Formulación PDN 2027'!$X$7:$X$506,MATCH(ROW()-5,'Formulación PDN 2027'!$AK$7:$AK$506,0)),"")</f>
        <v/>
      </c>
      <c r="M21" s="15" t="str">
        <f>IFERROR(INDEX('Formulación PDN 2027'!$Y$7:$Y$506,MATCH(ROW()-5,'Formulación PDN 2027'!$AK$7:$AK$506,0))&amp;"","")</f>
        <v/>
      </c>
      <c r="N21" s="15" t="str">
        <f>IFERROR(INDEX('Formulación PDN 2027'!$Z$7:$Z$506,MATCH(ROW()-5,'Formulación PDN 2027'!$AK$7:$AK$506,0))&amp;"","")</f>
        <v/>
      </c>
      <c r="O21" s="15"/>
      <c r="P21" s="15" t="str">
        <f>IFERROR(INDEX('Formulación PDN 2027'!$AA$7:$AA$506,MATCH(ROW()-5,'Formulación PDN 2027'!$AK$7:$AK$506,0))&amp;"","")</f>
        <v/>
      </c>
      <c r="Q21" s="15" t="str">
        <f>IFERROR(INDEX('Formulación PDN 2027'!$AB$7:$AB$506,MATCH(ROW()-5,'Formulación PDN 2027'!$AK$7:$AK$506,0))&amp;"","")</f>
        <v/>
      </c>
      <c r="R21" s="15" t="str">
        <f>IFERROR(INDEX('Formulación PDN 2027'!$AD$7:$AD$506,MATCH(ROW()-5,'Formulación PDN 2027'!$AK$7:$AK$506,0))&amp;"","")</f>
        <v/>
      </c>
      <c r="S21" s="15" t="str">
        <f>IFERROR(INDEX('Formulación PDN 2027'!$AE$7:$AE$506,MATCH(ROW()-5,'Formulación PDN 2027'!$AK$7:$AK$506,0))&amp;"","")</f>
        <v/>
      </c>
      <c r="T21" s="15" t="str">
        <f>IFERROR(INDEX('Formulación PDN 2027'!$C$7:$C$506,MATCH(ROW()-5,'Formulación PDN 2027'!$AK$7:$AK$506,0))&amp;"","")</f>
        <v/>
      </c>
      <c r="U21" s="15" t="str">
        <f>IFERROR(INDEX('Formulación PDN 2027'!$B$7:$B$506,MATCH(ROW()-5,'Formulación PDN 2027'!$AK$7:$AK$506,0))&amp;"","")</f>
        <v/>
      </c>
      <c r="V21" s="15" t="str">
        <f>IFERROR(LEFT(INDEX('Formulación PDN 2027'!$E$7:$E$506,MATCH(ROW()-5,'Formulación PDN 2027'!$AK$7:$AK$506,0)),7),"")</f>
        <v/>
      </c>
      <c r="W21" s="15" t="str">
        <f>IFERROR(INDEX('Formulación PDN 2027'!$H$7:$H$506,MATCH(ROW()-5,'Formulación PDN 2027'!$AK$7:$AK$506,0))&amp;"","")</f>
        <v/>
      </c>
      <c r="X21" s="15" t="str">
        <f>IFERROR(INDEX('Formulación PDN 2027'!$U$7:$U$506,MATCH(ROW()-5,'Formulación PDN 2027'!$AK$7:$AK$506,0))&amp;"","")</f>
        <v/>
      </c>
      <c r="Y21" s="15" t="str">
        <f>IFERROR(INDEX('Formulación PDN 2027'!$AH$7:$AH$506,MATCH(ROW()-5,'Formulación PDN 2027'!$AK$7:$AK$506,0))&amp;"","")</f>
        <v/>
      </c>
    </row>
    <row r="22" spans="1:25" x14ac:dyDescent="0.3">
      <c r="A22" s="15" t="str">
        <f>IFERROR(INDEX('Formulación PDN 2027'!$A$7:$A$506,MATCH(ROW()-5,'Formulación PDN 2027'!$AK$7:$AK$506,0))&amp;"","")</f>
        <v/>
      </c>
      <c r="B22" s="20" t="str">
        <f>IFERROR(INDEX('Formulación PDN 2027'!$M$7:$M$506,MATCH(ROW()-5,'Formulación PDN 2027'!$AK$7:$AK$506,0)),"")</f>
        <v/>
      </c>
      <c r="C22" s="15" t="str">
        <f>IFERROR(INDEX('Formulación PDN 2027'!$N$7:$N$506,MATCH(ROW()-5,'Formulación PDN 2027'!$AK$7:$AK$506,0))&amp;"","")</f>
        <v/>
      </c>
      <c r="D22" s="15" t="str">
        <f>IFERROR(INDEX('Formulación PDN 2027'!$L$7:$L$506,MATCH(ROW()-5,'Formulación PDN 2027'!$AK$7:$AK$506,0))&amp;"","")</f>
        <v/>
      </c>
      <c r="E22" s="15" t="str">
        <f>IFERROR(MATCH(INDEX('Formulación PDN 2027'!$O$7:$O$506,MATCH(ROW()-5,'Formulación PDN 2027'!$AK$7:$AK$506,0)),L_MESES,0),"")</f>
        <v/>
      </c>
      <c r="F22" s="15" t="str">
        <f>IFERROR(MATCH(INDEX('Formulación PDN 2027'!$P$7:$P$506,MATCH(ROW()-5,'Formulación PDN 2027'!$AK$7:$AK$506,0)),L_MESES,0),"")</f>
        <v/>
      </c>
      <c r="G22" s="15" t="str">
        <f>IFERROR(INDEX('Formulación PDN 2027'!$Q$7:$Q$506,MATCH(ROW()-5,'Formulación PDN 2027'!$AK$7:$AK$506,0)),"")</f>
        <v/>
      </c>
      <c r="H22" s="15" t="str">
        <f>IFERROR(INDEX('Formulación PDN 2027'!$R$7:$R$506,MATCH(ROW()-5,'Formulación PDN 2027'!$AK$7:$AK$506,0))&amp;"","")</f>
        <v/>
      </c>
      <c r="I22" s="15" t="str">
        <f>IFERROR(INDEX('Formulación PDN 2027'!$S$7:$S$506,MATCH(ROW()-5,'Formulación PDN 2027'!$AK$7:$AK$506,0))&amp;"","")</f>
        <v/>
      </c>
      <c r="J22" s="15" t="str">
        <f>IFERROR(INDEX('Formulación PDN 2027'!$T$7:$T$506,MATCH(ROW()-5,'Formulación PDN 2027'!$AK$7:$AK$506,0))&amp;"","")</f>
        <v/>
      </c>
      <c r="K22" s="43" t="str">
        <f>IFERROR(INDEX('Formulación PDN 2027'!$W$7:$W$506,MATCH(ROW()-5,'Formulación PDN 2027'!$AK$7:$AK$506,0)),"")</f>
        <v/>
      </c>
      <c r="L22" s="43" t="str">
        <f>IFERROR(INDEX('Formulación PDN 2027'!$X$7:$X$506,MATCH(ROW()-5,'Formulación PDN 2027'!$AK$7:$AK$506,0)),"")</f>
        <v/>
      </c>
      <c r="M22" s="15" t="str">
        <f>IFERROR(INDEX('Formulación PDN 2027'!$Y$7:$Y$506,MATCH(ROW()-5,'Formulación PDN 2027'!$AK$7:$AK$506,0))&amp;"","")</f>
        <v/>
      </c>
      <c r="N22" s="15" t="str">
        <f>IFERROR(INDEX('Formulación PDN 2027'!$Z$7:$Z$506,MATCH(ROW()-5,'Formulación PDN 2027'!$AK$7:$AK$506,0))&amp;"","")</f>
        <v/>
      </c>
      <c r="O22" s="15"/>
      <c r="P22" s="15" t="str">
        <f>IFERROR(INDEX('Formulación PDN 2027'!$AA$7:$AA$506,MATCH(ROW()-5,'Formulación PDN 2027'!$AK$7:$AK$506,0))&amp;"","")</f>
        <v/>
      </c>
      <c r="Q22" s="15" t="str">
        <f>IFERROR(INDEX('Formulación PDN 2027'!$AB$7:$AB$506,MATCH(ROW()-5,'Formulación PDN 2027'!$AK$7:$AK$506,0))&amp;"","")</f>
        <v/>
      </c>
      <c r="R22" s="15" t="str">
        <f>IFERROR(INDEX('Formulación PDN 2027'!$AD$7:$AD$506,MATCH(ROW()-5,'Formulación PDN 2027'!$AK$7:$AK$506,0))&amp;"","")</f>
        <v/>
      </c>
      <c r="S22" s="15" t="str">
        <f>IFERROR(INDEX('Formulación PDN 2027'!$AE$7:$AE$506,MATCH(ROW()-5,'Formulación PDN 2027'!$AK$7:$AK$506,0))&amp;"","")</f>
        <v/>
      </c>
      <c r="T22" s="15" t="str">
        <f>IFERROR(INDEX('Formulación PDN 2027'!$C$7:$C$506,MATCH(ROW()-5,'Formulación PDN 2027'!$AK$7:$AK$506,0))&amp;"","")</f>
        <v/>
      </c>
      <c r="U22" s="15" t="str">
        <f>IFERROR(INDEX('Formulación PDN 2027'!$B$7:$B$506,MATCH(ROW()-5,'Formulación PDN 2027'!$AK$7:$AK$506,0))&amp;"","")</f>
        <v/>
      </c>
      <c r="V22" s="15" t="str">
        <f>IFERROR(LEFT(INDEX('Formulación PDN 2027'!$E$7:$E$506,MATCH(ROW()-5,'Formulación PDN 2027'!$AK$7:$AK$506,0)),7),"")</f>
        <v/>
      </c>
      <c r="W22" s="15" t="str">
        <f>IFERROR(INDEX('Formulación PDN 2027'!$H$7:$H$506,MATCH(ROW()-5,'Formulación PDN 2027'!$AK$7:$AK$506,0))&amp;"","")</f>
        <v/>
      </c>
      <c r="X22" s="15" t="str">
        <f>IFERROR(INDEX('Formulación PDN 2027'!$U$7:$U$506,MATCH(ROW()-5,'Formulación PDN 2027'!$AK$7:$AK$506,0))&amp;"","")</f>
        <v/>
      </c>
      <c r="Y22" s="15" t="str">
        <f>IFERROR(INDEX('Formulación PDN 2027'!$AH$7:$AH$506,MATCH(ROW()-5,'Formulación PDN 2027'!$AK$7:$AK$506,0))&amp;"","")</f>
        <v/>
      </c>
    </row>
    <row r="23" spans="1:25" x14ac:dyDescent="0.3">
      <c r="A23" s="15" t="str">
        <f>IFERROR(INDEX('Formulación PDN 2027'!$A$7:$A$506,MATCH(ROW()-5,'Formulación PDN 2027'!$AK$7:$AK$506,0))&amp;"","")</f>
        <v/>
      </c>
      <c r="B23" s="20" t="str">
        <f>IFERROR(INDEX('Formulación PDN 2027'!$M$7:$M$506,MATCH(ROW()-5,'Formulación PDN 2027'!$AK$7:$AK$506,0)),"")</f>
        <v/>
      </c>
      <c r="C23" s="15" t="str">
        <f>IFERROR(INDEX('Formulación PDN 2027'!$N$7:$N$506,MATCH(ROW()-5,'Formulación PDN 2027'!$AK$7:$AK$506,0))&amp;"","")</f>
        <v/>
      </c>
      <c r="D23" s="15" t="str">
        <f>IFERROR(INDEX('Formulación PDN 2027'!$L$7:$L$506,MATCH(ROW()-5,'Formulación PDN 2027'!$AK$7:$AK$506,0))&amp;"","")</f>
        <v/>
      </c>
      <c r="E23" s="15" t="str">
        <f>IFERROR(MATCH(INDEX('Formulación PDN 2027'!$O$7:$O$506,MATCH(ROW()-5,'Formulación PDN 2027'!$AK$7:$AK$506,0)),L_MESES,0),"")</f>
        <v/>
      </c>
      <c r="F23" s="15" t="str">
        <f>IFERROR(MATCH(INDEX('Formulación PDN 2027'!$P$7:$P$506,MATCH(ROW()-5,'Formulación PDN 2027'!$AK$7:$AK$506,0)),L_MESES,0),"")</f>
        <v/>
      </c>
      <c r="G23" s="15" t="str">
        <f>IFERROR(INDEX('Formulación PDN 2027'!$Q$7:$Q$506,MATCH(ROW()-5,'Formulación PDN 2027'!$AK$7:$AK$506,0)),"")</f>
        <v/>
      </c>
      <c r="H23" s="15" t="str">
        <f>IFERROR(INDEX('Formulación PDN 2027'!$R$7:$R$506,MATCH(ROW()-5,'Formulación PDN 2027'!$AK$7:$AK$506,0))&amp;"","")</f>
        <v/>
      </c>
      <c r="I23" s="15" t="str">
        <f>IFERROR(INDEX('Formulación PDN 2027'!$S$7:$S$506,MATCH(ROW()-5,'Formulación PDN 2027'!$AK$7:$AK$506,0))&amp;"","")</f>
        <v/>
      </c>
      <c r="J23" s="15" t="str">
        <f>IFERROR(INDEX('Formulación PDN 2027'!$T$7:$T$506,MATCH(ROW()-5,'Formulación PDN 2027'!$AK$7:$AK$506,0))&amp;"","")</f>
        <v/>
      </c>
      <c r="K23" s="43" t="str">
        <f>IFERROR(INDEX('Formulación PDN 2027'!$W$7:$W$506,MATCH(ROW()-5,'Formulación PDN 2027'!$AK$7:$AK$506,0)),"")</f>
        <v/>
      </c>
      <c r="L23" s="43" t="str">
        <f>IFERROR(INDEX('Formulación PDN 2027'!$X$7:$X$506,MATCH(ROW()-5,'Formulación PDN 2027'!$AK$7:$AK$506,0)),"")</f>
        <v/>
      </c>
      <c r="M23" s="15" t="str">
        <f>IFERROR(INDEX('Formulación PDN 2027'!$Y$7:$Y$506,MATCH(ROW()-5,'Formulación PDN 2027'!$AK$7:$AK$506,0))&amp;"","")</f>
        <v/>
      </c>
      <c r="N23" s="15" t="str">
        <f>IFERROR(INDEX('Formulación PDN 2027'!$Z$7:$Z$506,MATCH(ROW()-5,'Formulación PDN 2027'!$AK$7:$AK$506,0))&amp;"","")</f>
        <v/>
      </c>
      <c r="O23" s="15"/>
      <c r="P23" s="15" t="str">
        <f>IFERROR(INDEX('Formulación PDN 2027'!$AA$7:$AA$506,MATCH(ROW()-5,'Formulación PDN 2027'!$AK$7:$AK$506,0))&amp;"","")</f>
        <v/>
      </c>
      <c r="Q23" s="15" t="str">
        <f>IFERROR(INDEX('Formulación PDN 2027'!$AB$7:$AB$506,MATCH(ROW()-5,'Formulación PDN 2027'!$AK$7:$AK$506,0))&amp;"","")</f>
        <v/>
      </c>
      <c r="R23" s="15" t="str">
        <f>IFERROR(INDEX('Formulación PDN 2027'!$AD$7:$AD$506,MATCH(ROW()-5,'Formulación PDN 2027'!$AK$7:$AK$506,0))&amp;"","")</f>
        <v/>
      </c>
      <c r="S23" s="15" t="str">
        <f>IFERROR(INDEX('Formulación PDN 2027'!$AE$7:$AE$506,MATCH(ROW()-5,'Formulación PDN 2027'!$AK$7:$AK$506,0))&amp;"","")</f>
        <v/>
      </c>
      <c r="T23" s="15" t="str">
        <f>IFERROR(INDEX('Formulación PDN 2027'!$C$7:$C$506,MATCH(ROW()-5,'Formulación PDN 2027'!$AK$7:$AK$506,0))&amp;"","")</f>
        <v/>
      </c>
      <c r="U23" s="15" t="str">
        <f>IFERROR(INDEX('Formulación PDN 2027'!$B$7:$B$506,MATCH(ROW()-5,'Formulación PDN 2027'!$AK$7:$AK$506,0))&amp;"","")</f>
        <v/>
      </c>
      <c r="V23" s="15" t="str">
        <f>IFERROR(LEFT(INDEX('Formulación PDN 2027'!$E$7:$E$506,MATCH(ROW()-5,'Formulación PDN 2027'!$AK$7:$AK$506,0)),7),"")</f>
        <v/>
      </c>
      <c r="W23" s="15" t="str">
        <f>IFERROR(INDEX('Formulación PDN 2027'!$H$7:$H$506,MATCH(ROW()-5,'Formulación PDN 2027'!$AK$7:$AK$506,0))&amp;"","")</f>
        <v/>
      </c>
      <c r="X23" s="15" t="str">
        <f>IFERROR(INDEX('Formulación PDN 2027'!$U$7:$U$506,MATCH(ROW()-5,'Formulación PDN 2027'!$AK$7:$AK$506,0))&amp;"","")</f>
        <v/>
      </c>
      <c r="Y23" s="15" t="str">
        <f>IFERROR(INDEX('Formulación PDN 2027'!$AH$7:$AH$506,MATCH(ROW()-5,'Formulación PDN 2027'!$AK$7:$AK$506,0))&amp;"","")</f>
        <v/>
      </c>
    </row>
    <row r="24" spans="1:25" x14ac:dyDescent="0.3">
      <c r="A24" s="15" t="str">
        <f>IFERROR(INDEX('Formulación PDN 2027'!$A$7:$A$506,MATCH(ROW()-5,'Formulación PDN 2027'!$AK$7:$AK$506,0))&amp;"","")</f>
        <v/>
      </c>
      <c r="B24" s="20" t="str">
        <f>IFERROR(INDEX('Formulación PDN 2027'!$M$7:$M$506,MATCH(ROW()-5,'Formulación PDN 2027'!$AK$7:$AK$506,0)),"")</f>
        <v/>
      </c>
      <c r="C24" s="15" t="str">
        <f>IFERROR(INDEX('Formulación PDN 2027'!$N$7:$N$506,MATCH(ROW()-5,'Formulación PDN 2027'!$AK$7:$AK$506,0))&amp;"","")</f>
        <v/>
      </c>
      <c r="D24" s="15" t="str">
        <f>IFERROR(INDEX('Formulación PDN 2027'!$L$7:$L$506,MATCH(ROW()-5,'Formulación PDN 2027'!$AK$7:$AK$506,0))&amp;"","")</f>
        <v/>
      </c>
      <c r="E24" s="15" t="str">
        <f>IFERROR(MATCH(INDEX('Formulación PDN 2027'!$O$7:$O$506,MATCH(ROW()-5,'Formulación PDN 2027'!$AK$7:$AK$506,0)),L_MESES,0),"")</f>
        <v/>
      </c>
      <c r="F24" s="15" t="str">
        <f>IFERROR(MATCH(INDEX('Formulación PDN 2027'!$P$7:$P$506,MATCH(ROW()-5,'Formulación PDN 2027'!$AK$7:$AK$506,0)),L_MESES,0),"")</f>
        <v/>
      </c>
      <c r="G24" s="15" t="str">
        <f>IFERROR(INDEX('Formulación PDN 2027'!$Q$7:$Q$506,MATCH(ROW()-5,'Formulación PDN 2027'!$AK$7:$AK$506,0)),"")</f>
        <v/>
      </c>
      <c r="H24" s="15" t="str">
        <f>IFERROR(INDEX('Formulación PDN 2027'!$R$7:$R$506,MATCH(ROW()-5,'Formulación PDN 2027'!$AK$7:$AK$506,0))&amp;"","")</f>
        <v/>
      </c>
      <c r="I24" s="15" t="str">
        <f>IFERROR(INDEX('Formulación PDN 2027'!$S$7:$S$506,MATCH(ROW()-5,'Formulación PDN 2027'!$AK$7:$AK$506,0))&amp;"","")</f>
        <v/>
      </c>
      <c r="J24" s="15" t="str">
        <f>IFERROR(INDEX('Formulación PDN 2027'!$T$7:$T$506,MATCH(ROW()-5,'Formulación PDN 2027'!$AK$7:$AK$506,0))&amp;"","")</f>
        <v/>
      </c>
      <c r="K24" s="43" t="str">
        <f>IFERROR(INDEX('Formulación PDN 2027'!$W$7:$W$506,MATCH(ROW()-5,'Formulación PDN 2027'!$AK$7:$AK$506,0)),"")</f>
        <v/>
      </c>
      <c r="L24" s="43" t="str">
        <f>IFERROR(INDEX('Formulación PDN 2027'!$X$7:$X$506,MATCH(ROW()-5,'Formulación PDN 2027'!$AK$7:$AK$506,0)),"")</f>
        <v/>
      </c>
      <c r="M24" s="15" t="str">
        <f>IFERROR(INDEX('Formulación PDN 2027'!$Y$7:$Y$506,MATCH(ROW()-5,'Formulación PDN 2027'!$AK$7:$AK$506,0))&amp;"","")</f>
        <v/>
      </c>
      <c r="N24" s="15" t="str">
        <f>IFERROR(INDEX('Formulación PDN 2027'!$Z$7:$Z$506,MATCH(ROW()-5,'Formulación PDN 2027'!$AK$7:$AK$506,0))&amp;"","")</f>
        <v/>
      </c>
      <c r="O24" s="15"/>
      <c r="P24" s="15" t="str">
        <f>IFERROR(INDEX('Formulación PDN 2027'!$AA$7:$AA$506,MATCH(ROW()-5,'Formulación PDN 2027'!$AK$7:$AK$506,0))&amp;"","")</f>
        <v/>
      </c>
      <c r="Q24" s="15" t="str">
        <f>IFERROR(INDEX('Formulación PDN 2027'!$AB$7:$AB$506,MATCH(ROW()-5,'Formulación PDN 2027'!$AK$7:$AK$506,0))&amp;"","")</f>
        <v/>
      </c>
      <c r="R24" s="15" t="str">
        <f>IFERROR(INDEX('Formulación PDN 2027'!$AD$7:$AD$506,MATCH(ROW()-5,'Formulación PDN 2027'!$AK$7:$AK$506,0))&amp;"","")</f>
        <v/>
      </c>
      <c r="S24" s="15" t="str">
        <f>IFERROR(INDEX('Formulación PDN 2027'!$AE$7:$AE$506,MATCH(ROW()-5,'Formulación PDN 2027'!$AK$7:$AK$506,0))&amp;"","")</f>
        <v/>
      </c>
      <c r="T24" s="15" t="str">
        <f>IFERROR(INDEX('Formulación PDN 2027'!$C$7:$C$506,MATCH(ROW()-5,'Formulación PDN 2027'!$AK$7:$AK$506,0))&amp;"","")</f>
        <v/>
      </c>
      <c r="U24" s="15" t="str">
        <f>IFERROR(INDEX('Formulación PDN 2027'!$B$7:$B$506,MATCH(ROW()-5,'Formulación PDN 2027'!$AK$7:$AK$506,0))&amp;"","")</f>
        <v/>
      </c>
      <c r="V24" s="15" t="str">
        <f>IFERROR(LEFT(INDEX('Formulación PDN 2027'!$E$7:$E$506,MATCH(ROW()-5,'Formulación PDN 2027'!$AK$7:$AK$506,0)),7),"")</f>
        <v/>
      </c>
      <c r="W24" s="15" t="str">
        <f>IFERROR(INDEX('Formulación PDN 2027'!$H$7:$H$506,MATCH(ROW()-5,'Formulación PDN 2027'!$AK$7:$AK$506,0))&amp;"","")</f>
        <v/>
      </c>
      <c r="X24" s="15" t="str">
        <f>IFERROR(INDEX('Formulación PDN 2027'!$U$7:$U$506,MATCH(ROW()-5,'Formulación PDN 2027'!$AK$7:$AK$506,0))&amp;"","")</f>
        <v/>
      </c>
      <c r="Y24" s="15" t="str">
        <f>IFERROR(INDEX('Formulación PDN 2027'!$AH$7:$AH$506,MATCH(ROW()-5,'Formulación PDN 2027'!$AK$7:$AK$506,0))&amp;"","")</f>
        <v/>
      </c>
    </row>
    <row r="25" spans="1:25" x14ac:dyDescent="0.3">
      <c r="A25" s="15" t="str">
        <f>IFERROR(INDEX('Formulación PDN 2027'!$A$7:$A$506,MATCH(ROW()-5,'Formulación PDN 2027'!$AK$7:$AK$506,0))&amp;"","")</f>
        <v/>
      </c>
      <c r="B25" s="20" t="str">
        <f>IFERROR(INDEX('Formulación PDN 2027'!$M$7:$M$506,MATCH(ROW()-5,'Formulación PDN 2027'!$AK$7:$AK$506,0)),"")</f>
        <v/>
      </c>
      <c r="C25" s="15" t="str">
        <f>IFERROR(INDEX('Formulación PDN 2027'!$N$7:$N$506,MATCH(ROW()-5,'Formulación PDN 2027'!$AK$7:$AK$506,0))&amp;"","")</f>
        <v/>
      </c>
      <c r="D25" s="15" t="str">
        <f>IFERROR(INDEX('Formulación PDN 2027'!$L$7:$L$506,MATCH(ROW()-5,'Formulación PDN 2027'!$AK$7:$AK$506,0))&amp;"","")</f>
        <v/>
      </c>
      <c r="E25" s="15" t="str">
        <f>IFERROR(MATCH(INDEX('Formulación PDN 2027'!$O$7:$O$506,MATCH(ROW()-5,'Formulación PDN 2027'!$AK$7:$AK$506,0)),L_MESES,0),"")</f>
        <v/>
      </c>
      <c r="F25" s="15" t="str">
        <f>IFERROR(MATCH(INDEX('Formulación PDN 2027'!$P$7:$P$506,MATCH(ROW()-5,'Formulación PDN 2027'!$AK$7:$AK$506,0)),L_MESES,0),"")</f>
        <v/>
      </c>
      <c r="G25" s="15" t="str">
        <f>IFERROR(INDEX('Formulación PDN 2027'!$Q$7:$Q$506,MATCH(ROW()-5,'Formulación PDN 2027'!$AK$7:$AK$506,0)),"")</f>
        <v/>
      </c>
      <c r="H25" s="15" t="str">
        <f>IFERROR(INDEX('Formulación PDN 2027'!$R$7:$R$506,MATCH(ROW()-5,'Formulación PDN 2027'!$AK$7:$AK$506,0))&amp;"","")</f>
        <v/>
      </c>
      <c r="I25" s="15" t="str">
        <f>IFERROR(INDEX('Formulación PDN 2027'!$S$7:$S$506,MATCH(ROW()-5,'Formulación PDN 2027'!$AK$7:$AK$506,0))&amp;"","")</f>
        <v/>
      </c>
      <c r="J25" s="15" t="str">
        <f>IFERROR(INDEX('Formulación PDN 2027'!$T$7:$T$506,MATCH(ROW()-5,'Formulación PDN 2027'!$AK$7:$AK$506,0))&amp;"","")</f>
        <v/>
      </c>
      <c r="K25" s="43" t="str">
        <f>IFERROR(INDEX('Formulación PDN 2027'!$W$7:$W$506,MATCH(ROW()-5,'Formulación PDN 2027'!$AK$7:$AK$506,0)),"")</f>
        <v/>
      </c>
      <c r="L25" s="43" t="str">
        <f>IFERROR(INDEX('Formulación PDN 2027'!$X$7:$X$506,MATCH(ROW()-5,'Formulación PDN 2027'!$AK$7:$AK$506,0)),"")</f>
        <v/>
      </c>
      <c r="M25" s="15" t="str">
        <f>IFERROR(INDEX('Formulación PDN 2027'!$Y$7:$Y$506,MATCH(ROW()-5,'Formulación PDN 2027'!$AK$7:$AK$506,0))&amp;"","")</f>
        <v/>
      </c>
      <c r="N25" s="15" t="str">
        <f>IFERROR(INDEX('Formulación PDN 2027'!$Z$7:$Z$506,MATCH(ROW()-5,'Formulación PDN 2027'!$AK$7:$AK$506,0))&amp;"","")</f>
        <v/>
      </c>
      <c r="O25" s="15"/>
      <c r="P25" s="15" t="str">
        <f>IFERROR(INDEX('Formulación PDN 2027'!$AA$7:$AA$506,MATCH(ROW()-5,'Formulación PDN 2027'!$AK$7:$AK$506,0))&amp;"","")</f>
        <v/>
      </c>
      <c r="Q25" s="15" t="str">
        <f>IFERROR(INDEX('Formulación PDN 2027'!$AB$7:$AB$506,MATCH(ROW()-5,'Formulación PDN 2027'!$AK$7:$AK$506,0))&amp;"","")</f>
        <v/>
      </c>
      <c r="R25" s="15" t="str">
        <f>IFERROR(INDEX('Formulación PDN 2027'!$AD$7:$AD$506,MATCH(ROW()-5,'Formulación PDN 2027'!$AK$7:$AK$506,0))&amp;"","")</f>
        <v/>
      </c>
      <c r="S25" s="15" t="str">
        <f>IFERROR(INDEX('Formulación PDN 2027'!$AE$7:$AE$506,MATCH(ROW()-5,'Formulación PDN 2027'!$AK$7:$AK$506,0))&amp;"","")</f>
        <v/>
      </c>
      <c r="T25" s="15" t="str">
        <f>IFERROR(INDEX('Formulación PDN 2027'!$C$7:$C$506,MATCH(ROW()-5,'Formulación PDN 2027'!$AK$7:$AK$506,0))&amp;"","")</f>
        <v/>
      </c>
      <c r="U25" s="15" t="str">
        <f>IFERROR(INDEX('Formulación PDN 2027'!$B$7:$B$506,MATCH(ROW()-5,'Formulación PDN 2027'!$AK$7:$AK$506,0))&amp;"","")</f>
        <v/>
      </c>
      <c r="V25" s="15" t="str">
        <f>IFERROR(LEFT(INDEX('Formulación PDN 2027'!$E$7:$E$506,MATCH(ROW()-5,'Formulación PDN 2027'!$AK$7:$AK$506,0)),7),"")</f>
        <v/>
      </c>
      <c r="W25" s="15" t="str">
        <f>IFERROR(INDEX('Formulación PDN 2027'!$H$7:$H$506,MATCH(ROW()-5,'Formulación PDN 2027'!$AK$7:$AK$506,0))&amp;"","")</f>
        <v/>
      </c>
      <c r="X25" s="15" t="str">
        <f>IFERROR(INDEX('Formulación PDN 2027'!$U$7:$U$506,MATCH(ROW()-5,'Formulación PDN 2027'!$AK$7:$AK$506,0))&amp;"","")</f>
        <v/>
      </c>
      <c r="Y25" s="15" t="str">
        <f>IFERROR(INDEX('Formulación PDN 2027'!$AH$7:$AH$506,MATCH(ROW()-5,'Formulación PDN 2027'!$AK$7:$AK$506,0))&amp;"","")</f>
        <v/>
      </c>
    </row>
    <row r="26" spans="1:25" x14ac:dyDescent="0.3">
      <c r="A26" s="15" t="str">
        <f>IFERROR(INDEX('Formulación PDN 2027'!$A$7:$A$506,MATCH(ROW()-5,'Formulación PDN 2027'!$AK$7:$AK$506,0))&amp;"","")</f>
        <v/>
      </c>
      <c r="B26" s="20" t="str">
        <f>IFERROR(INDEX('Formulación PDN 2027'!$M$7:$M$506,MATCH(ROW()-5,'Formulación PDN 2027'!$AK$7:$AK$506,0)),"")</f>
        <v/>
      </c>
      <c r="C26" s="15" t="str">
        <f>IFERROR(INDEX('Formulación PDN 2027'!$N$7:$N$506,MATCH(ROW()-5,'Formulación PDN 2027'!$AK$7:$AK$506,0))&amp;"","")</f>
        <v/>
      </c>
      <c r="D26" s="15" t="str">
        <f>IFERROR(INDEX('Formulación PDN 2027'!$L$7:$L$506,MATCH(ROW()-5,'Formulación PDN 2027'!$AK$7:$AK$506,0))&amp;"","")</f>
        <v/>
      </c>
      <c r="E26" s="15" t="str">
        <f>IFERROR(MATCH(INDEX('Formulación PDN 2027'!$O$7:$O$506,MATCH(ROW()-5,'Formulación PDN 2027'!$AK$7:$AK$506,0)),L_MESES,0),"")</f>
        <v/>
      </c>
      <c r="F26" s="15" t="str">
        <f>IFERROR(MATCH(INDEX('Formulación PDN 2027'!$P$7:$P$506,MATCH(ROW()-5,'Formulación PDN 2027'!$AK$7:$AK$506,0)),L_MESES,0),"")</f>
        <v/>
      </c>
      <c r="G26" s="15" t="str">
        <f>IFERROR(INDEX('Formulación PDN 2027'!$Q$7:$Q$506,MATCH(ROW()-5,'Formulación PDN 2027'!$AK$7:$AK$506,0)),"")</f>
        <v/>
      </c>
      <c r="H26" s="15" t="str">
        <f>IFERROR(INDEX('Formulación PDN 2027'!$R$7:$R$506,MATCH(ROW()-5,'Formulación PDN 2027'!$AK$7:$AK$506,0))&amp;"","")</f>
        <v/>
      </c>
      <c r="I26" s="15" t="str">
        <f>IFERROR(INDEX('Formulación PDN 2027'!$S$7:$S$506,MATCH(ROW()-5,'Formulación PDN 2027'!$AK$7:$AK$506,0))&amp;"","")</f>
        <v/>
      </c>
      <c r="J26" s="15" t="str">
        <f>IFERROR(INDEX('Formulación PDN 2027'!$T$7:$T$506,MATCH(ROW()-5,'Formulación PDN 2027'!$AK$7:$AK$506,0))&amp;"","")</f>
        <v/>
      </c>
      <c r="K26" s="43" t="str">
        <f>IFERROR(INDEX('Formulación PDN 2027'!$W$7:$W$506,MATCH(ROW()-5,'Formulación PDN 2027'!$AK$7:$AK$506,0)),"")</f>
        <v/>
      </c>
      <c r="L26" s="43" t="str">
        <f>IFERROR(INDEX('Formulación PDN 2027'!$X$7:$X$506,MATCH(ROW()-5,'Formulación PDN 2027'!$AK$7:$AK$506,0)),"")</f>
        <v/>
      </c>
      <c r="M26" s="15" t="str">
        <f>IFERROR(INDEX('Formulación PDN 2027'!$Y$7:$Y$506,MATCH(ROW()-5,'Formulación PDN 2027'!$AK$7:$AK$506,0))&amp;"","")</f>
        <v/>
      </c>
      <c r="N26" s="15" t="str">
        <f>IFERROR(INDEX('Formulación PDN 2027'!$Z$7:$Z$506,MATCH(ROW()-5,'Formulación PDN 2027'!$AK$7:$AK$506,0))&amp;"","")</f>
        <v/>
      </c>
      <c r="O26" s="15"/>
      <c r="P26" s="15" t="str">
        <f>IFERROR(INDEX('Formulación PDN 2027'!$AA$7:$AA$506,MATCH(ROW()-5,'Formulación PDN 2027'!$AK$7:$AK$506,0))&amp;"","")</f>
        <v/>
      </c>
      <c r="Q26" s="15" t="str">
        <f>IFERROR(INDEX('Formulación PDN 2027'!$AB$7:$AB$506,MATCH(ROW()-5,'Formulación PDN 2027'!$AK$7:$AK$506,0))&amp;"","")</f>
        <v/>
      </c>
      <c r="R26" s="15" t="str">
        <f>IFERROR(INDEX('Formulación PDN 2027'!$AD$7:$AD$506,MATCH(ROW()-5,'Formulación PDN 2027'!$AK$7:$AK$506,0))&amp;"","")</f>
        <v/>
      </c>
      <c r="S26" s="15" t="str">
        <f>IFERROR(INDEX('Formulación PDN 2027'!$AE$7:$AE$506,MATCH(ROW()-5,'Formulación PDN 2027'!$AK$7:$AK$506,0))&amp;"","")</f>
        <v/>
      </c>
      <c r="T26" s="15" t="str">
        <f>IFERROR(INDEX('Formulación PDN 2027'!$C$7:$C$506,MATCH(ROW()-5,'Formulación PDN 2027'!$AK$7:$AK$506,0))&amp;"","")</f>
        <v/>
      </c>
      <c r="U26" s="15" t="str">
        <f>IFERROR(INDEX('Formulación PDN 2027'!$B$7:$B$506,MATCH(ROW()-5,'Formulación PDN 2027'!$AK$7:$AK$506,0))&amp;"","")</f>
        <v/>
      </c>
      <c r="V26" s="15" t="str">
        <f>IFERROR(LEFT(INDEX('Formulación PDN 2027'!$E$7:$E$506,MATCH(ROW()-5,'Formulación PDN 2027'!$AK$7:$AK$506,0)),7),"")</f>
        <v/>
      </c>
      <c r="W26" s="15" t="str">
        <f>IFERROR(INDEX('Formulación PDN 2027'!$H$7:$H$506,MATCH(ROW()-5,'Formulación PDN 2027'!$AK$7:$AK$506,0))&amp;"","")</f>
        <v/>
      </c>
      <c r="X26" s="15" t="str">
        <f>IFERROR(INDEX('Formulación PDN 2027'!$U$7:$U$506,MATCH(ROW()-5,'Formulación PDN 2027'!$AK$7:$AK$506,0))&amp;"","")</f>
        <v/>
      </c>
      <c r="Y26" s="15" t="str">
        <f>IFERROR(INDEX('Formulación PDN 2027'!$AH$7:$AH$506,MATCH(ROW()-5,'Formulación PDN 2027'!$AK$7:$AK$506,0))&amp;"","")</f>
        <v/>
      </c>
    </row>
    <row r="27" spans="1:25" x14ac:dyDescent="0.3">
      <c r="A27" s="15" t="str">
        <f>IFERROR(INDEX('Formulación PDN 2027'!$A$7:$A$506,MATCH(ROW()-5,'Formulación PDN 2027'!$AK$7:$AK$506,0))&amp;"","")</f>
        <v/>
      </c>
      <c r="B27" s="20" t="str">
        <f>IFERROR(INDEX('Formulación PDN 2027'!$M$7:$M$506,MATCH(ROW()-5,'Formulación PDN 2027'!$AK$7:$AK$506,0)),"")</f>
        <v/>
      </c>
      <c r="C27" s="15" t="str">
        <f>IFERROR(INDEX('Formulación PDN 2027'!$N$7:$N$506,MATCH(ROW()-5,'Formulación PDN 2027'!$AK$7:$AK$506,0))&amp;"","")</f>
        <v/>
      </c>
      <c r="D27" s="15" t="str">
        <f>IFERROR(INDEX('Formulación PDN 2027'!$L$7:$L$506,MATCH(ROW()-5,'Formulación PDN 2027'!$AK$7:$AK$506,0))&amp;"","")</f>
        <v/>
      </c>
      <c r="E27" s="15" t="str">
        <f>IFERROR(MATCH(INDEX('Formulación PDN 2027'!$O$7:$O$506,MATCH(ROW()-5,'Formulación PDN 2027'!$AK$7:$AK$506,0)),L_MESES,0),"")</f>
        <v/>
      </c>
      <c r="F27" s="15" t="str">
        <f>IFERROR(MATCH(INDEX('Formulación PDN 2027'!$P$7:$P$506,MATCH(ROW()-5,'Formulación PDN 2027'!$AK$7:$AK$506,0)),L_MESES,0),"")</f>
        <v/>
      </c>
      <c r="G27" s="15" t="str">
        <f>IFERROR(INDEX('Formulación PDN 2027'!$Q$7:$Q$506,MATCH(ROW()-5,'Formulación PDN 2027'!$AK$7:$AK$506,0)),"")</f>
        <v/>
      </c>
      <c r="H27" s="15" t="str">
        <f>IFERROR(INDEX('Formulación PDN 2027'!$R$7:$R$506,MATCH(ROW()-5,'Formulación PDN 2027'!$AK$7:$AK$506,0))&amp;"","")</f>
        <v/>
      </c>
      <c r="I27" s="15" t="str">
        <f>IFERROR(INDEX('Formulación PDN 2027'!$S$7:$S$506,MATCH(ROW()-5,'Formulación PDN 2027'!$AK$7:$AK$506,0))&amp;"","")</f>
        <v/>
      </c>
      <c r="J27" s="15" t="str">
        <f>IFERROR(INDEX('Formulación PDN 2027'!$T$7:$T$506,MATCH(ROW()-5,'Formulación PDN 2027'!$AK$7:$AK$506,0))&amp;"","")</f>
        <v/>
      </c>
      <c r="K27" s="43" t="str">
        <f>IFERROR(INDEX('Formulación PDN 2027'!$W$7:$W$506,MATCH(ROW()-5,'Formulación PDN 2027'!$AK$7:$AK$506,0)),"")</f>
        <v/>
      </c>
      <c r="L27" s="43" t="str">
        <f>IFERROR(INDEX('Formulación PDN 2027'!$X$7:$X$506,MATCH(ROW()-5,'Formulación PDN 2027'!$AK$7:$AK$506,0)),"")</f>
        <v/>
      </c>
      <c r="M27" s="15" t="str">
        <f>IFERROR(INDEX('Formulación PDN 2027'!$Y$7:$Y$506,MATCH(ROW()-5,'Formulación PDN 2027'!$AK$7:$AK$506,0))&amp;"","")</f>
        <v/>
      </c>
      <c r="N27" s="15" t="str">
        <f>IFERROR(INDEX('Formulación PDN 2027'!$Z$7:$Z$506,MATCH(ROW()-5,'Formulación PDN 2027'!$AK$7:$AK$506,0))&amp;"","")</f>
        <v/>
      </c>
      <c r="O27" s="15"/>
      <c r="P27" s="15" t="str">
        <f>IFERROR(INDEX('Formulación PDN 2027'!$AA$7:$AA$506,MATCH(ROW()-5,'Formulación PDN 2027'!$AK$7:$AK$506,0))&amp;"","")</f>
        <v/>
      </c>
      <c r="Q27" s="15" t="str">
        <f>IFERROR(INDEX('Formulación PDN 2027'!$AB$7:$AB$506,MATCH(ROW()-5,'Formulación PDN 2027'!$AK$7:$AK$506,0))&amp;"","")</f>
        <v/>
      </c>
      <c r="R27" s="15" t="str">
        <f>IFERROR(INDEX('Formulación PDN 2027'!$AD$7:$AD$506,MATCH(ROW()-5,'Formulación PDN 2027'!$AK$7:$AK$506,0))&amp;"","")</f>
        <v/>
      </c>
      <c r="S27" s="15" t="str">
        <f>IFERROR(INDEX('Formulación PDN 2027'!$AE$7:$AE$506,MATCH(ROW()-5,'Formulación PDN 2027'!$AK$7:$AK$506,0))&amp;"","")</f>
        <v/>
      </c>
      <c r="T27" s="15" t="str">
        <f>IFERROR(INDEX('Formulación PDN 2027'!$C$7:$C$506,MATCH(ROW()-5,'Formulación PDN 2027'!$AK$7:$AK$506,0))&amp;"","")</f>
        <v/>
      </c>
      <c r="U27" s="15" t="str">
        <f>IFERROR(INDEX('Formulación PDN 2027'!$B$7:$B$506,MATCH(ROW()-5,'Formulación PDN 2027'!$AK$7:$AK$506,0))&amp;"","")</f>
        <v/>
      </c>
      <c r="V27" s="15" t="str">
        <f>IFERROR(LEFT(INDEX('Formulación PDN 2027'!$E$7:$E$506,MATCH(ROW()-5,'Formulación PDN 2027'!$AK$7:$AK$506,0)),7),"")</f>
        <v/>
      </c>
      <c r="W27" s="15" t="str">
        <f>IFERROR(INDEX('Formulación PDN 2027'!$H$7:$H$506,MATCH(ROW()-5,'Formulación PDN 2027'!$AK$7:$AK$506,0))&amp;"","")</f>
        <v/>
      </c>
      <c r="X27" s="15" t="str">
        <f>IFERROR(INDEX('Formulación PDN 2027'!$U$7:$U$506,MATCH(ROW()-5,'Formulación PDN 2027'!$AK$7:$AK$506,0))&amp;"","")</f>
        <v/>
      </c>
      <c r="Y27" s="15" t="str">
        <f>IFERROR(INDEX('Formulación PDN 2027'!$AH$7:$AH$506,MATCH(ROW()-5,'Formulación PDN 2027'!$AK$7:$AK$506,0))&amp;"","")</f>
        <v/>
      </c>
    </row>
    <row r="28" spans="1:25" x14ac:dyDescent="0.3">
      <c r="A28" s="15" t="str">
        <f>IFERROR(INDEX('Formulación PDN 2027'!$A$7:$A$506,MATCH(ROW()-5,'Formulación PDN 2027'!$AK$7:$AK$506,0))&amp;"","")</f>
        <v/>
      </c>
      <c r="B28" s="20" t="str">
        <f>IFERROR(INDEX('Formulación PDN 2027'!$M$7:$M$506,MATCH(ROW()-5,'Formulación PDN 2027'!$AK$7:$AK$506,0)),"")</f>
        <v/>
      </c>
      <c r="C28" s="15" t="str">
        <f>IFERROR(INDEX('Formulación PDN 2027'!$N$7:$N$506,MATCH(ROW()-5,'Formulación PDN 2027'!$AK$7:$AK$506,0))&amp;"","")</f>
        <v/>
      </c>
      <c r="D28" s="15" t="str">
        <f>IFERROR(INDEX('Formulación PDN 2027'!$L$7:$L$506,MATCH(ROW()-5,'Formulación PDN 2027'!$AK$7:$AK$506,0))&amp;"","")</f>
        <v/>
      </c>
      <c r="E28" s="15" t="str">
        <f>IFERROR(MATCH(INDEX('Formulación PDN 2027'!$O$7:$O$506,MATCH(ROW()-5,'Formulación PDN 2027'!$AK$7:$AK$506,0)),L_MESES,0),"")</f>
        <v/>
      </c>
      <c r="F28" s="15" t="str">
        <f>IFERROR(MATCH(INDEX('Formulación PDN 2027'!$P$7:$P$506,MATCH(ROW()-5,'Formulación PDN 2027'!$AK$7:$AK$506,0)),L_MESES,0),"")</f>
        <v/>
      </c>
      <c r="G28" s="15" t="str">
        <f>IFERROR(INDEX('Formulación PDN 2027'!$Q$7:$Q$506,MATCH(ROW()-5,'Formulación PDN 2027'!$AK$7:$AK$506,0)),"")</f>
        <v/>
      </c>
      <c r="H28" s="15" t="str">
        <f>IFERROR(INDEX('Formulación PDN 2027'!$R$7:$R$506,MATCH(ROW()-5,'Formulación PDN 2027'!$AK$7:$AK$506,0))&amp;"","")</f>
        <v/>
      </c>
      <c r="I28" s="15" t="str">
        <f>IFERROR(INDEX('Formulación PDN 2027'!$S$7:$S$506,MATCH(ROW()-5,'Formulación PDN 2027'!$AK$7:$AK$506,0))&amp;"","")</f>
        <v/>
      </c>
      <c r="J28" s="15" t="str">
        <f>IFERROR(INDEX('Formulación PDN 2027'!$T$7:$T$506,MATCH(ROW()-5,'Formulación PDN 2027'!$AK$7:$AK$506,0))&amp;"","")</f>
        <v/>
      </c>
      <c r="K28" s="43" t="str">
        <f>IFERROR(INDEX('Formulación PDN 2027'!$W$7:$W$506,MATCH(ROW()-5,'Formulación PDN 2027'!$AK$7:$AK$506,0)),"")</f>
        <v/>
      </c>
      <c r="L28" s="43" t="str">
        <f>IFERROR(INDEX('Formulación PDN 2027'!$X$7:$X$506,MATCH(ROW()-5,'Formulación PDN 2027'!$AK$7:$AK$506,0)),"")</f>
        <v/>
      </c>
      <c r="M28" s="15" t="str">
        <f>IFERROR(INDEX('Formulación PDN 2027'!$Y$7:$Y$506,MATCH(ROW()-5,'Formulación PDN 2027'!$AK$7:$AK$506,0))&amp;"","")</f>
        <v/>
      </c>
      <c r="N28" s="15" t="str">
        <f>IFERROR(INDEX('Formulación PDN 2027'!$Z$7:$Z$506,MATCH(ROW()-5,'Formulación PDN 2027'!$AK$7:$AK$506,0))&amp;"","")</f>
        <v/>
      </c>
      <c r="O28" s="15"/>
      <c r="P28" s="15" t="str">
        <f>IFERROR(INDEX('Formulación PDN 2027'!$AA$7:$AA$506,MATCH(ROW()-5,'Formulación PDN 2027'!$AK$7:$AK$506,0))&amp;"","")</f>
        <v/>
      </c>
      <c r="Q28" s="15" t="str">
        <f>IFERROR(INDEX('Formulación PDN 2027'!$AB$7:$AB$506,MATCH(ROW()-5,'Formulación PDN 2027'!$AK$7:$AK$506,0))&amp;"","")</f>
        <v/>
      </c>
      <c r="R28" s="15" t="str">
        <f>IFERROR(INDEX('Formulación PDN 2027'!$AD$7:$AD$506,MATCH(ROW()-5,'Formulación PDN 2027'!$AK$7:$AK$506,0))&amp;"","")</f>
        <v/>
      </c>
      <c r="S28" s="15" t="str">
        <f>IFERROR(INDEX('Formulación PDN 2027'!$AE$7:$AE$506,MATCH(ROW()-5,'Formulación PDN 2027'!$AK$7:$AK$506,0))&amp;"","")</f>
        <v/>
      </c>
      <c r="T28" s="15" t="str">
        <f>IFERROR(INDEX('Formulación PDN 2027'!$C$7:$C$506,MATCH(ROW()-5,'Formulación PDN 2027'!$AK$7:$AK$506,0))&amp;"","")</f>
        <v/>
      </c>
      <c r="U28" s="15" t="str">
        <f>IFERROR(INDEX('Formulación PDN 2027'!$B$7:$B$506,MATCH(ROW()-5,'Formulación PDN 2027'!$AK$7:$AK$506,0))&amp;"","")</f>
        <v/>
      </c>
      <c r="V28" s="15" t="str">
        <f>IFERROR(LEFT(INDEX('Formulación PDN 2027'!$E$7:$E$506,MATCH(ROW()-5,'Formulación PDN 2027'!$AK$7:$AK$506,0)),7),"")</f>
        <v/>
      </c>
      <c r="W28" s="15" t="str">
        <f>IFERROR(INDEX('Formulación PDN 2027'!$H$7:$H$506,MATCH(ROW()-5,'Formulación PDN 2027'!$AK$7:$AK$506,0))&amp;"","")</f>
        <v/>
      </c>
      <c r="X28" s="15" t="str">
        <f>IFERROR(INDEX('Formulación PDN 2027'!$U$7:$U$506,MATCH(ROW()-5,'Formulación PDN 2027'!$AK$7:$AK$506,0))&amp;"","")</f>
        <v/>
      </c>
      <c r="Y28" s="15" t="str">
        <f>IFERROR(INDEX('Formulación PDN 2027'!$AH$7:$AH$506,MATCH(ROW()-5,'Formulación PDN 2027'!$AK$7:$AK$506,0))&amp;"","")</f>
        <v/>
      </c>
    </row>
    <row r="29" spans="1:25" x14ac:dyDescent="0.3">
      <c r="A29" s="15" t="str">
        <f>IFERROR(INDEX('Formulación PDN 2027'!$A$7:$A$506,MATCH(ROW()-5,'Formulación PDN 2027'!$AK$7:$AK$506,0))&amp;"","")</f>
        <v/>
      </c>
      <c r="B29" s="20" t="str">
        <f>IFERROR(INDEX('Formulación PDN 2027'!$M$7:$M$506,MATCH(ROW()-5,'Formulación PDN 2027'!$AK$7:$AK$506,0)),"")</f>
        <v/>
      </c>
      <c r="C29" s="15" t="str">
        <f>IFERROR(INDEX('Formulación PDN 2027'!$N$7:$N$506,MATCH(ROW()-5,'Formulación PDN 2027'!$AK$7:$AK$506,0))&amp;"","")</f>
        <v/>
      </c>
      <c r="D29" s="15" t="str">
        <f>IFERROR(INDEX('Formulación PDN 2027'!$L$7:$L$506,MATCH(ROW()-5,'Formulación PDN 2027'!$AK$7:$AK$506,0))&amp;"","")</f>
        <v/>
      </c>
      <c r="E29" s="15" t="str">
        <f>IFERROR(MATCH(INDEX('Formulación PDN 2027'!$O$7:$O$506,MATCH(ROW()-5,'Formulación PDN 2027'!$AK$7:$AK$506,0)),L_MESES,0),"")</f>
        <v/>
      </c>
      <c r="F29" s="15" t="str">
        <f>IFERROR(MATCH(INDEX('Formulación PDN 2027'!$P$7:$P$506,MATCH(ROW()-5,'Formulación PDN 2027'!$AK$7:$AK$506,0)),L_MESES,0),"")</f>
        <v/>
      </c>
      <c r="G29" s="15" t="str">
        <f>IFERROR(INDEX('Formulación PDN 2027'!$Q$7:$Q$506,MATCH(ROW()-5,'Formulación PDN 2027'!$AK$7:$AK$506,0)),"")</f>
        <v/>
      </c>
      <c r="H29" s="15" t="str">
        <f>IFERROR(INDEX('Formulación PDN 2027'!$R$7:$R$506,MATCH(ROW()-5,'Formulación PDN 2027'!$AK$7:$AK$506,0))&amp;"","")</f>
        <v/>
      </c>
      <c r="I29" s="15" t="str">
        <f>IFERROR(INDEX('Formulación PDN 2027'!$S$7:$S$506,MATCH(ROW()-5,'Formulación PDN 2027'!$AK$7:$AK$506,0))&amp;"","")</f>
        <v/>
      </c>
      <c r="J29" s="15" t="str">
        <f>IFERROR(INDEX('Formulación PDN 2027'!$T$7:$T$506,MATCH(ROW()-5,'Formulación PDN 2027'!$AK$7:$AK$506,0))&amp;"","")</f>
        <v/>
      </c>
      <c r="K29" s="43" t="str">
        <f>IFERROR(INDEX('Formulación PDN 2027'!$W$7:$W$506,MATCH(ROW()-5,'Formulación PDN 2027'!$AK$7:$AK$506,0)),"")</f>
        <v/>
      </c>
      <c r="L29" s="43" t="str">
        <f>IFERROR(INDEX('Formulación PDN 2027'!$X$7:$X$506,MATCH(ROW()-5,'Formulación PDN 2027'!$AK$7:$AK$506,0)),"")</f>
        <v/>
      </c>
      <c r="M29" s="15" t="str">
        <f>IFERROR(INDEX('Formulación PDN 2027'!$Y$7:$Y$506,MATCH(ROW()-5,'Formulación PDN 2027'!$AK$7:$AK$506,0))&amp;"","")</f>
        <v/>
      </c>
      <c r="N29" s="15" t="str">
        <f>IFERROR(INDEX('Formulación PDN 2027'!$Z$7:$Z$506,MATCH(ROW()-5,'Formulación PDN 2027'!$AK$7:$AK$506,0))&amp;"","")</f>
        <v/>
      </c>
      <c r="O29" s="15"/>
      <c r="P29" s="15" t="str">
        <f>IFERROR(INDEX('Formulación PDN 2027'!$AA$7:$AA$506,MATCH(ROW()-5,'Formulación PDN 2027'!$AK$7:$AK$506,0))&amp;"","")</f>
        <v/>
      </c>
      <c r="Q29" s="15" t="str">
        <f>IFERROR(INDEX('Formulación PDN 2027'!$AB$7:$AB$506,MATCH(ROW()-5,'Formulación PDN 2027'!$AK$7:$AK$506,0))&amp;"","")</f>
        <v/>
      </c>
      <c r="R29" s="15" t="str">
        <f>IFERROR(INDEX('Formulación PDN 2027'!$AD$7:$AD$506,MATCH(ROW()-5,'Formulación PDN 2027'!$AK$7:$AK$506,0))&amp;"","")</f>
        <v/>
      </c>
      <c r="S29" s="15" t="str">
        <f>IFERROR(INDEX('Formulación PDN 2027'!$AE$7:$AE$506,MATCH(ROW()-5,'Formulación PDN 2027'!$AK$7:$AK$506,0))&amp;"","")</f>
        <v/>
      </c>
      <c r="T29" s="15" t="str">
        <f>IFERROR(INDEX('Formulación PDN 2027'!$C$7:$C$506,MATCH(ROW()-5,'Formulación PDN 2027'!$AK$7:$AK$506,0))&amp;"","")</f>
        <v/>
      </c>
      <c r="U29" s="15" t="str">
        <f>IFERROR(INDEX('Formulación PDN 2027'!$B$7:$B$506,MATCH(ROW()-5,'Formulación PDN 2027'!$AK$7:$AK$506,0))&amp;"","")</f>
        <v/>
      </c>
      <c r="V29" s="15" t="str">
        <f>IFERROR(LEFT(INDEX('Formulación PDN 2027'!$E$7:$E$506,MATCH(ROW()-5,'Formulación PDN 2027'!$AK$7:$AK$506,0)),7),"")</f>
        <v/>
      </c>
      <c r="W29" s="15" t="str">
        <f>IFERROR(INDEX('Formulación PDN 2027'!$H$7:$H$506,MATCH(ROW()-5,'Formulación PDN 2027'!$AK$7:$AK$506,0))&amp;"","")</f>
        <v/>
      </c>
      <c r="X29" s="15" t="str">
        <f>IFERROR(INDEX('Formulación PDN 2027'!$U$7:$U$506,MATCH(ROW()-5,'Formulación PDN 2027'!$AK$7:$AK$506,0))&amp;"","")</f>
        <v/>
      </c>
      <c r="Y29" s="15" t="str">
        <f>IFERROR(INDEX('Formulación PDN 2027'!$AH$7:$AH$506,MATCH(ROW()-5,'Formulación PDN 2027'!$AK$7:$AK$506,0))&amp;"","")</f>
        <v/>
      </c>
    </row>
    <row r="30" spans="1:25" x14ac:dyDescent="0.3">
      <c r="A30" s="15" t="str">
        <f>IFERROR(INDEX('Formulación PDN 2027'!$A$7:$A$506,MATCH(ROW()-5,'Formulación PDN 2027'!$AK$7:$AK$506,0))&amp;"","")</f>
        <v/>
      </c>
      <c r="B30" s="20" t="str">
        <f>IFERROR(INDEX('Formulación PDN 2027'!$M$7:$M$506,MATCH(ROW()-5,'Formulación PDN 2027'!$AK$7:$AK$506,0)),"")</f>
        <v/>
      </c>
      <c r="C30" s="15" t="str">
        <f>IFERROR(INDEX('Formulación PDN 2027'!$N$7:$N$506,MATCH(ROW()-5,'Formulación PDN 2027'!$AK$7:$AK$506,0))&amp;"","")</f>
        <v/>
      </c>
      <c r="D30" s="15" t="str">
        <f>IFERROR(INDEX('Formulación PDN 2027'!$L$7:$L$506,MATCH(ROW()-5,'Formulación PDN 2027'!$AK$7:$AK$506,0))&amp;"","")</f>
        <v/>
      </c>
      <c r="E30" s="15" t="str">
        <f>IFERROR(MATCH(INDEX('Formulación PDN 2027'!$O$7:$O$506,MATCH(ROW()-5,'Formulación PDN 2027'!$AK$7:$AK$506,0)),L_MESES,0),"")</f>
        <v/>
      </c>
      <c r="F30" s="15" t="str">
        <f>IFERROR(MATCH(INDEX('Formulación PDN 2027'!$P$7:$P$506,MATCH(ROW()-5,'Formulación PDN 2027'!$AK$7:$AK$506,0)),L_MESES,0),"")</f>
        <v/>
      </c>
      <c r="G30" s="15" t="str">
        <f>IFERROR(INDEX('Formulación PDN 2027'!$Q$7:$Q$506,MATCH(ROW()-5,'Formulación PDN 2027'!$AK$7:$AK$506,0)),"")</f>
        <v/>
      </c>
      <c r="H30" s="15" t="str">
        <f>IFERROR(INDEX('Formulación PDN 2027'!$R$7:$R$506,MATCH(ROW()-5,'Formulación PDN 2027'!$AK$7:$AK$506,0))&amp;"","")</f>
        <v/>
      </c>
      <c r="I30" s="15" t="str">
        <f>IFERROR(INDEX('Formulación PDN 2027'!$S$7:$S$506,MATCH(ROW()-5,'Formulación PDN 2027'!$AK$7:$AK$506,0))&amp;"","")</f>
        <v/>
      </c>
      <c r="J30" s="15" t="str">
        <f>IFERROR(INDEX('Formulación PDN 2027'!$T$7:$T$506,MATCH(ROW()-5,'Formulación PDN 2027'!$AK$7:$AK$506,0))&amp;"","")</f>
        <v/>
      </c>
      <c r="K30" s="43" t="str">
        <f>IFERROR(INDEX('Formulación PDN 2027'!$W$7:$W$506,MATCH(ROW()-5,'Formulación PDN 2027'!$AK$7:$AK$506,0)),"")</f>
        <v/>
      </c>
      <c r="L30" s="43" t="str">
        <f>IFERROR(INDEX('Formulación PDN 2027'!$X$7:$X$506,MATCH(ROW()-5,'Formulación PDN 2027'!$AK$7:$AK$506,0)),"")</f>
        <v/>
      </c>
      <c r="M30" s="15" t="str">
        <f>IFERROR(INDEX('Formulación PDN 2027'!$Y$7:$Y$506,MATCH(ROW()-5,'Formulación PDN 2027'!$AK$7:$AK$506,0))&amp;"","")</f>
        <v/>
      </c>
      <c r="N30" s="15" t="str">
        <f>IFERROR(INDEX('Formulación PDN 2027'!$Z$7:$Z$506,MATCH(ROW()-5,'Formulación PDN 2027'!$AK$7:$AK$506,0))&amp;"","")</f>
        <v/>
      </c>
      <c r="O30" s="15"/>
      <c r="P30" s="15" t="str">
        <f>IFERROR(INDEX('Formulación PDN 2027'!$AA$7:$AA$506,MATCH(ROW()-5,'Formulación PDN 2027'!$AK$7:$AK$506,0))&amp;"","")</f>
        <v/>
      </c>
      <c r="Q30" s="15" t="str">
        <f>IFERROR(INDEX('Formulación PDN 2027'!$AB$7:$AB$506,MATCH(ROW()-5,'Formulación PDN 2027'!$AK$7:$AK$506,0))&amp;"","")</f>
        <v/>
      </c>
      <c r="R30" s="15" t="str">
        <f>IFERROR(INDEX('Formulación PDN 2027'!$AD$7:$AD$506,MATCH(ROW()-5,'Formulación PDN 2027'!$AK$7:$AK$506,0))&amp;"","")</f>
        <v/>
      </c>
      <c r="S30" s="15" t="str">
        <f>IFERROR(INDEX('Formulación PDN 2027'!$AE$7:$AE$506,MATCH(ROW()-5,'Formulación PDN 2027'!$AK$7:$AK$506,0))&amp;"","")</f>
        <v/>
      </c>
      <c r="T30" s="15" t="str">
        <f>IFERROR(INDEX('Formulación PDN 2027'!$C$7:$C$506,MATCH(ROW()-5,'Formulación PDN 2027'!$AK$7:$AK$506,0))&amp;"","")</f>
        <v/>
      </c>
      <c r="U30" s="15" t="str">
        <f>IFERROR(INDEX('Formulación PDN 2027'!$B$7:$B$506,MATCH(ROW()-5,'Formulación PDN 2027'!$AK$7:$AK$506,0))&amp;"","")</f>
        <v/>
      </c>
      <c r="V30" s="15" t="str">
        <f>IFERROR(LEFT(INDEX('Formulación PDN 2027'!$E$7:$E$506,MATCH(ROW()-5,'Formulación PDN 2027'!$AK$7:$AK$506,0)),7),"")</f>
        <v/>
      </c>
      <c r="W30" s="15" t="str">
        <f>IFERROR(INDEX('Formulación PDN 2027'!$H$7:$H$506,MATCH(ROW()-5,'Formulación PDN 2027'!$AK$7:$AK$506,0))&amp;"","")</f>
        <v/>
      </c>
      <c r="X30" s="15" t="str">
        <f>IFERROR(INDEX('Formulación PDN 2027'!$U$7:$U$506,MATCH(ROW()-5,'Formulación PDN 2027'!$AK$7:$AK$506,0))&amp;"","")</f>
        <v/>
      </c>
      <c r="Y30" s="15" t="str">
        <f>IFERROR(INDEX('Formulación PDN 2027'!$AH$7:$AH$506,MATCH(ROW()-5,'Formulación PDN 2027'!$AK$7:$AK$506,0))&amp;"","")</f>
        <v/>
      </c>
    </row>
    <row r="31" spans="1:25" x14ac:dyDescent="0.3">
      <c r="A31" s="15" t="str">
        <f>IFERROR(INDEX('Formulación PDN 2027'!$A$7:$A$506,MATCH(ROW()-5,'Formulación PDN 2027'!$AK$7:$AK$506,0))&amp;"","")</f>
        <v/>
      </c>
      <c r="B31" s="20" t="str">
        <f>IFERROR(INDEX('Formulación PDN 2027'!$M$7:$M$506,MATCH(ROW()-5,'Formulación PDN 2027'!$AK$7:$AK$506,0)),"")</f>
        <v/>
      </c>
      <c r="C31" s="15" t="str">
        <f>IFERROR(INDEX('Formulación PDN 2027'!$N$7:$N$506,MATCH(ROW()-5,'Formulación PDN 2027'!$AK$7:$AK$506,0))&amp;"","")</f>
        <v/>
      </c>
      <c r="D31" s="15" t="str">
        <f>IFERROR(INDEX('Formulación PDN 2027'!$L$7:$L$506,MATCH(ROW()-5,'Formulación PDN 2027'!$AK$7:$AK$506,0))&amp;"","")</f>
        <v/>
      </c>
      <c r="E31" s="15" t="str">
        <f>IFERROR(MATCH(INDEX('Formulación PDN 2027'!$O$7:$O$506,MATCH(ROW()-5,'Formulación PDN 2027'!$AK$7:$AK$506,0)),L_MESES,0),"")</f>
        <v/>
      </c>
      <c r="F31" s="15" t="str">
        <f>IFERROR(MATCH(INDEX('Formulación PDN 2027'!$P$7:$P$506,MATCH(ROW()-5,'Formulación PDN 2027'!$AK$7:$AK$506,0)),L_MESES,0),"")</f>
        <v/>
      </c>
      <c r="G31" s="15" t="str">
        <f>IFERROR(INDEX('Formulación PDN 2027'!$Q$7:$Q$506,MATCH(ROW()-5,'Formulación PDN 2027'!$AK$7:$AK$506,0)),"")</f>
        <v/>
      </c>
      <c r="H31" s="15" t="str">
        <f>IFERROR(INDEX('Formulación PDN 2027'!$R$7:$R$506,MATCH(ROW()-5,'Formulación PDN 2027'!$AK$7:$AK$506,0))&amp;"","")</f>
        <v/>
      </c>
      <c r="I31" s="15" t="str">
        <f>IFERROR(INDEX('Formulación PDN 2027'!$S$7:$S$506,MATCH(ROW()-5,'Formulación PDN 2027'!$AK$7:$AK$506,0))&amp;"","")</f>
        <v/>
      </c>
      <c r="J31" s="15" t="str">
        <f>IFERROR(INDEX('Formulación PDN 2027'!$T$7:$T$506,MATCH(ROW()-5,'Formulación PDN 2027'!$AK$7:$AK$506,0))&amp;"","")</f>
        <v/>
      </c>
      <c r="K31" s="43" t="str">
        <f>IFERROR(INDEX('Formulación PDN 2027'!$W$7:$W$506,MATCH(ROW()-5,'Formulación PDN 2027'!$AK$7:$AK$506,0)),"")</f>
        <v/>
      </c>
      <c r="L31" s="43" t="str">
        <f>IFERROR(INDEX('Formulación PDN 2027'!$X$7:$X$506,MATCH(ROW()-5,'Formulación PDN 2027'!$AK$7:$AK$506,0)),"")</f>
        <v/>
      </c>
      <c r="M31" s="15" t="str">
        <f>IFERROR(INDEX('Formulación PDN 2027'!$Y$7:$Y$506,MATCH(ROW()-5,'Formulación PDN 2027'!$AK$7:$AK$506,0))&amp;"","")</f>
        <v/>
      </c>
      <c r="N31" s="15" t="str">
        <f>IFERROR(INDEX('Formulación PDN 2027'!$Z$7:$Z$506,MATCH(ROW()-5,'Formulación PDN 2027'!$AK$7:$AK$506,0))&amp;"","")</f>
        <v/>
      </c>
      <c r="O31" s="15"/>
      <c r="P31" s="15" t="str">
        <f>IFERROR(INDEX('Formulación PDN 2027'!$AA$7:$AA$506,MATCH(ROW()-5,'Formulación PDN 2027'!$AK$7:$AK$506,0))&amp;"","")</f>
        <v/>
      </c>
      <c r="Q31" s="15" t="str">
        <f>IFERROR(INDEX('Formulación PDN 2027'!$AB$7:$AB$506,MATCH(ROW()-5,'Formulación PDN 2027'!$AK$7:$AK$506,0))&amp;"","")</f>
        <v/>
      </c>
      <c r="R31" s="15" t="str">
        <f>IFERROR(INDEX('Formulación PDN 2027'!$AD$7:$AD$506,MATCH(ROW()-5,'Formulación PDN 2027'!$AK$7:$AK$506,0))&amp;"","")</f>
        <v/>
      </c>
      <c r="S31" s="15" t="str">
        <f>IFERROR(INDEX('Formulación PDN 2027'!$AE$7:$AE$506,MATCH(ROW()-5,'Formulación PDN 2027'!$AK$7:$AK$506,0))&amp;"","")</f>
        <v/>
      </c>
      <c r="T31" s="15" t="str">
        <f>IFERROR(INDEX('Formulación PDN 2027'!$C$7:$C$506,MATCH(ROW()-5,'Formulación PDN 2027'!$AK$7:$AK$506,0))&amp;"","")</f>
        <v/>
      </c>
      <c r="U31" s="15" t="str">
        <f>IFERROR(INDEX('Formulación PDN 2027'!$B$7:$B$506,MATCH(ROW()-5,'Formulación PDN 2027'!$AK$7:$AK$506,0))&amp;"","")</f>
        <v/>
      </c>
      <c r="V31" s="15" t="str">
        <f>IFERROR(LEFT(INDEX('Formulación PDN 2027'!$E$7:$E$506,MATCH(ROW()-5,'Formulación PDN 2027'!$AK$7:$AK$506,0)),7),"")</f>
        <v/>
      </c>
      <c r="W31" s="15" t="str">
        <f>IFERROR(INDEX('Formulación PDN 2027'!$H$7:$H$506,MATCH(ROW()-5,'Formulación PDN 2027'!$AK$7:$AK$506,0))&amp;"","")</f>
        <v/>
      </c>
      <c r="X31" s="15" t="str">
        <f>IFERROR(INDEX('Formulación PDN 2027'!$U$7:$U$506,MATCH(ROW()-5,'Formulación PDN 2027'!$AK$7:$AK$506,0))&amp;"","")</f>
        <v/>
      </c>
      <c r="Y31" s="15" t="str">
        <f>IFERROR(INDEX('Formulación PDN 2027'!$AH$7:$AH$506,MATCH(ROW()-5,'Formulación PDN 2027'!$AK$7:$AK$506,0))&amp;"","")</f>
        <v/>
      </c>
    </row>
    <row r="32" spans="1:25" x14ac:dyDescent="0.3">
      <c r="A32" s="15" t="str">
        <f>IFERROR(INDEX('Formulación PDN 2027'!$A$7:$A$506,MATCH(ROW()-5,'Formulación PDN 2027'!$AK$7:$AK$506,0))&amp;"","")</f>
        <v/>
      </c>
      <c r="B32" s="20" t="str">
        <f>IFERROR(INDEX('Formulación PDN 2027'!$M$7:$M$506,MATCH(ROW()-5,'Formulación PDN 2027'!$AK$7:$AK$506,0)),"")</f>
        <v/>
      </c>
      <c r="C32" s="15" t="str">
        <f>IFERROR(INDEX('Formulación PDN 2027'!$N$7:$N$506,MATCH(ROW()-5,'Formulación PDN 2027'!$AK$7:$AK$506,0))&amp;"","")</f>
        <v/>
      </c>
      <c r="D32" s="15" t="str">
        <f>IFERROR(INDEX('Formulación PDN 2027'!$L$7:$L$506,MATCH(ROW()-5,'Formulación PDN 2027'!$AK$7:$AK$506,0))&amp;"","")</f>
        <v/>
      </c>
      <c r="E32" s="15" t="str">
        <f>IFERROR(MATCH(INDEX('Formulación PDN 2027'!$O$7:$O$506,MATCH(ROW()-5,'Formulación PDN 2027'!$AK$7:$AK$506,0)),L_MESES,0),"")</f>
        <v/>
      </c>
      <c r="F32" s="15" t="str">
        <f>IFERROR(MATCH(INDEX('Formulación PDN 2027'!$P$7:$P$506,MATCH(ROW()-5,'Formulación PDN 2027'!$AK$7:$AK$506,0)),L_MESES,0),"")</f>
        <v/>
      </c>
      <c r="G32" s="15" t="str">
        <f>IFERROR(INDEX('Formulación PDN 2027'!$Q$7:$Q$506,MATCH(ROW()-5,'Formulación PDN 2027'!$AK$7:$AK$506,0)),"")</f>
        <v/>
      </c>
      <c r="H32" s="15" t="str">
        <f>IFERROR(INDEX('Formulación PDN 2027'!$R$7:$R$506,MATCH(ROW()-5,'Formulación PDN 2027'!$AK$7:$AK$506,0))&amp;"","")</f>
        <v/>
      </c>
      <c r="I32" s="15" t="str">
        <f>IFERROR(INDEX('Formulación PDN 2027'!$S$7:$S$506,MATCH(ROW()-5,'Formulación PDN 2027'!$AK$7:$AK$506,0))&amp;"","")</f>
        <v/>
      </c>
      <c r="J32" s="15" t="str">
        <f>IFERROR(INDEX('Formulación PDN 2027'!$T$7:$T$506,MATCH(ROW()-5,'Formulación PDN 2027'!$AK$7:$AK$506,0))&amp;"","")</f>
        <v/>
      </c>
      <c r="K32" s="43" t="str">
        <f>IFERROR(INDEX('Formulación PDN 2027'!$W$7:$W$506,MATCH(ROW()-5,'Formulación PDN 2027'!$AK$7:$AK$506,0)),"")</f>
        <v/>
      </c>
      <c r="L32" s="43" t="str">
        <f>IFERROR(INDEX('Formulación PDN 2027'!$X$7:$X$506,MATCH(ROW()-5,'Formulación PDN 2027'!$AK$7:$AK$506,0)),"")</f>
        <v/>
      </c>
      <c r="M32" s="15" t="str">
        <f>IFERROR(INDEX('Formulación PDN 2027'!$Y$7:$Y$506,MATCH(ROW()-5,'Formulación PDN 2027'!$AK$7:$AK$506,0))&amp;"","")</f>
        <v/>
      </c>
      <c r="N32" s="15" t="str">
        <f>IFERROR(INDEX('Formulación PDN 2027'!$Z$7:$Z$506,MATCH(ROW()-5,'Formulación PDN 2027'!$AK$7:$AK$506,0))&amp;"","")</f>
        <v/>
      </c>
      <c r="O32" s="15"/>
      <c r="P32" s="15" t="str">
        <f>IFERROR(INDEX('Formulación PDN 2027'!$AA$7:$AA$506,MATCH(ROW()-5,'Formulación PDN 2027'!$AK$7:$AK$506,0))&amp;"","")</f>
        <v/>
      </c>
      <c r="Q32" s="15" t="str">
        <f>IFERROR(INDEX('Formulación PDN 2027'!$AB$7:$AB$506,MATCH(ROW()-5,'Formulación PDN 2027'!$AK$7:$AK$506,0))&amp;"","")</f>
        <v/>
      </c>
      <c r="R32" s="15" t="str">
        <f>IFERROR(INDEX('Formulación PDN 2027'!$AD$7:$AD$506,MATCH(ROW()-5,'Formulación PDN 2027'!$AK$7:$AK$506,0))&amp;"","")</f>
        <v/>
      </c>
      <c r="S32" s="15" t="str">
        <f>IFERROR(INDEX('Formulación PDN 2027'!$AE$7:$AE$506,MATCH(ROW()-5,'Formulación PDN 2027'!$AK$7:$AK$506,0))&amp;"","")</f>
        <v/>
      </c>
      <c r="T32" s="15" t="str">
        <f>IFERROR(INDEX('Formulación PDN 2027'!$C$7:$C$506,MATCH(ROW()-5,'Formulación PDN 2027'!$AK$7:$AK$506,0))&amp;"","")</f>
        <v/>
      </c>
      <c r="U32" s="15" t="str">
        <f>IFERROR(INDEX('Formulación PDN 2027'!$B$7:$B$506,MATCH(ROW()-5,'Formulación PDN 2027'!$AK$7:$AK$506,0))&amp;"","")</f>
        <v/>
      </c>
      <c r="V32" s="15" t="str">
        <f>IFERROR(LEFT(INDEX('Formulación PDN 2027'!$E$7:$E$506,MATCH(ROW()-5,'Formulación PDN 2027'!$AK$7:$AK$506,0)),7),"")</f>
        <v/>
      </c>
      <c r="W32" s="15" t="str">
        <f>IFERROR(INDEX('Formulación PDN 2027'!$H$7:$H$506,MATCH(ROW()-5,'Formulación PDN 2027'!$AK$7:$AK$506,0))&amp;"","")</f>
        <v/>
      </c>
      <c r="X32" s="15" t="str">
        <f>IFERROR(INDEX('Formulación PDN 2027'!$U$7:$U$506,MATCH(ROW()-5,'Formulación PDN 2027'!$AK$7:$AK$506,0))&amp;"","")</f>
        <v/>
      </c>
      <c r="Y32" s="15" t="str">
        <f>IFERROR(INDEX('Formulación PDN 2027'!$AH$7:$AH$506,MATCH(ROW()-5,'Formulación PDN 2027'!$AK$7:$AK$506,0))&amp;"","")</f>
        <v/>
      </c>
    </row>
    <row r="33" spans="1:25" x14ac:dyDescent="0.3">
      <c r="A33" s="15" t="str">
        <f>IFERROR(INDEX('Formulación PDN 2027'!$A$7:$A$506,MATCH(ROW()-5,'Formulación PDN 2027'!$AK$7:$AK$506,0))&amp;"","")</f>
        <v/>
      </c>
      <c r="B33" s="20" t="str">
        <f>IFERROR(INDEX('Formulación PDN 2027'!$M$7:$M$506,MATCH(ROW()-5,'Formulación PDN 2027'!$AK$7:$AK$506,0)),"")</f>
        <v/>
      </c>
      <c r="C33" s="15" t="str">
        <f>IFERROR(INDEX('Formulación PDN 2027'!$N$7:$N$506,MATCH(ROW()-5,'Formulación PDN 2027'!$AK$7:$AK$506,0))&amp;"","")</f>
        <v/>
      </c>
      <c r="D33" s="15" t="str">
        <f>IFERROR(INDEX('Formulación PDN 2027'!$L$7:$L$506,MATCH(ROW()-5,'Formulación PDN 2027'!$AK$7:$AK$506,0))&amp;"","")</f>
        <v/>
      </c>
      <c r="E33" s="15" t="str">
        <f>IFERROR(MATCH(INDEX('Formulación PDN 2027'!$O$7:$O$506,MATCH(ROW()-5,'Formulación PDN 2027'!$AK$7:$AK$506,0)),L_MESES,0),"")</f>
        <v/>
      </c>
      <c r="F33" s="15" t="str">
        <f>IFERROR(MATCH(INDEX('Formulación PDN 2027'!$P$7:$P$506,MATCH(ROW()-5,'Formulación PDN 2027'!$AK$7:$AK$506,0)),L_MESES,0),"")</f>
        <v/>
      </c>
      <c r="G33" s="15" t="str">
        <f>IFERROR(INDEX('Formulación PDN 2027'!$Q$7:$Q$506,MATCH(ROW()-5,'Formulación PDN 2027'!$AK$7:$AK$506,0)),"")</f>
        <v/>
      </c>
      <c r="H33" s="15" t="str">
        <f>IFERROR(INDEX('Formulación PDN 2027'!$R$7:$R$506,MATCH(ROW()-5,'Formulación PDN 2027'!$AK$7:$AK$506,0))&amp;"","")</f>
        <v/>
      </c>
      <c r="I33" s="15" t="str">
        <f>IFERROR(INDEX('Formulación PDN 2027'!$S$7:$S$506,MATCH(ROW()-5,'Formulación PDN 2027'!$AK$7:$AK$506,0))&amp;"","")</f>
        <v/>
      </c>
      <c r="J33" s="15" t="str">
        <f>IFERROR(INDEX('Formulación PDN 2027'!$T$7:$T$506,MATCH(ROW()-5,'Formulación PDN 2027'!$AK$7:$AK$506,0))&amp;"","")</f>
        <v/>
      </c>
      <c r="K33" s="43" t="str">
        <f>IFERROR(INDEX('Formulación PDN 2027'!$W$7:$W$506,MATCH(ROW()-5,'Formulación PDN 2027'!$AK$7:$AK$506,0)),"")</f>
        <v/>
      </c>
      <c r="L33" s="43" t="str">
        <f>IFERROR(INDEX('Formulación PDN 2027'!$X$7:$X$506,MATCH(ROW()-5,'Formulación PDN 2027'!$AK$7:$AK$506,0)),"")</f>
        <v/>
      </c>
      <c r="M33" s="15" t="str">
        <f>IFERROR(INDEX('Formulación PDN 2027'!$Y$7:$Y$506,MATCH(ROW()-5,'Formulación PDN 2027'!$AK$7:$AK$506,0))&amp;"","")</f>
        <v/>
      </c>
      <c r="N33" s="15" t="str">
        <f>IFERROR(INDEX('Formulación PDN 2027'!$Z$7:$Z$506,MATCH(ROW()-5,'Formulación PDN 2027'!$AK$7:$AK$506,0))&amp;"","")</f>
        <v/>
      </c>
      <c r="O33" s="15"/>
      <c r="P33" s="15" t="str">
        <f>IFERROR(INDEX('Formulación PDN 2027'!$AA$7:$AA$506,MATCH(ROW()-5,'Formulación PDN 2027'!$AK$7:$AK$506,0))&amp;"","")</f>
        <v/>
      </c>
      <c r="Q33" s="15" t="str">
        <f>IFERROR(INDEX('Formulación PDN 2027'!$AB$7:$AB$506,MATCH(ROW()-5,'Formulación PDN 2027'!$AK$7:$AK$506,0))&amp;"","")</f>
        <v/>
      </c>
      <c r="R33" s="15" t="str">
        <f>IFERROR(INDEX('Formulación PDN 2027'!$AD$7:$AD$506,MATCH(ROW()-5,'Formulación PDN 2027'!$AK$7:$AK$506,0))&amp;"","")</f>
        <v/>
      </c>
      <c r="S33" s="15" t="str">
        <f>IFERROR(INDEX('Formulación PDN 2027'!$AE$7:$AE$506,MATCH(ROW()-5,'Formulación PDN 2027'!$AK$7:$AK$506,0))&amp;"","")</f>
        <v/>
      </c>
      <c r="T33" s="15" t="str">
        <f>IFERROR(INDEX('Formulación PDN 2027'!$C$7:$C$506,MATCH(ROW()-5,'Formulación PDN 2027'!$AK$7:$AK$506,0))&amp;"","")</f>
        <v/>
      </c>
      <c r="U33" s="15" t="str">
        <f>IFERROR(INDEX('Formulación PDN 2027'!$B$7:$B$506,MATCH(ROW()-5,'Formulación PDN 2027'!$AK$7:$AK$506,0))&amp;"","")</f>
        <v/>
      </c>
      <c r="V33" s="15" t="str">
        <f>IFERROR(LEFT(INDEX('Formulación PDN 2027'!$E$7:$E$506,MATCH(ROW()-5,'Formulación PDN 2027'!$AK$7:$AK$506,0)),7),"")</f>
        <v/>
      </c>
      <c r="W33" s="15" t="str">
        <f>IFERROR(INDEX('Formulación PDN 2027'!$H$7:$H$506,MATCH(ROW()-5,'Formulación PDN 2027'!$AK$7:$AK$506,0))&amp;"","")</f>
        <v/>
      </c>
      <c r="X33" s="15" t="str">
        <f>IFERROR(INDEX('Formulación PDN 2027'!$U$7:$U$506,MATCH(ROW()-5,'Formulación PDN 2027'!$AK$7:$AK$506,0))&amp;"","")</f>
        <v/>
      </c>
      <c r="Y33" s="15" t="str">
        <f>IFERROR(INDEX('Formulación PDN 2027'!$AH$7:$AH$506,MATCH(ROW()-5,'Formulación PDN 2027'!$AK$7:$AK$506,0))&amp;"","")</f>
        <v/>
      </c>
    </row>
    <row r="34" spans="1:25" x14ac:dyDescent="0.3">
      <c r="A34" s="15" t="str">
        <f>IFERROR(INDEX('Formulación PDN 2027'!$A$7:$A$506,MATCH(ROW()-5,'Formulación PDN 2027'!$AK$7:$AK$506,0))&amp;"","")</f>
        <v/>
      </c>
      <c r="B34" s="20" t="str">
        <f>IFERROR(INDEX('Formulación PDN 2027'!$M$7:$M$506,MATCH(ROW()-5,'Formulación PDN 2027'!$AK$7:$AK$506,0)),"")</f>
        <v/>
      </c>
      <c r="C34" s="15" t="str">
        <f>IFERROR(INDEX('Formulación PDN 2027'!$N$7:$N$506,MATCH(ROW()-5,'Formulación PDN 2027'!$AK$7:$AK$506,0))&amp;"","")</f>
        <v/>
      </c>
      <c r="D34" s="15" t="str">
        <f>IFERROR(INDEX('Formulación PDN 2027'!$L$7:$L$506,MATCH(ROW()-5,'Formulación PDN 2027'!$AK$7:$AK$506,0))&amp;"","")</f>
        <v/>
      </c>
      <c r="E34" s="15" t="str">
        <f>IFERROR(MATCH(INDEX('Formulación PDN 2027'!$O$7:$O$506,MATCH(ROW()-5,'Formulación PDN 2027'!$AK$7:$AK$506,0)),L_MESES,0),"")</f>
        <v/>
      </c>
      <c r="F34" s="15" t="str">
        <f>IFERROR(MATCH(INDEX('Formulación PDN 2027'!$P$7:$P$506,MATCH(ROW()-5,'Formulación PDN 2027'!$AK$7:$AK$506,0)),L_MESES,0),"")</f>
        <v/>
      </c>
      <c r="G34" s="15" t="str">
        <f>IFERROR(INDEX('Formulación PDN 2027'!$Q$7:$Q$506,MATCH(ROW()-5,'Formulación PDN 2027'!$AK$7:$AK$506,0)),"")</f>
        <v/>
      </c>
      <c r="H34" s="15" t="str">
        <f>IFERROR(INDEX('Formulación PDN 2027'!$R$7:$R$506,MATCH(ROW()-5,'Formulación PDN 2027'!$AK$7:$AK$506,0))&amp;"","")</f>
        <v/>
      </c>
      <c r="I34" s="15" t="str">
        <f>IFERROR(INDEX('Formulación PDN 2027'!$S$7:$S$506,MATCH(ROW()-5,'Formulación PDN 2027'!$AK$7:$AK$506,0))&amp;"","")</f>
        <v/>
      </c>
      <c r="J34" s="15" t="str">
        <f>IFERROR(INDEX('Formulación PDN 2027'!$T$7:$T$506,MATCH(ROW()-5,'Formulación PDN 2027'!$AK$7:$AK$506,0))&amp;"","")</f>
        <v/>
      </c>
      <c r="K34" s="43" t="str">
        <f>IFERROR(INDEX('Formulación PDN 2027'!$W$7:$W$506,MATCH(ROW()-5,'Formulación PDN 2027'!$AK$7:$AK$506,0)),"")</f>
        <v/>
      </c>
      <c r="L34" s="43" t="str">
        <f>IFERROR(INDEX('Formulación PDN 2027'!$X$7:$X$506,MATCH(ROW()-5,'Formulación PDN 2027'!$AK$7:$AK$506,0)),"")</f>
        <v/>
      </c>
      <c r="M34" s="15" t="str">
        <f>IFERROR(INDEX('Formulación PDN 2027'!$Y$7:$Y$506,MATCH(ROW()-5,'Formulación PDN 2027'!$AK$7:$AK$506,0))&amp;"","")</f>
        <v/>
      </c>
      <c r="N34" s="15" t="str">
        <f>IFERROR(INDEX('Formulación PDN 2027'!$Z$7:$Z$506,MATCH(ROW()-5,'Formulación PDN 2027'!$AK$7:$AK$506,0))&amp;"","")</f>
        <v/>
      </c>
      <c r="O34" s="15"/>
      <c r="P34" s="15" t="str">
        <f>IFERROR(INDEX('Formulación PDN 2027'!$AA$7:$AA$506,MATCH(ROW()-5,'Formulación PDN 2027'!$AK$7:$AK$506,0))&amp;"","")</f>
        <v/>
      </c>
      <c r="Q34" s="15" t="str">
        <f>IFERROR(INDEX('Formulación PDN 2027'!$AB$7:$AB$506,MATCH(ROW()-5,'Formulación PDN 2027'!$AK$7:$AK$506,0))&amp;"","")</f>
        <v/>
      </c>
      <c r="R34" s="15" t="str">
        <f>IFERROR(INDEX('Formulación PDN 2027'!$AD$7:$AD$506,MATCH(ROW()-5,'Formulación PDN 2027'!$AK$7:$AK$506,0))&amp;"","")</f>
        <v/>
      </c>
      <c r="S34" s="15" t="str">
        <f>IFERROR(INDEX('Formulación PDN 2027'!$AE$7:$AE$506,MATCH(ROW()-5,'Formulación PDN 2027'!$AK$7:$AK$506,0))&amp;"","")</f>
        <v/>
      </c>
      <c r="T34" s="15" t="str">
        <f>IFERROR(INDEX('Formulación PDN 2027'!$C$7:$C$506,MATCH(ROW()-5,'Formulación PDN 2027'!$AK$7:$AK$506,0))&amp;"","")</f>
        <v/>
      </c>
      <c r="U34" s="15" t="str">
        <f>IFERROR(INDEX('Formulación PDN 2027'!$B$7:$B$506,MATCH(ROW()-5,'Formulación PDN 2027'!$AK$7:$AK$506,0))&amp;"","")</f>
        <v/>
      </c>
      <c r="V34" s="15" t="str">
        <f>IFERROR(LEFT(INDEX('Formulación PDN 2027'!$E$7:$E$506,MATCH(ROW()-5,'Formulación PDN 2027'!$AK$7:$AK$506,0)),7),"")</f>
        <v/>
      </c>
      <c r="W34" s="15" t="str">
        <f>IFERROR(INDEX('Formulación PDN 2027'!$H$7:$H$506,MATCH(ROW()-5,'Formulación PDN 2027'!$AK$7:$AK$506,0))&amp;"","")</f>
        <v/>
      </c>
      <c r="X34" s="15" t="str">
        <f>IFERROR(INDEX('Formulación PDN 2027'!$U$7:$U$506,MATCH(ROW()-5,'Formulación PDN 2027'!$AK$7:$AK$506,0))&amp;"","")</f>
        <v/>
      </c>
      <c r="Y34" s="15" t="str">
        <f>IFERROR(INDEX('Formulación PDN 2027'!$AH$7:$AH$506,MATCH(ROW()-5,'Formulación PDN 2027'!$AK$7:$AK$506,0))&amp;"","")</f>
        <v/>
      </c>
    </row>
    <row r="35" spans="1:25" x14ac:dyDescent="0.3">
      <c r="A35" s="15" t="str">
        <f>IFERROR(INDEX('Formulación PDN 2027'!$A$7:$A$506,MATCH(ROW()-5,'Formulación PDN 2027'!$AK$7:$AK$506,0))&amp;"","")</f>
        <v/>
      </c>
      <c r="B35" s="20" t="str">
        <f>IFERROR(INDEX('Formulación PDN 2027'!$M$7:$M$506,MATCH(ROW()-5,'Formulación PDN 2027'!$AK$7:$AK$506,0)),"")</f>
        <v/>
      </c>
      <c r="C35" s="15" t="str">
        <f>IFERROR(INDEX('Formulación PDN 2027'!$N$7:$N$506,MATCH(ROW()-5,'Formulación PDN 2027'!$AK$7:$AK$506,0))&amp;"","")</f>
        <v/>
      </c>
      <c r="D35" s="15" t="str">
        <f>IFERROR(INDEX('Formulación PDN 2027'!$L$7:$L$506,MATCH(ROW()-5,'Formulación PDN 2027'!$AK$7:$AK$506,0))&amp;"","")</f>
        <v/>
      </c>
      <c r="E35" s="15" t="str">
        <f>IFERROR(MATCH(INDEX('Formulación PDN 2027'!$O$7:$O$506,MATCH(ROW()-5,'Formulación PDN 2027'!$AK$7:$AK$506,0)),L_MESES,0),"")</f>
        <v/>
      </c>
      <c r="F35" s="15" t="str">
        <f>IFERROR(MATCH(INDEX('Formulación PDN 2027'!$P$7:$P$506,MATCH(ROW()-5,'Formulación PDN 2027'!$AK$7:$AK$506,0)),L_MESES,0),"")</f>
        <v/>
      </c>
      <c r="G35" s="15" t="str">
        <f>IFERROR(INDEX('Formulación PDN 2027'!$Q$7:$Q$506,MATCH(ROW()-5,'Formulación PDN 2027'!$AK$7:$AK$506,0)),"")</f>
        <v/>
      </c>
      <c r="H35" s="15" t="str">
        <f>IFERROR(INDEX('Formulación PDN 2027'!$R$7:$R$506,MATCH(ROW()-5,'Formulación PDN 2027'!$AK$7:$AK$506,0))&amp;"","")</f>
        <v/>
      </c>
      <c r="I35" s="15" t="str">
        <f>IFERROR(INDEX('Formulación PDN 2027'!$S$7:$S$506,MATCH(ROW()-5,'Formulación PDN 2027'!$AK$7:$AK$506,0))&amp;"","")</f>
        <v/>
      </c>
      <c r="J35" s="15" t="str">
        <f>IFERROR(INDEX('Formulación PDN 2027'!$T$7:$T$506,MATCH(ROW()-5,'Formulación PDN 2027'!$AK$7:$AK$506,0))&amp;"","")</f>
        <v/>
      </c>
      <c r="K35" s="43" t="str">
        <f>IFERROR(INDEX('Formulación PDN 2027'!$W$7:$W$506,MATCH(ROW()-5,'Formulación PDN 2027'!$AK$7:$AK$506,0)),"")</f>
        <v/>
      </c>
      <c r="L35" s="43" t="str">
        <f>IFERROR(INDEX('Formulación PDN 2027'!$X$7:$X$506,MATCH(ROW()-5,'Formulación PDN 2027'!$AK$7:$AK$506,0)),"")</f>
        <v/>
      </c>
      <c r="M35" s="15" t="str">
        <f>IFERROR(INDEX('Formulación PDN 2027'!$Y$7:$Y$506,MATCH(ROW()-5,'Formulación PDN 2027'!$AK$7:$AK$506,0))&amp;"","")</f>
        <v/>
      </c>
      <c r="N35" s="15" t="str">
        <f>IFERROR(INDEX('Formulación PDN 2027'!$Z$7:$Z$506,MATCH(ROW()-5,'Formulación PDN 2027'!$AK$7:$AK$506,0))&amp;"","")</f>
        <v/>
      </c>
      <c r="O35" s="15"/>
      <c r="P35" s="15" t="str">
        <f>IFERROR(INDEX('Formulación PDN 2027'!$AA$7:$AA$506,MATCH(ROW()-5,'Formulación PDN 2027'!$AK$7:$AK$506,0))&amp;"","")</f>
        <v/>
      </c>
      <c r="Q35" s="15" t="str">
        <f>IFERROR(INDEX('Formulación PDN 2027'!$AB$7:$AB$506,MATCH(ROW()-5,'Formulación PDN 2027'!$AK$7:$AK$506,0))&amp;"","")</f>
        <v/>
      </c>
      <c r="R35" s="15" t="str">
        <f>IFERROR(INDEX('Formulación PDN 2027'!$AD$7:$AD$506,MATCH(ROW()-5,'Formulación PDN 2027'!$AK$7:$AK$506,0))&amp;"","")</f>
        <v/>
      </c>
      <c r="S35" s="15" t="str">
        <f>IFERROR(INDEX('Formulación PDN 2027'!$AE$7:$AE$506,MATCH(ROW()-5,'Formulación PDN 2027'!$AK$7:$AK$506,0))&amp;"","")</f>
        <v/>
      </c>
      <c r="T35" s="15" t="str">
        <f>IFERROR(INDEX('Formulación PDN 2027'!$C$7:$C$506,MATCH(ROW()-5,'Formulación PDN 2027'!$AK$7:$AK$506,0))&amp;"","")</f>
        <v/>
      </c>
      <c r="U35" s="15" t="str">
        <f>IFERROR(INDEX('Formulación PDN 2027'!$B$7:$B$506,MATCH(ROW()-5,'Formulación PDN 2027'!$AK$7:$AK$506,0))&amp;"","")</f>
        <v/>
      </c>
      <c r="V35" s="15" t="str">
        <f>IFERROR(LEFT(INDEX('Formulación PDN 2027'!$E$7:$E$506,MATCH(ROW()-5,'Formulación PDN 2027'!$AK$7:$AK$506,0)),7),"")</f>
        <v/>
      </c>
      <c r="W35" s="15" t="str">
        <f>IFERROR(INDEX('Formulación PDN 2027'!$H$7:$H$506,MATCH(ROW()-5,'Formulación PDN 2027'!$AK$7:$AK$506,0))&amp;"","")</f>
        <v/>
      </c>
      <c r="X35" s="15" t="str">
        <f>IFERROR(INDEX('Formulación PDN 2027'!$U$7:$U$506,MATCH(ROW()-5,'Formulación PDN 2027'!$AK$7:$AK$506,0))&amp;"","")</f>
        <v/>
      </c>
      <c r="Y35" s="15" t="str">
        <f>IFERROR(INDEX('Formulación PDN 2027'!$AH$7:$AH$506,MATCH(ROW()-5,'Formulación PDN 2027'!$AK$7:$AK$506,0))&amp;"","")</f>
        <v/>
      </c>
    </row>
    <row r="36" spans="1:25" x14ac:dyDescent="0.3">
      <c r="A36" s="15" t="str">
        <f>IFERROR(INDEX('Formulación PDN 2027'!$A$7:$A$506,MATCH(ROW()-5,'Formulación PDN 2027'!$AK$7:$AK$506,0))&amp;"","")</f>
        <v/>
      </c>
      <c r="B36" s="20" t="str">
        <f>IFERROR(INDEX('Formulación PDN 2027'!$M$7:$M$506,MATCH(ROW()-5,'Formulación PDN 2027'!$AK$7:$AK$506,0)),"")</f>
        <v/>
      </c>
      <c r="C36" s="15" t="str">
        <f>IFERROR(INDEX('Formulación PDN 2027'!$N$7:$N$506,MATCH(ROW()-5,'Formulación PDN 2027'!$AK$7:$AK$506,0))&amp;"","")</f>
        <v/>
      </c>
      <c r="D36" s="15" t="str">
        <f>IFERROR(INDEX('Formulación PDN 2027'!$L$7:$L$506,MATCH(ROW()-5,'Formulación PDN 2027'!$AK$7:$AK$506,0))&amp;"","")</f>
        <v/>
      </c>
      <c r="E36" s="15" t="str">
        <f>IFERROR(MATCH(INDEX('Formulación PDN 2027'!$O$7:$O$506,MATCH(ROW()-5,'Formulación PDN 2027'!$AK$7:$AK$506,0)),L_MESES,0),"")</f>
        <v/>
      </c>
      <c r="F36" s="15" t="str">
        <f>IFERROR(MATCH(INDEX('Formulación PDN 2027'!$P$7:$P$506,MATCH(ROW()-5,'Formulación PDN 2027'!$AK$7:$AK$506,0)),L_MESES,0),"")</f>
        <v/>
      </c>
      <c r="G36" s="15" t="str">
        <f>IFERROR(INDEX('Formulación PDN 2027'!$Q$7:$Q$506,MATCH(ROW()-5,'Formulación PDN 2027'!$AK$7:$AK$506,0)),"")</f>
        <v/>
      </c>
      <c r="H36" s="15" t="str">
        <f>IFERROR(INDEX('Formulación PDN 2027'!$R$7:$R$506,MATCH(ROW()-5,'Formulación PDN 2027'!$AK$7:$AK$506,0))&amp;"","")</f>
        <v/>
      </c>
      <c r="I36" s="15" t="str">
        <f>IFERROR(INDEX('Formulación PDN 2027'!$S$7:$S$506,MATCH(ROW()-5,'Formulación PDN 2027'!$AK$7:$AK$506,0))&amp;"","")</f>
        <v/>
      </c>
      <c r="J36" s="15" t="str">
        <f>IFERROR(INDEX('Formulación PDN 2027'!$T$7:$T$506,MATCH(ROW()-5,'Formulación PDN 2027'!$AK$7:$AK$506,0))&amp;"","")</f>
        <v/>
      </c>
      <c r="K36" s="43" t="str">
        <f>IFERROR(INDEX('Formulación PDN 2027'!$W$7:$W$506,MATCH(ROW()-5,'Formulación PDN 2027'!$AK$7:$AK$506,0)),"")</f>
        <v/>
      </c>
      <c r="L36" s="43" t="str">
        <f>IFERROR(INDEX('Formulación PDN 2027'!$X$7:$X$506,MATCH(ROW()-5,'Formulación PDN 2027'!$AK$7:$AK$506,0)),"")</f>
        <v/>
      </c>
      <c r="M36" s="15" t="str">
        <f>IFERROR(INDEX('Formulación PDN 2027'!$Y$7:$Y$506,MATCH(ROW()-5,'Formulación PDN 2027'!$AK$7:$AK$506,0))&amp;"","")</f>
        <v/>
      </c>
      <c r="N36" s="15" t="str">
        <f>IFERROR(INDEX('Formulación PDN 2027'!$Z$7:$Z$506,MATCH(ROW()-5,'Formulación PDN 2027'!$AK$7:$AK$506,0))&amp;"","")</f>
        <v/>
      </c>
      <c r="O36" s="15"/>
      <c r="P36" s="15" t="str">
        <f>IFERROR(INDEX('Formulación PDN 2027'!$AA$7:$AA$506,MATCH(ROW()-5,'Formulación PDN 2027'!$AK$7:$AK$506,0))&amp;"","")</f>
        <v/>
      </c>
      <c r="Q36" s="15" t="str">
        <f>IFERROR(INDEX('Formulación PDN 2027'!$AB$7:$AB$506,MATCH(ROW()-5,'Formulación PDN 2027'!$AK$7:$AK$506,0))&amp;"","")</f>
        <v/>
      </c>
      <c r="R36" s="15" t="str">
        <f>IFERROR(INDEX('Formulación PDN 2027'!$AD$7:$AD$506,MATCH(ROW()-5,'Formulación PDN 2027'!$AK$7:$AK$506,0))&amp;"","")</f>
        <v/>
      </c>
      <c r="S36" s="15" t="str">
        <f>IFERROR(INDEX('Formulación PDN 2027'!$AE$7:$AE$506,MATCH(ROW()-5,'Formulación PDN 2027'!$AK$7:$AK$506,0))&amp;"","")</f>
        <v/>
      </c>
      <c r="T36" s="15" t="str">
        <f>IFERROR(INDEX('Formulación PDN 2027'!$C$7:$C$506,MATCH(ROW()-5,'Formulación PDN 2027'!$AK$7:$AK$506,0))&amp;"","")</f>
        <v/>
      </c>
      <c r="U36" s="15" t="str">
        <f>IFERROR(INDEX('Formulación PDN 2027'!$B$7:$B$506,MATCH(ROW()-5,'Formulación PDN 2027'!$AK$7:$AK$506,0))&amp;"","")</f>
        <v/>
      </c>
      <c r="V36" s="15" t="str">
        <f>IFERROR(LEFT(INDEX('Formulación PDN 2027'!$E$7:$E$506,MATCH(ROW()-5,'Formulación PDN 2027'!$AK$7:$AK$506,0)),7),"")</f>
        <v/>
      </c>
      <c r="W36" s="15" t="str">
        <f>IFERROR(INDEX('Formulación PDN 2027'!$H$7:$H$506,MATCH(ROW()-5,'Formulación PDN 2027'!$AK$7:$AK$506,0))&amp;"","")</f>
        <v/>
      </c>
      <c r="X36" s="15" t="str">
        <f>IFERROR(INDEX('Formulación PDN 2027'!$U$7:$U$506,MATCH(ROW()-5,'Formulación PDN 2027'!$AK$7:$AK$506,0))&amp;"","")</f>
        <v/>
      </c>
      <c r="Y36" s="15" t="str">
        <f>IFERROR(INDEX('Formulación PDN 2027'!$AH$7:$AH$506,MATCH(ROW()-5,'Formulación PDN 2027'!$AK$7:$AK$506,0))&amp;"","")</f>
        <v/>
      </c>
    </row>
    <row r="37" spans="1:25" x14ac:dyDescent="0.3">
      <c r="A37" s="15" t="str">
        <f>IFERROR(INDEX('Formulación PDN 2027'!$A$7:$A$506,MATCH(ROW()-5,'Formulación PDN 2027'!$AK$7:$AK$506,0))&amp;"","")</f>
        <v/>
      </c>
      <c r="B37" s="20" t="str">
        <f>IFERROR(INDEX('Formulación PDN 2027'!$M$7:$M$506,MATCH(ROW()-5,'Formulación PDN 2027'!$AK$7:$AK$506,0)),"")</f>
        <v/>
      </c>
      <c r="C37" s="15" t="str">
        <f>IFERROR(INDEX('Formulación PDN 2027'!$N$7:$N$506,MATCH(ROW()-5,'Formulación PDN 2027'!$AK$7:$AK$506,0))&amp;"","")</f>
        <v/>
      </c>
      <c r="D37" s="15" t="str">
        <f>IFERROR(INDEX('Formulación PDN 2027'!$L$7:$L$506,MATCH(ROW()-5,'Formulación PDN 2027'!$AK$7:$AK$506,0))&amp;"","")</f>
        <v/>
      </c>
      <c r="E37" s="15" t="str">
        <f>IFERROR(MATCH(INDEX('Formulación PDN 2027'!$O$7:$O$506,MATCH(ROW()-5,'Formulación PDN 2027'!$AK$7:$AK$506,0)),L_MESES,0),"")</f>
        <v/>
      </c>
      <c r="F37" s="15" t="str">
        <f>IFERROR(MATCH(INDEX('Formulación PDN 2027'!$P$7:$P$506,MATCH(ROW()-5,'Formulación PDN 2027'!$AK$7:$AK$506,0)),L_MESES,0),"")</f>
        <v/>
      </c>
      <c r="G37" s="15" t="str">
        <f>IFERROR(INDEX('Formulación PDN 2027'!$Q$7:$Q$506,MATCH(ROW()-5,'Formulación PDN 2027'!$AK$7:$AK$506,0)),"")</f>
        <v/>
      </c>
      <c r="H37" s="15" t="str">
        <f>IFERROR(INDEX('Formulación PDN 2027'!$R$7:$R$506,MATCH(ROW()-5,'Formulación PDN 2027'!$AK$7:$AK$506,0))&amp;"","")</f>
        <v/>
      </c>
      <c r="I37" s="15" t="str">
        <f>IFERROR(INDEX('Formulación PDN 2027'!$S$7:$S$506,MATCH(ROW()-5,'Formulación PDN 2027'!$AK$7:$AK$506,0))&amp;"","")</f>
        <v/>
      </c>
      <c r="J37" s="15" t="str">
        <f>IFERROR(INDEX('Formulación PDN 2027'!$T$7:$T$506,MATCH(ROW()-5,'Formulación PDN 2027'!$AK$7:$AK$506,0))&amp;"","")</f>
        <v/>
      </c>
      <c r="K37" s="43" t="str">
        <f>IFERROR(INDEX('Formulación PDN 2027'!$W$7:$W$506,MATCH(ROW()-5,'Formulación PDN 2027'!$AK$7:$AK$506,0)),"")</f>
        <v/>
      </c>
      <c r="L37" s="43" t="str">
        <f>IFERROR(INDEX('Formulación PDN 2027'!$X$7:$X$506,MATCH(ROW()-5,'Formulación PDN 2027'!$AK$7:$AK$506,0)),"")</f>
        <v/>
      </c>
      <c r="M37" s="15" t="str">
        <f>IFERROR(INDEX('Formulación PDN 2027'!$Y$7:$Y$506,MATCH(ROW()-5,'Formulación PDN 2027'!$AK$7:$AK$506,0))&amp;"","")</f>
        <v/>
      </c>
      <c r="N37" s="15" t="str">
        <f>IFERROR(INDEX('Formulación PDN 2027'!$Z$7:$Z$506,MATCH(ROW()-5,'Formulación PDN 2027'!$AK$7:$AK$506,0))&amp;"","")</f>
        <v/>
      </c>
      <c r="O37" s="15"/>
      <c r="P37" s="15" t="str">
        <f>IFERROR(INDEX('Formulación PDN 2027'!$AA$7:$AA$506,MATCH(ROW()-5,'Formulación PDN 2027'!$AK$7:$AK$506,0))&amp;"","")</f>
        <v/>
      </c>
      <c r="Q37" s="15" t="str">
        <f>IFERROR(INDEX('Formulación PDN 2027'!$AB$7:$AB$506,MATCH(ROW()-5,'Formulación PDN 2027'!$AK$7:$AK$506,0))&amp;"","")</f>
        <v/>
      </c>
      <c r="R37" s="15" t="str">
        <f>IFERROR(INDEX('Formulación PDN 2027'!$AD$7:$AD$506,MATCH(ROW()-5,'Formulación PDN 2027'!$AK$7:$AK$506,0))&amp;"","")</f>
        <v/>
      </c>
      <c r="S37" s="15" t="str">
        <f>IFERROR(INDEX('Formulación PDN 2027'!$AE$7:$AE$506,MATCH(ROW()-5,'Formulación PDN 2027'!$AK$7:$AK$506,0))&amp;"","")</f>
        <v/>
      </c>
      <c r="T37" s="15" t="str">
        <f>IFERROR(INDEX('Formulación PDN 2027'!$C$7:$C$506,MATCH(ROW()-5,'Formulación PDN 2027'!$AK$7:$AK$506,0))&amp;"","")</f>
        <v/>
      </c>
      <c r="U37" s="15" t="str">
        <f>IFERROR(INDEX('Formulación PDN 2027'!$B$7:$B$506,MATCH(ROW()-5,'Formulación PDN 2027'!$AK$7:$AK$506,0))&amp;"","")</f>
        <v/>
      </c>
      <c r="V37" s="15" t="str">
        <f>IFERROR(LEFT(INDEX('Formulación PDN 2027'!$E$7:$E$506,MATCH(ROW()-5,'Formulación PDN 2027'!$AK$7:$AK$506,0)),7),"")</f>
        <v/>
      </c>
      <c r="W37" s="15" t="str">
        <f>IFERROR(INDEX('Formulación PDN 2027'!$H$7:$H$506,MATCH(ROW()-5,'Formulación PDN 2027'!$AK$7:$AK$506,0))&amp;"","")</f>
        <v/>
      </c>
      <c r="X37" s="15" t="str">
        <f>IFERROR(INDEX('Formulación PDN 2027'!$U$7:$U$506,MATCH(ROW()-5,'Formulación PDN 2027'!$AK$7:$AK$506,0))&amp;"","")</f>
        <v/>
      </c>
      <c r="Y37" s="15" t="str">
        <f>IFERROR(INDEX('Formulación PDN 2027'!$AH$7:$AH$506,MATCH(ROW()-5,'Formulación PDN 2027'!$AK$7:$AK$506,0))&amp;"","")</f>
        <v/>
      </c>
    </row>
    <row r="38" spans="1:25" x14ac:dyDescent="0.3">
      <c r="A38" s="15" t="str">
        <f>IFERROR(INDEX('Formulación PDN 2027'!$A$7:$A$506,MATCH(ROW()-5,'Formulación PDN 2027'!$AK$7:$AK$506,0))&amp;"","")</f>
        <v/>
      </c>
      <c r="B38" s="20" t="str">
        <f>IFERROR(INDEX('Formulación PDN 2027'!$M$7:$M$506,MATCH(ROW()-5,'Formulación PDN 2027'!$AK$7:$AK$506,0)),"")</f>
        <v/>
      </c>
      <c r="C38" s="15" t="str">
        <f>IFERROR(INDEX('Formulación PDN 2027'!$N$7:$N$506,MATCH(ROW()-5,'Formulación PDN 2027'!$AK$7:$AK$506,0))&amp;"","")</f>
        <v/>
      </c>
      <c r="D38" s="15" t="str">
        <f>IFERROR(INDEX('Formulación PDN 2027'!$L$7:$L$506,MATCH(ROW()-5,'Formulación PDN 2027'!$AK$7:$AK$506,0))&amp;"","")</f>
        <v/>
      </c>
      <c r="E38" s="15" t="str">
        <f>IFERROR(MATCH(INDEX('Formulación PDN 2027'!$O$7:$O$506,MATCH(ROW()-5,'Formulación PDN 2027'!$AK$7:$AK$506,0)),L_MESES,0),"")</f>
        <v/>
      </c>
      <c r="F38" s="15" t="str">
        <f>IFERROR(MATCH(INDEX('Formulación PDN 2027'!$P$7:$P$506,MATCH(ROW()-5,'Formulación PDN 2027'!$AK$7:$AK$506,0)),L_MESES,0),"")</f>
        <v/>
      </c>
      <c r="G38" s="15" t="str">
        <f>IFERROR(INDEX('Formulación PDN 2027'!$Q$7:$Q$506,MATCH(ROW()-5,'Formulación PDN 2027'!$AK$7:$AK$506,0)),"")</f>
        <v/>
      </c>
      <c r="H38" s="15" t="str">
        <f>IFERROR(INDEX('Formulación PDN 2027'!$R$7:$R$506,MATCH(ROW()-5,'Formulación PDN 2027'!$AK$7:$AK$506,0))&amp;"","")</f>
        <v/>
      </c>
      <c r="I38" s="15" t="str">
        <f>IFERROR(INDEX('Formulación PDN 2027'!$S$7:$S$506,MATCH(ROW()-5,'Formulación PDN 2027'!$AK$7:$AK$506,0))&amp;"","")</f>
        <v/>
      </c>
      <c r="J38" s="15" t="str">
        <f>IFERROR(INDEX('Formulación PDN 2027'!$T$7:$T$506,MATCH(ROW()-5,'Formulación PDN 2027'!$AK$7:$AK$506,0))&amp;"","")</f>
        <v/>
      </c>
      <c r="K38" s="43" t="str">
        <f>IFERROR(INDEX('Formulación PDN 2027'!$W$7:$W$506,MATCH(ROW()-5,'Formulación PDN 2027'!$AK$7:$AK$506,0)),"")</f>
        <v/>
      </c>
      <c r="L38" s="43" t="str">
        <f>IFERROR(INDEX('Formulación PDN 2027'!$X$7:$X$506,MATCH(ROW()-5,'Formulación PDN 2027'!$AK$7:$AK$506,0)),"")</f>
        <v/>
      </c>
      <c r="M38" s="15" t="str">
        <f>IFERROR(INDEX('Formulación PDN 2027'!$Y$7:$Y$506,MATCH(ROW()-5,'Formulación PDN 2027'!$AK$7:$AK$506,0))&amp;"","")</f>
        <v/>
      </c>
      <c r="N38" s="15" t="str">
        <f>IFERROR(INDEX('Formulación PDN 2027'!$Z$7:$Z$506,MATCH(ROW()-5,'Formulación PDN 2027'!$AK$7:$AK$506,0))&amp;"","")</f>
        <v/>
      </c>
      <c r="O38" s="15"/>
      <c r="P38" s="15" t="str">
        <f>IFERROR(INDEX('Formulación PDN 2027'!$AA$7:$AA$506,MATCH(ROW()-5,'Formulación PDN 2027'!$AK$7:$AK$506,0))&amp;"","")</f>
        <v/>
      </c>
      <c r="Q38" s="15" t="str">
        <f>IFERROR(INDEX('Formulación PDN 2027'!$AB$7:$AB$506,MATCH(ROW()-5,'Formulación PDN 2027'!$AK$7:$AK$506,0))&amp;"","")</f>
        <v/>
      </c>
      <c r="R38" s="15" t="str">
        <f>IFERROR(INDEX('Formulación PDN 2027'!$AD$7:$AD$506,MATCH(ROW()-5,'Formulación PDN 2027'!$AK$7:$AK$506,0))&amp;"","")</f>
        <v/>
      </c>
      <c r="S38" s="15" t="str">
        <f>IFERROR(INDEX('Formulación PDN 2027'!$AE$7:$AE$506,MATCH(ROW()-5,'Formulación PDN 2027'!$AK$7:$AK$506,0))&amp;"","")</f>
        <v/>
      </c>
      <c r="T38" s="15" t="str">
        <f>IFERROR(INDEX('Formulación PDN 2027'!$C$7:$C$506,MATCH(ROW()-5,'Formulación PDN 2027'!$AK$7:$AK$506,0))&amp;"","")</f>
        <v/>
      </c>
      <c r="U38" s="15" t="str">
        <f>IFERROR(INDEX('Formulación PDN 2027'!$B$7:$B$506,MATCH(ROW()-5,'Formulación PDN 2027'!$AK$7:$AK$506,0))&amp;"","")</f>
        <v/>
      </c>
      <c r="V38" s="15" t="str">
        <f>IFERROR(LEFT(INDEX('Formulación PDN 2027'!$E$7:$E$506,MATCH(ROW()-5,'Formulación PDN 2027'!$AK$7:$AK$506,0)),7),"")</f>
        <v/>
      </c>
      <c r="W38" s="15" t="str">
        <f>IFERROR(INDEX('Formulación PDN 2027'!$H$7:$H$506,MATCH(ROW()-5,'Formulación PDN 2027'!$AK$7:$AK$506,0))&amp;"","")</f>
        <v/>
      </c>
      <c r="X38" s="15" t="str">
        <f>IFERROR(INDEX('Formulación PDN 2027'!$U$7:$U$506,MATCH(ROW()-5,'Formulación PDN 2027'!$AK$7:$AK$506,0))&amp;"","")</f>
        <v/>
      </c>
      <c r="Y38" s="15" t="str">
        <f>IFERROR(INDEX('Formulación PDN 2027'!$AH$7:$AH$506,MATCH(ROW()-5,'Formulación PDN 2027'!$AK$7:$AK$506,0))&amp;"","")</f>
        <v/>
      </c>
    </row>
    <row r="39" spans="1:25" x14ac:dyDescent="0.3">
      <c r="A39" s="15" t="str">
        <f>IFERROR(INDEX('Formulación PDN 2027'!$A$7:$A$506,MATCH(ROW()-5,'Formulación PDN 2027'!$AK$7:$AK$506,0))&amp;"","")</f>
        <v/>
      </c>
      <c r="B39" s="20" t="str">
        <f>IFERROR(INDEX('Formulación PDN 2027'!$M$7:$M$506,MATCH(ROW()-5,'Formulación PDN 2027'!$AK$7:$AK$506,0)),"")</f>
        <v/>
      </c>
      <c r="C39" s="15" t="str">
        <f>IFERROR(INDEX('Formulación PDN 2027'!$N$7:$N$506,MATCH(ROW()-5,'Formulación PDN 2027'!$AK$7:$AK$506,0))&amp;"","")</f>
        <v/>
      </c>
      <c r="D39" s="15" t="str">
        <f>IFERROR(INDEX('Formulación PDN 2027'!$L$7:$L$506,MATCH(ROW()-5,'Formulación PDN 2027'!$AK$7:$AK$506,0))&amp;"","")</f>
        <v/>
      </c>
      <c r="E39" s="15" t="str">
        <f>IFERROR(MATCH(INDEX('Formulación PDN 2027'!$O$7:$O$506,MATCH(ROW()-5,'Formulación PDN 2027'!$AK$7:$AK$506,0)),L_MESES,0),"")</f>
        <v/>
      </c>
      <c r="F39" s="15" t="str">
        <f>IFERROR(MATCH(INDEX('Formulación PDN 2027'!$P$7:$P$506,MATCH(ROW()-5,'Formulación PDN 2027'!$AK$7:$AK$506,0)),L_MESES,0),"")</f>
        <v/>
      </c>
      <c r="G39" s="15" t="str">
        <f>IFERROR(INDEX('Formulación PDN 2027'!$Q$7:$Q$506,MATCH(ROW()-5,'Formulación PDN 2027'!$AK$7:$AK$506,0)),"")</f>
        <v/>
      </c>
      <c r="H39" s="15" t="str">
        <f>IFERROR(INDEX('Formulación PDN 2027'!$R$7:$R$506,MATCH(ROW()-5,'Formulación PDN 2027'!$AK$7:$AK$506,0))&amp;"","")</f>
        <v/>
      </c>
      <c r="I39" s="15" t="str">
        <f>IFERROR(INDEX('Formulación PDN 2027'!$S$7:$S$506,MATCH(ROW()-5,'Formulación PDN 2027'!$AK$7:$AK$506,0))&amp;"","")</f>
        <v/>
      </c>
      <c r="J39" s="15" t="str">
        <f>IFERROR(INDEX('Formulación PDN 2027'!$T$7:$T$506,MATCH(ROW()-5,'Formulación PDN 2027'!$AK$7:$AK$506,0))&amp;"","")</f>
        <v/>
      </c>
      <c r="K39" s="43" t="str">
        <f>IFERROR(INDEX('Formulación PDN 2027'!$W$7:$W$506,MATCH(ROW()-5,'Formulación PDN 2027'!$AK$7:$AK$506,0)),"")</f>
        <v/>
      </c>
      <c r="L39" s="43" t="str">
        <f>IFERROR(INDEX('Formulación PDN 2027'!$X$7:$X$506,MATCH(ROW()-5,'Formulación PDN 2027'!$AK$7:$AK$506,0)),"")</f>
        <v/>
      </c>
      <c r="M39" s="15" t="str">
        <f>IFERROR(INDEX('Formulación PDN 2027'!$Y$7:$Y$506,MATCH(ROW()-5,'Formulación PDN 2027'!$AK$7:$AK$506,0))&amp;"","")</f>
        <v/>
      </c>
      <c r="N39" s="15" t="str">
        <f>IFERROR(INDEX('Formulación PDN 2027'!$Z$7:$Z$506,MATCH(ROW()-5,'Formulación PDN 2027'!$AK$7:$AK$506,0))&amp;"","")</f>
        <v/>
      </c>
      <c r="O39" s="15"/>
      <c r="P39" s="15" t="str">
        <f>IFERROR(INDEX('Formulación PDN 2027'!$AA$7:$AA$506,MATCH(ROW()-5,'Formulación PDN 2027'!$AK$7:$AK$506,0))&amp;"","")</f>
        <v/>
      </c>
      <c r="Q39" s="15" t="str">
        <f>IFERROR(INDEX('Formulación PDN 2027'!$AB$7:$AB$506,MATCH(ROW()-5,'Formulación PDN 2027'!$AK$7:$AK$506,0))&amp;"","")</f>
        <v/>
      </c>
      <c r="R39" s="15" t="str">
        <f>IFERROR(INDEX('Formulación PDN 2027'!$AD$7:$AD$506,MATCH(ROW()-5,'Formulación PDN 2027'!$AK$7:$AK$506,0))&amp;"","")</f>
        <v/>
      </c>
      <c r="S39" s="15" t="str">
        <f>IFERROR(INDEX('Formulación PDN 2027'!$AE$7:$AE$506,MATCH(ROW()-5,'Formulación PDN 2027'!$AK$7:$AK$506,0))&amp;"","")</f>
        <v/>
      </c>
      <c r="T39" s="15" t="str">
        <f>IFERROR(INDEX('Formulación PDN 2027'!$C$7:$C$506,MATCH(ROW()-5,'Formulación PDN 2027'!$AK$7:$AK$506,0))&amp;"","")</f>
        <v/>
      </c>
      <c r="U39" s="15" t="str">
        <f>IFERROR(INDEX('Formulación PDN 2027'!$B$7:$B$506,MATCH(ROW()-5,'Formulación PDN 2027'!$AK$7:$AK$506,0))&amp;"","")</f>
        <v/>
      </c>
      <c r="V39" s="15" t="str">
        <f>IFERROR(LEFT(INDEX('Formulación PDN 2027'!$E$7:$E$506,MATCH(ROW()-5,'Formulación PDN 2027'!$AK$7:$AK$506,0)),7),"")</f>
        <v/>
      </c>
      <c r="W39" s="15" t="str">
        <f>IFERROR(INDEX('Formulación PDN 2027'!$H$7:$H$506,MATCH(ROW()-5,'Formulación PDN 2027'!$AK$7:$AK$506,0))&amp;"","")</f>
        <v/>
      </c>
      <c r="X39" s="15" t="str">
        <f>IFERROR(INDEX('Formulación PDN 2027'!$U$7:$U$506,MATCH(ROW()-5,'Formulación PDN 2027'!$AK$7:$AK$506,0))&amp;"","")</f>
        <v/>
      </c>
      <c r="Y39" s="15" t="str">
        <f>IFERROR(INDEX('Formulación PDN 2027'!$AH$7:$AH$506,MATCH(ROW()-5,'Formulación PDN 2027'!$AK$7:$AK$506,0))&amp;"","")</f>
        <v/>
      </c>
    </row>
    <row r="40" spans="1:25" x14ac:dyDescent="0.3">
      <c r="A40" s="15" t="str">
        <f>IFERROR(INDEX('Formulación PDN 2027'!$A$7:$A$506,MATCH(ROW()-5,'Formulación PDN 2027'!$AK$7:$AK$506,0))&amp;"","")</f>
        <v/>
      </c>
      <c r="B40" s="20" t="str">
        <f>IFERROR(INDEX('Formulación PDN 2027'!$M$7:$M$506,MATCH(ROW()-5,'Formulación PDN 2027'!$AK$7:$AK$506,0)),"")</f>
        <v/>
      </c>
      <c r="C40" s="15" t="str">
        <f>IFERROR(INDEX('Formulación PDN 2027'!$N$7:$N$506,MATCH(ROW()-5,'Formulación PDN 2027'!$AK$7:$AK$506,0))&amp;"","")</f>
        <v/>
      </c>
      <c r="D40" s="15" t="str">
        <f>IFERROR(INDEX('Formulación PDN 2027'!$L$7:$L$506,MATCH(ROW()-5,'Formulación PDN 2027'!$AK$7:$AK$506,0))&amp;"","")</f>
        <v/>
      </c>
      <c r="E40" s="15" t="str">
        <f>IFERROR(MATCH(INDEX('Formulación PDN 2027'!$O$7:$O$506,MATCH(ROW()-5,'Formulación PDN 2027'!$AK$7:$AK$506,0)),L_MESES,0),"")</f>
        <v/>
      </c>
      <c r="F40" s="15" t="str">
        <f>IFERROR(MATCH(INDEX('Formulación PDN 2027'!$P$7:$P$506,MATCH(ROW()-5,'Formulación PDN 2027'!$AK$7:$AK$506,0)),L_MESES,0),"")</f>
        <v/>
      </c>
      <c r="G40" s="15" t="str">
        <f>IFERROR(INDEX('Formulación PDN 2027'!$Q$7:$Q$506,MATCH(ROW()-5,'Formulación PDN 2027'!$AK$7:$AK$506,0)),"")</f>
        <v/>
      </c>
      <c r="H40" s="15" t="str">
        <f>IFERROR(INDEX('Formulación PDN 2027'!$R$7:$R$506,MATCH(ROW()-5,'Formulación PDN 2027'!$AK$7:$AK$506,0))&amp;"","")</f>
        <v/>
      </c>
      <c r="I40" s="15" t="str">
        <f>IFERROR(INDEX('Formulación PDN 2027'!$S$7:$S$506,MATCH(ROW()-5,'Formulación PDN 2027'!$AK$7:$AK$506,0))&amp;"","")</f>
        <v/>
      </c>
      <c r="J40" s="15" t="str">
        <f>IFERROR(INDEX('Formulación PDN 2027'!$T$7:$T$506,MATCH(ROW()-5,'Formulación PDN 2027'!$AK$7:$AK$506,0))&amp;"","")</f>
        <v/>
      </c>
      <c r="K40" s="43" t="str">
        <f>IFERROR(INDEX('Formulación PDN 2027'!$W$7:$W$506,MATCH(ROW()-5,'Formulación PDN 2027'!$AK$7:$AK$506,0)),"")</f>
        <v/>
      </c>
      <c r="L40" s="43" t="str">
        <f>IFERROR(INDEX('Formulación PDN 2027'!$X$7:$X$506,MATCH(ROW()-5,'Formulación PDN 2027'!$AK$7:$AK$506,0)),"")</f>
        <v/>
      </c>
      <c r="M40" s="15" t="str">
        <f>IFERROR(INDEX('Formulación PDN 2027'!$Y$7:$Y$506,MATCH(ROW()-5,'Formulación PDN 2027'!$AK$7:$AK$506,0))&amp;"","")</f>
        <v/>
      </c>
      <c r="N40" s="15" t="str">
        <f>IFERROR(INDEX('Formulación PDN 2027'!$Z$7:$Z$506,MATCH(ROW()-5,'Formulación PDN 2027'!$AK$7:$AK$506,0))&amp;"","")</f>
        <v/>
      </c>
      <c r="O40" s="15"/>
      <c r="P40" s="15" t="str">
        <f>IFERROR(INDEX('Formulación PDN 2027'!$AA$7:$AA$506,MATCH(ROW()-5,'Formulación PDN 2027'!$AK$7:$AK$506,0))&amp;"","")</f>
        <v/>
      </c>
      <c r="Q40" s="15" t="str">
        <f>IFERROR(INDEX('Formulación PDN 2027'!$AB$7:$AB$506,MATCH(ROW()-5,'Formulación PDN 2027'!$AK$7:$AK$506,0))&amp;"","")</f>
        <v/>
      </c>
      <c r="R40" s="15" t="str">
        <f>IFERROR(INDEX('Formulación PDN 2027'!$AD$7:$AD$506,MATCH(ROW()-5,'Formulación PDN 2027'!$AK$7:$AK$506,0))&amp;"","")</f>
        <v/>
      </c>
      <c r="S40" s="15" t="str">
        <f>IFERROR(INDEX('Formulación PDN 2027'!$AE$7:$AE$506,MATCH(ROW()-5,'Formulación PDN 2027'!$AK$7:$AK$506,0))&amp;"","")</f>
        <v/>
      </c>
      <c r="T40" s="15" t="str">
        <f>IFERROR(INDEX('Formulación PDN 2027'!$C$7:$C$506,MATCH(ROW()-5,'Formulación PDN 2027'!$AK$7:$AK$506,0))&amp;"","")</f>
        <v/>
      </c>
      <c r="U40" s="15" t="str">
        <f>IFERROR(INDEX('Formulación PDN 2027'!$B$7:$B$506,MATCH(ROW()-5,'Formulación PDN 2027'!$AK$7:$AK$506,0))&amp;"","")</f>
        <v/>
      </c>
      <c r="V40" s="15" t="str">
        <f>IFERROR(LEFT(INDEX('Formulación PDN 2027'!$E$7:$E$506,MATCH(ROW()-5,'Formulación PDN 2027'!$AK$7:$AK$506,0)),7),"")</f>
        <v/>
      </c>
      <c r="W40" s="15" t="str">
        <f>IFERROR(INDEX('Formulación PDN 2027'!$H$7:$H$506,MATCH(ROW()-5,'Formulación PDN 2027'!$AK$7:$AK$506,0))&amp;"","")</f>
        <v/>
      </c>
      <c r="X40" s="15" t="str">
        <f>IFERROR(INDEX('Formulación PDN 2027'!$U$7:$U$506,MATCH(ROW()-5,'Formulación PDN 2027'!$AK$7:$AK$506,0))&amp;"","")</f>
        <v/>
      </c>
      <c r="Y40" s="15" t="str">
        <f>IFERROR(INDEX('Formulación PDN 2027'!$AH$7:$AH$506,MATCH(ROW()-5,'Formulación PDN 2027'!$AK$7:$AK$506,0))&amp;"","")</f>
        <v/>
      </c>
    </row>
    <row r="41" spans="1:25" x14ac:dyDescent="0.3">
      <c r="A41" s="15" t="str">
        <f>IFERROR(INDEX('Formulación PDN 2027'!$A$7:$A$506,MATCH(ROW()-5,'Formulación PDN 2027'!$AK$7:$AK$506,0))&amp;"","")</f>
        <v/>
      </c>
      <c r="B41" s="20" t="str">
        <f>IFERROR(INDEX('Formulación PDN 2027'!$M$7:$M$506,MATCH(ROW()-5,'Formulación PDN 2027'!$AK$7:$AK$506,0)),"")</f>
        <v/>
      </c>
      <c r="C41" s="15" t="str">
        <f>IFERROR(INDEX('Formulación PDN 2027'!$N$7:$N$506,MATCH(ROW()-5,'Formulación PDN 2027'!$AK$7:$AK$506,0))&amp;"","")</f>
        <v/>
      </c>
      <c r="D41" s="15" t="str">
        <f>IFERROR(INDEX('Formulación PDN 2027'!$L$7:$L$506,MATCH(ROW()-5,'Formulación PDN 2027'!$AK$7:$AK$506,0))&amp;"","")</f>
        <v/>
      </c>
      <c r="E41" s="15" t="str">
        <f>IFERROR(MATCH(INDEX('Formulación PDN 2027'!$O$7:$O$506,MATCH(ROW()-5,'Formulación PDN 2027'!$AK$7:$AK$506,0)),L_MESES,0),"")</f>
        <v/>
      </c>
      <c r="F41" s="15" t="str">
        <f>IFERROR(MATCH(INDEX('Formulación PDN 2027'!$P$7:$P$506,MATCH(ROW()-5,'Formulación PDN 2027'!$AK$7:$AK$506,0)),L_MESES,0),"")</f>
        <v/>
      </c>
      <c r="G41" s="15" t="str">
        <f>IFERROR(INDEX('Formulación PDN 2027'!$Q$7:$Q$506,MATCH(ROW()-5,'Formulación PDN 2027'!$AK$7:$AK$506,0)),"")</f>
        <v/>
      </c>
      <c r="H41" s="15" t="str">
        <f>IFERROR(INDEX('Formulación PDN 2027'!$R$7:$R$506,MATCH(ROW()-5,'Formulación PDN 2027'!$AK$7:$AK$506,0))&amp;"","")</f>
        <v/>
      </c>
      <c r="I41" s="15" t="str">
        <f>IFERROR(INDEX('Formulación PDN 2027'!$S$7:$S$506,MATCH(ROW()-5,'Formulación PDN 2027'!$AK$7:$AK$506,0))&amp;"","")</f>
        <v/>
      </c>
      <c r="J41" s="15" t="str">
        <f>IFERROR(INDEX('Formulación PDN 2027'!$T$7:$T$506,MATCH(ROW()-5,'Formulación PDN 2027'!$AK$7:$AK$506,0))&amp;"","")</f>
        <v/>
      </c>
      <c r="K41" s="43" t="str">
        <f>IFERROR(INDEX('Formulación PDN 2027'!$W$7:$W$506,MATCH(ROW()-5,'Formulación PDN 2027'!$AK$7:$AK$506,0)),"")</f>
        <v/>
      </c>
      <c r="L41" s="43" t="str">
        <f>IFERROR(INDEX('Formulación PDN 2027'!$X$7:$X$506,MATCH(ROW()-5,'Formulación PDN 2027'!$AK$7:$AK$506,0)),"")</f>
        <v/>
      </c>
      <c r="M41" s="15" t="str">
        <f>IFERROR(INDEX('Formulación PDN 2027'!$Y$7:$Y$506,MATCH(ROW()-5,'Formulación PDN 2027'!$AK$7:$AK$506,0))&amp;"","")</f>
        <v/>
      </c>
      <c r="N41" s="15" t="str">
        <f>IFERROR(INDEX('Formulación PDN 2027'!$Z$7:$Z$506,MATCH(ROW()-5,'Formulación PDN 2027'!$AK$7:$AK$506,0))&amp;"","")</f>
        <v/>
      </c>
      <c r="O41" s="15"/>
      <c r="P41" s="15" t="str">
        <f>IFERROR(INDEX('Formulación PDN 2027'!$AA$7:$AA$506,MATCH(ROW()-5,'Formulación PDN 2027'!$AK$7:$AK$506,0))&amp;"","")</f>
        <v/>
      </c>
      <c r="Q41" s="15" t="str">
        <f>IFERROR(INDEX('Formulación PDN 2027'!$AB$7:$AB$506,MATCH(ROW()-5,'Formulación PDN 2027'!$AK$7:$AK$506,0))&amp;"","")</f>
        <v/>
      </c>
      <c r="R41" s="15" t="str">
        <f>IFERROR(INDEX('Formulación PDN 2027'!$AD$7:$AD$506,MATCH(ROW()-5,'Formulación PDN 2027'!$AK$7:$AK$506,0))&amp;"","")</f>
        <v/>
      </c>
      <c r="S41" s="15" t="str">
        <f>IFERROR(INDEX('Formulación PDN 2027'!$AE$7:$AE$506,MATCH(ROW()-5,'Formulación PDN 2027'!$AK$7:$AK$506,0))&amp;"","")</f>
        <v/>
      </c>
      <c r="T41" s="15" t="str">
        <f>IFERROR(INDEX('Formulación PDN 2027'!$C$7:$C$506,MATCH(ROW()-5,'Formulación PDN 2027'!$AK$7:$AK$506,0))&amp;"","")</f>
        <v/>
      </c>
      <c r="U41" s="15" t="str">
        <f>IFERROR(INDEX('Formulación PDN 2027'!$B$7:$B$506,MATCH(ROW()-5,'Formulación PDN 2027'!$AK$7:$AK$506,0))&amp;"","")</f>
        <v/>
      </c>
      <c r="V41" s="15" t="str">
        <f>IFERROR(LEFT(INDEX('Formulación PDN 2027'!$E$7:$E$506,MATCH(ROW()-5,'Formulación PDN 2027'!$AK$7:$AK$506,0)),7),"")</f>
        <v/>
      </c>
      <c r="W41" s="15" t="str">
        <f>IFERROR(INDEX('Formulación PDN 2027'!$H$7:$H$506,MATCH(ROW()-5,'Formulación PDN 2027'!$AK$7:$AK$506,0))&amp;"","")</f>
        <v/>
      </c>
      <c r="X41" s="15" t="str">
        <f>IFERROR(INDEX('Formulación PDN 2027'!$U$7:$U$506,MATCH(ROW()-5,'Formulación PDN 2027'!$AK$7:$AK$506,0))&amp;"","")</f>
        <v/>
      </c>
      <c r="Y41" s="15" t="str">
        <f>IFERROR(INDEX('Formulación PDN 2027'!$AH$7:$AH$506,MATCH(ROW()-5,'Formulación PDN 2027'!$AK$7:$AK$506,0))&amp;"","")</f>
        <v/>
      </c>
    </row>
    <row r="42" spans="1:25" x14ac:dyDescent="0.3">
      <c r="A42" s="15" t="str">
        <f>IFERROR(INDEX('Formulación PDN 2027'!$A$7:$A$506,MATCH(ROW()-5,'Formulación PDN 2027'!$AK$7:$AK$506,0))&amp;"","")</f>
        <v/>
      </c>
      <c r="B42" s="20" t="str">
        <f>IFERROR(INDEX('Formulación PDN 2027'!$M$7:$M$506,MATCH(ROW()-5,'Formulación PDN 2027'!$AK$7:$AK$506,0)),"")</f>
        <v/>
      </c>
      <c r="C42" s="15" t="str">
        <f>IFERROR(INDEX('Formulación PDN 2027'!$N$7:$N$506,MATCH(ROW()-5,'Formulación PDN 2027'!$AK$7:$AK$506,0))&amp;"","")</f>
        <v/>
      </c>
      <c r="D42" s="15" t="str">
        <f>IFERROR(INDEX('Formulación PDN 2027'!$L$7:$L$506,MATCH(ROW()-5,'Formulación PDN 2027'!$AK$7:$AK$506,0))&amp;"","")</f>
        <v/>
      </c>
      <c r="E42" s="15" t="str">
        <f>IFERROR(MATCH(INDEX('Formulación PDN 2027'!$O$7:$O$506,MATCH(ROW()-5,'Formulación PDN 2027'!$AK$7:$AK$506,0)),L_MESES,0),"")</f>
        <v/>
      </c>
      <c r="F42" s="15" t="str">
        <f>IFERROR(MATCH(INDEX('Formulación PDN 2027'!$P$7:$P$506,MATCH(ROW()-5,'Formulación PDN 2027'!$AK$7:$AK$506,0)),L_MESES,0),"")</f>
        <v/>
      </c>
      <c r="G42" s="15" t="str">
        <f>IFERROR(INDEX('Formulación PDN 2027'!$Q$7:$Q$506,MATCH(ROW()-5,'Formulación PDN 2027'!$AK$7:$AK$506,0)),"")</f>
        <v/>
      </c>
      <c r="H42" s="15" t="str">
        <f>IFERROR(INDEX('Formulación PDN 2027'!$R$7:$R$506,MATCH(ROW()-5,'Formulación PDN 2027'!$AK$7:$AK$506,0))&amp;"","")</f>
        <v/>
      </c>
      <c r="I42" s="15" t="str">
        <f>IFERROR(INDEX('Formulación PDN 2027'!$S$7:$S$506,MATCH(ROW()-5,'Formulación PDN 2027'!$AK$7:$AK$506,0))&amp;"","")</f>
        <v/>
      </c>
      <c r="J42" s="15" t="str">
        <f>IFERROR(INDEX('Formulación PDN 2027'!$T$7:$T$506,MATCH(ROW()-5,'Formulación PDN 2027'!$AK$7:$AK$506,0))&amp;"","")</f>
        <v/>
      </c>
      <c r="K42" s="43" t="str">
        <f>IFERROR(INDEX('Formulación PDN 2027'!$W$7:$W$506,MATCH(ROW()-5,'Formulación PDN 2027'!$AK$7:$AK$506,0)),"")</f>
        <v/>
      </c>
      <c r="L42" s="43" t="str">
        <f>IFERROR(INDEX('Formulación PDN 2027'!$X$7:$X$506,MATCH(ROW()-5,'Formulación PDN 2027'!$AK$7:$AK$506,0)),"")</f>
        <v/>
      </c>
      <c r="M42" s="15" t="str">
        <f>IFERROR(INDEX('Formulación PDN 2027'!$Y$7:$Y$506,MATCH(ROW()-5,'Formulación PDN 2027'!$AK$7:$AK$506,0))&amp;"","")</f>
        <v/>
      </c>
      <c r="N42" s="15" t="str">
        <f>IFERROR(INDEX('Formulación PDN 2027'!$Z$7:$Z$506,MATCH(ROW()-5,'Formulación PDN 2027'!$AK$7:$AK$506,0))&amp;"","")</f>
        <v/>
      </c>
      <c r="O42" s="15"/>
      <c r="P42" s="15" t="str">
        <f>IFERROR(INDEX('Formulación PDN 2027'!$AA$7:$AA$506,MATCH(ROW()-5,'Formulación PDN 2027'!$AK$7:$AK$506,0))&amp;"","")</f>
        <v/>
      </c>
      <c r="Q42" s="15" t="str">
        <f>IFERROR(INDEX('Formulación PDN 2027'!$AB$7:$AB$506,MATCH(ROW()-5,'Formulación PDN 2027'!$AK$7:$AK$506,0))&amp;"","")</f>
        <v/>
      </c>
      <c r="R42" s="15" t="str">
        <f>IFERROR(INDEX('Formulación PDN 2027'!$AD$7:$AD$506,MATCH(ROW()-5,'Formulación PDN 2027'!$AK$7:$AK$506,0))&amp;"","")</f>
        <v/>
      </c>
      <c r="S42" s="15" t="str">
        <f>IFERROR(INDEX('Formulación PDN 2027'!$AE$7:$AE$506,MATCH(ROW()-5,'Formulación PDN 2027'!$AK$7:$AK$506,0))&amp;"","")</f>
        <v/>
      </c>
      <c r="T42" s="15" t="str">
        <f>IFERROR(INDEX('Formulación PDN 2027'!$C$7:$C$506,MATCH(ROW()-5,'Formulación PDN 2027'!$AK$7:$AK$506,0))&amp;"","")</f>
        <v/>
      </c>
      <c r="U42" s="15" t="str">
        <f>IFERROR(INDEX('Formulación PDN 2027'!$B$7:$B$506,MATCH(ROW()-5,'Formulación PDN 2027'!$AK$7:$AK$506,0))&amp;"","")</f>
        <v/>
      </c>
      <c r="V42" s="15" t="str">
        <f>IFERROR(LEFT(INDEX('Formulación PDN 2027'!$E$7:$E$506,MATCH(ROW()-5,'Formulación PDN 2027'!$AK$7:$AK$506,0)),7),"")</f>
        <v/>
      </c>
      <c r="W42" s="15" t="str">
        <f>IFERROR(INDEX('Formulación PDN 2027'!$H$7:$H$506,MATCH(ROW()-5,'Formulación PDN 2027'!$AK$7:$AK$506,0))&amp;"","")</f>
        <v/>
      </c>
      <c r="X42" s="15" t="str">
        <f>IFERROR(INDEX('Formulación PDN 2027'!$U$7:$U$506,MATCH(ROW()-5,'Formulación PDN 2027'!$AK$7:$AK$506,0))&amp;"","")</f>
        <v/>
      </c>
      <c r="Y42" s="15" t="str">
        <f>IFERROR(INDEX('Formulación PDN 2027'!$AH$7:$AH$506,MATCH(ROW()-5,'Formulación PDN 2027'!$AK$7:$AK$506,0))&amp;"","")</f>
        <v/>
      </c>
    </row>
    <row r="43" spans="1:25" x14ac:dyDescent="0.3">
      <c r="A43" s="15" t="str">
        <f>IFERROR(INDEX('Formulación PDN 2027'!$A$7:$A$506,MATCH(ROW()-5,'Formulación PDN 2027'!$AK$7:$AK$506,0))&amp;"","")</f>
        <v/>
      </c>
      <c r="B43" s="20" t="str">
        <f>IFERROR(INDEX('Formulación PDN 2027'!$M$7:$M$506,MATCH(ROW()-5,'Formulación PDN 2027'!$AK$7:$AK$506,0)),"")</f>
        <v/>
      </c>
      <c r="C43" s="15" t="str">
        <f>IFERROR(INDEX('Formulación PDN 2027'!$N$7:$N$506,MATCH(ROW()-5,'Formulación PDN 2027'!$AK$7:$AK$506,0))&amp;"","")</f>
        <v/>
      </c>
      <c r="D43" s="15" t="str">
        <f>IFERROR(INDEX('Formulación PDN 2027'!$L$7:$L$506,MATCH(ROW()-5,'Formulación PDN 2027'!$AK$7:$AK$506,0))&amp;"","")</f>
        <v/>
      </c>
      <c r="E43" s="15" t="str">
        <f>IFERROR(MATCH(INDEX('Formulación PDN 2027'!$O$7:$O$506,MATCH(ROW()-5,'Formulación PDN 2027'!$AK$7:$AK$506,0)),L_MESES,0),"")</f>
        <v/>
      </c>
      <c r="F43" s="15" t="str">
        <f>IFERROR(MATCH(INDEX('Formulación PDN 2027'!$P$7:$P$506,MATCH(ROW()-5,'Formulación PDN 2027'!$AK$7:$AK$506,0)),L_MESES,0),"")</f>
        <v/>
      </c>
      <c r="G43" s="15" t="str">
        <f>IFERROR(INDEX('Formulación PDN 2027'!$Q$7:$Q$506,MATCH(ROW()-5,'Formulación PDN 2027'!$AK$7:$AK$506,0)),"")</f>
        <v/>
      </c>
      <c r="H43" s="15" t="str">
        <f>IFERROR(INDEX('Formulación PDN 2027'!$R$7:$R$506,MATCH(ROW()-5,'Formulación PDN 2027'!$AK$7:$AK$506,0))&amp;"","")</f>
        <v/>
      </c>
      <c r="I43" s="15" t="str">
        <f>IFERROR(INDEX('Formulación PDN 2027'!$S$7:$S$506,MATCH(ROW()-5,'Formulación PDN 2027'!$AK$7:$AK$506,0))&amp;"","")</f>
        <v/>
      </c>
      <c r="J43" s="15" t="str">
        <f>IFERROR(INDEX('Formulación PDN 2027'!$T$7:$T$506,MATCH(ROW()-5,'Formulación PDN 2027'!$AK$7:$AK$506,0))&amp;"","")</f>
        <v/>
      </c>
      <c r="K43" s="43" t="str">
        <f>IFERROR(INDEX('Formulación PDN 2027'!$W$7:$W$506,MATCH(ROW()-5,'Formulación PDN 2027'!$AK$7:$AK$506,0)),"")</f>
        <v/>
      </c>
      <c r="L43" s="43" t="str">
        <f>IFERROR(INDEX('Formulación PDN 2027'!$X$7:$X$506,MATCH(ROW()-5,'Formulación PDN 2027'!$AK$7:$AK$506,0)),"")</f>
        <v/>
      </c>
      <c r="M43" s="15" t="str">
        <f>IFERROR(INDEX('Formulación PDN 2027'!$Y$7:$Y$506,MATCH(ROW()-5,'Formulación PDN 2027'!$AK$7:$AK$506,0))&amp;"","")</f>
        <v/>
      </c>
      <c r="N43" s="15" t="str">
        <f>IFERROR(INDEX('Formulación PDN 2027'!$Z$7:$Z$506,MATCH(ROW()-5,'Formulación PDN 2027'!$AK$7:$AK$506,0))&amp;"","")</f>
        <v/>
      </c>
      <c r="O43" s="15"/>
      <c r="P43" s="15" t="str">
        <f>IFERROR(INDEX('Formulación PDN 2027'!$AA$7:$AA$506,MATCH(ROW()-5,'Formulación PDN 2027'!$AK$7:$AK$506,0))&amp;"","")</f>
        <v/>
      </c>
      <c r="Q43" s="15" t="str">
        <f>IFERROR(INDEX('Formulación PDN 2027'!$AB$7:$AB$506,MATCH(ROW()-5,'Formulación PDN 2027'!$AK$7:$AK$506,0))&amp;"","")</f>
        <v/>
      </c>
      <c r="R43" s="15" t="str">
        <f>IFERROR(INDEX('Formulación PDN 2027'!$AD$7:$AD$506,MATCH(ROW()-5,'Formulación PDN 2027'!$AK$7:$AK$506,0))&amp;"","")</f>
        <v/>
      </c>
      <c r="S43" s="15" t="str">
        <f>IFERROR(INDEX('Formulación PDN 2027'!$AE$7:$AE$506,MATCH(ROW()-5,'Formulación PDN 2027'!$AK$7:$AK$506,0))&amp;"","")</f>
        <v/>
      </c>
      <c r="T43" s="15" t="str">
        <f>IFERROR(INDEX('Formulación PDN 2027'!$C$7:$C$506,MATCH(ROW()-5,'Formulación PDN 2027'!$AK$7:$AK$506,0))&amp;"","")</f>
        <v/>
      </c>
      <c r="U43" s="15" t="str">
        <f>IFERROR(INDEX('Formulación PDN 2027'!$B$7:$B$506,MATCH(ROW()-5,'Formulación PDN 2027'!$AK$7:$AK$506,0))&amp;"","")</f>
        <v/>
      </c>
      <c r="V43" s="15" t="str">
        <f>IFERROR(LEFT(INDEX('Formulación PDN 2027'!$E$7:$E$506,MATCH(ROW()-5,'Formulación PDN 2027'!$AK$7:$AK$506,0)),7),"")</f>
        <v/>
      </c>
      <c r="W43" s="15" t="str">
        <f>IFERROR(INDEX('Formulación PDN 2027'!$H$7:$H$506,MATCH(ROW()-5,'Formulación PDN 2027'!$AK$7:$AK$506,0))&amp;"","")</f>
        <v/>
      </c>
      <c r="X43" s="15" t="str">
        <f>IFERROR(INDEX('Formulación PDN 2027'!$U$7:$U$506,MATCH(ROW()-5,'Formulación PDN 2027'!$AK$7:$AK$506,0))&amp;"","")</f>
        <v/>
      </c>
      <c r="Y43" s="15" t="str">
        <f>IFERROR(INDEX('Formulación PDN 2027'!$AH$7:$AH$506,MATCH(ROW()-5,'Formulación PDN 2027'!$AK$7:$AK$506,0))&amp;"","")</f>
        <v/>
      </c>
    </row>
    <row r="44" spans="1:25" x14ac:dyDescent="0.3">
      <c r="A44" s="15" t="str">
        <f>IFERROR(INDEX('Formulación PDN 2027'!$A$7:$A$506,MATCH(ROW()-5,'Formulación PDN 2027'!$AK$7:$AK$506,0))&amp;"","")</f>
        <v/>
      </c>
      <c r="B44" s="20" t="str">
        <f>IFERROR(INDEX('Formulación PDN 2027'!$M$7:$M$506,MATCH(ROW()-5,'Formulación PDN 2027'!$AK$7:$AK$506,0)),"")</f>
        <v/>
      </c>
      <c r="C44" s="15" t="str">
        <f>IFERROR(INDEX('Formulación PDN 2027'!$N$7:$N$506,MATCH(ROW()-5,'Formulación PDN 2027'!$AK$7:$AK$506,0))&amp;"","")</f>
        <v/>
      </c>
      <c r="D44" s="15" t="str">
        <f>IFERROR(INDEX('Formulación PDN 2027'!$L$7:$L$506,MATCH(ROW()-5,'Formulación PDN 2027'!$AK$7:$AK$506,0))&amp;"","")</f>
        <v/>
      </c>
      <c r="E44" s="15" t="str">
        <f>IFERROR(MATCH(INDEX('Formulación PDN 2027'!$O$7:$O$506,MATCH(ROW()-5,'Formulación PDN 2027'!$AK$7:$AK$506,0)),L_MESES,0),"")</f>
        <v/>
      </c>
      <c r="F44" s="15" t="str">
        <f>IFERROR(MATCH(INDEX('Formulación PDN 2027'!$P$7:$P$506,MATCH(ROW()-5,'Formulación PDN 2027'!$AK$7:$AK$506,0)),L_MESES,0),"")</f>
        <v/>
      </c>
      <c r="G44" s="15" t="str">
        <f>IFERROR(INDEX('Formulación PDN 2027'!$Q$7:$Q$506,MATCH(ROW()-5,'Formulación PDN 2027'!$AK$7:$AK$506,0)),"")</f>
        <v/>
      </c>
      <c r="H44" s="15" t="str">
        <f>IFERROR(INDEX('Formulación PDN 2027'!$R$7:$R$506,MATCH(ROW()-5,'Formulación PDN 2027'!$AK$7:$AK$506,0))&amp;"","")</f>
        <v/>
      </c>
      <c r="I44" s="15" t="str">
        <f>IFERROR(INDEX('Formulación PDN 2027'!$S$7:$S$506,MATCH(ROW()-5,'Formulación PDN 2027'!$AK$7:$AK$506,0))&amp;"","")</f>
        <v/>
      </c>
      <c r="J44" s="15" t="str">
        <f>IFERROR(INDEX('Formulación PDN 2027'!$T$7:$T$506,MATCH(ROW()-5,'Formulación PDN 2027'!$AK$7:$AK$506,0))&amp;"","")</f>
        <v/>
      </c>
      <c r="K44" s="43" t="str">
        <f>IFERROR(INDEX('Formulación PDN 2027'!$W$7:$W$506,MATCH(ROW()-5,'Formulación PDN 2027'!$AK$7:$AK$506,0)),"")</f>
        <v/>
      </c>
      <c r="L44" s="43" t="str">
        <f>IFERROR(INDEX('Formulación PDN 2027'!$X$7:$X$506,MATCH(ROW()-5,'Formulación PDN 2027'!$AK$7:$AK$506,0)),"")</f>
        <v/>
      </c>
      <c r="M44" s="15" t="str">
        <f>IFERROR(INDEX('Formulación PDN 2027'!$Y$7:$Y$506,MATCH(ROW()-5,'Formulación PDN 2027'!$AK$7:$AK$506,0))&amp;"","")</f>
        <v/>
      </c>
      <c r="N44" s="15" t="str">
        <f>IFERROR(INDEX('Formulación PDN 2027'!$Z$7:$Z$506,MATCH(ROW()-5,'Formulación PDN 2027'!$AK$7:$AK$506,0))&amp;"","")</f>
        <v/>
      </c>
      <c r="O44" s="15"/>
      <c r="P44" s="15" t="str">
        <f>IFERROR(INDEX('Formulación PDN 2027'!$AA$7:$AA$506,MATCH(ROW()-5,'Formulación PDN 2027'!$AK$7:$AK$506,0))&amp;"","")</f>
        <v/>
      </c>
      <c r="Q44" s="15" t="str">
        <f>IFERROR(INDEX('Formulación PDN 2027'!$AB$7:$AB$506,MATCH(ROW()-5,'Formulación PDN 2027'!$AK$7:$AK$506,0))&amp;"","")</f>
        <v/>
      </c>
      <c r="R44" s="15" t="str">
        <f>IFERROR(INDEX('Formulación PDN 2027'!$AD$7:$AD$506,MATCH(ROW()-5,'Formulación PDN 2027'!$AK$7:$AK$506,0))&amp;"","")</f>
        <v/>
      </c>
      <c r="S44" s="15" t="str">
        <f>IFERROR(INDEX('Formulación PDN 2027'!$AE$7:$AE$506,MATCH(ROW()-5,'Formulación PDN 2027'!$AK$7:$AK$506,0))&amp;"","")</f>
        <v/>
      </c>
      <c r="T44" s="15" t="str">
        <f>IFERROR(INDEX('Formulación PDN 2027'!$C$7:$C$506,MATCH(ROW()-5,'Formulación PDN 2027'!$AK$7:$AK$506,0))&amp;"","")</f>
        <v/>
      </c>
      <c r="U44" s="15" t="str">
        <f>IFERROR(INDEX('Formulación PDN 2027'!$B$7:$B$506,MATCH(ROW()-5,'Formulación PDN 2027'!$AK$7:$AK$506,0))&amp;"","")</f>
        <v/>
      </c>
      <c r="V44" s="15" t="str">
        <f>IFERROR(LEFT(INDEX('Formulación PDN 2027'!$E$7:$E$506,MATCH(ROW()-5,'Formulación PDN 2027'!$AK$7:$AK$506,0)),7),"")</f>
        <v/>
      </c>
      <c r="W44" s="15" t="str">
        <f>IFERROR(INDEX('Formulación PDN 2027'!$H$7:$H$506,MATCH(ROW()-5,'Formulación PDN 2027'!$AK$7:$AK$506,0))&amp;"","")</f>
        <v/>
      </c>
      <c r="X44" s="15" t="str">
        <f>IFERROR(INDEX('Formulación PDN 2027'!$U$7:$U$506,MATCH(ROW()-5,'Formulación PDN 2027'!$AK$7:$AK$506,0))&amp;"","")</f>
        <v/>
      </c>
      <c r="Y44" s="15" t="str">
        <f>IFERROR(INDEX('Formulación PDN 2027'!$AH$7:$AH$506,MATCH(ROW()-5,'Formulación PDN 2027'!$AK$7:$AK$506,0))&amp;"","")</f>
        <v/>
      </c>
    </row>
    <row r="45" spans="1:25" x14ac:dyDescent="0.3">
      <c r="A45" s="15" t="str">
        <f>IFERROR(INDEX('Formulación PDN 2027'!$A$7:$A$506,MATCH(ROW()-5,'Formulación PDN 2027'!$AK$7:$AK$506,0))&amp;"","")</f>
        <v/>
      </c>
      <c r="B45" s="20" t="str">
        <f>IFERROR(INDEX('Formulación PDN 2027'!$M$7:$M$506,MATCH(ROW()-5,'Formulación PDN 2027'!$AK$7:$AK$506,0)),"")</f>
        <v/>
      </c>
      <c r="C45" s="15" t="str">
        <f>IFERROR(INDEX('Formulación PDN 2027'!$N$7:$N$506,MATCH(ROW()-5,'Formulación PDN 2027'!$AK$7:$AK$506,0))&amp;"","")</f>
        <v/>
      </c>
      <c r="D45" s="15" t="str">
        <f>IFERROR(INDEX('Formulación PDN 2027'!$L$7:$L$506,MATCH(ROW()-5,'Formulación PDN 2027'!$AK$7:$AK$506,0))&amp;"","")</f>
        <v/>
      </c>
      <c r="E45" s="15" t="str">
        <f>IFERROR(MATCH(INDEX('Formulación PDN 2027'!$O$7:$O$506,MATCH(ROW()-5,'Formulación PDN 2027'!$AK$7:$AK$506,0)),L_MESES,0),"")</f>
        <v/>
      </c>
      <c r="F45" s="15" t="str">
        <f>IFERROR(MATCH(INDEX('Formulación PDN 2027'!$P$7:$P$506,MATCH(ROW()-5,'Formulación PDN 2027'!$AK$7:$AK$506,0)),L_MESES,0),"")</f>
        <v/>
      </c>
      <c r="G45" s="15" t="str">
        <f>IFERROR(INDEX('Formulación PDN 2027'!$Q$7:$Q$506,MATCH(ROW()-5,'Formulación PDN 2027'!$AK$7:$AK$506,0)),"")</f>
        <v/>
      </c>
      <c r="H45" s="15" t="str">
        <f>IFERROR(INDEX('Formulación PDN 2027'!$R$7:$R$506,MATCH(ROW()-5,'Formulación PDN 2027'!$AK$7:$AK$506,0))&amp;"","")</f>
        <v/>
      </c>
      <c r="I45" s="15" t="str">
        <f>IFERROR(INDEX('Formulación PDN 2027'!$S$7:$S$506,MATCH(ROW()-5,'Formulación PDN 2027'!$AK$7:$AK$506,0))&amp;"","")</f>
        <v/>
      </c>
      <c r="J45" s="15" t="str">
        <f>IFERROR(INDEX('Formulación PDN 2027'!$T$7:$T$506,MATCH(ROW()-5,'Formulación PDN 2027'!$AK$7:$AK$506,0))&amp;"","")</f>
        <v/>
      </c>
      <c r="K45" s="43" t="str">
        <f>IFERROR(INDEX('Formulación PDN 2027'!$W$7:$W$506,MATCH(ROW()-5,'Formulación PDN 2027'!$AK$7:$AK$506,0)),"")</f>
        <v/>
      </c>
      <c r="L45" s="43" t="str">
        <f>IFERROR(INDEX('Formulación PDN 2027'!$X$7:$X$506,MATCH(ROW()-5,'Formulación PDN 2027'!$AK$7:$AK$506,0)),"")</f>
        <v/>
      </c>
      <c r="M45" s="15" t="str">
        <f>IFERROR(INDEX('Formulación PDN 2027'!$Y$7:$Y$506,MATCH(ROW()-5,'Formulación PDN 2027'!$AK$7:$AK$506,0))&amp;"","")</f>
        <v/>
      </c>
      <c r="N45" s="15" t="str">
        <f>IFERROR(INDEX('Formulación PDN 2027'!$Z$7:$Z$506,MATCH(ROW()-5,'Formulación PDN 2027'!$AK$7:$AK$506,0))&amp;"","")</f>
        <v/>
      </c>
      <c r="O45" s="15"/>
      <c r="P45" s="15" t="str">
        <f>IFERROR(INDEX('Formulación PDN 2027'!$AA$7:$AA$506,MATCH(ROW()-5,'Formulación PDN 2027'!$AK$7:$AK$506,0))&amp;"","")</f>
        <v/>
      </c>
      <c r="Q45" s="15" t="str">
        <f>IFERROR(INDEX('Formulación PDN 2027'!$AB$7:$AB$506,MATCH(ROW()-5,'Formulación PDN 2027'!$AK$7:$AK$506,0))&amp;"","")</f>
        <v/>
      </c>
      <c r="R45" s="15" t="str">
        <f>IFERROR(INDEX('Formulación PDN 2027'!$AD$7:$AD$506,MATCH(ROW()-5,'Formulación PDN 2027'!$AK$7:$AK$506,0))&amp;"","")</f>
        <v/>
      </c>
      <c r="S45" s="15" t="str">
        <f>IFERROR(INDEX('Formulación PDN 2027'!$AE$7:$AE$506,MATCH(ROW()-5,'Formulación PDN 2027'!$AK$7:$AK$506,0))&amp;"","")</f>
        <v/>
      </c>
      <c r="T45" s="15" t="str">
        <f>IFERROR(INDEX('Formulación PDN 2027'!$C$7:$C$506,MATCH(ROW()-5,'Formulación PDN 2027'!$AK$7:$AK$506,0))&amp;"","")</f>
        <v/>
      </c>
      <c r="U45" s="15" t="str">
        <f>IFERROR(INDEX('Formulación PDN 2027'!$B$7:$B$506,MATCH(ROW()-5,'Formulación PDN 2027'!$AK$7:$AK$506,0))&amp;"","")</f>
        <v/>
      </c>
      <c r="V45" s="15" t="str">
        <f>IFERROR(LEFT(INDEX('Formulación PDN 2027'!$E$7:$E$506,MATCH(ROW()-5,'Formulación PDN 2027'!$AK$7:$AK$506,0)),7),"")</f>
        <v/>
      </c>
      <c r="W45" s="15" t="str">
        <f>IFERROR(INDEX('Formulación PDN 2027'!$H$7:$H$506,MATCH(ROW()-5,'Formulación PDN 2027'!$AK$7:$AK$506,0))&amp;"","")</f>
        <v/>
      </c>
      <c r="X45" s="15" t="str">
        <f>IFERROR(INDEX('Formulación PDN 2027'!$U$7:$U$506,MATCH(ROW()-5,'Formulación PDN 2027'!$AK$7:$AK$506,0))&amp;"","")</f>
        <v/>
      </c>
      <c r="Y45" s="15" t="str">
        <f>IFERROR(INDEX('Formulación PDN 2027'!$AH$7:$AH$506,MATCH(ROW()-5,'Formulación PDN 2027'!$AK$7:$AK$506,0))&amp;"","")</f>
        <v/>
      </c>
    </row>
    <row r="46" spans="1:25" x14ac:dyDescent="0.3">
      <c r="A46" s="15" t="str">
        <f>IFERROR(INDEX('Formulación PDN 2027'!$A$7:$A$506,MATCH(ROW()-5,'Formulación PDN 2027'!$AK$7:$AK$506,0))&amp;"","")</f>
        <v/>
      </c>
      <c r="B46" s="20" t="str">
        <f>IFERROR(INDEX('Formulación PDN 2027'!$M$7:$M$506,MATCH(ROW()-5,'Formulación PDN 2027'!$AK$7:$AK$506,0)),"")</f>
        <v/>
      </c>
      <c r="C46" s="15" t="str">
        <f>IFERROR(INDEX('Formulación PDN 2027'!$N$7:$N$506,MATCH(ROW()-5,'Formulación PDN 2027'!$AK$7:$AK$506,0))&amp;"","")</f>
        <v/>
      </c>
      <c r="D46" s="15" t="str">
        <f>IFERROR(INDEX('Formulación PDN 2027'!$L$7:$L$506,MATCH(ROW()-5,'Formulación PDN 2027'!$AK$7:$AK$506,0))&amp;"","")</f>
        <v/>
      </c>
      <c r="E46" s="15" t="str">
        <f>IFERROR(MATCH(INDEX('Formulación PDN 2027'!$O$7:$O$506,MATCH(ROW()-5,'Formulación PDN 2027'!$AK$7:$AK$506,0)),L_MESES,0),"")</f>
        <v/>
      </c>
      <c r="F46" s="15" t="str">
        <f>IFERROR(MATCH(INDEX('Formulación PDN 2027'!$P$7:$P$506,MATCH(ROW()-5,'Formulación PDN 2027'!$AK$7:$AK$506,0)),L_MESES,0),"")</f>
        <v/>
      </c>
      <c r="G46" s="15" t="str">
        <f>IFERROR(INDEX('Formulación PDN 2027'!$Q$7:$Q$506,MATCH(ROW()-5,'Formulación PDN 2027'!$AK$7:$AK$506,0)),"")</f>
        <v/>
      </c>
      <c r="H46" s="15" t="str">
        <f>IFERROR(INDEX('Formulación PDN 2027'!$R$7:$R$506,MATCH(ROW()-5,'Formulación PDN 2027'!$AK$7:$AK$506,0))&amp;"","")</f>
        <v/>
      </c>
      <c r="I46" s="15" t="str">
        <f>IFERROR(INDEX('Formulación PDN 2027'!$S$7:$S$506,MATCH(ROW()-5,'Formulación PDN 2027'!$AK$7:$AK$506,0))&amp;"","")</f>
        <v/>
      </c>
      <c r="J46" s="15" t="str">
        <f>IFERROR(INDEX('Formulación PDN 2027'!$T$7:$T$506,MATCH(ROW()-5,'Formulación PDN 2027'!$AK$7:$AK$506,0))&amp;"","")</f>
        <v/>
      </c>
      <c r="K46" s="43" t="str">
        <f>IFERROR(INDEX('Formulación PDN 2027'!$W$7:$W$506,MATCH(ROW()-5,'Formulación PDN 2027'!$AK$7:$AK$506,0)),"")</f>
        <v/>
      </c>
      <c r="L46" s="43" t="str">
        <f>IFERROR(INDEX('Formulación PDN 2027'!$X$7:$X$506,MATCH(ROW()-5,'Formulación PDN 2027'!$AK$7:$AK$506,0)),"")</f>
        <v/>
      </c>
      <c r="M46" s="15" t="str">
        <f>IFERROR(INDEX('Formulación PDN 2027'!$Y$7:$Y$506,MATCH(ROW()-5,'Formulación PDN 2027'!$AK$7:$AK$506,0))&amp;"","")</f>
        <v/>
      </c>
      <c r="N46" s="15" t="str">
        <f>IFERROR(INDEX('Formulación PDN 2027'!$Z$7:$Z$506,MATCH(ROW()-5,'Formulación PDN 2027'!$AK$7:$AK$506,0))&amp;"","")</f>
        <v/>
      </c>
      <c r="O46" s="15"/>
      <c r="P46" s="15" t="str">
        <f>IFERROR(INDEX('Formulación PDN 2027'!$AA$7:$AA$506,MATCH(ROW()-5,'Formulación PDN 2027'!$AK$7:$AK$506,0))&amp;"","")</f>
        <v/>
      </c>
      <c r="Q46" s="15" t="str">
        <f>IFERROR(INDEX('Formulación PDN 2027'!$AB$7:$AB$506,MATCH(ROW()-5,'Formulación PDN 2027'!$AK$7:$AK$506,0))&amp;"","")</f>
        <v/>
      </c>
      <c r="R46" s="15" t="str">
        <f>IFERROR(INDEX('Formulación PDN 2027'!$AD$7:$AD$506,MATCH(ROW()-5,'Formulación PDN 2027'!$AK$7:$AK$506,0))&amp;"","")</f>
        <v/>
      </c>
      <c r="S46" s="15" t="str">
        <f>IFERROR(INDEX('Formulación PDN 2027'!$AE$7:$AE$506,MATCH(ROW()-5,'Formulación PDN 2027'!$AK$7:$AK$506,0))&amp;"","")</f>
        <v/>
      </c>
      <c r="T46" s="15" t="str">
        <f>IFERROR(INDEX('Formulación PDN 2027'!$C$7:$C$506,MATCH(ROW()-5,'Formulación PDN 2027'!$AK$7:$AK$506,0))&amp;"","")</f>
        <v/>
      </c>
      <c r="U46" s="15" t="str">
        <f>IFERROR(INDEX('Formulación PDN 2027'!$B$7:$B$506,MATCH(ROW()-5,'Formulación PDN 2027'!$AK$7:$AK$506,0))&amp;"","")</f>
        <v/>
      </c>
      <c r="V46" s="15" t="str">
        <f>IFERROR(LEFT(INDEX('Formulación PDN 2027'!$E$7:$E$506,MATCH(ROW()-5,'Formulación PDN 2027'!$AK$7:$AK$506,0)),7),"")</f>
        <v/>
      </c>
      <c r="W46" s="15" t="str">
        <f>IFERROR(INDEX('Formulación PDN 2027'!$H$7:$H$506,MATCH(ROW()-5,'Formulación PDN 2027'!$AK$7:$AK$506,0))&amp;"","")</f>
        <v/>
      </c>
      <c r="X46" s="15" t="str">
        <f>IFERROR(INDEX('Formulación PDN 2027'!$U$7:$U$506,MATCH(ROW()-5,'Formulación PDN 2027'!$AK$7:$AK$506,0))&amp;"","")</f>
        <v/>
      </c>
      <c r="Y46" s="15" t="str">
        <f>IFERROR(INDEX('Formulación PDN 2027'!$AH$7:$AH$506,MATCH(ROW()-5,'Formulación PDN 2027'!$AK$7:$AK$506,0))&amp;"","")</f>
        <v/>
      </c>
    </row>
    <row r="47" spans="1:25" x14ac:dyDescent="0.3">
      <c r="A47" s="15" t="str">
        <f>IFERROR(INDEX('Formulación PDN 2027'!$A$7:$A$506,MATCH(ROW()-5,'Formulación PDN 2027'!$AK$7:$AK$506,0))&amp;"","")</f>
        <v/>
      </c>
      <c r="B47" s="20" t="str">
        <f>IFERROR(INDEX('Formulación PDN 2027'!$M$7:$M$506,MATCH(ROW()-5,'Formulación PDN 2027'!$AK$7:$AK$506,0)),"")</f>
        <v/>
      </c>
      <c r="C47" s="15" t="str">
        <f>IFERROR(INDEX('Formulación PDN 2027'!$N$7:$N$506,MATCH(ROW()-5,'Formulación PDN 2027'!$AK$7:$AK$506,0))&amp;"","")</f>
        <v/>
      </c>
      <c r="D47" s="15" t="str">
        <f>IFERROR(INDEX('Formulación PDN 2027'!$L$7:$L$506,MATCH(ROW()-5,'Formulación PDN 2027'!$AK$7:$AK$506,0))&amp;"","")</f>
        <v/>
      </c>
      <c r="E47" s="15" t="str">
        <f>IFERROR(MATCH(INDEX('Formulación PDN 2027'!$O$7:$O$506,MATCH(ROW()-5,'Formulación PDN 2027'!$AK$7:$AK$506,0)),L_MESES,0),"")</f>
        <v/>
      </c>
      <c r="F47" s="15" t="str">
        <f>IFERROR(MATCH(INDEX('Formulación PDN 2027'!$P$7:$P$506,MATCH(ROW()-5,'Formulación PDN 2027'!$AK$7:$AK$506,0)),L_MESES,0),"")</f>
        <v/>
      </c>
      <c r="G47" s="15" t="str">
        <f>IFERROR(INDEX('Formulación PDN 2027'!$Q$7:$Q$506,MATCH(ROW()-5,'Formulación PDN 2027'!$AK$7:$AK$506,0)),"")</f>
        <v/>
      </c>
      <c r="H47" s="15" t="str">
        <f>IFERROR(INDEX('Formulación PDN 2027'!$R$7:$R$506,MATCH(ROW()-5,'Formulación PDN 2027'!$AK$7:$AK$506,0))&amp;"","")</f>
        <v/>
      </c>
      <c r="I47" s="15" t="str">
        <f>IFERROR(INDEX('Formulación PDN 2027'!$S$7:$S$506,MATCH(ROW()-5,'Formulación PDN 2027'!$AK$7:$AK$506,0))&amp;"","")</f>
        <v/>
      </c>
      <c r="J47" s="15" t="str">
        <f>IFERROR(INDEX('Formulación PDN 2027'!$T$7:$T$506,MATCH(ROW()-5,'Formulación PDN 2027'!$AK$7:$AK$506,0))&amp;"","")</f>
        <v/>
      </c>
      <c r="K47" s="43" t="str">
        <f>IFERROR(INDEX('Formulación PDN 2027'!$W$7:$W$506,MATCH(ROW()-5,'Formulación PDN 2027'!$AK$7:$AK$506,0)),"")</f>
        <v/>
      </c>
      <c r="L47" s="43" t="str">
        <f>IFERROR(INDEX('Formulación PDN 2027'!$X$7:$X$506,MATCH(ROW()-5,'Formulación PDN 2027'!$AK$7:$AK$506,0)),"")</f>
        <v/>
      </c>
      <c r="M47" s="15" t="str">
        <f>IFERROR(INDEX('Formulación PDN 2027'!$Y$7:$Y$506,MATCH(ROW()-5,'Formulación PDN 2027'!$AK$7:$AK$506,0))&amp;"","")</f>
        <v/>
      </c>
      <c r="N47" s="15" t="str">
        <f>IFERROR(INDEX('Formulación PDN 2027'!$Z$7:$Z$506,MATCH(ROW()-5,'Formulación PDN 2027'!$AK$7:$AK$506,0))&amp;"","")</f>
        <v/>
      </c>
      <c r="O47" s="15"/>
      <c r="P47" s="15" t="str">
        <f>IFERROR(INDEX('Formulación PDN 2027'!$AA$7:$AA$506,MATCH(ROW()-5,'Formulación PDN 2027'!$AK$7:$AK$506,0))&amp;"","")</f>
        <v/>
      </c>
      <c r="Q47" s="15" t="str">
        <f>IFERROR(INDEX('Formulación PDN 2027'!$AB$7:$AB$506,MATCH(ROW()-5,'Formulación PDN 2027'!$AK$7:$AK$506,0))&amp;"","")</f>
        <v/>
      </c>
      <c r="R47" s="15" t="str">
        <f>IFERROR(INDEX('Formulación PDN 2027'!$AD$7:$AD$506,MATCH(ROW()-5,'Formulación PDN 2027'!$AK$7:$AK$506,0))&amp;"","")</f>
        <v/>
      </c>
      <c r="S47" s="15" t="str">
        <f>IFERROR(INDEX('Formulación PDN 2027'!$AE$7:$AE$506,MATCH(ROW()-5,'Formulación PDN 2027'!$AK$7:$AK$506,0))&amp;"","")</f>
        <v/>
      </c>
      <c r="T47" s="15" t="str">
        <f>IFERROR(INDEX('Formulación PDN 2027'!$C$7:$C$506,MATCH(ROW()-5,'Formulación PDN 2027'!$AK$7:$AK$506,0))&amp;"","")</f>
        <v/>
      </c>
      <c r="U47" s="15" t="str">
        <f>IFERROR(INDEX('Formulación PDN 2027'!$B$7:$B$506,MATCH(ROW()-5,'Formulación PDN 2027'!$AK$7:$AK$506,0))&amp;"","")</f>
        <v/>
      </c>
      <c r="V47" s="15" t="str">
        <f>IFERROR(LEFT(INDEX('Formulación PDN 2027'!$E$7:$E$506,MATCH(ROW()-5,'Formulación PDN 2027'!$AK$7:$AK$506,0)),7),"")</f>
        <v/>
      </c>
      <c r="W47" s="15" t="str">
        <f>IFERROR(INDEX('Formulación PDN 2027'!$H$7:$H$506,MATCH(ROW()-5,'Formulación PDN 2027'!$AK$7:$AK$506,0))&amp;"","")</f>
        <v/>
      </c>
      <c r="X47" s="15" t="str">
        <f>IFERROR(INDEX('Formulación PDN 2027'!$U$7:$U$506,MATCH(ROW()-5,'Formulación PDN 2027'!$AK$7:$AK$506,0))&amp;"","")</f>
        <v/>
      </c>
      <c r="Y47" s="15" t="str">
        <f>IFERROR(INDEX('Formulación PDN 2027'!$AH$7:$AH$506,MATCH(ROW()-5,'Formulación PDN 2027'!$AK$7:$AK$506,0))&amp;"","")</f>
        <v/>
      </c>
    </row>
    <row r="48" spans="1:25" x14ac:dyDescent="0.3">
      <c r="A48" s="15" t="str">
        <f>IFERROR(INDEX('Formulación PDN 2027'!$A$7:$A$506,MATCH(ROW()-5,'Formulación PDN 2027'!$AK$7:$AK$506,0))&amp;"","")</f>
        <v/>
      </c>
      <c r="B48" s="20" t="str">
        <f>IFERROR(INDEX('Formulación PDN 2027'!$M$7:$M$506,MATCH(ROW()-5,'Formulación PDN 2027'!$AK$7:$AK$506,0)),"")</f>
        <v/>
      </c>
      <c r="C48" s="15" t="str">
        <f>IFERROR(INDEX('Formulación PDN 2027'!$N$7:$N$506,MATCH(ROW()-5,'Formulación PDN 2027'!$AK$7:$AK$506,0))&amp;"","")</f>
        <v/>
      </c>
      <c r="D48" s="15" t="str">
        <f>IFERROR(INDEX('Formulación PDN 2027'!$L$7:$L$506,MATCH(ROW()-5,'Formulación PDN 2027'!$AK$7:$AK$506,0))&amp;"","")</f>
        <v/>
      </c>
      <c r="E48" s="15" t="str">
        <f>IFERROR(MATCH(INDEX('Formulación PDN 2027'!$O$7:$O$506,MATCH(ROW()-5,'Formulación PDN 2027'!$AK$7:$AK$506,0)),L_MESES,0),"")</f>
        <v/>
      </c>
      <c r="F48" s="15" t="str">
        <f>IFERROR(MATCH(INDEX('Formulación PDN 2027'!$P$7:$P$506,MATCH(ROW()-5,'Formulación PDN 2027'!$AK$7:$AK$506,0)),L_MESES,0),"")</f>
        <v/>
      </c>
      <c r="G48" s="15" t="str">
        <f>IFERROR(INDEX('Formulación PDN 2027'!$Q$7:$Q$506,MATCH(ROW()-5,'Formulación PDN 2027'!$AK$7:$AK$506,0)),"")</f>
        <v/>
      </c>
      <c r="H48" s="15" t="str">
        <f>IFERROR(INDEX('Formulación PDN 2027'!$R$7:$R$506,MATCH(ROW()-5,'Formulación PDN 2027'!$AK$7:$AK$506,0))&amp;"","")</f>
        <v/>
      </c>
      <c r="I48" s="15" t="str">
        <f>IFERROR(INDEX('Formulación PDN 2027'!$S$7:$S$506,MATCH(ROW()-5,'Formulación PDN 2027'!$AK$7:$AK$506,0))&amp;"","")</f>
        <v/>
      </c>
      <c r="J48" s="15" t="str">
        <f>IFERROR(INDEX('Formulación PDN 2027'!$T$7:$T$506,MATCH(ROW()-5,'Formulación PDN 2027'!$AK$7:$AK$506,0))&amp;"","")</f>
        <v/>
      </c>
      <c r="K48" s="43" t="str">
        <f>IFERROR(INDEX('Formulación PDN 2027'!$W$7:$W$506,MATCH(ROW()-5,'Formulación PDN 2027'!$AK$7:$AK$506,0)),"")</f>
        <v/>
      </c>
      <c r="L48" s="43" t="str">
        <f>IFERROR(INDEX('Formulación PDN 2027'!$X$7:$X$506,MATCH(ROW()-5,'Formulación PDN 2027'!$AK$7:$AK$506,0)),"")</f>
        <v/>
      </c>
      <c r="M48" s="15" t="str">
        <f>IFERROR(INDEX('Formulación PDN 2027'!$Y$7:$Y$506,MATCH(ROW()-5,'Formulación PDN 2027'!$AK$7:$AK$506,0))&amp;"","")</f>
        <v/>
      </c>
      <c r="N48" s="15" t="str">
        <f>IFERROR(INDEX('Formulación PDN 2027'!$Z$7:$Z$506,MATCH(ROW()-5,'Formulación PDN 2027'!$AK$7:$AK$506,0))&amp;"","")</f>
        <v/>
      </c>
      <c r="O48" s="15"/>
      <c r="P48" s="15" t="str">
        <f>IFERROR(INDEX('Formulación PDN 2027'!$AA$7:$AA$506,MATCH(ROW()-5,'Formulación PDN 2027'!$AK$7:$AK$506,0))&amp;"","")</f>
        <v/>
      </c>
      <c r="Q48" s="15" t="str">
        <f>IFERROR(INDEX('Formulación PDN 2027'!$AB$7:$AB$506,MATCH(ROW()-5,'Formulación PDN 2027'!$AK$7:$AK$506,0))&amp;"","")</f>
        <v/>
      </c>
      <c r="R48" s="15" t="str">
        <f>IFERROR(INDEX('Formulación PDN 2027'!$AD$7:$AD$506,MATCH(ROW()-5,'Formulación PDN 2027'!$AK$7:$AK$506,0))&amp;"","")</f>
        <v/>
      </c>
      <c r="S48" s="15" t="str">
        <f>IFERROR(INDEX('Formulación PDN 2027'!$AE$7:$AE$506,MATCH(ROW()-5,'Formulación PDN 2027'!$AK$7:$AK$506,0))&amp;"","")</f>
        <v/>
      </c>
      <c r="T48" s="15" t="str">
        <f>IFERROR(INDEX('Formulación PDN 2027'!$C$7:$C$506,MATCH(ROW()-5,'Formulación PDN 2027'!$AK$7:$AK$506,0))&amp;"","")</f>
        <v/>
      </c>
      <c r="U48" s="15" t="str">
        <f>IFERROR(INDEX('Formulación PDN 2027'!$B$7:$B$506,MATCH(ROW()-5,'Formulación PDN 2027'!$AK$7:$AK$506,0))&amp;"","")</f>
        <v/>
      </c>
      <c r="V48" s="15" t="str">
        <f>IFERROR(LEFT(INDEX('Formulación PDN 2027'!$E$7:$E$506,MATCH(ROW()-5,'Formulación PDN 2027'!$AK$7:$AK$506,0)),7),"")</f>
        <v/>
      </c>
      <c r="W48" s="15" t="str">
        <f>IFERROR(INDEX('Formulación PDN 2027'!$H$7:$H$506,MATCH(ROW()-5,'Formulación PDN 2027'!$AK$7:$AK$506,0))&amp;"","")</f>
        <v/>
      </c>
      <c r="X48" s="15" t="str">
        <f>IFERROR(INDEX('Formulación PDN 2027'!$U$7:$U$506,MATCH(ROW()-5,'Formulación PDN 2027'!$AK$7:$AK$506,0))&amp;"","")</f>
        <v/>
      </c>
      <c r="Y48" s="15" t="str">
        <f>IFERROR(INDEX('Formulación PDN 2027'!$AH$7:$AH$506,MATCH(ROW()-5,'Formulación PDN 2027'!$AK$7:$AK$506,0))&amp;"","")</f>
        <v/>
      </c>
    </row>
    <row r="49" spans="1:25" x14ac:dyDescent="0.3">
      <c r="A49" s="15" t="str">
        <f>IFERROR(INDEX('Formulación PDN 2027'!$A$7:$A$506,MATCH(ROW()-5,'Formulación PDN 2027'!$AK$7:$AK$506,0))&amp;"","")</f>
        <v/>
      </c>
      <c r="B49" s="20" t="str">
        <f>IFERROR(INDEX('Formulación PDN 2027'!$M$7:$M$506,MATCH(ROW()-5,'Formulación PDN 2027'!$AK$7:$AK$506,0)),"")</f>
        <v/>
      </c>
      <c r="C49" s="15" t="str">
        <f>IFERROR(INDEX('Formulación PDN 2027'!$N$7:$N$506,MATCH(ROW()-5,'Formulación PDN 2027'!$AK$7:$AK$506,0))&amp;"","")</f>
        <v/>
      </c>
      <c r="D49" s="15" t="str">
        <f>IFERROR(INDEX('Formulación PDN 2027'!$L$7:$L$506,MATCH(ROW()-5,'Formulación PDN 2027'!$AK$7:$AK$506,0))&amp;"","")</f>
        <v/>
      </c>
      <c r="E49" s="15" t="str">
        <f>IFERROR(MATCH(INDEX('Formulación PDN 2027'!$O$7:$O$506,MATCH(ROW()-5,'Formulación PDN 2027'!$AK$7:$AK$506,0)),L_MESES,0),"")</f>
        <v/>
      </c>
      <c r="F49" s="15" t="str">
        <f>IFERROR(MATCH(INDEX('Formulación PDN 2027'!$P$7:$P$506,MATCH(ROW()-5,'Formulación PDN 2027'!$AK$7:$AK$506,0)),L_MESES,0),"")</f>
        <v/>
      </c>
      <c r="G49" s="15" t="str">
        <f>IFERROR(INDEX('Formulación PDN 2027'!$Q$7:$Q$506,MATCH(ROW()-5,'Formulación PDN 2027'!$AK$7:$AK$506,0)),"")</f>
        <v/>
      </c>
      <c r="H49" s="15" t="str">
        <f>IFERROR(INDEX('Formulación PDN 2027'!$R$7:$R$506,MATCH(ROW()-5,'Formulación PDN 2027'!$AK$7:$AK$506,0))&amp;"","")</f>
        <v/>
      </c>
      <c r="I49" s="15" t="str">
        <f>IFERROR(INDEX('Formulación PDN 2027'!$S$7:$S$506,MATCH(ROW()-5,'Formulación PDN 2027'!$AK$7:$AK$506,0))&amp;"","")</f>
        <v/>
      </c>
      <c r="J49" s="15" t="str">
        <f>IFERROR(INDEX('Formulación PDN 2027'!$T$7:$T$506,MATCH(ROW()-5,'Formulación PDN 2027'!$AK$7:$AK$506,0))&amp;"","")</f>
        <v/>
      </c>
      <c r="K49" s="43" t="str">
        <f>IFERROR(INDEX('Formulación PDN 2027'!$W$7:$W$506,MATCH(ROW()-5,'Formulación PDN 2027'!$AK$7:$AK$506,0)),"")</f>
        <v/>
      </c>
      <c r="L49" s="43" t="str">
        <f>IFERROR(INDEX('Formulación PDN 2027'!$X$7:$X$506,MATCH(ROW()-5,'Formulación PDN 2027'!$AK$7:$AK$506,0)),"")</f>
        <v/>
      </c>
      <c r="M49" s="15" t="str">
        <f>IFERROR(INDEX('Formulación PDN 2027'!$Y$7:$Y$506,MATCH(ROW()-5,'Formulación PDN 2027'!$AK$7:$AK$506,0))&amp;"","")</f>
        <v/>
      </c>
      <c r="N49" s="15" t="str">
        <f>IFERROR(INDEX('Formulación PDN 2027'!$Z$7:$Z$506,MATCH(ROW()-5,'Formulación PDN 2027'!$AK$7:$AK$506,0))&amp;"","")</f>
        <v/>
      </c>
      <c r="O49" s="15"/>
      <c r="P49" s="15" t="str">
        <f>IFERROR(INDEX('Formulación PDN 2027'!$AA$7:$AA$506,MATCH(ROW()-5,'Formulación PDN 2027'!$AK$7:$AK$506,0))&amp;"","")</f>
        <v/>
      </c>
      <c r="Q49" s="15" t="str">
        <f>IFERROR(INDEX('Formulación PDN 2027'!$AB$7:$AB$506,MATCH(ROW()-5,'Formulación PDN 2027'!$AK$7:$AK$506,0))&amp;"","")</f>
        <v/>
      </c>
      <c r="R49" s="15" t="str">
        <f>IFERROR(INDEX('Formulación PDN 2027'!$AD$7:$AD$506,MATCH(ROW()-5,'Formulación PDN 2027'!$AK$7:$AK$506,0))&amp;"","")</f>
        <v/>
      </c>
      <c r="S49" s="15" t="str">
        <f>IFERROR(INDEX('Formulación PDN 2027'!$AE$7:$AE$506,MATCH(ROW()-5,'Formulación PDN 2027'!$AK$7:$AK$506,0))&amp;"","")</f>
        <v/>
      </c>
      <c r="T49" s="15" t="str">
        <f>IFERROR(INDEX('Formulación PDN 2027'!$C$7:$C$506,MATCH(ROW()-5,'Formulación PDN 2027'!$AK$7:$AK$506,0))&amp;"","")</f>
        <v/>
      </c>
      <c r="U49" s="15" t="str">
        <f>IFERROR(INDEX('Formulación PDN 2027'!$B$7:$B$506,MATCH(ROW()-5,'Formulación PDN 2027'!$AK$7:$AK$506,0))&amp;"","")</f>
        <v/>
      </c>
      <c r="V49" s="15" t="str">
        <f>IFERROR(LEFT(INDEX('Formulación PDN 2027'!$E$7:$E$506,MATCH(ROW()-5,'Formulación PDN 2027'!$AK$7:$AK$506,0)),7),"")</f>
        <v/>
      </c>
      <c r="W49" s="15" t="str">
        <f>IFERROR(INDEX('Formulación PDN 2027'!$H$7:$H$506,MATCH(ROW()-5,'Formulación PDN 2027'!$AK$7:$AK$506,0))&amp;"","")</f>
        <v/>
      </c>
      <c r="X49" s="15" t="str">
        <f>IFERROR(INDEX('Formulación PDN 2027'!$U$7:$U$506,MATCH(ROW()-5,'Formulación PDN 2027'!$AK$7:$AK$506,0))&amp;"","")</f>
        <v/>
      </c>
      <c r="Y49" s="15" t="str">
        <f>IFERROR(INDEX('Formulación PDN 2027'!$AH$7:$AH$506,MATCH(ROW()-5,'Formulación PDN 2027'!$AK$7:$AK$506,0))&amp;"","")</f>
        <v/>
      </c>
    </row>
    <row r="50" spans="1:25" x14ac:dyDescent="0.3">
      <c r="A50" s="15" t="str">
        <f>IFERROR(INDEX('Formulación PDN 2027'!$A$7:$A$506,MATCH(ROW()-5,'Formulación PDN 2027'!$AK$7:$AK$506,0))&amp;"","")</f>
        <v/>
      </c>
      <c r="B50" s="20" t="str">
        <f>IFERROR(INDEX('Formulación PDN 2027'!$M$7:$M$506,MATCH(ROW()-5,'Formulación PDN 2027'!$AK$7:$AK$506,0)),"")</f>
        <v/>
      </c>
      <c r="C50" s="15" t="str">
        <f>IFERROR(INDEX('Formulación PDN 2027'!$N$7:$N$506,MATCH(ROW()-5,'Formulación PDN 2027'!$AK$7:$AK$506,0))&amp;"","")</f>
        <v/>
      </c>
      <c r="D50" s="15" t="str">
        <f>IFERROR(INDEX('Formulación PDN 2027'!$L$7:$L$506,MATCH(ROW()-5,'Formulación PDN 2027'!$AK$7:$AK$506,0))&amp;"","")</f>
        <v/>
      </c>
      <c r="E50" s="15" t="str">
        <f>IFERROR(MATCH(INDEX('Formulación PDN 2027'!$O$7:$O$506,MATCH(ROW()-5,'Formulación PDN 2027'!$AK$7:$AK$506,0)),L_MESES,0),"")</f>
        <v/>
      </c>
      <c r="F50" s="15" t="str">
        <f>IFERROR(MATCH(INDEX('Formulación PDN 2027'!$P$7:$P$506,MATCH(ROW()-5,'Formulación PDN 2027'!$AK$7:$AK$506,0)),L_MESES,0),"")</f>
        <v/>
      </c>
      <c r="G50" s="15" t="str">
        <f>IFERROR(INDEX('Formulación PDN 2027'!$Q$7:$Q$506,MATCH(ROW()-5,'Formulación PDN 2027'!$AK$7:$AK$506,0)),"")</f>
        <v/>
      </c>
      <c r="H50" s="15" t="str">
        <f>IFERROR(INDEX('Formulación PDN 2027'!$R$7:$R$506,MATCH(ROW()-5,'Formulación PDN 2027'!$AK$7:$AK$506,0))&amp;"","")</f>
        <v/>
      </c>
      <c r="I50" s="15" t="str">
        <f>IFERROR(INDEX('Formulación PDN 2027'!$S$7:$S$506,MATCH(ROW()-5,'Formulación PDN 2027'!$AK$7:$AK$506,0))&amp;"","")</f>
        <v/>
      </c>
      <c r="J50" s="15" t="str">
        <f>IFERROR(INDEX('Formulación PDN 2027'!$T$7:$T$506,MATCH(ROW()-5,'Formulación PDN 2027'!$AK$7:$AK$506,0))&amp;"","")</f>
        <v/>
      </c>
      <c r="K50" s="43" t="str">
        <f>IFERROR(INDEX('Formulación PDN 2027'!$W$7:$W$506,MATCH(ROW()-5,'Formulación PDN 2027'!$AK$7:$AK$506,0)),"")</f>
        <v/>
      </c>
      <c r="L50" s="43" t="str">
        <f>IFERROR(INDEX('Formulación PDN 2027'!$X$7:$X$506,MATCH(ROW()-5,'Formulación PDN 2027'!$AK$7:$AK$506,0)),"")</f>
        <v/>
      </c>
      <c r="M50" s="15" t="str">
        <f>IFERROR(INDEX('Formulación PDN 2027'!$Y$7:$Y$506,MATCH(ROW()-5,'Formulación PDN 2027'!$AK$7:$AK$506,0))&amp;"","")</f>
        <v/>
      </c>
      <c r="N50" s="15" t="str">
        <f>IFERROR(INDEX('Formulación PDN 2027'!$Z$7:$Z$506,MATCH(ROW()-5,'Formulación PDN 2027'!$AK$7:$AK$506,0))&amp;"","")</f>
        <v/>
      </c>
      <c r="O50" s="15"/>
      <c r="P50" s="15" t="str">
        <f>IFERROR(INDEX('Formulación PDN 2027'!$AA$7:$AA$506,MATCH(ROW()-5,'Formulación PDN 2027'!$AK$7:$AK$506,0))&amp;"","")</f>
        <v/>
      </c>
      <c r="Q50" s="15" t="str">
        <f>IFERROR(INDEX('Formulación PDN 2027'!$AB$7:$AB$506,MATCH(ROW()-5,'Formulación PDN 2027'!$AK$7:$AK$506,0))&amp;"","")</f>
        <v/>
      </c>
      <c r="R50" s="15" t="str">
        <f>IFERROR(INDEX('Formulación PDN 2027'!$AD$7:$AD$506,MATCH(ROW()-5,'Formulación PDN 2027'!$AK$7:$AK$506,0))&amp;"","")</f>
        <v/>
      </c>
      <c r="S50" s="15" t="str">
        <f>IFERROR(INDEX('Formulación PDN 2027'!$AE$7:$AE$506,MATCH(ROW()-5,'Formulación PDN 2027'!$AK$7:$AK$506,0))&amp;"","")</f>
        <v/>
      </c>
      <c r="T50" s="15" t="str">
        <f>IFERROR(INDEX('Formulación PDN 2027'!$C$7:$C$506,MATCH(ROW()-5,'Formulación PDN 2027'!$AK$7:$AK$506,0))&amp;"","")</f>
        <v/>
      </c>
      <c r="U50" s="15" t="str">
        <f>IFERROR(INDEX('Formulación PDN 2027'!$B$7:$B$506,MATCH(ROW()-5,'Formulación PDN 2027'!$AK$7:$AK$506,0))&amp;"","")</f>
        <v/>
      </c>
      <c r="V50" s="15" t="str">
        <f>IFERROR(LEFT(INDEX('Formulación PDN 2027'!$E$7:$E$506,MATCH(ROW()-5,'Formulación PDN 2027'!$AK$7:$AK$506,0)),7),"")</f>
        <v/>
      </c>
      <c r="W50" s="15" t="str">
        <f>IFERROR(INDEX('Formulación PDN 2027'!$H$7:$H$506,MATCH(ROW()-5,'Formulación PDN 2027'!$AK$7:$AK$506,0))&amp;"","")</f>
        <v/>
      </c>
      <c r="X50" s="15" t="str">
        <f>IFERROR(INDEX('Formulación PDN 2027'!$U$7:$U$506,MATCH(ROW()-5,'Formulación PDN 2027'!$AK$7:$AK$506,0))&amp;"","")</f>
        <v/>
      </c>
      <c r="Y50" s="15" t="str">
        <f>IFERROR(INDEX('Formulación PDN 2027'!$AH$7:$AH$506,MATCH(ROW()-5,'Formulación PDN 2027'!$AK$7:$AK$506,0))&amp;"","")</f>
        <v/>
      </c>
    </row>
    <row r="51" spans="1:25" x14ac:dyDescent="0.3">
      <c r="A51" s="15" t="str">
        <f>IFERROR(INDEX('Formulación PDN 2027'!$A$7:$A$506,MATCH(ROW()-5,'Formulación PDN 2027'!$AK$7:$AK$506,0))&amp;"","")</f>
        <v/>
      </c>
      <c r="B51" s="20" t="str">
        <f>IFERROR(INDEX('Formulación PDN 2027'!$M$7:$M$506,MATCH(ROW()-5,'Formulación PDN 2027'!$AK$7:$AK$506,0)),"")</f>
        <v/>
      </c>
      <c r="C51" s="15" t="str">
        <f>IFERROR(INDEX('Formulación PDN 2027'!$N$7:$N$506,MATCH(ROW()-5,'Formulación PDN 2027'!$AK$7:$AK$506,0))&amp;"","")</f>
        <v/>
      </c>
      <c r="D51" s="15" t="str">
        <f>IFERROR(INDEX('Formulación PDN 2027'!$L$7:$L$506,MATCH(ROW()-5,'Formulación PDN 2027'!$AK$7:$AK$506,0))&amp;"","")</f>
        <v/>
      </c>
      <c r="E51" s="15" t="str">
        <f>IFERROR(MATCH(INDEX('Formulación PDN 2027'!$O$7:$O$506,MATCH(ROW()-5,'Formulación PDN 2027'!$AK$7:$AK$506,0)),L_MESES,0),"")</f>
        <v/>
      </c>
      <c r="F51" s="15" t="str">
        <f>IFERROR(MATCH(INDEX('Formulación PDN 2027'!$P$7:$P$506,MATCH(ROW()-5,'Formulación PDN 2027'!$AK$7:$AK$506,0)),L_MESES,0),"")</f>
        <v/>
      </c>
      <c r="G51" s="15" t="str">
        <f>IFERROR(INDEX('Formulación PDN 2027'!$Q$7:$Q$506,MATCH(ROW()-5,'Formulación PDN 2027'!$AK$7:$AK$506,0)),"")</f>
        <v/>
      </c>
      <c r="H51" s="15" t="str">
        <f>IFERROR(INDEX('Formulación PDN 2027'!$R$7:$R$506,MATCH(ROW()-5,'Formulación PDN 2027'!$AK$7:$AK$506,0))&amp;"","")</f>
        <v/>
      </c>
      <c r="I51" s="15" t="str">
        <f>IFERROR(INDEX('Formulación PDN 2027'!$S$7:$S$506,MATCH(ROW()-5,'Formulación PDN 2027'!$AK$7:$AK$506,0))&amp;"","")</f>
        <v/>
      </c>
      <c r="J51" s="15" t="str">
        <f>IFERROR(INDEX('Formulación PDN 2027'!$T$7:$T$506,MATCH(ROW()-5,'Formulación PDN 2027'!$AK$7:$AK$506,0))&amp;"","")</f>
        <v/>
      </c>
      <c r="K51" s="43" t="str">
        <f>IFERROR(INDEX('Formulación PDN 2027'!$W$7:$W$506,MATCH(ROW()-5,'Formulación PDN 2027'!$AK$7:$AK$506,0)),"")</f>
        <v/>
      </c>
      <c r="L51" s="43" t="str">
        <f>IFERROR(INDEX('Formulación PDN 2027'!$X$7:$X$506,MATCH(ROW()-5,'Formulación PDN 2027'!$AK$7:$AK$506,0)),"")</f>
        <v/>
      </c>
      <c r="M51" s="15" t="str">
        <f>IFERROR(INDEX('Formulación PDN 2027'!$Y$7:$Y$506,MATCH(ROW()-5,'Formulación PDN 2027'!$AK$7:$AK$506,0))&amp;"","")</f>
        <v/>
      </c>
      <c r="N51" s="15" t="str">
        <f>IFERROR(INDEX('Formulación PDN 2027'!$Z$7:$Z$506,MATCH(ROW()-5,'Formulación PDN 2027'!$AK$7:$AK$506,0))&amp;"","")</f>
        <v/>
      </c>
      <c r="O51" s="15"/>
      <c r="P51" s="15" t="str">
        <f>IFERROR(INDEX('Formulación PDN 2027'!$AA$7:$AA$506,MATCH(ROW()-5,'Formulación PDN 2027'!$AK$7:$AK$506,0))&amp;"","")</f>
        <v/>
      </c>
      <c r="Q51" s="15" t="str">
        <f>IFERROR(INDEX('Formulación PDN 2027'!$AB$7:$AB$506,MATCH(ROW()-5,'Formulación PDN 2027'!$AK$7:$AK$506,0))&amp;"","")</f>
        <v/>
      </c>
      <c r="R51" s="15" t="str">
        <f>IFERROR(INDEX('Formulación PDN 2027'!$AD$7:$AD$506,MATCH(ROW()-5,'Formulación PDN 2027'!$AK$7:$AK$506,0))&amp;"","")</f>
        <v/>
      </c>
      <c r="S51" s="15" t="str">
        <f>IFERROR(INDEX('Formulación PDN 2027'!$AE$7:$AE$506,MATCH(ROW()-5,'Formulación PDN 2027'!$AK$7:$AK$506,0))&amp;"","")</f>
        <v/>
      </c>
      <c r="T51" s="15" t="str">
        <f>IFERROR(INDEX('Formulación PDN 2027'!$C$7:$C$506,MATCH(ROW()-5,'Formulación PDN 2027'!$AK$7:$AK$506,0))&amp;"","")</f>
        <v/>
      </c>
      <c r="U51" s="15" t="str">
        <f>IFERROR(INDEX('Formulación PDN 2027'!$B$7:$B$506,MATCH(ROW()-5,'Formulación PDN 2027'!$AK$7:$AK$506,0))&amp;"","")</f>
        <v/>
      </c>
      <c r="V51" s="15" t="str">
        <f>IFERROR(LEFT(INDEX('Formulación PDN 2027'!$E$7:$E$506,MATCH(ROW()-5,'Formulación PDN 2027'!$AK$7:$AK$506,0)),7),"")</f>
        <v/>
      </c>
      <c r="W51" s="15" t="str">
        <f>IFERROR(INDEX('Formulación PDN 2027'!$H$7:$H$506,MATCH(ROW()-5,'Formulación PDN 2027'!$AK$7:$AK$506,0))&amp;"","")</f>
        <v/>
      </c>
      <c r="X51" s="15" t="str">
        <f>IFERROR(INDEX('Formulación PDN 2027'!$U$7:$U$506,MATCH(ROW()-5,'Formulación PDN 2027'!$AK$7:$AK$506,0))&amp;"","")</f>
        <v/>
      </c>
      <c r="Y51" s="15" t="str">
        <f>IFERROR(INDEX('Formulación PDN 2027'!$AH$7:$AH$506,MATCH(ROW()-5,'Formulación PDN 2027'!$AK$7:$AK$506,0))&amp;"","")</f>
        <v/>
      </c>
    </row>
    <row r="52" spans="1:25" x14ac:dyDescent="0.3">
      <c r="A52" s="15" t="str">
        <f>IFERROR(INDEX('Formulación PDN 2027'!$A$7:$A$506,MATCH(ROW()-5,'Formulación PDN 2027'!$AK$7:$AK$506,0))&amp;"","")</f>
        <v/>
      </c>
      <c r="B52" s="20" t="str">
        <f>IFERROR(INDEX('Formulación PDN 2027'!$M$7:$M$506,MATCH(ROW()-5,'Formulación PDN 2027'!$AK$7:$AK$506,0)),"")</f>
        <v/>
      </c>
      <c r="C52" s="15" t="str">
        <f>IFERROR(INDEX('Formulación PDN 2027'!$N$7:$N$506,MATCH(ROW()-5,'Formulación PDN 2027'!$AK$7:$AK$506,0))&amp;"","")</f>
        <v/>
      </c>
      <c r="D52" s="15" t="str">
        <f>IFERROR(INDEX('Formulación PDN 2027'!$L$7:$L$506,MATCH(ROW()-5,'Formulación PDN 2027'!$AK$7:$AK$506,0))&amp;"","")</f>
        <v/>
      </c>
      <c r="E52" s="15" t="str">
        <f>IFERROR(MATCH(INDEX('Formulación PDN 2027'!$O$7:$O$506,MATCH(ROW()-5,'Formulación PDN 2027'!$AK$7:$AK$506,0)),L_MESES,0),"")</f>
        <v/>
      </c>
      <c r="F52" s="15" t="str">
        <f>IFERROR(MATCH(INDEX('Formulación PDN 2027'!$P$7:$P$506,MATCH(ROW()-5,'Formulación PDN 2027'!$AK$7:$AK$506,0)),L_MESES,0),"")</f>
        <v/>
      </c>
      <c r="G52" s="15" t="str">
        <f>IFERROR(INDEX('Formulación PDN 2027'!$Q$7:$Q$506,MATCH(ROW()-5,'Formulación PDN 2027'!$AK$7:$AK$506,0)),"")</f>
        <v/>
      </c>
      <c r="H52" s="15" t="str">
        <f>IFERROR(INDEX('Formulación PDN 2027'!$R$7:$R$506,MATCH(ROW()-5,'Formulación PDN 2027'!$AK$7:$AK$506,0))&amp;"","")</f>
        <v/>
      </c>
      <c r="I52" s="15" t="str">
        <f>IFERROR(INDEX('Formulación PDN 2027'!$S$7:$S$506,MATCH(ROW()-5,'Formulación PDN 2027'!$AK$7:$AK$506,0))&amp;"","")</f>
        <v/>
      </c>
      <c r="J52" s="15" t="str">
        <f>IFERROR(INDEX('Formulación PDN 2027'!$T$7:$T$506,MATCH(ROW()-5,'Formulación PDN 2027'!$AK$7:$AK$506,0))&amp;"","")</f>
        <v/>
      </c>
      <c r="K52" s="43" t="str">
        <f>IFERROR(INDEX('Formulación PDN 2027'!$W$7:$W$506,MATCH(ROW()-5,'Formulación PDN 2027'!$AK$7:$AK$506,0)),"")</f>
        <v/>
      </c>
      <c r="L52" s="43" t="str">
        <f>IFERROR(INDEX('Formulación PDN 2027'!$X$7:$X$506,MATCH(ROW()-5,'Formulación PDN 2027'!$AK$7:$AK$506,0)),"")</f>
        <v/>
      </c>
      <c r="M52" s="15" t="str">
        <f>IFERROR(INDEX('Formulación PDN 2027'!$Y$7:$Y$506,MATCH(ROW()-5,'Formulación PDN 2027'!$AK$7:$AK$506,0))&amp;"","")</f>
        <v/>
      </c>
      <c r="N52" s="15" t="str">
        <f>IFERROR(INDEX('Formulación PDN 2027'!$Z$7:$Z$506,MATCH(ROW()-5,'Formulación PDN 2027'!$AK$7:$AK$506,0))&amp;"","")</f>
        <v/>
      </c>
      <c r="O52" s="15"/>
      <c r="P52" s="15" t="str">
        <f>IFERROR(INDEX('Formulación PDN 2027'!$AA$7:$AA$506,MATCH(ROW()-5,'Formulación PDN 2027'!$AK$7:$AK$506,0))&amp;"","")</f>
        <v/>
      </c>
      <c r="Q52" s="15" t="str">
        <f>IFERROR(INDEX('Formulación PDN 2027'!$AB$7:$AB$506,MATCH(ROW()-5,'Formulación PDN 2027'!$AK$7:$AK$506,0))&amp;"","")</f>
        <v/>
      </c>
      <c r="R52" s="15" t="str">
        <f>IFERROR(INDEX('Formulación PDN 2027'!$AD$7:$AD$506,MATCH(ROW()-5,'Formulación PDN 2027'!$AK$7:$AK$506,0))&amp;"","")</f>
        <v/>
      </c>
      <c r="S52" s="15" t="str">
        <f>IFERROR(INDEX('Formulación PDN 2027'!$AE$7:$AE$506,MATCH(ROW()-5,'Formulación PDN 2027'!$AK$7:$AK$506,0))&amp;"","")</f>
        <v/>
      </c>
      <c r="T52" s="15" t="str">
        <f>IFERROR(INDEX('Formulación PDN 2027'!$C$7:$C$506,MATCH(ROW()-5,'Formulación PDN 2027'!$AK$7:$AK$506,0))&amp;"","")</f>
        <v/>
      </c>
      <c r="U52" s="15" t="str">
        <f>IFERROR(INDEX('Formulación PDN 2027'!$B$7:$B$506,MATCH(ROW()-5,'Formulación PDN 2027'!$AK$7:$AK$506,0))&amp;"","")</f>
        <v/>
      </c>
      <c r="V52" s="15" t="str">
        <f>IFERROR(LEFT(INDEX('Formulación PDN 2027'!$E$7:$E$506,MATCH(ROW()-5,'Formulación PDN 2027'!$AK$7:$AK$506,0)),7),"")</f>
        <v/>
      </c>
      <c r="W52" s="15" t="str">
        <f>IFERROR(INDEX('Formulación PDN 2027'!$H$7:$H$506,MATCH(ROW()-5,'Formulación PDN 2027'!$AK$7:$AK$506,0))&amp;"","")</f>
        <v/>
      </c>
      <c r="X52" s="15" t="str">
        <f>IFERROR(INDEX('Formulación PDN 2027'!$U$7:$U$506,MATCH(ROW()-5,'Formulación PDN 2027'!$AK$7:$AK$506,0))&amp;"","")</f>
        <v/>
      </c>
      <c r="Y52" s="15" t="str">
        <f>IFERROR(INDEX('Formulación PDN 2027'!$AH$7:$AH$506,MATCH(ROW()-5,'Formulación PDN 2027'!$AK$7:$AK$506,0))&amp;"","")</f>
        <v/>
      </c>
    </row>
    <row r="53" spans="1:25" x14ac:dyDescent="0.3">
      <c r="A53" s="15" t="str">
        <f>IFERROR(INDEX('Formulación PDN 2027'!$A$7:$A$506,MATCH(ROW()-5,'Formulación PDN 2027'!$AK$7:$AK$506,0))&amp;"","")</f>
        <v/>
      </c>
      <c r="B53" s="20" t="str">
        <f>IFERROR(INDEX('Formulación PDN 2027'!$M$7:$M$506,MATCH(ROW()-5,'Formulación PDN 2027'!$AK$7:$AK$506,0)),"")</f>
        <v/>
      </c>
      <c r="C53" s="15" t="str">
        <f>IFERROR(INDEX('Formulación PDN 2027'!$N$7:$N$506,MATCH(ROW()-5,'Formulación PDN 2027'!$AK$7:$AK$506,0))&amp;"","")</f>
        <v/>
      </c>
      <c r="D53" s="15" t="str">
        <f>IFERROR(INDEX('Formulación PDN 2027'!$L$7:$L$506,MATCH(ROW()-5,'Formulación PDN 2027'!$AK$7:$AK$506,0))&amp;"","")</f>
        <v/>
      </c>
      <c r="E53" s="15" t="str">
        <f>IFERROR(MATCH(INDEX('Formulación PDN 2027'!$O$7:$O$506,MATCH(ROW()-5,'Formulación PDN 2027'!$AK$7:$AK$506,0)),L_MESES,0),"")</f>
        <v/>
      </c>
      <c r="F53" s="15" t="str">
        <f>IFERROR(MATCH(INDEX('Formulación PDN 2027'!$P$7:$P$506,MATCH(ROW()-5,'Formulación PDN 2027'!$AK$7:$AK$506,0)),L_MESES,0),"")</f>
        <v/>
      </c>
      <c r="G53" s="15" t="str">
        <f>IFERROR(INDEX('Formulación PDN 2027'!$Q$7:$Q$506,MATCH(ROW()-5,'Formulación PDN 2027'!$AK$7:$AK$506,0)),"")</f>
        <v/>
      </c>
      <c r="H53" s="15" t="str">
        <f>IFERROR(INDEX('Formulación PDN 2027'!$R$7:$R$506,MATCH(ROW()-5,'Formulación PDN 2027'!$AK$7:$AK$506,0))&amp;"","")</f>
        <v/>
      </c>
      <c r="I53" s="15" t="str">
        <f>IFERROR(INDEX('Formulación PDN 2027'!$S$7:$S$506,MATCH(ROW()-5,'Formulación PDN 2027'!$AK$7:$AK$506,0))&amp;"","")</f>
        <v/>
      </c>
      <c r="J53" s="15" t="str">
        <f>IFERROR(INDEX('Formulación PDN 2027'!$T$7:$T$506,MATCH(ROW()-5,'Formulación PDN 2027'!$AK$7:$AK$506,0))&amp;"","")</f>
        <v/>
      </c>
      <c r="K53" s="43" t="str">
        <f>IFERROR(INDEX('Formulación PDN 2027'!$W$7:$W$506,MATCH(ROW()-5,'Formulación PDN 2027'!$AK$7:$AK$506,0)),"")</f>
        <v/>
      </c>
      <c r="L53" s="43" t="str">
        <f>IFERROR(INDEX('Formulación PDN 2027'!$X$7:$X$506,MATCH(ROW()-5,'Formulación PDN 2027'!$AK$7:$AK$506,0)),"")</f>
        <v/>
      </c>
      <c r="M53" s="15" t="str">
        <f>IFERROR(INDEX('Formulación PDN 2027'!$Y$7:$Y$506,MATCH(ROW()-5,'Formulación PDN 2027'!$AK$7:$AK$506,0))&amp;"","")</f>
        <v/>
      </c>
      <c r="N53" s="15" t="str">
        <f>IFERROR(INDEX('Formulación PDN 2027'!$Z$7:$Z$506,MATCH(ROW()-5,'Formulación PDN 2027'!$AK$7:$AK$506,0))&amp;"","")</f>
        <v/>
      </c>
      <c r="O53" s="15"/>
      <c r="P53" s="15" t="str">
        <f>IFERROR(INDEX('Formulación PDN 2027'!$AA$7:$AA$506,MATCH(ROW()-5,'Formulación PDN 2027'!$AK$7:$AK$506,0))&amp;"","")</f>
        <v/>
      </c>
      <c r="Q53" s="15" t="str">
        <f>IFERROR(INDEX('Formulación PDN 2027'!$AB$7:$AB$506,MATCH(ROW()-5,'Formulación PDN 2027'!$AK$7:$AK$506,0))&amp;"","")</f>
        <v/>
      </c>
      <c r="R53" s="15" t="str">
        <f>IFERROR(INDEX('Formulación PDN 2027'!$AD$7:$AD$506,MATCH(ROW()-5,'Formulación PDN 2027'!$AK$7:$AK$506,0))&amp;"","")</f>
        <v/>
      </c>
      <c r="S53" s="15" t="str">
        <f>IFERROR(INDEX('Formulación PDN 2027'!$AE$7:$AE$506,MATCH(ROW()-5,'Formulación PDN 2027'!$AK$7:$AK$506,0))&amp;"","")</f>
        <v/>
      </c>
      <c r="T53" s="15" t="str">
        <f>IFERROR(INDEX('Formulación PDN 2027'!$C$7:$C$506,MATCH(ROW()-5,'Formulación PDN 2027'!$AK$7:$AK$506,0))&amp;"","")</f>
        <v/>
      </c>
      <c r="U53" s="15" t="str">
        <f>IFERROR(INDEX('Formulación PDN 2027'!$B$7:$B$506,MATCH(ROW()-5,'Formulación PDN 2027'!$AK$7:$AK$506,0))&amp;"","")</f>
        <v/>
      </c>
      <c r="V53" s="15" t="str">
        <f>IFERROR(LEFT(INDEX('Formulación PDN 2027'!$E$7:$E$506,MATCH(ROW()-5,'Formulación PDN 2027'!$AK$7:$AK$506,0)),7),"")</f>
        <v/>
      </c>
      <c r="W53" s="15" t="str">
        <f>IFERROR(INDEX('Formulación PDN 2027'!$H$7:$H$506,MATCH(ROW()-5,'Formulación PDN 2027'!$AK$7:$AK$506,0))&amp;"","")</f>
        <v/>
      </c>
      <c r="X53" s="15" t="str">
        <f>IFERROR(INDEX('Formulación PDN 2027'!$U$7:$U$506,MATCH(ROW()-5,'Formulación PDN 2027'!$AK$7:$AK$506,0))&amp;"","")</f>
        <v/>
      </c>
      <c r="Y53" s="15" t="str">
        <f>IFERROR(INDEX('Formulación PDN 2027'!$AH$7:$AH$506,MATCH(ROW()-5,'Formulación PDN 2027'!$AK$7:$AK$506,0))&amp;"","")</f>
        <v/>
      </c>
    </row>
    <row r="54" spans="1:25" x14ac:dyDescent="0.3">
      <c r="A54" s="15" t="str">
        <f>IFERROR(INDEX('Formulación PDN 2027'!$A$7:$A$506,MATCH(ROW()-5,'Formulación PDN 2027'!$AK$7:$AK$506,0))&amp;"","")</f>
        <v/>
      </c>
      <c r="B54" s="20" t="str">
        <f>IFERROR(INDEX('Formulación PDN 2027'!$M$7:$M$506,MATCH(ROW()-5,'Formulación PDN 2027'!$AK$7:$AK$506,0)),"")</f>
        <v/>
      </c>
      <c r="C54" s="15" t="str">
        <f>IFERROR(INDEX('Formulación PDN 2027'!$N$7:$N$506,MATCH(ROW()-5,'Formulación PDN 2027'!$AK$7:$AK$506,0))&amp;"","")</f>
        <v/>
      </c>
      <c r="D54" s="15" t="str">
        <f>IFERROR(INDEX('Formulación PDN 2027'!$L$7:$L$506,MATCH(ROW()-5,'Formulación PDN 2027'!$AK$7:$AK$506,0))&amp;"","")</f>
        <v/>
      </c>
      <c r="E54" s="15" t="str">
        <f>IFERROR(MATCH(INDEX('Formulación PDN 2027'!$O$7:$O$506,MATCH(ROW()-5,'Formulación PDN 2027'!$AK$7:$AK$506,0)),L_MESES,0),"")</f>
        <v/>
      </c>
      <c r="F54" s="15" t="str">
        <f>IFERROR(MATCH(INDEX('Formulación PDN 2027'!$P$7:$P$506,MATCH(ROW()-5,'Formulación PDN 2027'!$AK$7:$AK$506,0)),L_MESES,0),"")</f>
        <v/>
      </c>
      <c r="G54" s="15" t="str">
        <f>IFERROR(INDEX('Formulación PDN 2027'!$Q$7:$Q$506,MATCH(ROW()-5,'Formulación PDN 2027'!$AK$7:$AK$506,0)),"")</f>
        <v/>
      </c>
      <c r="H54" s="15" t="str">
        <f>IFERROR(INDEX('Formulación PDN 2027'!$R$7:$R$506,MATCH(ROW()-5,'Formulación PDN 2027'!$AK$7:$AK$506,0))&amp;"","")</f>
        <v/>
      </c>
      <c r="I54" s="15" t="str">
        <f>IFERROR(INDEX('Formulación PDN 2027'!$S$7:$S$506,MATCH(ROW()-5,'Formulación PDN 2027'!$AK$7:$AK$506,0))&amp;"","")</f>
        <v/>
      </c>
      <c r="J54" s="15" t="str">
        <f>IFERROR(INDEX('Formulación PDN 2027'!$T$7:$T$506,MATCH(ROW()-5,'Formulación PDN 2027'!$AK$7:$AK$506,0))&amp;"","")</f>
        <v/>
      </c>
      <c r="K54" s="43" t="str">
        <f>IFERROR(INDEX('Formulación PDN 2027'!$W$7:$W$506,MATCH(ROW()-5,'Formulación PDN 2027'!$AK$7:$AK$506,0)),"")</f>
        <v/>
      </c>
      <c r="L54" s="43" t="str">
        <f>IFERROR(INDEX('Formulación PDN 2027'!$X$7:$X$506,MATCH(ROW()-5,'Formulación PDN 2027'!$AK$7:$AK$506,0)),"")</f>
        <v/>
      </c>
      <c r="M54" s="15" t="str">
        <f>IFERROR(INDEX('Formulación PDN 2027'!$Y$7:$Y$506,MATCH(ROW()-5,'Formulación PDN 2027'!$AK$7:$AK$506,0))&amp;"","")</f>
        <v/>
      </c>
      <c r="N54" s="15" t="str">
        <f>IFERROR(INDEX('Formulación PDN 2027'!$Z$7:$Z$506,MATCH(ROW()-5,'Formulación PDN 2027'!$AK$7:$AK$506,0))&amp;"","")</f>
        <v/>
      </c>
      <c r="O54" s="15"/>
      <c r="P54" s="15" t="str">
        <f>IFERROR(INDEX('Formulación PDN 2027'!$AA$7:$AA$506,MATCH(ROW()-5,'Formulación PDN 2027'!$AK$7:$AK$506,0))&amp;"","")</f>
        <v/>
      </c>
      <c r="Q54" s="15" t="str">
        <f>IFERROR(INDEX('Formulación PDN 2027'!$AB$7:$AB$506,MATCH(ROW()-5,'Formulación PDN 2027'!$AK$7:$AK$506,0))&amp;"","")</f>
        <v/>
      </c>
      <c r="R54" s="15" t="str">
        <f>IFERROR(INDEX('Formulación PDN 2027'!$AD$7:$AD$506,MATCH(ROW()-5,'Formulación PDN 2027'!$AK$7:$AK$506,0))&amp;"","")</f>
        <v/>
      </c>
      <c r="S54" s="15" t="str">
        <f>IFERROR(INDEX('Formulación PDN 2027'!$AE$7:$AE$506,MATCH(ROW()-5,'Formulación PDN 2027'!$AK$7:$AK$506,0))&amp;"","")</f>
        <v/>
      </c>
      <c r="T54" s="15" t="str">
        <f>IFERROR(INDEX('Formulación PDN 2027'!$C$7:$C$506,MATCH(ROW()-5,'Formulación PDN 2027'!$AK$7:$AK$506,0))&amp;"","")</f>
        <v/>
      </c>
      <c r="U54" s="15" t="str">
        <f>IFERROR(INDEX('Formulación PDN 2027'!$B$7:$B$506,MATCH(ROW()-5,'Formulación PDN 2027'!$AK$7:$AK$506,0))&amp;"","")</f>
        <v/>
      </c>
      <c r="V54" s="15" t="str">
        <f>IFERROR(LEFT(INDEX('Formulación PDN 2027'!$E$7:$E$506,MATCH(ROW()-5,'Formulación PDN 2027'!$AK$7:$AK$506,0)),7),"")</f>
        <v/>
      </c>
      <c r="W54" s="15" t="str">
        <f>IFERROR(INDEX('Formulación PDN 2027'!$H$7:$H$506,MATCH(ROW()-5,'Formulación PDN 2027'!$AK$7:$AK$506,0))&amp;"","")</f>
        <v/>
      </c>
      <c r="X54" s="15" t="str">
        <f>IFERROR(INDEX('Formulación PDN 2027'!$U$7:$U$506,MATCH(ROW()-5,'Formulación PDN 2027'!$AK$7:$AK$506,0))&amp;"","")</f>
        <v/>
      </c>
      <c r="Y54" s="15" t="str">
        <f>IFERROR(INDEX('Formulación PDN 2027'!$AH$7:$AH$506,MATCH(ROW()-5,'Formulación PDN 2027'!$AK$7:$AK$506,0))&amp;"","")</f>
        <v/>
      </c>
    </row>
    <row r="55" spans="1:25" x14ac:dyDescent="0.3">
      <c r="A55" s="15" t="str">
        <f>IFERROR(INDEX('Formulación PDN 2027'!$A$7:$A$506,MATCH(ROW()-5,'Formulación PDN 2027'!$AK$7:$AK$506,0))&amp;"","")</f>
        <v/>
      </c>
      <c r="B55" s="20" t="str">
        <f>IFERROR(INDEX('Formulación PDN 2027'!$M$7:$M$506,MATCH(ROW()-5,'Formulación PDN 2027'!$AK$7:$AK$506,0)),"")</f>
        <v/>
      </c>
      <c r="C55" s="15" t="str">
        <f>IFERROR(INDEX('Formulación PDN 2027'!$N$7:$N$506,MATCH(ROW()-5,'Formulación PDN 2027'!$AK$7:$AK$506,0))&amp;"","")</f>
        <v/>
      </c>
      <c r="D55" s="15" t="str">
        <f>IFERROR(INDEX('Formulación PDN 2027'!$L$7:$L$506,MATCH(ROW()-5,'Formulación PDN 2027'!$AK$7:$AK$506,0))&amp;"","")</f>
        <v/>
      </c>
      <c r="E55" s="15" t="str">
        <f>IFERROR(MATCH(INDEX('Formulación PDN 2027'!$O$7:$O$506,MATCH(ROW()-5,'Formulación PDN 2027'!$AK$7:$AK$506,0)),L_MESES,0),"")</f>
        <v/>
      </c>
      <c r="F55" s="15" t="str">
        <f>IFERROR(MATCH(INDEX('Formulación PDN 2027'!$P$7:$P$506,MATCH(ROW()-5,'Formulación PDN 2027'!$AK$7:$AK$506,0)),L_MESES,0),"")</f>
        <v/>
      </c>
      <c r="G55" s="15" t="str">
        <f>IFERROR(INDEX('Formulación PDN 2027'!$Q$7:$Q$506,MATCH(ROW()-5,'Formulación PDN 2027'!$AK$7:$AK$506,0)),"")</f>
        <v/>
      </c>
      <c r="H55" s="15" t="str">
        <f>IFERROR(INDEX('Formulación PDN 2027'!$R$7:$R$506,MATCH(ROW()-5,'Formulación PDN 2027'!$AK$7:$AK$506,0))&amp;"","")</f>
        <v/>
      </c>
      <c r="I55" s="15" t="str">
        <f>IFERROR(INDEX('Formulación PDN 2027'!$S$7:$S$506,MATCH(ROW()-5,'Formulación PDN 2027'!$AK$7:$AK$506,0))&amp;"","")</f>
        <v/>
      </c>
      <c r="J55" s="15" t="str">
        <f>IFERROR(INDEX('Formulación PDN 2027'!$T$7:$T$506,MATCH(ROW()-5,'Formulación PDN 2027'!$AK$7:$AK$506,0))&amp;"","")</f>
        <v/>
      </c>
      <c r="K55" s="43" t="str">
        <f>IFERROR(INDEX('Formulación PDN 2027'!$W$7:$W$506,MATCH(ROW()-5,'Formulación PDN 2027'!$AK$7:$AK$506,0)),"")</f>
        <v/>
      </c>
      <c r="L55" s="43" t="str">
        <f>IFERROR(INDEX('Formulación PDN 2027'!$X$7:$X$506,MATCH(ROW()-5,'Formulación PDN 2027'!$AK$7:$AK$506,0)),"")</f>
        <v/>
      </c>
      <c r="M55" s="15" t="str">
        <f>IFERROR(INDEX('Formulación PDN 2027'!$Y$7:$Y$506,MATCH(ROW()-5,'Formulación PDN 2027'!$AK$7:$AK$506,0))&amp;"","")</f>
        <v/>
      </c>
      <c r="N55" s="15" t="str">
        <f>IFERROR(INDEX('Formulación PDN 2027'!$Z$7:$Z$506,MATCH(ROW()-5,'Formulación PDN 2027'!$AK$7:$AK$506,0))&amp;"","")</f>
        <v/>
      </c>
      <c r="O55" s="15"/>
      <c r="P55" s="15" t="str">
        <f>IFERROR(INDEX('Formulación PDN 2027'!$AA$7:$AA$506,MATCH(ROW()-5,'Formulación PDN 2027'!$AK$7:$AK$506,0))&amp;"","")</f>
        <v/>
      </c>
      <c r="Q55" s="15" t="str">
        <f>IFERROR(INDEX('Formulación PDN 2027'!$AB$7:$AB$506,MATCH(ROW()-5,'Formulación PDN 2027'!$AK$7:$AK$506,0))&amp;"","")</f>
        <v/>
      </c>
      <c r="R55" s="15" t="str">
        <f>IFERROR(INDEX('Formulación PDN 2027'!$AD$7:$AD$506,MATCH(ROW()-5,'Formulación PDN 2027'!$AK$7:$AK$506,0))&amp;"","")</f>
        <v/>
      </c>
      <c r="S55" s="15" t="str">
        <f>IFERROR(INDEX('Formulación PDN 2027'!$AE$7:$AE$506,MATCH(ROW()-5,'Formulación PDN 2027'!$AK$7:$AK$506,0))&amp;"","")</f>
        <v/>
      </c>
      <c r="T55" s="15" t="str">
        <f>IFERROR(INDEX('Formulación PDN 2027'!$C$7:$C$506,MATCH(ROW()-5,'Formulación PDN 2027'!$AK$7:$AK$506,0))&amp;"","")</f>
        <v/>
      </c>
      <c r="U55" s="15" t="str">
        <f>IFERROR(INDEX('Formulación PDN 2027'!$B$7:$B$506,MATCH(ROW()-5,'Formulación PDN 2027'!$AK$7:$AK$506,0))&amp;"","")</f>
        <v/>
      </c>
      <c r="V55" s="15" t="str">
        <f>IFERROR(LEFT(INDEX('Formulación PDN 2027'!$E$7:$E$506,MATCH(ROW()-5,'Formulación PDN 2027'!$AK$7:$AK$506,0)),7),"")</f>
        <v/>
      </c>
      <c r="W55" s="15" t="str">
        <f>IFERROR(INDEX('Formulación PDN 2027'!$H$7:$H$506,MATCH(ROW()-5,'Formulación PDN 2027'!$AK$7:$AK$506,0))&amp;"","")</f>
        <v/>
      </c>
      <c r="X55" s="15" t="str">
        <f>IFERROR(INDEX('Formulación PDN 2027'!$U$7:$U$506,MATCH(ROW()-5,'Formulación PDN 2027'!$AK$7:$AK$506,0))&amp;"","")</f>
        <v/>
      </c>
      <c r="Y55" s="15" t="str">
        <f>IFERROR(INDEX('Formulación PDN 2027'!$AH$7:$AH$506,MATCH(ROW()-5,'Formulación PDN 2027'!$AK$7:$AK$506,0))&amp;"","")</f>
        <v/>
      </c>
    </row>
    <row r="56" spans="1:25" x14ac:dyDescent="0.3">
      <c r="A56" s="15" t="str">
        <f>IFERROR(INDEX('Formulación PDN 2027'!$A$7:$A$506,MATCH(ROW()-5,'Formulación PDN 2027'!$AK$7:$AK$506,0))&amp;"","")</f>
        <v/>
      </c>
      <c r="B56" s="20" t="str">
        <f>IFERROR(INDEX('Formulación PDN 2027'!$M$7:$M$506,MATCH(ROW()-5,'Formulación PDN 2027'!$AK$7:$AK$506,0)),"")</f>
        <v/>
      </c>
      <c r="C56" s="15" t="str">
        <f>IFERROR(INDEX('Formulación PDN 2027'!$N$7:$N$506,MATCH(ROW()-5,'Formulación PDN 2027'!$AK$7:$AK$506,0))&amp;"","")</f>
        <v/>
      </c>
      <c r="D56" s="15" t="str">
        <f>IFERROR(INDEX('Formulación PDN 2027'!$L$7:$L$506,MATCH(ROW()-5,'Formulación PDN 2027'!$AK$7:$AK$506,0))&amp;"","")</f>
        <v/>
      </c>
      <c r="E56" s="15" t="str">
        <f>IFERROR(MATCH(INDEX('Formulación PDN 2027'!$O$7:$O$506,MATCH(ROW()-5,'Formulación PDN 2027'!$AK$7:$AK$506,0)),L_MESES,0),"")</f>
        <v/>
      </c>
      <c r="F56" s="15" t="str">
        <f>IFERROR(MATCH(INDEX('Formulación PDN 2027'!$P$7:$P$506,MATCH(ROW()-5,'Formulación PDN 2027'!$AK$7:$AK$506,0)),L_MESES,0),"")</f>
        <v/>
      </c>
      <c r="G56" s="15" t="str">
        <f>IFERROR(INDEX('Formulación PDN 2027'!$Q$7:$Q$506,MATCH(ROW()-5,'Formulación PDN 2027'!$AK$7:$AK$506,0)),"")</f>
        <v/>
      </c>
      <c r="H56" s="15" t="str">
        <f>IFERROR(INDEX('Formulación PDN 2027'!$R$7:$R$506,MATCH(ROW()-5,'Formulación PDN 2027'!$AK$7:$AK$506,0))&amp;"","")</f>
        <v/>
      </c>
      <c r="I56" s="15" t="str">
        <f>IFERROR(INDEX('Formulación PDN 2027'!$S$7:$S$506,MATCH(ROW()-5,'Formulación PDN 2027'!$AK$7:$AK$506,0))&amp;"","")</f>
        <v/>
      </c>
      <c r="J56" s="15" t="str">
        <f>IFERROR(INDEX('Formulación PDN 2027'!$T$7:$T$506,MATCH(ROW()-5,'Formulación PDN 2027'!$AK$7:$AK$506,0))&amp;"","")</f>
        <v/>
      </c>
      <c r="K56" s="43" t="str">
        <f>IFERROR(INDEX('Formulación PDN 2027'!$W$7:$W$506,MATCH(ROW()-5,'Formulación PDN 2027'!$AK$7:$AK$506,0)),"")</f>
        <v/>
      </c>
      <c r="L56" s="43" t="str">
        <f>IFERROR(INDEX('Formulación PDN 2027'!$X$7:$X$506,MATCH(ROW()-5,'Formulación PDN 2027'!$AK$7:$AK$506,0)),"")</f>
        <v/>
      </c>
      <c r="M56" s="15" t="str">
        <f>IFERROR(INDEX('Formulación PDN 2027'!$Y$7:$Y$506,MATCH(ROW()-5,'Formulación PDN 2027'!$AK$7:$AK$506,0))&amp;"","")</f>
        <v/>
      </c>
      <c r="N56" s="15" t="str">
        <f>IFERROR(INDEX('Formulación PDN 2027'!$Z$7:$Z$506,MATCH(ROW()-5,'Formulación PDN 2027'!$AK$7:$AK$506,0))&amp;"","")</f>
        <v/>
      </c>
      <c r="O56" s="15"/>
      <c r="P56" s="15" t="str">
        <f>IFERROR(INDEX('Formulación PDN 2027'!$AA$7:$AA$506,MATCH(ROW()-5,'Formulación PDN 2027'!$AK$7:$AK$506,0))&amp;"","")</f>
        <v/>
      </c>
      <c r="Q56" s="15" t="str">
        <f>IFERROR(INDEX('Formulación PDN 2027'!$AB$7:$AB$506,MATCH(ROW()-5,'Formulación PDN 2027'!$AK$7:$AK$506,0))&amp;"","")</f>
        <v/>
      </c>
      <c r="R56" s="15" t="str">
        <f>IFERROR(INDEX('Formulación PDN 2027'!$AD$7:$AD$506,MATCH(ROW()-5,'Formulación PDN 2027'!$AK$7:$AK$506,0))&amp;"","")</f>
        <v/>
      </c>
      <c r="S56" s="15" t="str">
        <f>IFERROR(INDEX('Formulación PDN 2027'!$AE$7:$AE$506,MATCH(ROW()-5,'Formulación PDN 2027'!$AK$7:$AK$506,0))&amp;"","")</f>
        <v/>
      </c>
      <c r="T56" s="15" t="str">
        <f>IFERROR(INDEX('Formulación PDN 2027'!$C$7:$C$506,MATCH(ROW()-5,'Formulación PDN 2027'!$AK$7:$AK$506,0))&amp;"","")</f>
        <v/>
      </c>
      <c r="U56" s="15" t="str">
        <f>IFERROR(INDEX('Formulación PDN 2027'!$B$7:$B$506,MATCH(ROW()-5,'Formulación PDN 2027'!$AK$7:$AK$506,0))&amp;"","")</f>
        <v/>
      </c>
      <c r="V56" s="15" t="str">
        <f>IFERROR(LEFT(INDEX('Formulación PDN 2027'!$E$7:$E$506,MATCH(ROW()-5,'Formulación PDN 2027'!$AK$7:$AK$506,0)),7),"")</f>
        <v/>
      </c>
      <c r="W56" s="15" t="str">
        <f>IFERROR(INDEX('Formulación PDN 2027'!$H$7:$H$506,MATCH(ROW()-5,'Formulación PDN 2027'!$AK$7:$AK$506,0))&amp;"","")</f>
        <v/>
      </c>
      <c r="X56" s="15" t="str">
        <f>IFERROR(INDEX('Formulación PDN 2027'!$U$7:$U$506,MATCH(ROW()-5,'Formulación PDN 2027'!$AK$7:$AK$506,0))&amp;"","")</f>
        <v/>
      </c>
      <c r="Y56" s="15" t="str">
        <f>IFERROR(INDEX('Formulación PDN 2027'!$AH$7:$AH$506,MATCH(ROW()-5,'Formulación PDN 2027'!$AK$7:$AK$506,0))&amp;"","")</f>
        <v/>
      </c>
    </row>
    <row r="57" spans="1:25" x14ac:dyDescent="0.3">
      <c r="A57" s="15" t="str">
        <f>IFERROR(INDEX('Formulación PDN 2027'!$A$7:$A$506,MATCH(ROW()-5,'Formulación PDN 2027'!$AK$7:$AK$506,0))&amp;"","")</f>
        <v/>
      </c>
      <c r="B57" s="20" t="str">
        <f>IFERROR(INDEX('Formulación PDN 2027'!$M$7:$M$506,MATCH(ROW()-5,'Formulación PDN 2027'!$AK$7:$AK$506,0)),"")</f>
        <v/>
      </c>
      <c r="C57" s="15" t="str">
        <f>IFERROR(INDEX('Formulación PDN 2027'!$N$7:$N$506,MATCH(ROW()-5,'Formulación PDN 2027'!$AK$7:$AK$506,0))&amp;"","")</f>
        <v/>
      </c>
      <c r="D57" s="15" t="str">
        <f>IFERROR(INDEX('Formulación PDN 2027'!$L$7:$L$506,MATCH(ROW()-5,'Formulación PDN 2027'!$AK$7:$AK$506,0))&amp;"","")</f>
        <v/>
      </c>
      <c r="E57" s="15" t="str">
        <f>IFERROR(MATCH(INDEX('Formulación PDN 2027'!$O$7:$O$506,MATCH(ROW()-5,'Formulación PDN 2027'!$AK$7:$AK$506,0)),L_MESES,0),"")</f>
        <v/>
      </c>
      <c r="F57" s="15" t="str">
        <f>IFERROR(MATCH(INDEX('Formulación PDN 2027'!$P$7:$P$506,MATCH(ROW()-5,'Formulación PDN 2027'!$AK$7:$AK$506,0)),L_MESES,0),"")</f>
        <v/>
      </c>
      <c r="G57" s="15" t="str">
        <f>IFERROR(INDEX('Formulación PDN 2027'!$Q$7:$Q$506,MATCH(ROW()-5,'Formulación PDN 2027'!$AK$7:$AK$506,0)),"")</f>
        <v/>
      </c>
      <c r="H57" s="15" t="str">
        <f>IFERROR(INDEX('Formulación PDN 2027'!$R$7:$R$506,MATCH(ROW()-5,'Formulación PDN 2027'!$AK$7:$AK$506,0))&amp;"","")</f>
        <v/>
      </c>
      <c r="I57" s="15" t="str">
        <f>IFERROR(INDEX('Formulación PDN 2027'!$S$7:$S$506,MATCH(ROW()-5,'Formulación PDN 2027'!$AK$7:$AK$506,0))&amp;"","")</f>
        <v/>
      </c>
      <c r="J57" s="15" t="str">
        <f>IFERROR(INDEX('Formulación PDN 2027'!$T$7:$T$506,MATCH(ROW()-5,'Formulación PDN 2027'!$AK$7:$AK$506,0))&amp;"","")</f>
        <v/>
      </c>
      <c r="K57" s="43" t="str">
        <f>IFERROR(INDEX('Formulación PDN 2027'!$W$7:$W$506,MATCH(ROW()-5,'Formulación PDN 2027'!$AK$7:$AK$506,0)),"")</f>
        <v/>
      </c>
      <c r="L57" s="43" t="str">
        <f>IFERROR(INDEX('Formulación PDN 2027'!$X$7:$X$506,MATCH(ROW()-5,'Formulación PDN 2027'!$AK$7:$AK$506,0)),"")</f>
        <v/>
      </c>
      <c r="M57" s="15" t="str">
        <f>IFERROR(INDEX('Formulación PDN 2027'!$Y$7:$Y$506,MATCH(ROW()-5,'Formulación PDN 2027'!$AK$7:$AK$506,0))&amp;"","")</f>
        <v/>
      </c>
      <c r="N57" s="15" t="str">
        <f>IFERROR(INDEX('Formulación PDN 2027'!$Z$7:$Z$506,MATCH(ROW()-5,'Formulación PDN 2027'!$AK$7:$AK$506,0))&amp;"","")</f>
        <v/>
      </c>
      <c r="O57" s="15"/>
      <c r="P57" s="15" t="str">
        <f>IFERROR(INDEX('Formulación PDN 2027'!$AA$7:$AA$506,MATCH(ROW()-5,'Formulación PDN 2027'!$AK$7:$AK$506,0))&amp;"","")</f>
        <v/>
      </c>
      <c r="Q57" s="15" t="str">
        <f>IFERROR(INDEX('Formulación PDN 2027'!$AB$7:$AB$506,MATCH(ROW()-5,'Formulación PDN 2027'!$AK$7:$AK$506,0))&amp;"","")</f>
        <v/>
      </c>
      <c r="R57" s="15" t="str">
        <f>IFERROR(INDEX('Formulación PDN 2027'!$AD$7:$AD$506,MATCH(ROW()-5,'Formulación PDN 2027'!$AK$7:$AK$506,0))&amp;"","")</f>
        <v/>
      </c>
      <c r="S57" s="15" t="str">
        <f>IFERROR(INDEX('Formulación PDN 2027'!$AE$7:$AE$506,MATCH(ROW()-5,'Formulación PDN 2027'!$AK$7:$AK$506,0))&amp;"","")</f>
        <v/>
      </c>
      <c r="T57" s="15" t="str">
        <f>IFERROR(INDEX('Formulación PDN 2027'!$C$7:$C$506,MATCH(ROW()-5,'Formulación PDN 2027'!$AK$7:$AK$506,0))&amp;"","")</f>
        <v/>
      </c>
      <c r="U57" s="15" t="str">
        <f>IFERROR(INDEX('Formulación PDN 2027'!$B$7:$B$506,MATCH(ROW()-5,'Formulación PDN 2027'!$AK$7:$AK$506,0))&amp;"","")</f>
        <v/>
      </c>
      <c r="V57" s="15" t="str">
        <f>IFERROR(LEFT(INDEX('Formulación PDN 2027'!$E$7:$E$506,MATCH(ROW()-5,'Formulación PDN 2027'!$AK$7:$AK$506,0)),7),"")</f>
        <v/>
      </c>
      <c r="W57" s="15" t="str">
        <f>IFERROR(INDEX('Formulación PDN 2027'!$H$7:$H$506,MATCH(ROW()-5,'Formulación PDN 2027'!$AK$7:$AK$506,0))&amp;"","")</f>
        <v/>
      </c>
      <c r="X57" s="15" t="str">
        <f>IFERROR(INDEX('Formulación PDN 2027'!$U$7:$U$506,MATCH(ROW()-5,'Formulación PDN 2027'!$AK$7:$AK$506,0))&amp;"","")</f>
        <v/>
      </c>
      <c r="Y57" s="15" t="str">
        <f>IFERROR(INDEX('Formulación PDN 2027'!$AH$7:$AH$506,MATCH(ROW()-5,'Formulación PDN 2027'!$AK$7:$AK$506,0))&amp;"","")</f>
        <v/>
      </c>
    </row>
    <row r="58" spans="1:25" x14ac:dyDescent="0.3">
      <c r="A58" s="15" t="str">
        <f>IFERROR(INDEX('Formulación PDN 2027'!$A$7:$A$506,MATCH(ROW()-5,'Formulación PDN 2027'!$AK$7:$AK$506,0))&amp;"","")</f>
        <v/>
      </c>
      <c r="B58" s="20" t="str">
        <f>IFERROR(INDEX('Formulación PDN 2027'!$M$7:$M$506,MATCH(ROW()-5,'Formulación PDN 2027'!$AK$7:$AK$506,0)),"")</f>
        <v/>
      </c>
      <c r="C58" s="15" t="str">
        <f>IFERROR(INDEX('Formulación PDN 2027'!$N$7:$N$506,MATCH(ROW()-5,'Formulación PDN 2027'!$AK$7:$AK$506,0))&amp;"","")</f>
        <v/>
      </c>
      <c r="D58" s="15" t="str">
        <f>IFERROR(INDEX('Formulación PDN 2027'!$L$7:$L$506,MATCH(ROW()-5,'Formulación PDN 2027'!$AK$7:$AK$506,0))&amp;"","")</f>
        <v/>
      </c>
      <c r="E58" s="15" t="str">
        <f>IFERROR(MATCH(INDEX('Formulación PDN 2027'!$O$7:$O$506,MATCH(ROW()-5,'Formulación PDN 2027'!$AK$7:$AK$506,0)),L_MESES,0),"")</f>
        <v/>
      </c>
      <c r="F58" s="15" t="str">
        <f>IFERROR(MATCH(INDEX('Formulación PDN 2027'!$P$7:$P$506,MATCH(ROW()-5,'Formulación PDN 2027'!$AK$7:$AK$506,0)),L_MESES,0),"")</f>
        <v/>
      </c>
      <c r="G58" s="15" t="str">
        <f>IFERROR(INDEX('Formulación PDN 2027'!$Q$7:$Q$506,MATCH(ROW()-5,'Formulación PDN 2027'!$AK$7:$AK$506,0)),"")</f>
        <v/>
      </c>
      <c r="H58" s="15" t="str">
        <f>IFERROR(INDEX('Formulación PDN 2027'!$R$7:$R$506,MATCH(ROW()-5,'Formulación PDN 2027'!$AK$7:$AK$506,0))&amp;"","")</f>
        <v/>
      </c>
      <c r="I58" s="15" t="str">
        <f>IFERROR(INDEX('Formulación PDN 2027'!$S$7:$S$506,MATCH(ROW()-5,'Formulación PDN 2027'!$AK$7:$AK$506,0))&amp;"","")</f>
        <v/>
      </c>
      <c r="J58" s="15" t="str">
        <f>IFERROR(INDEX('Formulación PDN 2027'!$T$7:$T$506,MATCH(ROW()-5,'Formulación PDN 2027'!$AK$7:$AK$506,0))&amp;"","")</f>
        <v/>
      </c>
      <c r="K58" s="43" t="str">
        <f>IFERROR(INDEX('Formulación PDN 2027'!$W$7:$W$506,MATCH(ROW()-5,'Formulación PDN 2027'!$AK$7:$AK$506,0)),"")</f>
        <v/>
      </c>
      <c r="L58" s="43" t="str">
        <f>IFERROR(INDEX('Formulación PDN 2027'!$X$7:$X$506,MATCH(ROW()-5,'Formulación PDN 2027'!$AK$7:$AK$506,0)),"")</f>
        <v/>
      </c>
      <c r="M58" s="15" t="str">
        <f>IFERROR(INDEX('Formulación PDN 2027'!$Y$7:$Y$506,MATCH(ROW()-5,'Formulación PDN 2027'!$AK$7:$AK$506,0))&amp;"","")</f>
        <v/>
      </c>
      <c r="N58" s="15" t="str">
        <f>IFERROR(INDEX('Formulación PDN 2027'!$Z$7:$Z$506,MATCH(ROW()-5,'Formulación PDN 2027'!$AK$7:$AK$506,0))&amp;"","")</f>
        <v/>
      </c>
      <c r="O58" s="15"/>
      <c r="P58" s="15" t="str">
        <f>IFERROR(INDEX('Formulación PDN 2027'!$AA$7:$AA$506,MATCH(ROW()-5,'Formulación PDN 2027'!$AK$7:$AK$506,0))&amp;"","")</f>
        <v/>
      </c>
      <c r="Q58" s="15" t="str">
        <f>IFERROR(INDEX('Formulación PDN 2027'!$AB$7:$AB$506,MATCH(ROW()-5,'Formulación PDN 2027'!$AK$7:$AK$506,0))&amp;"","")</f>
        <v/>
      </c>
      <c r="R58" s="15" t="str">
        <f>IFERROR(INDEX('Formulación PDN 2027'!$AD$7:$AD$506,MATCH(ROW()-5,'Formulación PDN 2027'!$AK$7:$AK$506,0))&amp;"","")</f>
        <v/>
      </c>
      <c r="S58" s="15" t="str">
        <f>IFERROR(INDEX('Formulación PDN 2027'!$AE$7:$AE$506,MATCH(ROW()-5,'Formulación PDN 2027'!$AK$7:$AK$506,0))&amp;"","")</f>
        <v/>
      </c>
      <c r="T58" s="15" t="str">
        <f>IFERROR(INDEX('Formulación PDN 2027'!$C$7:$C$506,MATCH(ROW()-5,'Formulación PDN 2027'!$AK$7:$AK$506,0))&amp;"","")</f>
        <v/>
      </c>
      <c r="U58" s="15" t="str">
        <f>IFERROR(INDEX('Formulación PDN 2027'!$B$7:$B$506,MATCH(ROW()-5,'Formulación PDN 2027'!$AK$7:$AK$506,0))&amp;"","")</f>
        <v/>
      </c>
      <c r="V58" s="15" t="str">
        <f>IFERROR(LEFT(INDEX('Formulación PDN 2027'!$E$7:$E$506,MATCH(ROW()-5,'Formulación PDN 2027'!$AK$7:$AK$506,0)),7),"")</f>
        <v/>
      </c>
      <c r="W58" s="15" t="str">
        <f>IFERROR(INDEX('Formulación PDN 2027'!$H$7:$H$506,MATCH(ROW()-5,'Formulación PDN 2027'!$AK$7:$AK$506,0))&amp;"","")</f>
        <v/>
      </c>
      <c r="X58" s="15" t="str">
        <f>IFERROR(INDEX('Formulación PDN 2027'!$U$7:$U$506,MATCH(ROW()-5,'Formulación PDN 2027'!$AK$7:$AK$506,0))&amp;"","")</f>
        <v/>
      </c>
      <c r="Y58" s="15" t="str">
        <f>IFERROR(INDEX('Formulación PDN 2027'!$AH$7:$AH$506,MATCH(ROW()-5,'Formulación PDN 2027'!$AK$7:$AK$506,0))&amp;"","")</f>
        <v/>
      </c>
    </row>
    <row r="59" spans="1:25" x14ac:dyDescent="0.3">
      <c r="A59" s="15" t="str">
        <f>IFERROR(INDEX('Formulación PDN 2027'!$A$7:$A$506,MATCH(ROW()-5,'Formulación PDN 2027'!$AK$7:$AK$506,0))&amp;"","")</f>
        <v/>
      </c>
      <c r="B59" s="20" t="str">
        <f>IFERROR(INDEX('Formulación PDN 2027'!$M$7:$M$506,MATCH(ROW()-5,'Formulación PDN 2027'!$AK$7:$AK$506,0)),"")</f>
        <v/>
      </c>
      <c r="C59" s="15" t="str">
        <f>IFERROR(INDEX('Formulación PDN 2027'!$N$7:$N$506,MATCH(ROW()-5,'Formulación PDN 2027'!$AK$7:$AK$506,0))&amp;"","")</f>
        <v/>
      </c>
      <c r="D59" s="15" t="str">
        <f>IFERROR(INDEX('Formulación PDN 2027'!$L$7:$L$506,MATCH(ROW()-5,'Formulación PDN 2027'!$AK$7:$AK$506,0))&amp;"","")</f>
        <v/>
      </c>
      <c r="E59" s="15" t="str">
        <f>IFERROR(MATCH(INDEX('Formulación PDN 2027'!$O$7:$O$506,MATCH(ROW()-5,'Formulación PDN 2027'!$AK$7:$AK$506,0)),L_MESES,0),"")</f>
        <v/>
      </c>
      <c r="F59" s="15" t="str">
        <f>IFERROR(MATCH(INDEX('Formulación PDN 2027'!$P$7:$P$506,MATCH(ROW()-5,'Formulación PDN 2027'!$AK$7:$AK$506,0)),L_MESES,0),"")</f>
        <v/>
      </c>
      <c r="G59" s="15" t="str">
        <f>IFERROR(INDEX('Formulación PDN 2027'!$Q$7:$Q$506,MATCH(ROW()-5,'Formulación PDN 2027'!$AK$7:$AK$506,0)),"")</f>
        <v/>
      </c>
      <c r="H59" s="15" t="str">
        <f>IFERROR(INDEX('Formulación PDN 2027'!$R$7:$R$506,MATCH(ROW()-5,'Formulación PDN 2027'!$AK$7:$AK$506,0))&amp;"","")</f>
        <v/>
      </c>
      <c r="I59" s="15" t="str">
        <f>IFERROR(INDEX('Formulación PDN 2027'!$S$7:$S$506,MATCH(ROW()-5,'Formulación PDN 2027'!$AK$7:$AK$506,0))&amp;"","")</f>
        <v/>
      </c>
      <c r="J59" s="15" t="str">
        <f>IFERROR(INDEX('Formulación PDN 2027'!$T$7:$T$506,MATCH(ROW()-5,'Formulación PDN 2027'!$AK$7:$AK$506,0))&amp;"","")</f>
        <v/>
      </c>
      <c r="K59" s="43" t="str">
        <f>IFERROR(INDEX('Formulación PDN 2027'!$W$7:$W$506,MATCH(ROW()-5,'Formulación PDN 2027'!$AK$7:$AK$506,0)),"")</f>
        <v/>
      </c>
      <c r="L59" s="43" t="str">
        <f>IFERROR(INDEX('Formulación PDN 2027'!$X$7:$X$506,MATCH(ROW()-5,'Formulación PDN 2027'!$AK$7:$AK$506,0)),"")</f>
        <v/>
      </c>
      <c r="M59" s="15" t="str">
        <f>IFERROR(INDEX('Formulación PDN 2027'!$Y$7:$Y$506,MATCH(ROW()-5,'Formulación PDN 2027'!$AK$7:$AK$506,0))&amp;"","")</f>
        <v/>
      </c>
      <c r="N59" s="15" t="str">
        <f>IFERROR(INDEX('Formulación PDN 2027'!$Z$7:$Z$506,MATCH(ROW()-5,'Formulación PDN 2027'!$AK$7:$AK$506,0))&amp;"","")</f>
        <v/>
      </c>
      <c r="O59" s="15"/>
      <c r="P59" s="15" t="str">
        <f>IFERROR(INDEX('Formulación PDN 2027'!$AA$7:$AA$506,MATCH(ROW()-5,'Formulación PDN 2027'!$AK$7:$AK$506,0))&amp;"","")</f>
        <v/>
      </c>
      <c r="Q59" s="15" t="str">
        <f>IFERROR(INDEX('Formulación PDN 2027'!$AB$7:$AB$506,MATCH(ROW()-5,'Formulación PDN 2027'!$AK$7:$AK$506,0))&amp;"","")</f>
        <v/>
      </c>
      <c r="R59" s="15" t="str">
        <f>IFERROR(INDEX('Formulación PDN 2027'!$AD$7:$AD$506,MATCH(ROW()-5,'Formulación PDN 2027'!$AK$7:$AK$506,0))&amp;"","")</f>
        <v/>
      </c>
      <c r="S59" s="15" t="str">
        <f>IFERROR(INDEX('Formulación PDN 2027'!$AE$7:$AE$506,MATCH(ROW()-5,'Formulación PDN 2027'!$AK$7:$AK$506,0))&amp;"","")</f>
        <v/>
      </c>
      <c r="T59" s="15" t="str">
        <f>IFERROR(INDEX('Formulación PDN 2027'!$C$7:$C$506,MATCH(ROW()-5,'Formulación PDN 2027'!$AK$7:$AK$506,0))&amp;"","")</f>
        <v/>
      </c>
      <c r="U59" s="15" t="str">
        <f>IFERROR(INDEX('Formulación PDN 2027'!$B$7:$B$506,MATCH(ROW()-5,'Formulación PDN 2027'!$AK$7:$AK$506,0))&amp;"","")</f>
        <v/>
      </c>
      <c r="V59" s="15" t="str">
        <f>IFERROR(LEFT(INDEX('Formulación PDN 2027'!$E$7:$E$506,MATCH(ROW()-5,'Formulación PDN 2027'!$AK$7:$AK$506,0)),7),"")</f>
        <v/>
      </c>
      <c r="W59" s="15" t="str">
        <f>IFERROR(INDEX('Formulación PDN 2027'!$H$7:$H$506,MATCH(ROW()-5,'Formulación PDN 2027'!$AK$7:$AK$506,0))&amp;"","")</f>
        <v/>
      </c>
      <c r="X59" s="15" t="str">
        <f>IFERROR(INDEX('Formulación PDN 2027'!$U$7:$U$506,MATCH(ROW()-5,'Formulación PDN 2027'!$AK$7:$AK$506,0))&amp;"","")</f>
        <v/>
      </c>
      <c r="Y59" s="15" t="str">
        <f>IFERROR(INDEX('Formulación PDN 2027'!$AH$7:$AH$506,MATCH(ROW()-5,'Formulación PDN 2027'!$AK$7:$AK$506,0))&amp;"","")</f>
        <v/>
      </c>
    </row>
    <row r="60" spans="1:25" x14ac:dyDescent="0.3">
      <c r="A60" s="15" t="str">
        <f>IFERROR(INDEX('Formulación PDN 2027'!$A$7:$A$506,MATCH(ROW()-5,'Formulación PDN 2027'!$AK$7:$AK$506,0))&amp;"","")</f>
        <v/>
      </c>
      <c r="B60" s="20" t="str">
        <f>IFERROR(INDEX('Formulación PDN 2027'!$M$7:$M$506,MATCH(ROW()-5,'Formulación PDN 2027'!$AK$7:$AK$506,0)),"")</f>
        <v/>
      </c>
      <c r="C60" s="15" t="str">
        <f>IFERROR(INDEX('Formulación PDN 2027'!$N$7:$N$506,MATCH(ROW()-5,'Formulación PDN 2027'!$AK$7:$AK$506,0))&amp;"","")</f>
        <v/>
      </c>
      <c r="D60" s="15" t="str">
        <f>IFERROR(INDEX('Formulación PDN 2027'!$L$7:$L$506,MATCH(ROW()-5,'Formulación PDN 2027'!$AK$7:$AK$506,0))&amp;"","")</f>
        <v/>
      </c>
      <c r="E60" s="15" t="str">
        <f>IFERROR(MATCH(INDEX('Formulación PDN 2027'!$O$7:$O$506,MATCH(ROW()-5,'Formulación PDN 2027'!$AK$7:$AK$506,0)),L_MESES,0),"")</f>
        <v/>
      </c>
      <c r="F60" s="15" t="str">
        <f>IFERROR(MATCH(INDEX('Formulación PDN 2027'!$P$7:$P$506,MATCH(ROW()-5,'Formulación PDN 2027'!$AK$7:$AK$506,0)),L_MESES,0),"")</f>
        <v/>
      </c>
      <c r="G60" s="15" t="str">
        <f>IFERROR(INDEX('Formulación PDN 2027'!$Q$7:$Q$506,MATCH(ROW()-5,'Formulación PDN 2027'!$AK$7:$AK$506,0)),"")</f>
        <v/>
      </c>
      <c r="H60" s="15" t="str">
        <f>IFERROR(INDEX('Formulación PDN 2027'!$R$7:$R$506,MATCH(ROW()-5,'Formulación PDN 2027'!$AK$7:$AK$506,0))&amp;"","")</f>
        <v/>
      </c>
      <c r="I60" s="15" t="str">
        <f>IFERROR(INDEX('Formulación PDN 2027'!$S$7:$S$506,MATCH(ROW()-5,'Formulación PDN 2027'!$AK$7:$AK$506,0))&amp;"","")</f>
        <v/>
      </c>
      <c r="J60" s="15" t="str">
        <f>IFERROR(INDEX('Formulación PDN 2027'!$T$7:$T$506,MATCH(ROW()-5,'Formulación PDN 2027'!$AK$7:$AK$506,0))&amp;"","")</f>
        <v/>
      </c>
      <c r="K60" s="43" t="str">
        <f>IFERROR(INDEX('Formulación PDN 2027'!$W$7:$W$506,MATCH(ROW()-5,'Formulación PDN 2027'!$AK$7:$AK$506,0)),"")</f>
        <v/>
      </c>
      <c r="L60" s="43" t="str">
        <f>IFERROR(INDEX('Formulación PDN 2027'!$X$7:$X$506,MATCH(ROW()-5,'Formulación PDN 2027'!$AK$7:$AK$506,0)),"")</f>
        <v/>
      </c>
      <c r="M60" s="15" t="str">
        <f>IFERROR(INDEX('Formulación PDN 2027'!$Y$7:$Y$506,MATCH(ROW()-5,'Formulación PDN 2027'!$AK$7:$AK$506,0))&amp;"","")</f>
        <v/>
      </c>
      <c r="N60" s="15" t="str">
        <f>IFERROR(INDEX('Formulación PDN 2027'!$Z$7:$Z$506,MATCH(ROW()-5,'Formulación PDN 2027'!$AK$7:$AK$506,0))&amp;"","")</f>
        <v/>
      </c>
      <c r="O60" s="15"/>
      <c r="P60" s="15" t="str">
        <f>IFERROR(INDEX('Formulación PDN 2027'!$AA$7:$AA$506,MATCH(ROW()-5,'Formulación PDN 2027'!$AK$7:$AK$506,0))&amp;"","")</f>
        <v/>
      </c>
      <c r="Q60" s="15" t="str">
        <f>IFERROR(INDEX('Formulación PDN 2027'!$AB$7:$AB$506,MATCH(ROW()-5,'Formulación PDN 2027'!$AK$7:$AK$506,0))&amp;"","")</f>
        <v/>
      </c>
      <c r="R60" s="15" t="str">
        <f>IFERROR(INDEX('Formulación PDN 2027'!$AD$7:$AD$506,MATCH(ROW()-5,'Formulación PDN 2027'!$AK$7:$AK$506,0))&amp;"","")</f>
        <v/>
      </c>
      <c r="S60" s="15" t="str">
        <f>IFERROR(INDEX('Formulación PDN 2027'!$AE$7:$AE$506,MATCH(ROW()-5,'Formulación PDN 2027'!$AK$7:$AK$506,0))&amp;"","")</f>
        <v/>
      </c>
      <c r="T60" s="15" t="str">
        <f>IFERROR(INDEX('Formulación PDN 2027'!$C$7:$C$506,MATCH(ROW()-5,'Formulación PDN 2027'!$AK$7:$AK$506,0))&amp;"","")</f>
        <v/>
      </c>
      <c r="U60" s="15" t="str">
        <f>IFERROR(INDEX('Formulación PDN 2027'!$B$7:$B$506,MATCH(ROW()-5,'Formulación PDN 2027'!$AK$7:$AK$506,0))&amp;"","")</f>
        <v/>
      </c>
      <c r="V60" s="15" t="str">
        <f>IFERROR(LEFT(INDEX('Formulación PDN 2027'!$E$7:$E$506,MATCH(ROW()-5,'Formulación PDN 2027'!$AK$7:$AK$506,0)),7),"")</f>
        <v/>
      </c>
      <c r="W60" s="15" t="str">
        <f>IFERROR(INDEX('Formulación PDN 2027'!$H$7:$H$506,MATCH(ROW()-5,'Formulación PDN 2027'!$AK$7:$AK$506,0))&amp;"","")</f>
        <v/>
      </c>
      <c r="X60" s="15" t="str">
        <f>IFERROR(INDEX('Formulación PDN 2027'!$U$7:$U$506,MATCH(ROW()-5,'Formulación PDN 2027'!$AK$7:$AK$506,0))&amp;"","")</f>
        <v/>
      </c>
      <c r="Y60" s="15" t="str">
        <f>IFERROR(INDEX('Formulación PDN 2027'!$AH$7:$AH$506,MATCH(ROW()-5,'Formulación PDN 2027'!$AK$7:$AK$506,0))&amp;"","")</f>
        <v/>
      </c>
    </row>
    <row r="61" spans="1:25" x14ac:dyDescent="0.3">
      <c r="A61" s="15" t="str">
        <f>IFERROR(INDEX('Formulación PDN 2027'!$A$7:$A$506,MATCH(ROW()-5,'Formulación PDN 2027'!$AK$7:$AK$506,0))&amp;"","")</f>
        <v/>
      </c>
      <c r="B61" s="20" t="str">
        <f>IFERROR(INDEX('Formulación PDN 2027'!$M$7:$M$506,MATCH(ROW()-5,'Formulación PDN 2027'!$AK$7:$AK$506,0)),"")</f>
        <v/>
      </c>
      <c r="C61" s="15" t="str">
        <f>IFERROR(INDEX('Formulación PDN 2027'!$N$7:$N$506,MATCH(ROW()-5,'Formulación PDN 2027'!$AK$7:$AK$506,0))&amp;"","")</f>
        <v/>
      </c>
      <c r="D61" s="15" t="str">
        <f>IFERROR(INDEX('Formulación PDN 2027'!$L$7:$L$506,MATCH(ROW()-5,'Formulación PDN 2027'!$AK$7:$AK$506,0))&amp;"","")</f>
        <v/>
      </c>
      <c r="E61" s="15" t="str">
        <f>IFERROR(MATCH(INDEX('Formulación PDN 2027'!$O$7:$O$506,MATCH(ROW()-5,'Formulación PDN 2027'!$AK$7:$AK$506,0)),L_MESES,0),"")</f>
        <v/>
      </c>
      <c r="F61" s="15" t="str">
        <f>IFERROR(MATCH(INDEX('Formulación PDN 2027'!$P$7:$P$506,MATCH(ROW()-5,'Formulación PDN 2027'!$AK$7:$AK$506,0)),L_MESES,0),"")</f>
        <v/>
      </c>
      <c r="G61" s="15" t="str">
        <f>IFERROR(INDEX('Formulación PDN 2027'!$Q$7:$Q$506,MATCH(ROW()-5,'Formulación PDN 2027'!$AK$7:$AK$506,0)),"")</f>
        <v/>
      </c>
      <c r="H61" s="15" t="str">
        <f>IFERROR(INDEX('Formulación PDN 2027'!$R$7:$R$506,MATCH(ROW()-5,'Formulación PDN 2027'!$AK$7:$AK$506,0))&amp;"","")</f>
        <v/>
      </c>
      <c r="I61" s="15" t="str">
        <f>IFERROR(INDEX('Formulación PDN 2027'!$S$7:$S$506,MATCH(ROW()-5,'Formulación PDN 2027'!$AK$7:$AK$506,0))&amp;"","")</f>
        <v/>
      </c>
      <c r="J61" s="15" t="str">
        <f>IFERROR(INDEX('Formulación PDN 2027'!$T$7:$T$506,MATCH(ROW()-5,'Formulación PDN 2027'!$AK$7:$AK$506,0))&amp;"","")</f>
        <v/>
      </c>
      <c r="K61" s="43" t="str">
        <f>IFERROR(INDEX('Formulación PDN 2027'!$W$7:$W$506,MATCH(ROW()-5,'Formulación PDN 2027'!$AK$7:$AK$506,0)),"")</f>
        <v/>
      </c>
      <c r="L61" s="43" t="str">
        <f>IFERROR(INDEX('Formulación PDN 2027'!$X$7:$X$506,MATCH(ROW()-5,'Formulación PDN 2027'!$AK$7:$AK$506,0)),"")</f>
        <v/>
      </c>
      <c r="M61" s="15" t="str">
        <f>IFERROR(INDEX('Formulación PDN 2027'!$Y$7:$Y$506,MATCH(ROW()-5,'Formulación PDN 2027'!$AK$7:$AK$506,0))&amp;"","")</f>
        <v/>
      </c>
      <c r="N61" s="15" t="str">
        <f>IFERROR(INDEX('Formulación PDN 2027'!$Z$7:$Z$506,MATCH(ROW()-5,'Formulación PDN 2027'!$AK$7:$AK$506,0))&amp;"","")</f>
        <v/>
      </c>
      <c r="O61" s="15"/>
      <c r="P61" s="15" t="str">
        <f>IFERROR(INDEX('Formulación PDN 2027'!$AA$7:$AA$506,MATCH(ROW()-5,'Formulación PDN 2027'!$AK$7:$AK$506,0))&amp;"","")</f>
        <v/>
      </c>
      <c r="Q61" s="15" t="str">
        <f>IFERROR(INDEX('Formulación PDN 2027'!$AB$7:$AB$506,MATCH(ROW()-5,'Formulación PDN 2027'!$AK$7:$AK$506,0))&amp;"","")</f>
        <v/>
      </c>
      <c r="R61" s="15" t="str">
        <f>IFERROR(INDEX('Formulación PDN 2027'!$AD$7:$AD$506,MATCH(ROW()-5,'Formulación PDN 2027'!$AK$7:$AK$506,0))&amp;"","")</f>
        <v/>
      </c>
      <c r="S61" s="15" t="str">
        <f>IFERROR(INDEX('Formulación PDN 2027'!$AE$7:$AE$506,MATCH(ROW()-5,'Formulación PDN 2027'!$AK$7:$AK$506,0))&amp;"","")</f>
        <v/>
      </c>
      <c r="T61" s="15" t="str">
        <f>IFERROR(INDEX('Formulación PDN 2027'!$C$7:$C$506,MATCH(ROW()-5,'Formulación PDN 2027'!$AK$7:$AK$506,0))&amp;"","")</f>
        <v/>
      </c>
      <c r="U61" s="15" t="str">
        <f>IFERROR(INDEX('Formulación PDN 2027'!$B$7:$B$506,MATCH(ROW()-5,'Formulación PDN 2027'!$AK$7:$AK$506,0))&amp;"","")</f>
        <v/>
      </c>
      <c r="V61" s="15" t="str">
        <f>IFERROR(LEFT(INDEX('Formulación PDN 2027'!$E$7:$E$506,MATCH(ROW()-5,'Formulación PDN 2027'!$AK$7:$AK$506,0)),7),"")</f>
        <v/>
      </c>
      <c r="W61" s="15" t="str">
        <f>IFERROR(INDEX('Formulación PDN 2027'!$H$7:$H$506,MATCH(ROW()-5,'Formulación PDN 2027'!$AK$7:$AK$506,0))&amp;"","")</f>
        <v/>
      </c>
      <c r="X61" s="15" t="str">
        <f>IFERROR(INDEX('Formulación PDN 2027'!$U$7:$U$506,MATCH(ROW()-5,'Formulación PDN 2027'!$AK$7:$AK$506,0))&amp;"","")</f>
        <v/>
      </c>
      <c r="Y61" s="15" t="str">
        <f>IFERROR(INDEX('Formulación PDN 2027'!$AH$7:$AH$506,MATCH(ROW()-5,'Formulación PDN 2027'!$AK$7:$AK$506,0))&amp;"","")</f>
        <v/>
      </c>
    </row>
    <row r="62" spans="1:25" x14ac:dyDescent="0.3">
      <c r="A62" s="15" t="str">
        <f>IFERROR(INDEX('Formulación PDN 2027'!$A$7:$A$506,MATCH(ROW()-5,'Formulación PDN 2027'!$AK$7:$AK$506,0))&amp;"","")</f>
        <v/>
      </c>
      <c r="B62" s="20" t="str">
        <f>IFERROR(INDEX('Formulación PDN 2027'!$M$7:$M$506,MATCH(ROW()-5,'Formulación PDN 2027'!$AK$7:$AK$506,0)),"")</f>
        <v/>
      </c>
      <c r="C62" s="15" t="str">
        <f>IFERROR(INDEX('Formulación PDN 2027'!$N$7:$N$506,MATCH(ROW()-5,'Formulación PDN 2027'!$AK$7:$AK$506,0))&amp;"","")</f>
        <v/>
      </c>
      <c r="D62" s="15" t="str">
        <f>IFERROR(INDEX('Formulación PDN 2027'!$L$7:$L$506,MATCH(ROW()-5,'Formulación PDN 2027'!$AK$7:$AK$506,0))&amp;"","")</f>
        <v/>
      </c>
      <c r="E62" s="15" t="str">
        <f>IFERROR(MATCH(INDEX('Formulación PDN 2027'!$O$7:$O$506,MATCH(ROW()-5,'Formulación PDN 2027'!$AK$7:$AK$506,0)),L_MESES,0),"")</f>
        <v/>
      </c>
      <c r="F62" s="15" t="str">
        <f>IFERROR(MATCH(INDEX('Formulación PDN 2027'!$P$7:$P$506,MATCH(ROW()-5,'Formulación PDN 2027'!$AK$7:$AK$506,0)),L_MESES,0),"")</f>
        <v/>
      </c>
      <c r="G62" s="15" t="str">
        <f>IFERROR(INDEX('Formulación PDN 2027'!$Q$7:$Q$506,MATCH(ROW()-5,'Formulación PDN 2027'!$AK$7:$AK$506,0)),"")</f>
        <v/>
      </c>
      <c r="H62" s="15" t="str">
        <f>IFERROR(INDEX('Formulación PDN 2027'!$R$7:$R$506,MATCH(ROW()-5,'Formulación PDN 2027'!$AK$7:$AK$506,0))&amp;"","")</f>
        <v/>
      </c>
      <c r="I62" s="15" t="str">
        <f>IFERROR(INDEX('Formulación PDN 2027'!$S$7:$S$506,MATCH(ROW()-5,'Formulación PDN 2027'!$AK$7:$AK$506,0))&amp;"","")</f>
        <v/>
      </c>
      <c r="J62" s="15" t="str">
        <f>IFERROR(INDEX('Formulación PDN 2027'!$T$7:$T$506,MATCH(ROW()-5,'Formulación PDN 2027'!$AK$7:$AK$506,0))&amp;"","")</f>
        <v/>
      </c>
      <c r="K62" s="43" t="str">
        <f>IFERROR(INDEX('Formulación PDN 2027'!$W$7:$W$506,MATCH(ROW()-5,'Formulación PDN 2027'!$AK$7:$AK$506,0)),"")</f>
        <v/>
      </c>
      <c r="L62" s="43" t="str">
        <f>IFERROR(INDEX('Formulación PDN 2027'!$X$7:$X$506,MATCH(ROW()-5,'Formulación PDN 2027'!$AK$7:$AK$506,0)),"")</f>
        <v/>
      </c>
      <c r="M62" s="15" t="str">
        <f>IFERROR(INDEX('Formulación PDN 2027'!$Y$7:$Y$506,MATCH(ROW()-5,'Formulación PDN 2027'!$AK$7:$AK$506,0))&amp;"","")</f>
        <v/>
      </c>
      <c r="N62" s="15" t="str">
        <f>IFERROR(INDEX('Formulación PDN 2027'!$Z$7:$Z$506,MATCH(ROW()-5,'Formulación PDN 2027'!$AK$7:$AK$506,0))&amp;"","")</f>
        <v/>
      </c>
      <c r="O62" s="15"/>
      <c r="P62" s="15" t="str">
        <f>IFERROR(INDEX('Formulación PDN 2027'!$AA$7:$AA$506,MATCH(ROW()-5,'Formulación PDN 2027'!$AK$7:$AK$506,0))&amp;"","")</f>
        <v/>
      </c>
      <c r="Q62" s="15" t="str">
        <f>IFERROR(INDEX('Formulación PDN 2027'!$AB$7:$AB$506,MATCH(ROW()-5,'Formulación PDN 2027'!$AK$7:$AK$506,0))&amp;"","")</f>
        <v/>
      </c>
      <c r="R62" s="15" t="str">
        <f>IFERROR(INDEX('Formulación PDN 2027'!$AD$7:$AD$506,MATCH(ROW()-5,'Formulación PDN 2027'!$AK$7:$AK$506,0))&amp;"","")</f>
        <v/>
      </c>
      <c r="S62" s="15" t="str">
        <f>IFERROR(INDEX('Formulación PDN 2027'!$AE$7:$AE$506,MATCH(ROW()-5,'Formulación PDN 2027'!$AK$7:$AK$506,0))&amp;"","")</f>
        <v/>
      </c>
      <c r="T62" s="15" t="str">
        <f>IFERROR(INDEX('Formulación PDN 2027'!$C$7:$C$506,MATCH(ROW()-5,'Formulación PDN 2027'!$AK$7:$AK$506,0))&amp;"","")</f>
        <v/>
      </c>
      <c r="U62" s="15" t="str">
        <f>IFERROR(INDEX('Formulación PDN 2027'!$B$7:$B$506,MATCH(ROW()-5,'Formulación PDN 2027'!$AK$7:$AK$506,0))&amp;"","")</f>
        <v/>
      </c>
      <c r="V62" s="15" t="str">
        <f>IFERROR(LEFT(INDEX('Formulación PDN 2027'!$E$7:$E$506,MATCH(ROW()-5,'Formulación PDN 2027'!$AK$7:$AK$506,0)),7),"")</f>
        <v/>
      </c>
      <c r="W62" s="15" t="str">
        <f>IFERROR(INDEX('Formulación PDN 2027'!$H$7:$H$506,MATCH(ROW()-5,'Formulación PDN 2027'!$AK$7:$AK$506,0))&amp;"","")</f>
        <v/>
      </c>
      <c r="X62" s="15" t="str">
        <f>IFERROR(INDEX('Formulación PDN 2027'!$U$7:$U$506,MATCH(ROW()-5,'Formulación PDN 2027'!$AK$7:$AK$506,0))&amp;"","")</f>
        <v/>
      </c>
      <c r="Y62" s="15" t="str">
        <f>IFERROR(INDEX('Formulación PDN 2027'!$AH$7:$AH$506,MATCH(ROW()-5,'Formulación PDN 2027'!$AK$7:$AK$506,0))&amp;"","")</f>
        <v/>
      </c>
    </row>
    <row r="63" spans="1:25" x14ac:dyDescent="0.3">
      <c r="A63" s="15" t="str">
        <f>IFERROR(INDEX('Formulación PDN 2027'!$A$7:$A$506,MATCH(ROW()-5,'Formulación PDN 2027'!$AK$7:$AK$506,0))&amp;"","")</f>
        <v/>
      </c>
      <c r="B63" s="20" t="str">
        <f>IFERROR(INDEX('Formulación PDN 2027'!$M$7:$M$506,MATCH(ROW()-5,'Formulación PDN 2027'!$AK$7:$AK$506,0)),"")</f>
        <v/>
      </c>
      <c r="C63" s="15" t="str">
        <f>IFERROR(INDEX('Formulación PDN 2027'!$N$7:$N$506,MATCH(ROW()-5,'Formulación PDN 2027'!$AK$7:$AK$506,0))&amp;"","")</f>
        <v/>
      </c>
      <c r="D63" s="15" t="str">
        <f>IFERROR(INDEX('Formulación PDN 2027'!$L$7:$L$506,MATCH(ROW()-5,'Formulación PDN 2027'!$AK$7:$AK$506,0))&amp;"","")</f>
        <v/>
      </c>
      <c r="E63" s="15" t="str">
        <f>IFERROR(MATCH(INDEX('Formulación PDN 2027'!$O$7:$O$506,MATCH(ROW()-5,'Formulación PDN 2027'!$AK$7:$AK$506,0)),L_MESES,0),"")</f>
        <v/>
      </c>
      <c r="F63" s="15" t="str">
        <f>IFERROR(MATCH(INDEX('Formulación PDN 2027'!$P$7:$P$506,MATCH(ROW()-5,'Formulación PDN 2027'!$AK$7:$AK$506,0)),L_MESES,0),"")</f>
        <v/>
      </c>
      <c r="G63" s="15" t="str">
        <f>IFERROR(INDEX('Formulación PDN 2027'!$Q$7:$Q$506,MATCH(ROW()-5,'Formulación PDN 2027'!$AK$7:$AK$506,0)),"")</f>
        <v/>
      </c>
      <c r="H63" s="15" t="str">
        <f>IFERROR(INDEX('Formulación PDN 2027'!$R$7:$R$506,MATCH(ROW()-5,'Formulación PDN 2027'!$AK$7:$AK$506,0))&amp;"","")</f>
        <v/>
      </c>
      <c r="I63" s="15" t="str">
        <f>IFERROR(INDEX('Formulación PDN 2027'!$S$7:$S$506,MATCH(ROW()-5,'Formulación PDN 2027'!$AK$7:$AK$506,0))&amp;"","")</f>
        <v/>
      </c>
      <c r="J63" s="15" t="str">
        <f>IFERROR(INDEX('Formulación PDN 2027'!$T$7:$T$506,MATCH(ROW()-5,'Formulación PDN 2027'!$AK$7:$AK$506,0))&amp;"","")</f>
        <v/>
      </c>
      <c r="K63" s="43" t="str">
        <f>IFERROR(INDEX('Formulación PDN 2027'!$W$7:$W$506,MATCH(ROW()-5,'Formulación PDN 2027'!$AK$7:$AK$506,0)),"")</f>
        <v/>
      </c>
      <c r="L63" s="43" t="str">
        <f>IFERROR(INDEX('Formulación PDN 2027'!$X$7:$X$506,MATCH(ROW()-5,'Formulación PDN 2027'!$AK$7:$AK$506,0)),"")</f>
        <v/>
      </c>
      <c r="M63" s="15" t="str">
        <f>IFERROR(INDEX('Formulación PDN 2027'!$Y$7:$Y$506,MATCH(ROW()-5,'Formulación PDN 2027'!$AK$7:$AK$506,0))&amp;"","")</f>
        <v/>
      </c>
      <c r="N63" s="15" t="str">
        <f>IFERROR(INDEX('Formulación PDN 2027'!$Z$7:$Z$506,MATCH(ROW()-5,'Formulación PDN 2027'!$AK$7:$AK$506,0))&amp;"","")</f>
        <v/>
      </c>
      <c r="O63" s="15"/>
      <c r="P63" s="15" t="str">
        <f>IFERROR(INDEX('Formulación PDN 2027'!$AA$7:$AA$506,MATCH(ROW()-5,'Formulación PDN 2027'!$AK$7:$AK$506,0))&amp;"","")</f>
        <v/>
      </c>
      <c r="Q63" s="15" t="str">
        <f>IFERROR(INDEX('Formulación PDN 2027'!$AB$7:$AB$506,MATCH(ROW()-5,'Formulación PDN 2027'!$AK$7:$AK$506,0))&amp;"","")</f>
        <v/>
      </c>
      <c r="R63" s="15" t="str">
        <f>IFERROR(INDEX('Formulación PDN 2027'!$AD$7:$AD$506,MATCH(ROW()-5,'Formulación PDN 2027'!$AK$7:$AK$506,0))&amp;"","")</f>
        <v/>
      </c>
      <c r="S63" s="15" t="str">
        <f>IFERROR(INDEX('Formulación PDN 2027'!$AE$7:$AE$506,MATCH(ROW()-5,'Formulación PDN 2027'!$AK$7:$AK$506,0))&amp;"","")</f>
        <v/>
      </c>
      <c r="T63" s="15" t="str">
        <f>IFERROR(INDEX('Formulación PDN 2027'!$C$7:$C$506,MATCH(ROW()-5,'Formulación PDN 2027'!$AK$7:$AK$506,0))&amp;"","")</f>
        <v/>
      </c>
      <c r="U63" s="15" t="str">
        <f>IFERROR(INDEX('Formulación PDN 2027'!$B$7:$B$506,MATCH(ROW()-5,'Formulación PDN 2027'!$AK$7:$AK$506,0))&amp;"","")</f>
        <v/>
      </c>
      <c r="V63" s="15" t="str">
        <f>IFERROR(LEFT(INDEX('Formulación PDN 2027'!$E$7:$E$506,MATCH(ROW()-5,'Formulación PDN 2027'!$AK$7:$AK$506,0)),7),"")</f>
        <v/>
      </c>
      <c r="W63" s="15" t="str">
        <f>IFERROR(INDEX('Formulación PDN 2027'!$H$7:$H$506,MATCH(ROW()-5,'Formulación PDN 2027'!$AK$7:$AK$506,0))&amp;"","")</f>
        <v/>
      </c>
      <c r="X63" s="15" t="str">
        <f>IFERROR(INDEX('Formulación PDN 2027'!$U$7:$U$506,MATCH(ROW()-5,'Formulación PDN 2027'!$AK$7:$AK$506,0))&amp;"","")</f>
        <v/>
      </c>
      <c r="Y63" s="15" t="str">
        <f>IFERROR(INDEX('Formulación PDN 2027'!$AH$7:$AH$506,MATCH(ROW()-5,'Formulación PDN 2027'!$AK$7:$AK$506,0))&amp;"","")</f>
        <v/>
      </c>
    </row>
    <row r="64" spans="1:25" x14ac:dyDescent="0.3">
      <c r="A64" s="15" t="str">
        <f>IFERROR(INDEX('Formulación PDN 2027'!$A$7:$A$506,MATCH(ROW()-5,'Formulación PDN 2027'!$AK$7:$AK$506,0))&amp;"","")</f>
        <v/>
      </c>
      <c r="B64" s="20" t="str">
        <f>IFERROR(INDEX('Formulación PDN 2027'!$M$7:$M$506,MATCH(ROW()-5,'Formulación PDN 2027'!$AK$7:$AK$506,0)),"")</f>
        <v/>
      </c>
      <c r="C64" s="15" t="str">
        <f>IFERROR(INDEX('Formulación PDN 2027'!$N$7:$N$506,MATCH(ROW()-5,'Formulación PDN 2027'!$AK$7:$AK$506,0))&amp;"","")</f>
        <v/>
      </c>
      <c r="D64" s="15" t="str">
        <f>IFERROR(INDEX('Formulación PDN 2027'!$L$7:$L$506,MATCH(ROW()-5,'Formulación PDN 2027'!$AK$7:$AK$506,0))&amp;"","")</f>
        <v/>
      </c>
      <c r="E64" s="15" t="str">
        <f>IFERROR(MATCH(INDEX('Formulación PDN 2027'!$O$7:$O$506,MATCH(ROW()-5,'Formulación PDN 2027'!$AK$7:$AK$506,0)),L_MESES,0),"")</f>
        <v/>
      </c>
      <c r="F64" s="15" t="str">
        <f>IFERROR(MATCH(INDEX('Formulación PDN 2027'!$P$7:$P$506,MATCH(ROW()-5,'Formulación PDN 2027'!$AK$7:$AK$506,0)),L_MESES,0),"")</f>
        <v/>
      </c>
      <c r="G64" s="15" t="str">
        <f>IFERROR(INDEX('Formulación PDN 2027'!$Q$7:$Q$506,MATCH(ROW()-5,'Formulación PDN 2027'!$AK$7:$AK$506,0)),"")</f>
        <v/>
      </c>
      <c r="H64" s="15" t="str">
        <f>IFERROR(INDEX('Formulación PDN 2027'!$R$7:$R$506,MATCH(ROW()-5,'Formulación PDN 2027'!$AK$7:$AK$506,0))&amp;"","")</f>
        <v/>
      </c>
      <c r="I64" s="15" t="str">
        <f>IFERROR(INDEX('Formulación PDN 2027'!$S$7:$S$506,MATCH(ROW()-5,'Formulación PDN 2027'!$AK$7:$AK$506,0))&amp;"","")</f>
        <v/>
      </c>
      <c r="J64" s="15" t="str">
        <f>IFERROR(INDEX('Formulación PDN 2027'!$T$7:$T$506,MATCH(ROW()-5,'Formulación PDN 2027'!$AK$7:$AK$506,0))&amp;"","")</f>
        <v/>
      </c>
      <c r="K64" s="43" t="str">
        <f>IFERROR(INDEX('Formulación PDN 2027'!$W$7:$W$506,MATCH(ROW()-5,'Formulación PDN 2027'!$AK$7:$AK$506,0)),"")</f>
        <v/>
      </c>
      <c r="L64" s="43" t="str">
        <f>IFERROR(INDEX('Formulación PDN 2027'!$X$7:$X$506,MATCH(ROW()-5,'Formulación PDN 2027'!$AK$7:$AK$506,0)),"")</f>
        <v/>
      </c>
      <c r="M64" s="15" t="str">
        <f>IFERROR(INDEX('Formulación PDN 2027'!$Y$7:$Y$506,MATCH(ROW()-5,'Formulación PDN 2027'!$AK$7:$AK$506,0))&amp;"","")</f>
        <v/>
      </c>
      <c r="N64" s="15" t="str">
        <f>IFERROR(INDEX('Formulación PDN 2027'!$Z$7:$Z$506,MATCH(ROW()-5,'Formulación PDN 2027'!$AK$7:$AK$506,0))&amp;"","")</f>
        <v/>
      </c>
      <c r="O64" s="15"/>
      <c r="P64" s="15" t="str">
        <f>IFERROR(INDEX('Formulación PDN 2027'!$AA$7:$AA$506,MATCH(ROW()-5,'Formulación PDN 2027'!$AK$7:$AK$506,0))&amp;"","")</f>
        <v/>
      </c>
      <c r="Q64" s="15" t="str">
        <f>IFERROR(INDEX('Formulación PDN 2027'!$AB$7:$AB$506,MATCH(ROW()-5,'Formulación PDN 2027'!$AK$7:$AK$506,0))&amp;"","")</f>
        <v/>
      </c>
      <c r="R64" s="15" t="str">
        <f>IFERROR(INDEX('Formulación PDN 2027'!$AD$7:$AD$506,MATCH(ROW()-5,'Formulación PDN 2027'!$AK$7:$AK$506,0))&amp;"","")</f>
        <v/>
      </c>
      <c r="S64" s="15" t="str">
        <f>IFERROR(INDEX('Formulación PDN 2027'!$AE$7:$AE$506,MATCH(ROW()-5,'Formulación PDN 2027'!$AK$7:$AK$506,0))&amp;"","")</f>
        <v/>
      </c>
      <c r="T64" s="15" t="str">
        <f>IFERROR(INDEX('Formulación PDN 2027'!$C$7:$C$506,MATCH(ROW()-5,'Formulación PDN 2027'!$AK$7:$AK$506,0))&amp;"","")</f>
        <v/>
      </c>
      <c r="U64" s="15" t="str">
        <f>IFERROR(INDEX('Formulación PDN 2027'!$B$7:$B$506,MATCH(ROW()-5,'Formulación PDN 2027'!$AK$7:$AK$506,0))&amp;"","")</f>
        <v/>
      </c>
      <c r="V64" s="15" t="str">
        <f>IFERROR(LEFT(INDEX('Formulación PDN 2027'!$E$7:$E$506,MATCH(ROW()-5,'Formulación PDN 2027'!$AK$7:$AK$506,0)),7),"")</f>
        <v/>
      </c>
      <c r="W64" s="15" t="str">
        <f>IFERROR(INDEX('Formulación PDN 2027'!$H$7:$H$506,MATCH(ROW()-5,'Formulación PDN 2027'!$AK$7:$AK$506,0))&amp;"","")</f>
        <v/>
      </c>
      <c r="X64" s="15" t="str">
        <f>IFERROR(INDEX('Formulación PDN 2027'!$U$7:$U$506,MATCH(ROW()-5,'Formulación PDN 2027'!$AK$7:$AK$506,0))&amp;"","")</f>
        <v/>
      </c>
      <c r="Y64" s="15" t="str">
        <f>IFERROR(INDEX('Formulación PDN 2027'!$AH$7:$AH$506,MATCH(ROW()-5,'Formulación PDN 2027'!$AK$7:$AK$506,0))&amp;"","")</f>
        <v/>
      </c>
    </row>
    <row r="65" spans="1:25" x14ac:dyDescent="0.3">
      <c r="A65" s="15" t="str">
        <f>IFERROR(INDEX('Formulación PDN 2027'!$A$7:$A$506,MATCH(ROW()-5,'Formulación PDN 2027'!$AK$7:$AK$506,0))&amp;"","")</f>
        <v/>
      </c>
      <c r="B65" s="20" t="str">
        <f>IFERROR(INDEX('Formulación PDN 2027'!$M$7:$M$506,MATCH(ROW()-5,'Formulación PDN 2027'!$AK$7:$AK$506,0)),"")</f>
        <v/>
      </c>
      <c r="C65" s="15" t="str">
        <f>IFERROR(INDEX('Formulación PDN 2027'!$N$7:$N$506,MATCH(ROW()-5,'Formulación PDN 2027'!$AK$7:$AK$506,0))&amp;"","")</f>
        <v/>
      </c>
      <c r="D65" s="15" t="str">
        <f>IFERROR(INDEX('Formulación PDN 2027'!$L$7:$L$506,MATCH(ROW()-5,'Formulación PDN 2027'!$AK$7:$AK$506,0))&amp;"","")</f>
        <v/>
      </c>
      <c r="E65" s="15" t="str">
        <f>IFERROR(MATCH(INDEX('Formulación PDN 2027'!$O$7:$O$506,MATCH(ROW()-5,'Formulación PDN 2027'!$AK$7:$AK$506,0)),L_MESES,0),"")</f>
        <v/>
      </c>
      <c r="F65" s="15" t="str">
        <f>IFERROR(MATCH(INDEX('Formulación PDN 2027'!$P$7:$P$506,MATCH(ROW()-5,'Formulación PDN 2027'!$AK$7:$AK$506,0)),L_MESES,0),"")</f>
        <v/>
      </c>
      <c r="G65" s="15" t="str">
        <f>IFERROR(INDEX('Formulación PDN 2027'!$Q$7:$Q$506,MATCH(ROW()-5,'Formulación PDN 2027'!$AK$7:$AK$506,0)),"")</f>
        <v/>
      </c>
      <c r="H65" s="15" t="str">
        <f>IFERROR(INDEX('Formulación PDN 2027'!$R$7:$R$506,MATCH(ROW()-5,'Formulación PDN 2027'!$AK$7:$AK$506,0))&amp;"","")</f>
        <v/>
      </c>
      <c r="I65" s="15" t="str">
        <f>IFERROR(INDEX('Formulación PDN 2027'!$S$7:$S$506,MATCH(ROW()-5,'Formulación PDN 2027'!$AK$7:$AK$506,0))&amp;"","")</f>
        <v/>
      </c>
      <c r="J65" s="15" t="str">
        <f>IFERROR(INDEX('Formulación PDN 2027'!$T$7:$T$506,MATCH(ROW()-5,'Formulación PDN 2027'!$AK$7:$AK$506,0))&amp;"","")</f>
        <v/>
      </c>
      <c r="K65" s="43" t="str">
        <f>IFERROR(INDEX('Formulación PDN 2027'!$W$7:$W$506,MATCH(ROW()-5,'Formulación PDN 2027'!$AK$7:$AK$506,0)),"")</f>
        <v/>
      </c>
      <c r="L65" s="43" t="str">
        <f>IFERROR(INDEX('Formulación PDN 2027'!$X$7:$X$506,MATCH(ROW()-5,'Formulación PDN 2027'!$AK$7:$AK$506,0)),"")</f>
        <v/>
      </c>
      <c r="M65" s="15" t="str">
        <f>IFERROR(INDEX('Formulación PDN 2027'!$Y$7:$Y$506,MATCH(ROW()-5,'Formulación PDN 2027'!$AK$7:$AK$506,0))&amp;"","")</f>
        <v/>
      </c>
      <c r="N65" s="15" t="str">
        <f>IFERROR(INDEX('Formulación PDN 2027'!$Z$7:$Z$506,MATCH(ROW()-5,'Formulación PDN 2027'!$AK$7:$AK$506,0))&amp;"","")</f>
        <v/>
      </c>
      <c r="O65" s="15"/>
      <c r="P65" s="15" t="str">
        <f>IFERROR(INDEX('Formulación PDN 2027'!$AA$7:$AA$506,MATCH(ROW()-5,'Formulación PDN 2027'!$AK$7:$AK$506,0))&amp;"","")</f>
        <v/>
      </c>
      <c r="Q65" s="15" t="str">
        <f>IFERROR(INDEX('Formulación PDN 2027'!$AB$7:$AB$506,MATCH(ROW()-5,'Formulación PDN 2027'!$AK$7:$AK$506,0))&amp;"","")</f>
        <v/>
      </c>
      <c r="R65" s="15" t="str">
        <f>IFERROR(INDEX('Formulación PDN 2027'!$AD$7:$AD$506,MATCH(ROW()-5,'Formulación PDN 2027'!$AK$7:$AK$506,0))&amp;"","")</f>
        <v/>
      </c>
      <c r="S65" s="15" t="str">
        <f>IFERROR(INDEX('Formulación PDN 2027'!$AE$7:$AE$506,MATCH(ROW()-5,'Formulación PDN 2027'!$AK$7:$AK$506,0))&amp;"","")</f>
        <v/>
      </c>
      <c r="T65" s="15" t="str">
        <f>IFERROR(INDEX('Formulación PDN 2027'!$C$7:$C$506,MATCH(ROW()-5,'Formulación PDN 2027'!$AK$7:$AK$506,0))&amp;"","")</f>
        <v/>
      </c>
      <c r="U65" s="15" t="str">
        <f>IFERROR(INDEX('Formulación PDN 2027'!$B$7:$B$506,MATCH(ROW()-5,'Formulación PDN 2027'!$AK$7:$AK$506,0))&amp;"","")</f>
        <v/>
      </c>
      <c r="V65" s="15" t="str">
        <f>IFERROR(LEFT(INDEX('Formulación PDN 2027'!$E$7:$E$506,MATCH(ROW()-5,'Formulación PDN 2027'!$AK$7:$AK$506,0)),7),"")</f>
        <v/>
      </c>
      <c r="W65" s="15" t="str">
        <f>IFERROR(INDEX('Formulación PDN 2027'!$H$7:$H$506,MATCH(ROW()-5,'Formulación PDN 2027'!$AK$7:$AK$506,0))&amp;"","")</f>
        <v/>
      </c>
      <c r="X65" s="15" t="str">
        <f>IFERROR(INDEX('Formulación PDN 2027'!$U$7:$U$506,MATCH(ROW()-5,'Formulación PDN 2027'!$AK$7:$AK$506,0))&amp;"","")</f>
        <v/>
      </c>
      <c r="Y65" s="15" t="str">
        <f>IFERROR(INDEX('Formulación PDN 2027'!$AH$7:$AH$506,MATCH(ROW()-5,'Formulación PDN 2027'!$AK$7:$AK$506,0))&amp;"","")</f>
        <v/>
      </c>
    </row>
    <row r="66" spans="1:25" x14ac:dyDescent="0.3">
      <c r="A66" s="15" t="str">
        <f>IFERROR(INDEX('Formulación PDN 2027'!$A$7:$A$506,MATCH(ROW()-5,'Formulación PDN 2027'!$AK$7:$AK$506,0))&amp;"","")</f>
        <v/>
      </c>
      <c r="B66" s="20" t="str">
        <f>IFERROR(INDEX('Formulación PDN 2027'!$M$7:$M$506,MATCH(ROW()-5,'Formulación PDN 2027'!$AK$7:$AK$506,0)),"")</f>
        <v/>
      </c>
      <c r="C66" s="15" t="str">
        <f>IFERROR(INDEX('Formulación PDN 2027'!$N$7:$N$506,MATCH(ROW()-5,'Formulación PDN 2027'!$AK$7:$AK$506,0))&amp;"","")</f>
        <v/>
      </c>
      <c r="D66" s="15" t="str">
        <f>IFERROR(INDEX('Formulación PDN 2027'!$L$7:$L$506,MATCH(ROW()-5,'Formulación PDN 2027'!$AK$7:$AK$506,0))&amp;"","")</f>
        <v/>
      </c>
      <c r="E66" s="15" t="str">
        <f>IFERROR(MATCH(INDEX('Formulación PDN 2027'!$O$7:$O$506,MATCH(ROW()-5,'Formulación PDN 2027'!$AK$7:$AK$506,0)),L_MESES,0),"")</f>
        <v/>
      </c>
      <c r="F66" s="15" t="str">
        <f>IFERROR(MATCH(INDEX('Formulación PDN 2027'!$P$7:$P$506,MATCH(ROW()-5,'Formulación PDN 2027'!$AK$7:$AK$506,0)),L_MESES,0),"")</f>
        <v/>
      </c>
      <c r="G66" s="15" t="str">
        <f>IFERROR(INDEX('Formulación PDN 2027'!$Q$7:$Q$506,MATCH(ROW()-5,'Formulación PDN 2027'!$AK$7:$AK$506,0)),"")</f>
        <v/>
      </c>
      <c r="H66" s="15" t="str">
        <f>IFERROR(INDEX('Formulación PDN 2027'!$R$7:$R$506,MATCH(ROW()-5,'Formulación PDN 2027'!$AK$7:$AK$506,0))&amp;"","")</f>
        <v/>
      </c>
      <c r="I66" s="15" t="str">
        <f>IFERROR(INDEX('Formulación PDN 2027'!$S$7:$S$506,MATCH(ROW()-5,'Formulación PDN 2027'!$AK$7:$AK$506,0))&amp;"","")</f>
        <v/>
      </c>
      <c r="J66" s="15" t="str">
        <f>IFERROR(INDEX('Formulación PDN 2027'!$T$7:$T$506,MATCH(ROW()-5,'Formulación PDN 2027'!$AK$7:$AK$506,0))&amp;"","")</f>
        <v/>
      </c>
      <c r="K66" s="43" t="str">
        <f>IFERROR(INDEX('Formulación PDN 2027'!$W$7:$W$506,MATCH(ROW()-5,'Formulación PDN 2027'!$AK$7:$AK$506,0)),"")</f>
        <v/>
      </c>
      <c r="L66" s="43" t="str">
        <f>IFERROR(INDEX('Formulación PDN 2027'!$X$7:$X$506,MATCH(ROW()-5,'Formulación PDN 2027'!$AK$7:$AK$506,0)),"")</f>
        <v/>
      </c>
      <c r="M66" s="15" t="str">
        <f>IFERROR(INDEX('Formulación PDN 2027'!$Y$7:$Y$506,MATCH(ROW()-5,'Formulación PDN 2027'!$AK$7:$AK$506,0))&amp;"","")</f>
        <v/>
      </c>
      <c r="N66" s="15" t="str">
        <f>IFERROR(INDEX('Formulación PDN 2027'!$Z$7:$Z$506,MATCH(ROW()-5,'Formulación PDN 2027'!$AK$7:$AK$506,0))&amp;"","")</f>
        <v/>
      </c>
      <c r="O66" s="15"/>
      <c r="P66" s="15" t="str">
        <f>IFERROR(INDEX('Formulación PDN 2027'!$AA$7:$AA$506,MATCH(ROW()-5,'Formulación PDN 2027'!$AK$7:$AK$506,0))&amp;"","")</f>
        <v/>
      </c>
      <c r="Q66" s="15" t="str">
        <f>IFERROR(INDEX('Formulación PDN 2027'!$AB$7:$AB$506,MATCH(ROW()-5,'Formulación PDN 2027'!$AK$7:$AK$506,0))&amp;"","")</f>
        <v/>
      </c>
      <c r="R66" s="15" t="str">
        <f>IFERROR(INDEX('Formulación PDN 2027'!$AD$7:$AD$506,MATCH(ROW()-5,'Formulación PDN 2027'!$AK$7:$AK$506,0))&amp;"","")</f>
        <v/>
      </c>
      <c r="S66" s="15" t="str">
        <f>IFERROR(INDEX('Formulación PDN 2027'!$AE$7:$AE$506,MATCH(ROW()-5,'Formulación PDN 2027'!$AK$7:$AK$506,0))&amp;"","")</f>
        <v/>
      </c>
      <c r="T66" s="15" t="str">
        <f>IFERROR(INDEX('Formulación PDN 2027'!$C$7:$C$506,MATCH(ROW()-5,'Formulación PDN 2027'!$AK$7:$AK$506,0))&amp;"","")</f>
        <v/>
      </c>
      <c r="U66" s="15" t="str">
        <f>IFERROR(INDEX('Formulación PDN 2027'!$B$7:$B$506,MATCH(ROW()-5,'Formulación PDN 2027'!$AK$7:$AK$506,0))&amp;"","")</f>
        <v/>
      </c>
      <c r="V66" s="15" t="str">
        <f>IFERROR(LEFT(INDEX('Formulación PDN 2027'!$E$7:$E$506,MATCH(ROW()-5,'Formulación PDN 2027'!$AK$7:$AK$506,0)),7),"")</f>
        <v/>
      </c>
      <c r="W66" s="15" t="str">
        <f>IFERROR(INDEX('Formulación PDN 2027'!$H$7:$H$506,MATCH(ROW()-5,'Formulación PDN 2027'!$AK$7:$AK$506,0))&amp;"","")</f>
        <v/>
      </c>
      <c r="X66" s="15" t="str">
        <f>IFERROR(INDEX('Formulación PDN 2027'!$U$7:$U$506,MATCH(ROW()-5,'Formulación PDN 2027'!$AK$7:$AK$506,0))&amp;"","")</f>
        <v/>
      </c>
      <c r="Y66" s="15" t="str">
        <f>IFERROR(INDEX('Formulación PDN 2027'!$AH$7:$AH$506,MATCH(ROW()-5,'Formulación PDN 2027'!$AK$7:$AK$506,0))&amp;"","")</f>
        <v/>
      </c>
    </row>
    <row r="67" spans="1:25" x14ac:dyDescent="0.3">
      <c r="A67" s="15" t="str">
        <f>IFERROR(INDEX('Formulación PDN 2027'!$A$7:$A$506,MATCH(ROW()-5,'Formulación PDN 2027'!$AK$7:$AK$506,0))&amp;"","")</f>
        <v/>
      </c>
      <c r="B67" s="20" t="str">
        <f>IFERROR(INDEX('Formulación PDN 2027'!$M$7:$M$506,MATCH(ROW()-5,'Formulación PDN 2027'!$AK$7:$AK$506,0)),"")</f>
        <v/>
      </c>
      <c r="C67" s="15" t="str">
        <f>IFERROR(INDEX('Formulación PDN 2027'!$N$7:$N$506,MATCH(ROW()-5,'Formulación PDN 2027'!$AK$7:$AK$506,0))&amp;"","")</f>
        <v/>
      </c>
      <c r="D67" s="15" t="str">
        <f>IFERROR(INDEX('Formulación PDN 2027'!$L$7:$L$506,MATCH(ROW()-5,'Formulación PDN 2027'!$AK$7:$AK$506,0))&amp;"","")</f>
        <v/>
      </c>
      <c r="E67" s="15" t="str">
        <f>IFERROR(MATCH(INDEX('Formulación PDN 2027'!$O$7:$O$506,MATCH(ROW()-5,'Formulación PDN 2027'!$AK$7:$AK$506,0)),L_MESES,0),"")</f>
        <v/>
      </c>
      <c r="F67" s="15" t="str">
        <f>IFERROR(MATCH(INDEX('Formulación PDN 2027'!$P$7:$P$506,MATCH(ROW()-5,'Formulación PDN 2027'!$AK$7:$AK$506,0)),L_MESES,0),"")</f>
        <v/>
      </c>
      <c r="G67" s="15" t="str">
        <f>IFERROR(INDEX('Formulación PDN 2027'!$Q$7:$Q$506,MATCH(ROW()-5,'Formulación PDN 2027'!$AK$7:$AK$506,0)),"")</f>
        <v/>
      </c>
      <c r="H67" s="15" t="str">
        <f>IFERROR(INDEX('Formulación PDN 2027'!$R$7:$R$506,MATCH(ROW()-5,'Formulación PDN 2027'!$AK$7:$AK$506,0))&amp;"","")</f>
        <v/>
      </c>
      <c r="I67" s="15" t="str">
        <f>IFERROR(INDEX('Formulación PDN 2027'!$S$7:$S$506,MATCH(ROW()-5,'Formulación PDN 2027'!$AK$7:$AK$506,0))&amp;"","")</f>
        <v/>
      </c>
      <c r="J67" s="15" t="str">
        <f>IFERROR(INDEX('Formulación PDN 2027'!$T$7:$T$506,MATCH(ROW()-5,'Formulación PDN 2027'!$AK$7:$AK$506,0))&amp;"","")</f>
        <v/>
      </c>
      <c r="K67" s="43" t="str">
        <f>IFERROR(INDEX('Formulación PDN 2027'!$W$7:$W$506,MATCH(ROW()-5,'Formulación PDN 2027'!$AK$7:$AK$506,0)),"")</f>
        <v/>
      </c>
      <c r="L67" s="43" t="str">
        <f>IFERROR(INDEX('Formulación PDN 2027'!$X$7:$X$506,MATCH(ROW()-5,'Formulación PDN 2027'!$AK$7:$AK$506,0)),"")</f>
        <v/>
      </c>
      <c r="M67" s="15" t="str">
        <f>IFERROR(INDEX('Formulación PDN 2027'!$Y$7:$Y$506,MATCH(ROW()-5,'Formulación PDN 2027'!$AK$7:$AK$506,0))&amp;"","")</f>
        <v/>
      </c>
      <c r="N67" s="15" t="str">
        <f>IFERROR(INDEX('Formulación PDN 2027'!$Z$7:$Z$506,MATCH(ROW()-5,'Formulación PDN 2027'!$AK$7:$AK$506,0))&amp;"","")</f>
        <v/>
      </c>
      <c r="O67" s="15"/>
      <c r="P67" s="15" t="str">
        <f>IFERROR(INDEX('Formulación PDN 2027'!$AA$7:$AA$506,MATCH(ROW()-5,'Formulación PDN 2027'!$AK$7:$AK$506,0))&amp;"","")</f>
        <v/>
      </c>
      <c r="Q67" s="15" t="str">
        <f>IFERROR(INDEX('Formulación PDN 2027'!$AB$7:$AB$506,MATCH(ROW()-5,'Formulación PDN 2027'!$AK$7:$AK$506,0))&amp;"","")</f>
        <v/>
      </c>
      <c r="R67" s="15" t="str">
        <f>IFERROR(INDEX('Formulación PDN 2027'!$AD$7:$AD$506,MATCH(ROW()-5,'Formulación PDN 2027'!$AK$7:$AK$506,0))&amp;"","")</f>
        <v/>
      </c>
      <c r="S67" s="15" t="str">
        <f>IFERROR(INDEX('Formulación PDN 2027'!$AE$7:$AE$506,MATCH(ROW()-5,'Formulación PDN 2027'!$AK$7:$AK$506,0))&amp;"","")</f>
        <v/>
      </c>
      <c r="T67" s="15" t="str">
        <f>IFERROR(INDEX('Formulación PDN 2027'!$C$7:$C$506,MATCH(ROW()-5,'Formulación PDN 2027'!$AK$7:$AK$506,0))&amp;"","")</f>
        <v/>
      </c>
      <c r="U67" s="15" t="str">
        <f>IFERROR(INDEX('Formulación PDN 2027'!$B$7:$B$506,MATCH(ROW()-5,'Formulación PDN 2027'!$AK$7:$AK$506,0))&amp;"","")</f>
        <v/>
      </c>
      <c r="V67" s="15" t="str">
        <f>IFERROR(LEFT(INDEX('Formulación PDN 2027'!$E$7:$E$506,MATCH(ROW()-5,'Formulación PDN 2027'!$AK$7:$AK$506,0)),7),"")</f>
        <v/>
      </c>
      <c r="W67" s="15" t="str">
        <f>IFERROR(INDEX('Formulación PDN 2027'!$H$7:$H$506,MATCH(ROW()-5,'Formulación PDN 2027'!$AK$7:$AK$506,0))&amp;"","")</f>
        <v/>
      </c>
      <c r="X67" s="15" t="str">
        <f>IFERROR(INDEX('Formulación PDN 2027'!$U$7:$U$506,MATCH(ROW()-5,'Formulación PDN 2027'!$AK$7:$AK$506,0))&amp;"","")</f>
        <v/>
      </c>
      <c r="Y67" s="15" t="str">
        <f>IFERROR(INDEX('Formulación PDN 2027'!$AH$7:$AH$506,MATCH(ROW()-5,'Formulación PDN 2027'!$AK$7:$AK$506,0))&amp;"","")</f>
        <v/>
      </c>
    </row>
    <row r="68" spans="1:25" x14ac:dyDescent="0.3">
      <c r="A68" s="15" t="str">
        <f>IFERROR(INDEX('Formulación PDN 2027'!$A$7:$A$506,MATCH(ROW()-5,'Formulación PDN 2027'!$AK$7:$AK$506,0))&amp;"","")</f>
        <v/>
      </c>
      <c r="B68" s="20" t="str">
        <f>IFERROR(INDEX('Formulación PDN 2027'!$M$7:$M$506,MATCH(ROW()-5,'Formulación PDN 2027'!$AK$7:$AK$506,0)),"")</f>
        <v/>
      </c>
      <c r="C68" s="15" t="str">
        <f>IFERROR(INDEX('Formulación PDN 2027'!$N$7:$N$506,MATCH(ROW()-5,'Formulación PDN 2027'!$AK$7:$AK$506,0))&amp;"","")</f>
        <v/>
      </c>
      <c r="D68" s="15" t="str">
        <f>IFERROR(INDEX('Formulación PDN 2027'!$L$7:$L$506,MATCH(ROW()-5,'Formulación PDN 2027'!$AK$7:$AK$506,0))&amp;"","")</f>
        <v/>
      </c>
      <c r="E68" s="15" t="str">
        <f>IFERROR(MATCH(INDEX('Formulación PDN 2027'!$O$7:$O$506,MATCH(ROW()-5,'Formulación PDN 2027'!$AK$7:$AK$506,0)),L_MESES,0),"")</f>
        <v/>
      </c>
      <c r="F68" s="15" t="str">
        <f>IFERROR(MATCH(INDEX('Formulación PDN 2027'!$P$7:$P$506,MATCH(ROW()-5,'Formulación PDN 2027'!$AK$7:$AK$506,0)),L_MESES,0),"")</f>
        <v/>
      </c>
      <c r="G68" s="15" t="str">
        <f>IFERROR(INDEX('Formulación PDN 2027'!$Q$7:$Q$506,MATCH(ROW()-5,'Formulación PDN 2027'!$AK$7:$AK$506,0)),"")</f>
        <v/>
      </c>
      <c r="H68" s="15" t="str">
        <f>IFERROR(INDEX('Formulación PDN 2027'!$R$7:$R$506,MATCH(ROW()-5,'Formulación PDN 2027'!$AK$7:$AK$506,0))&amp;"","")</f>
        <v/>
      </c>
      <c r="I68" s="15" t="str">
        <f>IFERROR(INDEX('Formulación PDN 2027'!$S$7:$S$506,MATCH(ROW()-5,'Formulación PDN 2027'!$AK$7:$AK$506,0))&amp;"","")</f>
        <v/>
      </c>
      <c r="J68" s="15" t="str">
        <f>IFERROR(INDEX('Formulación PDN 2027'!$T$7:$T$506,MATCH(ROW()-5,'Formulación PDN 2027'!$AK$7:$AK$506,0))&amp;"","")</f>
        <v/>
      </c>
      <c r="K68" s="43" t="str">
        <f>IFERROR(INDEX('Formulación PDN 2027'!$W$7:$W$506,MATCH(ROW()-5,'Formulación PDN 2027'!$AK$7:$AK$506,0)),"")</f>
        <v/>
      </c>
      <c r="L68" s="43" t="str">
        <f>IFERROR(INDEX('Formulación PDN 2027'!$X$7:$X$506,MATCH(ROW()-5,'Formulación PDN 2027'!$AK$7:$AK$506,0)),"")</f>
        <v/>
      </c>
      <c r="M68" s="15" t="str">
        <f>IFERROR(INDEX('Formulación PDN 2027'!$Y$7:$Y$506,MATCH(ROW()-5,'Formulación PDN 2027'!$AK$7:$AK$506,0))&amp;"","")</f>
        <v/>
      </c>
      <c r="N68" s="15" t="str">
        <f>IFERROR(INDEX('Formulación PDN 2027'!$Z$7:$Z$506,MATCH(ROW()-5,'Formulación PDN 2027'!$AK$7:$AK$506,0))&amp;"","")</f>
        <v/>
      </c>
      <c r="O68" s="15"/>
      <c r="P68" s="15" t="str">
        <f>IFERROR(INDEX('Formulación PDN 2027'!$AA$7:$AA$506,MATCH(ROW()-5,'Formulación PDN 2027'!$AK$7:$AK$506,0))&amp;"","")</f>
        <v/>
      </c>
      <c r="Q68" s="15" t="str">
        <f>IFERROR(INDEX('Formulación PDN 2027'!$AB$7:$AB$506,MATCH(ROW()-5,'Formulación PDN 2027'!$AK$7:$AK$506,0))&amp;"","")</f>
        <v/>
      </c>
      <c r="R68" s="15" t="str">
        <f>IFERROR(INDEX('Formulación PDN 2027'!$AD$7:$AD$506,MATCH(ROW()-5,'Formulación PDN 2027'!$AK$7:$AK$506,0))&amp;"","")</f>
        <v/>
      </c>
      <c r="S68" s="15" t="str">
        <f>IFERROR(INDEX('Formulación PDN 2027'!$AE$7:$AE$506,MATCH(ROW()-5,'Formulación PDN 2027'!$AK$7:$AK$506,0))&amp;"","")</f>
        <v/>
      </c>
      <c r="T68" s="15" t="str">
        <f>IFERROR(INDEX('Formulación PDN 2027'!$C$7:$C$506,MATCH(ROW()-5,'Formulación PDN 2027'!$AK$7:$AK$506,0))&amp;"","")</f>
        <v/>
      </c>
      <c r="U68" s="15" t="str">
        <f>IFERROR(INDEX('Formulación PDN 2027'!$B$7:$B$506,MATCH(ROW()-5,'Formulación PDN 2027'!$AK$7:$AK$506,0))&amp;"","")</f>
        <v/>
      </c>
      <c r="V68" s="15" t="str">
        <f>IFERROR(LEFT(INDEX('Formulación PDN 2027'!$E$7:$E$506,MATCH(ROW()-5,'Formulación PDN 2027'!$AK$7:$AK$506,0)),7),"")</f>
        <v/>
      </c>
      <c r="W68" s="15" t="str">
        <f>IFERROR(INDEX('Formulación PDN 2027'!$H$7:$H$506,MATCH(ROW()-5,'Formulación PDN 2027'!$AK$7:$AK$506,0))&amp;"","")</f>
        <v/>
      </c>
      <c r="X68" s="15" t="str">
        <f>IFERROR(INDEX('Formulación PDN 2027'!$U$7:$U$506,MATCH(ROW()-5,'Formulación PDN 2027'!$AK$7:$AK$506,0))&amp;"","")</f>
        <v/>
      </c>
      <c r="Y68" s="15" t="str">
        <f>IFERROR(INDEX('Formulación PDN 2027'!$AH$7:$AH$506,MATCH(ROW()-5,'Formulación PDN 2027'!$AK$7:$AK$506,0))&amp;"","")</f>
        <v/>
      </c>
    </row>
    <row r="69" spans="1:25" x14ac:dyDescent="0.3">
      <c r="A69" s="15" t="str">
        <f>IFERROR(INDEX('Formulación PDN 2027'!$A$7:$A$506,MATCH(ROW()-5,'Formulación PDN 2027'!$AK$7:$AK$506,0))&amp;"","")</f>
        <v/>
      </c>
      <c r="B69" s="20" t="str">
        <f>IFERROR(INDEX('Formulación PDN 2027'!$M$7:$M$506,MATCH(ROW()-5,'Formulación PDN 2027'!$AK$7:$AK$506,0)),"")</f>
        <v/>
      </c>
      <c r="C69" s="15" t="str">
        <f>IFERROR(INDEX('Formulación PDN 2027'!$N$7:$N$506,MATCH(ROW()-5,'Formulación PDN 2027'!$AK$7:$AK$506,0))&amp;"","")</f>
        <v/>
      </c>
      <c r="D69" s="15" t="str">
        <f>IFERROR(INDEX('Formulación PDN 2027'!$L$7:$L$506,MATCH(ROW()-5,'Formulación PDN 2027'!$AK$7:$AK$506,0))&amp;"","")</f>
        <v/>
      </c>
      <c r="E69" s="15" t="str">
        <f>IFERROR(MATCH(INDEX('Formulación PDN 2027'!$O$7:$O$506,MATCH(ROW()-5,'Formulación PDN 2027'!$AK$7:$AK$506,0)),L_MESES,0),"")</f>
        <v/>
      </c>
      <c r="F69" s="15" t="str">
        <f>IFERROR(MATCH(INDEX('Formulación PDN 2027'!$P$7:$P$506,MATCH(ROW()-5,'Formulación PDN 2027'!$AK$7:$AK$506,0)),L_MESES,0),"")</f>
        <v/>
      </c>
      <c r="G69" s="15" t="str">
        <f>IFERROR(INDEX('Formulación PDN 2027'!$Q$7:$Q$506,MATCH(ROW()-5,'Formulación PDN 2027'!$AK$7:$AK$506,0)),"")</f>
        <v/>
      </c>
      <c r="H69" s="15" t="str">
        <f>IFERROR(INDEX('Formulación PDN 2027'!$R$7:$R$506,MATCH(ROW()-5,'Formulación PDN 2027'!$AK$7:$AK$506,0))&amp;"","")</f>
        <v/>
      </c>
      <c r="I69" s="15" t="str">
        <f>IFERROR(INDEX('Formulación PDN 2027'!$S$7:$S$506,MATCH(ROW()-5,'Formulación PDN 2027'!$AK$7:$AK$506,0))&amp;"","")</f>
        <v/>
      </c>
      <c r="J69" s="15" t="str">
        <f>IFERROR(INDEX('Formulación PDN 2027'!$T$7:$T$506,MATCH(ROW()-5,'Formulación PDN 2027'!$AK$7:$AK$506,0))&amp;"","")</f>
        <v/>
      </c>
      <c r="K69" s="43" t="str">
        <f>IFERROR(INDEX('Formulación PDN 2027'!$W$7:$W$506,MATCH(ROW()-5,'Formulación PDN 2027'!$AK$7:$AK$506,0)),"")</f>
        <v/>
      </c>
      <c r="L69" s="43" t="str">
        <f>IFERROR(INDEX('Formulación PDN 2027'!$X$7:$X$506,MATCH(ROW()-5,'Formulación PDN 2027'!$AK$7:$AK$506,0)),"")</f>
        <v/>
      </c>
      <c r="M69" s="15" t="str">
        <f>IFERROR(INDEX('Formulación PDN 2027'!$Y$7:$Y$506,MATCH(ROW()-5,'Formulación PDN 2027'!$AK$7:$AK$506,0))&amp;"","")</f>
        <v/>
      </c>
      <c r="N69" s="15" t="str">
        <f>IFERROR(INDEX('Formulación PDN 2027'!$Z$7:$Z$506,MATCH(ROW()-5,'Formulación PDN 2027'!$AK$7:$AK$506,0))&amp;"","")</f>
        <v/>
      </c>
      <c r="O69" s="15"/>
      <c r="P69" s="15" t="str">
        <f>IFERROR(INDEX('Formulación PDN 2027'!$AA$7:$AA$506,MATCH(ROW()-5,'Formulación PDN 2027'!$AK$7:$AK$506,0))&amp;"","")</f>
        <v/>
      </c>
      <c r="Q69" s="15" t="str">
        <f>IFERROR(INDEX('Formulación PDN 2027'!$AB$7:$AB$506,MATCH(ROW()-5,'Formulación PDN 2027'!$AK$7:$AK$506,0))&amp;"","")</f>
        <v/>
      </c>
      <c r="R69" s="15" t="str">
        <f>IFERROR(INDEX('Formulación PDN 2027'!$AD$7:$AD$506,MATCH(ROW()-5,'Formulación PDN 2027'!$AK$7:$AK$506,0))&amp;"","")</f>
        <v/>
      </c>
      <c r="S69" s="15" t="str">
        <f>IFERROR(INDEX('Formulación PDN 2027'!$AE$7:$AE$506,MATCH(ROW()-5,'Formulación PDN 2027'!$AK$7:$AK$506,0))&amp;"","")</f>
        <v/>
      </c>
      <c r="T69" s="15" t="str">
        <f>IFERROR(INDEX('Formulación PDN 2027'!$C$7:$C$506,MATCH(ROW()-5,'Formulación PDN 2027'!$AK$7:$AK$506,0))&amp;"","")</f>
        <v/>
      </c>
      <c r="U69" s="15" t="str">
        <f>IFERROR(INDEX('Formulación PDN 2027'!$B$7:$B$506,MATCH(ROW()-5,'Formulación PDN 2027'!$AK$7:$AK$506,0))&amp;"","")</f>
        <v/>
      </c>
      <c r="V69" s="15" t="str">
        <f>IFERROR(LEFT(INDEX('Formulación PDN 2027'!$E$7:$E$506,MATCH(ROW()-5,'Formulación PDN 2027'!$AK$7:$AK$506,0)),7),"")</f>
        <v/>
      </c>
      <c r="W69" s="15" t="str">
        <f>IFERROR(INDEX('Formulación PDN 2027'!$H$7:$H$506,MATCH(ROW()-5,'Formulación PDN 2027'!$AK$7:$AK$506,0))&amp;"","")</f>
        <v/>
      </c>
      <c r="X69" s="15" t="str">
        <f>IFERROR(INDEX('Formulación PDN 2027'!$U$7:$U$506,MATCH(ROW()-5,'Formulación PDN 2027'!$AK$7:$AK$506,0))&amp;"","")</f>
        <v/>
      </c>
      <c r="Y69" s="15" t="str">
        <f>IFERROR(INDEX('Formulación PDN 2027'!$AH$7:$AH$506,MATCH(ROW()-5,'Formulación PDN 2027'!$AK$7:$AK$506,0))&amp;"","")</f>
        <v/>
      </c>
    </row>
    <row r="70" spans="1:25" x14ac:dyDescent="0.3">
      <c r="A70" s="15" t="str">
        <f>IFERROR(INDEX('Formulación PDN 2027'!$A$7:$A$506,MATCH(ROW()-5,'Formulación PDN 2027'!$AK$7:$AK$506,0))&amp;"","")</f>
        <v/>
      </c>
      <c r="B70" s="20" t="str">
        <f>IFERROR(INDEX('Formulación PDN 2027'!$M$7:$M$506,MATCH(ROW()-5,'Formulación PDN 2027'!$AK$7:$AK$506,0)),"")</f>
        <v/>
      </c>
      <c r="C70" s="15" t="str">
        <f>IFERROR(INDEX('Formulación PDN 2027'!$N$7:$N$506,MATCH(ROW()-5,'Formulación PDN 2027'!$AK$7:$AK$506,0))&amp;"","")</f>
        <v/>
      </c>
      <c r="D70" s="15" t="str">
        <f>IFERROR(INDEX('Formulación PDN 2027'!$L$7:$L$506,MATCH(ROW()-5,'Formulación PDN 2027'!$AK$7:$AK$506,0))&amp;"","")</f>
        <v/>
      </c>
      <c r="E70" s="15" t="str">
        <f>IFERROR(MATCH(INDEX('Formulación PDN 2027'!$O$7:$O$506,MATCH(ROW()-5,'Formulación PDN 2027'!$AK$7:$AK$506,0)),L_MESES,0),"")</f>
        <v/>
      </c>
      <c r="F70" s="15" t="str">
        <f>IFERROR(MATCH(INDEX('Formulación PDN 2027'!$P$7:$P$506,MATCH(ROW()-5,'Formulación PDN 2027'!$AK$7:$AK$506,0)),L_MESES,0),"")</f>
        <v/>
      </c>
      <c r="G70" s="15" t="str">
        <f>IFERROR(INDEX('Formulación PDN 2027'!$Q$7:$Q$506,MATCH(ROW()-5,'Formulación PDN 2027'!$AK$7:$AK$506,0)),"")</f>
        <v/>
      </c>
      <c r="H70" s="15" t="str">
        <f>IFERROR(INDEX('Formulación PDN 2027'!$R$7:$R$506,MATCH(ROW()-5,'Formulación PDN 2027'!$AK$7:$AK$506,0))&amp;"","")</f>
        <v/>
      </c>
      <c r="I70" s="15" t="str">
        <f>IFERROR(INDEX('Formulación PDN 2027'!$S$7:$S$506,MATCH(ROW()-5,'Formulación PDN 2027'!$AK$7:$AK$506,0))&amp;"","")</f>
        <v/>
      </c>
      <c r="J70" s="15" t="str">
        <f>IFERROR(INDEX('Formulación PDN 2027'!$T$7:$T$506,MATCH(ROW()-5,'Formulación PDN 2027'!$AK$7:$AK$506,0))&amp;"","")</f>
        <v/>
      </c>
      <c r="K70" s="43" t="str">
        <f>IFERROR(INDEX('Formulación PDN 2027'!$W$7:$W$506,MATCH(ROW()-5,'Formulación PDN 2027'!$AK$7:$AK$506,0)),"")</f>
        <v/>
      </c>
      <c r="L70" s="43" t="str">
        <f>IFERROR(INDEX('Formulación PDN 2027'!$X$7:$X$506,MATCH(ROW()-5,'Formulación PDN 2027'!$AK$7:$AK$506,0)),"")</f>
        <v/>
      </c>
      <c r="M70" s="15" t="str">
        <f>IFERROR(INDEX('Formulación PDN 2027'!$Y$7:$Y$506,MATCH(ROW()-5,'Formulación PDN 2027'!$AK$7:$AK$506,0))&amp;"","")</f>
        <v/>
      </c>
      <c r="N70" s="15" t="str">
        <f>IFERROR(INDEX('Formulación PDN 2027'!$Z$7:$Z$506,MATCH(ROW()-5,'Formulación PDN 2027'!$AK$7:$AK$506,0))&amp;"","")</f>
        <v/>
      </c>
      <c r="O70" s="15"/>
      <c r="P70" s="15" t="str">
        <f>IFERROR(INDEX('Formulación PDN 2027'!$AA$7:$AA$506,MATCH(ROW()-5,'Formulación PDN 2027'!$AK$7:$AK$506,0))&amp;"","")</f>
        <v/>
      </c>
      <c r="Q70" s="15" t="str">
        <f>IFERROR(INDEX('Formulación PDN 2027'!$AB$7:$AB$506,MATCH(ROW()-5,'Formulación PDN 2027'!$AK$7:$AK$506,0))&amp;"","")</f>
        <v/>
      </c>
      <c r="R70" s="15" t="str">
        <f>IFERROR(INDEX('Formulación PDN 2027'!$AD$7:$AD$506,MATCH(ROW()-5,'Formulación PDN 2027'!$AK$7:$AK$506,0))&amp;"","")</f>
        <v/>
      </c>
      <c r="S70" s="15" t="str">
        <f>IFERROR(INDEX('Formulación PDN 2027'!$AE$7:$AE$506,MATCH(ROW()-5,'Formulación PDN 2027'!$AK$7:$AK$506,0))&amp;"","")</f>
        <v/>
      </c>
      <c r="T70" s="15" t="str">
        <f>IFERROR(INDEX('Formulación PDN 2027'!$C$7:$C$506,MATCH(ROW()-5,'Formulación PDN 2027'!$AK$7:$AK$506,0))&amp;"","")</f>
        <v/>
      </c>
      <c r="U70" s="15" t="str">
        <f>IFERROR(INDEX('Formulación PDN 2027'!$B$7:$B$506,MATCH(ROW()-5,'Formulación PDN 2027'!$AK$7:$AK$506,0))&amp;"","")</f>
        <v/>
      </c>
      <c r="V70" s="15" t="str">
        <f>IFERROR(LEFT(INDEX('Formulación PDN 2027'!$E$7:$E$506,MATCH(ROW()-5,'Formulación PDN 2027'!$AK$7:$AK$506,0)),7),"")</f>
        <v/>
      </c>
      <c r="W70" s="15" t="str">
        <f>IFERROR(INDEX('Formulación PDN 2027'!$H$7:$H$506,MATCH(ROW()-5,'Formulación PDN 2027'!$AK$7:$AK$506,0))&amp;"","")</f>
        <v/>
      </c>
      <c r="X70" s="15" t="str">
        <f>IFERROR(INDEX('Formulación PDN 2027'!$U$7:$U$506,MATCH(ROW()-5,'Formulación PDN 2027'!$AK$7:$AK$506,0))&amp;"","")</f>
        <v/>
      </c>
      <c r="Y70" s="15" t="str">
        <f>IFERROR(INDEX('Formulación PDN 2027'!$AH$7:$AH$506,MATCH(ROW()-5,'Formulación PDN 2027'!$AK$7:$AK$506,0))&amp;"","")</f>
        <v/>
      </c>
    </row>
    <row r="71" spans="1:25" x14ac:dyDescent="0.3">
      <c r="A71" s="15" t="str">
        <f>IFERROR(INDEX('Formulación PDN 2027'!$A$7:$A$506,MATCH(ROW()-5,'Formulación PDN 2027'!$AK$7:$AK$506,0))&amp;"","")</f>
        <v/>
      </c>
      <c r="B71" s="20" t="str">
        <f>IFERROR(INDEX('Formulación PDN 2027'!$M$7:$M$506,MATCH(ROW()-5,'Formulación PDN 2027'!$AK$7:$AK$506,0)),"")</f>
        <v/>
      </c>
      <c r="C71" s="15" t="str">
        <f>IFERROR(INDEX('Formulación PDN 2027'!$N$7:$N$506,MATCH(ROW()-5,'Formulación PDN 2027'!$AK$7:$AK$506,0))&amp;"","")</f>
        <v/>
      </c>
      <c r="D71" s="15" t="str">
        <f>IFERROR(INDEX('Formulación PDN 2027'!$L$7:$L$506,MATCH(ROW()-5,'Formulación PDN 2027'!$AK$7:$AK$506,0))&amp;"","")</f>
        <v/>
      </c>
      <c r="E71" s="15" t="str">
        <f>IFERROR(MATCH(INDEX('Formulación PDN 2027'!$O$7:$O$506,MATCH(ROW()-5,'Formulación PDN 2027'!$AK$7:$AK$506,0)),L_MESES,0),"")</f>
        <v/>
      </c>
      <c r="F71" s="15" t="str">
        <f>IFERROR(MATCH(INDEX('Formulación PDN 2027'!$P$7:$P$506,MATCH(ROW()-5,'Formulación PDN 2027'!$AK$7:$AK$506,0)),L_MESES,0),"")</f>
        <v/>
      </c>
      <c r="G71" s="15" t="str">
        <f>IFERROR(INDEX('Formulación PDN 2027'!$Q$7:$Q$506,MATCH(ROW()-5,'Formulación PDN 2027'!$AK$7:$AK$506,0)),"")</f>
        <v/>
      </c>
      <c r="H71" s="15" t="str">
        <f>IFERROR(INDEX('Formulación PDN 2027'!$R$7:$R$506,MATCH(ROW()-5,'Formulación PDN 2027'!$AK$7:$AK$506,0))&amp;"","")</f>
        <v/>
      </c>
      <c r="I71" s="15" t="str">
        <f>IFERROR(INDEX('Formulación PDN 2027'!$S$7:$S$506,MATCH(ROW()-5,'Formulación PDN 2027'!$AK$7:$AK$506,0))&amp;"","")</f>
        <v/>
      </c>
      <c r="J71" s="15" t="str">
        <f>IFERROR(INDEX('Formulación PDN 2027'!$T$7:$T$506,MATCH(ROW()-5,'Formulación PDN 2027'!$AK$7:$AK$506,0))&amp;"","")</f>
        <v/>
      </c>
      <c r="K71" s="43" t="str">
        <f>IFERROR(INDEX('Formulación PDN 2027'!$W$7:$W$506,MATCH(ROW()-5,'Formulación PDN 2027'!$AK$7:$AK$506,0)),"")</f>
        <v/>
      </c>
      <c r="L71" s="43" t="str">
        <f>IFERROR(INDEX('Formulación PDN 2027'!$X$7:$X$506,MATCH(ROW()-5,'Formulación PDN 2027'!$AK$7:$AK$506,0)),"")</f>
        <v/>
      </c>
      <c r="M71" s="15" t="str">
        <f>IFERROR(INDEX('Formulación PDN 2027'!$Y$7:$Y$506,MATCH(ROW()-5,'Formulación PDN 2027'!$AK$7:$AK$506,0))&amp;"","")</f>
        <v/>
      </c>
      <c r="N71" s="15" t="str">
        <f>IFERROR(INDEX('Formulación PDN 2027'!$Z$7:$Z$506,MATCH(ROW()-5,'Formulación PDN 2027'!$AK$7:$AK$506,0))&amp;"","")</f>
        <v/>
      </c>
      <c r="O71" s="15"/>
      <c r="P71" s="15" t="str">
        <f>IFERROR(INDEX('Formulación PDN 2027'!$AA$7:$AA$506,MATCH(ROW()-5,'Formulación PDN 2027'!$AK$7:$AK$506,0))&amp;"","")</f>
        <v/>
      </c>
      <c r="Q71" s="15" t="str">
        <f>IFERROR(INDEX('Formulación PDN 2027'!$AB$7:$AB$506,MATCH(ROW()-5,'Formulación PDN 2027'!$AK$7:$AK$506,0))&amp;"","")</f>
        <v/>
      </c>
      <c r="R71" s="15" t="str">
        <f>IFERROR(INDEX('Formulación PDN 2027'!$AD$7:$AD$506,MATCH(ROW()-5,'Formulación PDN 2027'!$AK$7:$AK$506,0))&amp;"","")</f>
        <v/>
      </c>
      <c r="S71" s="15" t="str">
        <f>IFERROR(INDEX('Formulación PDN 2027'!$AE$7:$AE$506,MATCH(ROW()-5,'Formulación PDN 2027'!$AK$7:$AK$506,0))&amp;"","")</f>
        <v/>
      </c>
      <c r="T71" s="15" t="str">
        <f>IFERROR(INDEX('Formulación PDN 2027'!$C$7:$C$506,MATCH(ROW()-5,'Formulación PDN 2027'!$AK$7:$AK$506,0))&amp;"","")</f>
        <v/>
      </c>
      <c r="U71" s="15" t="str">
        <f>IFERROR(INDEX('Formulación PDN 2027'!$B$7:$B$506,MATCH(ROW()-5,'Formulación PDN 2027'!$AK$7:$AK$506,0))&amp;"","")</f>
        <v/>
      </c>
      <c r="V71" s="15" t="str">
        <f>IFERROR(LEFT(INDEX('Formulación PDN 2027'!$E$7:$E$506,MATCH(ROW()-5,'Formulación PDN 2027'!$AK$7:$AK$506,0)),7),"")</f>
        <v/>
      </c>
      <c r="W71" s="15" t="str">
        <f>IFERROR(INDEX('Formulación PDN 2027'!$H$7:$H$506,MATCH(ROW()-5,'Formulación PDN 2027'!$AK$7:$AK$506,0))&amp;"","")</f>
        <v/>
      </c>
      <c r="X71" s="15" t="str">
        <f>IFERROR(INDEX('Formulación PDN 2027'!$U$7:$U$506,MATCH(ROW()-5,'Formulación PDN 2027'!$AK$7:$AK$506,0))&amp;"","")</f>
        <v/>
      </c>
      <c r="Y71" s="15" t="str">
        <f>IFERROR(INDEX('Formulación PDN 2027'!$AH$7:$AH$506,MATCH(ROW()-5,'Formulación PDN 2027'!$AK$7:$AK$506,0))&amp;"","")</f>
        <v/>
      </c>
    </row>
    <row r="72" spans="1:25" x14ac:dyDescent="0.3">
      <c r="A72" s="15" t="str">
        <f>IFERROR(INDEX('Formulación PDN 2027'!$A$7:$A$506,MATCH(ROW()-5,'Formulación PDN 2027'!$AK$7:$AK$506,0))&amp;"","")</f>
        <v/>
      </c>
      <c r="B72" s="20" t="str">
        <f>IFERROR(INDEX('Formulación PDN 2027'!$M$7:$M$506,MATCH(ROW()-5,'Formulación PDN 2027'!$AK$7:$AK$506,0)),"")</f>
        <v/>
      </c>
      <c r="C72" s="15" t="str">
        <f>IFERROR(INDEX('Formulación PDN 2027'!$N$7:$N$506,MATCH(ROW()-5,'Formulación PDN 2027'!$AK$7:$AK$506,0))&amp;"","")</f>
        <v/>
      </c>
      <c r="D72" s="15" t="str">
        <f>IFERROR(INDEX('Formulación PDN 2027'!$L$7:$L$506,MATCH(ROW()-5,'Formulación PDN 2027'!$AK$7:$AK$506,0))&amp;"","")</f>
        <v/>
      </c>
      <c r="E72" s="15" t="str">
        <f>IFERROR(MATCH(INDEX('Formulación PDN 2027'!$O$7:$O$506,MATCH(ROW()-5,'Formulación PDN 2027'!$AK$7:$AK$506,0)),L_MESES,0),"")</f>
        <v/>
      </c>
      <c r="F72" s="15" t="str">
        <f>IFERROR(MATCH(INDEX('Formulación PDN 2027'!$P$7:$P$506,MATCH(ROW()-5,'Formulación PDN 2027'!$AK$7:$AK$506,0)),L_MESES,0),"")</f>
        <v/>
      </c>
      <c r="G72" s="15" t="str">
        <f>IFERROR(INDEX('Formulación PDN 2027'!$Q$7:$Q$506,MATCH(ROW()-5,'Formulación PDN 2027'!$AK$7:$AK$506,0)),"")</f>
        <v/>
      </c>
      <c r="H72" s="15" t="str">
        <f>IFERROR(INDEX('Formulación PDN 2027'!$R$7:$R$506,MATCH(ROW()-5,'Formulación PDN 2027'!$AK$7:$AK$506,0))&amp;"","")</f>
        <v/>
      </c>
      <c r="I72" s="15" t="str">
        <f>IFERROR(INDEX('Formulación PDN 2027'!$S$7:$S$506,MATCH(ROW()-5,'Formulación PDN 2027'!$AK$7:$AK$506,0))&amp;"","")</f>
        <v/>
      </c>
      <c r="J72" s="15" t="str">
        <f>IFERROR(INDEX('Formulación PDN 2027'!$T$7:$T$506,MATCH(ROW()-5,'Formulación PDN 2027'!$AK$7:$AK$506,0))&amp;"","")</f>
        <v/>
      </c>
      <c r="K72" s="43" t="str">
        <f>IFERROR(INDEX('Formulación PDN 2027'!$W$7:$W$506,MATCH(ROW()-5,'Formulación PDN 2027'!$AK$7:$AK$506,0)),"")</f>
        <v/>
      </c>
      <c r="L72" s="43" t="str">
        <f>IFERROR(INDEX('Formulación PDN 2027'!$X$7:$X$506,MATCH(ROW()-5,'Formulación PDN 2027'!$AK$7:$AK$506,0)),"")</f>
        <v/>
      </c>
      <c r="M72" s="15" t="str">
        <f>IFERROR(INDEX('Formulación PDN 2027'!$Y$7:$Y$506,MATCH(ROW()-5,'Formulación PDN 2027'!$AK$7:$AK$506,0))&amp;"","")</f>
        <v/>
      </c>
      <c r="N72" s="15" t="str">
        <f>IFERROR(INDEX('Formulación PDN 2027'!$Z$7:$Z$506,MATCH(ROW()-5,'Formulación PDN 2027'!$AK$7:$AK$506,0))&amp;"","")</f>
        <v/>
      </c>
      <c r="O72" s="15"/>
      <c r="P72" s="15" t="str">
        <f>IFERROR(INDEX('Formulación PDN 2027'!$AA$7:$AA$506,MATCH(ROW()-5,'Formulación PDN 2027'!$AK$7:$AK$506,0))&amp;"","")</f>
        <v/>
      </c>
      <c r="Q72" s="15" t="str">
        <f>IFERROR(INDEX('Formulación PDN 2027'!$AB$7:$AB$506,MATCH(ROW()-5,'Formulación PDN 2027'!$AK$7:$AK$506,0))&amp;"","")</f>
        <v/>
      </c>
      <c r="R72" s="15" t="str">
        <f>IFERROR(INDEX('Formulación PDN 2027'!$AD$7:$AD$506,MATCH(ROW()-5,'Formulación PDN 2027'!$AK$7:$AK$506,0))&amp;"","")</f>
        <v/>
      </c>
      <c r="S72" s="15" t="str">
        <f>IFERROR(INDEX('Formulación PDN 2027'!$AE$7:$AE$506,MATCH(ROW()-5,'Formulación PDN 2027'!$AK$7:$AK$506,0))&amp;"","")</f>
        <v/>
      </c>
      <c r="T72" s="15" t="str">
        <f>IFERROR(INDEX('Formulación PDN 2027'!$C$7:$C$506,MATCH(ROW()-5,'Formulación PDN 2027'!$AK$7:$AK$506,0))&amp;"","")</f>
        <v/>
      </c>
      <c r="U72" s="15" t="str">
        <f>IFERROR(INDEX('Formulación PDN 2027'!$B$7:$B$506,MATCH(ROW()-5,'Formulación PDN 2027'!$AK$7:$AK$506,0))&amp;"","")</f>
        <v/>
      </c>
      <c r="V72" s="15" t="str">
        <f>IFERROR(LEFT(INDEX('Formulación PDN 2027'!$E$7:$E$506,MATCH(ROW()-5,'Formulación PDN 2027'!$AK$7:$AK$506,0)),7),"")</f>
        <v/>
      </c>
      <c r="W72" s="15" t="str">
        <f>IFERROR(INDEX('Formulación PDN 2027'!$H$7:$H$506,MATCH(ROW()-5,'Formulación PDN 2027'!$AK$7:$AK$506,0))&amp;"","")</f>
        <v/>
      </c>
      <c r="X72" s="15" t="str">
        <f>IFERROR(INDEX('Formulación PDN 2027'!$U$7:$U$506,MATCH(ROW()-5,'Formulación PDN 2027'!$AK$7:$AK$506,0))&amp;"","")</f>
        <v/>
      </c>
      <c r="Y72" s="15" t="str">
        <f>IFERROR(INDEX('Formulación PDN 2027'!$AH$7:$AH$506,MATCH(ROW()-5,'Formulación PDN 2027'!$AK$7:$AK$506,0))&amp;"","")</f>
        <v/>
      </c>
    </row>
    <row r="73" spans="1:25" x14ac:dyDescent="0.3">
      <c r="A73" s="15" t="str">
        <f>IFERROR(INDEX('Formulación PDN 2027'!$A$7:$A$506,MATCH(ROW()-5,'Formulación PDN 2027'!$AK$7:$AK$506,0))&amp;"","")</f>
        <v/>
      </c>
      <c r="B73" s="20" t="str">
        <f>IFERROR(INDEX('Formulación PDN 2027'!$M$7:$M$506,MATCH(ROW()-5,'Formulación PDN 2027'!$AK$7:$AK$506,0)),"")</f>
        <v/>
      </c>
      <c r="C73" s="15" t="str">
        <f>IFERROR(INDEX('Formulación PDN 2027'!$N$7:$N$506,MATCH(ROW()-5,'Formulación PDN 2027'!$AK$7:$AK$506,0))&amp;"","")</f>
        <v/>
      </c>
      <c r="D73" s="15" t="str">
        <f>IFERROR(INDEX('Formulación PDN 2027'!$L$7:$L$506,MATCH(ROW()-5,'Formulación PDN 2027'!$AK$7:$AK$506,0))&amp;"","")</f>
        <v/>
      </c>
      <c r="E73" s="15" t="str">
        <f>IFERROR(MATCH(INDEX('Formulación PDN 2027'!$O$7:$O$506,MATCH(ROW()-5,'Formulación PDN 2027'!$AK$7:$AK$506,0)),L_MESES,0),"")</f>
        <v/>
      </c>
      <c r="F73" s="15" t="str">
        <f>IFERROR(MATCH(INDEX('Formulación PDN 2027'!$P$7:$P$506,MATCH(ROW()-5,'Formulación PDN 2027'!$AK$7:$AK$506,0)),L_MESES,0),"")</f>
        <v/>
      </c>
      <c r="G73" s="15" t="str">
        <f>IFERROR(INDEX('Formulación PDN 2027'!$Q$7:$Q$506,MATCH(ROW()-5,'Formulación PDN 2027'!$AK$7:$AK$506,0)),"")</f>
        <v/>
      </c>
      <c r="H73" s="15" t="str">
        <f>IFERROR(INDEX('Formulación PDN 2027'!$R$7:$R$506,MATCH(ROW()-5,'Formulación PDN 2027'!$AK$7:$AK$506,0))&amp;"","")</f>
        <v/>
      </c>
      <c r="I73" s="15" t="str">
        <f>IFERROR(INDEX('Formulación PDN 2027'!$S$7:$S$506,MATCH(ROW()-5,'Formulación PDN 2027'!$AK$7:$AK$506,0))&amp;"","")</f>
        <v/>
      </c>
      <c r="J73" s="15" t="str">
        <f>IFERROR(INDEX('Formulación PDN 2027'!$T$7:$T$506,MATCH(ROW()-5,'Formulación PDN 2027'!$AK$7:$AK$506,0))&amp;"","")</f>
        <v/>
      </c>
      <c r="K73" s="43" t="str">
        <f>IFERROR(INDEX('Formulación PDN 2027'!$W$7:$W$506,MATCH(ROW()-5,'Formulación PDN 2027'!$AK$7:$AK$506,0)),"")</f>
        <v/>
      </c>
      <c r="L73" s="43" t="str">
        <f>IFERROR(INDEX('Formulación PDN 2027'!$X$7:$X$506,MATCH(ROW()-5,'Formulación PDN 2027'!$AK$7:$AK$506,0)),"")</f>
        <v/>
      </c>
      <c r="M73" s="15" t="str">
        <f>IFERROR(INDEX('Formulación PDN 2027'!$Y$7:$Y$506,MATCH(ROW()-5,'Formulación PDN 2027'!$AK$7:$AK$506,0))&amp;"","")</f>
        <v/>
      </c>
      <c r="N73" s="15" t="str">
        <f>IFERROR(INDEX('Formulación PDN 2027'!$Z$7:$Z$506,MATCH(ROW()-5,'Formulación PDN 2027'!$AK$7:$AK$506,0))&amp;"","")</f>
        <v/>
      </c>
      <c r="O73" s="15"/>
      <c r="P73" s="15" t="str">
        <f>IFERROR(INDEX('Formulación PDN 2027'!$AA$7:$AA$506,MATCH(ROW()-5,'Formulación PDN 2027'!$AK$7:$AK$506,0))&amp;"","")</f>
        <v/>
      </c>
      <c r="Q73" s="15" t="str">
        <f>IFERROR(INDEX('Formulación PDN 2027'!$AB$7:$AB$506,MATCH(ROW()-5,'Formulación PDN 2027'!$AK$7:$AK$506,0))&amp;"","")</f>
        <v/>
      </c>
      <c r="R73" s="15" t="str">
        <f>IFERROR(INDEX('Formulación PDN 2027'!$AD$7:$AD$506,MATCH(ROW()-5,'Formulación PDN 2027'!$AK$7:$AK$506,0))&amp;"","")</f>
        <v/>
      </c>
      <c r="S73" s="15" t="str">
        <f>IFERROR(INDEX('Formulación PDN 2027'!$AE$7:$AE$506,MATCH(ROW()-5,'Formulación PDN 2027'!$AK$7:$AK$506,0))&amp;"","")</f>
        <v/>
      </c>
      <c r="T73" s="15" t="str">
        <f>IFERROR(INDEX('Formulación PDN 2027'!$C$7:$C$506,MATCH(ROW()-5,'Formulación PDN 2027'!$AK$7:$AK$506,0))&amp;"","")</f>
        <v/>
      </c>
      <c r="U73" s="15" t="str">
        <f>IFERROR(INDEX('Formulación PDN 2027'!$B$7:$B$506,MATCH(ROW()-5,'Formulación PDN 2027'!$AK$7:$AK$506,0))&amp;"","")</f>
        <v/>
      </c>
      <c r="V73" s="15" t="str">
        <f>IFERROR(LEFT(INDEX('Formulación PDN 2027'!$E$7:$E$506,MATCH(ROW()-5,'Formulación PDN 2027'!$AK$7:$AK$506,0)),7),"")</f>
        <v/>
      </c>
      <c r="W73" s="15" t="str">
        <f>IFERROR(INDEX('Formulación PDN 2027'!$H$7:$H$506,MATCH(ROW()-5,'Formulación PDN 2027'!$AK$7:$AK$506,0))&amp;"","")</f>
        <v/>
      </c>
      <c r="X73" s="15" t="str">
        <f>IFERROR(INDEX('Formulación PDN 2027'!$U$7:$U$506,MATCH(ROW()-5,'Formulación PDN 2027'!$AK$7:$AK$506,0))&amp;"","")</f>
        <v/>
      </c>
      <c r="Y73" s="15" t="str">
        <f>IFERROR(INDEX('Formulación PDN 2027'!$AH$7:$AH$506,MATCH(ROW()-5,'Formulación PDN 2027'!$AK$7:$AK$506,0))&amp;"","")</f>
        <v/>
      </c>
    </row>
    <row r="74" spans="1:25" x14ac:dyDescent="0.3">
      <c r="A74" s="15" t="str">
        <f>IFERROR(INDEX('Formulación PDN 2027'!$A$7:$A$506,MATCH(ROW()-5,'Formulación PDN 2027'!$AK$7:$AK$506,0))&amp;"","")</f>
        <v/>
      </c>
      <c r="B74" s="20" t="str">
        <f>IFERROR(INDEX('Formulación PDN 2027'!$M$7:$M$506,MATCH(ROW()-5,'Formulación PDN 2027'!$AK$7:$AK$506,0)),"")</f>
        <v/>
      </c>
      <c r="C74" s="15" t="str">
        <f>IFERROR(INDEX('Formulación PDN 2027'!$N$7:$N$506,MATCH(ROW()-5,'Formulación PDN 2027'!$AK$7:$AK$506,0))&amp;"","")</f>
        <v/>
      </c>
      <c r="D74" s="15" t="str">
        <f>IFERROR(INDEX('Formulación PDN 2027'!$L$7:$L$506,MATCH(ROW()-5,'Formulación PDN 2027'!$AK$7:$AK$506,0))&amp;"","")</f>
        <v/>
      </c>
      <c r="E74" s="15" t="str">
        <f>IFERROR(MATCH(INDEX('Formulación PDN 2027'!$O$7:$O$506,MATCH(ROW()-5,'Formulación PDN 2027'!$AK$7:$AK$506,0)),L_MESES,0),"")</f>
        <v/>
      </c>
      <c r="F74" s="15" t="str">
        <f>IFERROR(MATCH(INDEX('Formulación PDN 2027'!$P$7:$P$506,MATCH(ROW()-5,'Formulación PDN 2027'!$AK$7:$AK$506,0)),L_MESES,0),"")</f>
        <v/>
      </c>
      <c r="G74" s="15" t="str">
        <f>IFERROR(INDEX('Formulación PDN 2027'!$Q$7:$Q$506,MATCH(ROW()-5,'Formulación PDN 2027'!$AK$7:$AK$506,0)),"")</f>
        <v/>
      </c>
      <c r="H74" s="15" t="str">
        <f>IFERROR(INDEX('Formulación PDN 2027'!$R$7:$R$506,MATCH(ROW()-5,'Formulación PDN 2027'!$AK$7:$AK$506,0))&amp;"","")</f>
        <v/>
      </c>
      <c r="I74" s="15" t="str">
        <f>IFERROR(INDEX('Formulación PDN 2027'!$S$7:$S$506,MATCH(ROW()-5,'Formulación PDN 2027'!$AK$7:$AK$506,0))&amp;"","")</f>
        <v/>
      </c>
      <c r="J74" s="15" t="str">
        <f>IFERROR(INDEX('Formulación PDN 2027'!$T$7:$T$506,MATCH(ROW()-5,'Formulación PDN 2027'!$AK$7:$AK$506,0))&amp;"","")</f>
        <v/>
      </c>
      <c r="K74" s="43" t="str">
        <f>IFERROR(INDEX('Formulación PDN 2027'!$W$7:$W$506,MATCH(ROW()-5,'Formulación PDN 2027'!$AK$7:$AK$506,0)),"")</f>
        <v/>
      </c>
      <c r="L74" s="43" t="str">
        <f>IFERROR(INDEX('Formulación PDN 2027'!$X$7:$X$506,MATCH(ROW()-5,'Formulación PDN 2027'!$AK$7:$AK$506,0)),"")</f>
        <v/>
      </c>
      <c r="M74" s="15" t="str">
        <f>IFERROR(INDEX('Formulación PDN 2027'!$Y$7:$Y$506,MATCH(ROW()-5,'Formulación PDN 2027'!$AK$7:$AK$506,0))&amp;"","")</f>
        <v/>
      </c>
      <c r="N74" s="15" t="str">
        <f>IFERROR(INDEX('Formulación PDN 2027'!$Z$7:$Z$506,MATCH(ROW()-5,'Formulación PDN 2027'!$AK$7:$AK$506,0))&amp;"","")</f>
        <v/>
      </c>
      <c r="O74" s="15"/>
      <c r="P74" s="15" t="str">
        <f>IFERROR(INDEX('Formulación PDN 2027'!$AA$7:$AA$506,MATCH(ROW()-5,'Formulación PDN 2027'!$AK$7:$AK$506,0))&amp;"","")</f>
        <v/>
      </c>
      <c r="Q74" s="15" t="str">
        <f>IFERROR(INDEX('Formulación PDN 2027'!$AB$7:$AB$506,MATCH(ROW()-5,'Formulación PDN 2027'!$AK$7:$AK$506,0))&amp;"","")</f>
        <v/>
      </c>
      <c r="R74" s="15" t="str">
        <f>IFERROR(INDEX('Formulación PDN 2027'!$AD$7:$AD$506,MATCH(ROW()-5,'Formulación PDN 2027'!$AK$7:$AK$506,0))&amp;"","")</f>
        <v/>
      </c>
      <c r="S74" s="15" t="str">
        <f>IFERROR(INDEX('Formulación PDN 2027'!$AE$7:$AE$506,MATCH(ROW()-5,'Formulación PDN 2027'!$AK$7:$AK$506,0))&amp;"","")</f>
        <v/>
      </c>
      <c r="T74" s="15" t="str">
        <f>IFERROR(INDEX('Formulación PDN 2027'!$C$7:$C$506,MATCH(ROW()-5,'Formulación PDN 2027'!$AK$7:$AK$506,0))&amp;"","")</f>
        <v/>
      </c>
      <c r="U74" s="15" t="str">
        <f>IFERROR(INDEX('Formulación PDN 2027'!$B$7:$B$506,MATCH(ROW()-5,'Formulación PDN 2027'!$AK$7:$AK$506,0))&amp;"","")</f>
        <v/>
      </c>
      <c r="V74" s="15" t="str">
        <f>IFERROR(LEFT(INDEX('Formulación PDN 2027'!$E$7:$E$506,MATCH(ROW()-5,'Formulación PDN 2027'!$AK$7:$AK$506,0)),7),"")</f>
        <v/>
      </c>
      <c r="W74" s="15" t="str">
        <f>IFERROR(INDEX('Formulación PDN 2027'!$H$7:$H$506,MATCH(ROW()-5,'Formulación PDN 2027'!$AK$7:$AK$506,0))&amp;"","")</f>
        <v/>
      </c>
      <c r="X74" s="15" t="str">
        <f>IFERROR(INDEX('Formulación PDN 2027'!$U$7:$U$506,MATCH(ROW()-5,'Formulación PDN 2027'!$AK$7:$AK$506,0))&amp;"","")</f>
        <v/>
      </c>
      <c r="Y74" s="15" t="str">
        <f>IFERROR(INDEX('Formulación PDN 2027'!$AH$7:$AH$506,MATCH(ROW()-5,'Formulación PDN 2027'!$AK$7:$AK$506,0))&amp;"","")</f>
        <v/>
      </c>
    </row>
    <row r="75" spans="1:25" x14ac:dyDescent="0.3">
      <c r="A75" s="15" t="str">
        <f>IFERROR(INDEX('Formulación PDN 2027'!$A$7:$A$506,MATCH(ROW()-5,'Formulación PDN 2027'!$AK$7:$AK$506,0))&amp;"","")</f>
        <v/>
      </c>
      <c r="B75" s="20" t="str">
        <f>IFERROR(INDEX('Formulación PDN 2027'!$M$7:$M$506,MATCH(ROW()-5,'Formulación PDN 2027'!$AK$7:$AK$506,0)),"")</f>
        <v/>
      </c>
      <c r="C75" s="15" t="str">
        <f>IFERROR(INDEX('Formulación PDN 2027'!$N$7:$N$506,MATCH(ROW()-5,'Formulación PDN 2027'!$AK$7:$AK$506,0))&amp;"","")</f>
        <v/>
      </c>
      <c r="D75" s="15" t="str">
        <f>IFERROR(INDEX('Formulación PDN 2027'!$L$7:$L$506,MATCH(ROW()-5,'Formulación PDN 2027'!$AK$7:$AK$506,0))&amp;"","")</f>
        <v/>
      </c>
      <c r="E75" s="15" t="str">
        <f>IFERROR(MATCH(INDEX('Formulación PDN 2027'!$O$7:$O$506,MATCH(ROW()-5,'Formulación PDN 2027'!$AK$7:$AK$506,0)),L_MESES,0),"")</f>
        <v/>
      </c>
      <c r="F75" s="15" t="str">
        <f>IFERROR(MATCH(INDEX('Formulación PDN 2027'!$P$7:$P$506,MATCH(ROW()-5,'Formulación PDN 2027'!$AK$7:$AK$506,0)),L_MESES,0),"")</f>
        <v/>
      </c>
      <c r="G75" s="15" t="str">
        <f>IFERROR(INDEX('Formulación PDN 2027'!$Q$7:$Q$506,MATCH(ROW()-5,'Formulación PDN 2027'!$AK$7:$AK$506,0)),"")</f>
        <v/>
      </c>
      <c r="H75" s="15" t="str">
        <f>IFERROR(INDEX('Formulación PDN 2027'!$R$7:$R$506,MATCH(ROW()-5,'Formulación PDN 2027'!$AK$7:$AK$506,0))&amp;"","")</f>
        <v/>
      </c>
      <c r="I75" s="15" t="str">
        <f>IFERROR(INDEX('Formulación PDN 2027'!$S$7:$S$506,MATCH(ROW()-5,'Formulación PDN 2027'!$AK$7:$AK$506,0))&amp;"","")</f>
        <v/>
      </c>
      <c r="J75" s="15" t="str">
        <f>IFERROR(INDEX('Formulación PDN 2027'!$T$7:$T$506,MATCH(ROW()-5,'Formulación PDN 2027'!$AK$7:$AK$506,0))&amp;"","")</f>
        <v/>
      </c>
      <c r="K75" s="43" t="str">
        <f>IFERROR(INDEX('Formulación PDN 2027'!$W$7:$W$506,MATCH(ROW()-5,'Formulación PDN 2027'!$AK$7:$AK$506,0)),"")</f>
        <v/>
      </c>
      <c r="L75" s="43" t="str">
        <f>IFERROR(INDEX('Formulación PDN 2027'!$X$7:$X$506,MATCH(ROW()-5,'Formulación PDN 2027'!$AK$7:$AK$506,0)),"")</f>
        <v/>
      </c>
      <c r="M75" s="15" t="str">
        <f>IFERROR(INDEX('Formulación PDN 2027'!$Y$7:$Y$506,MATCH(ROW()-5,'Formulación PDN 2027'!$AK$7:$AK$506,0))&amp;"","")</f>
        <v/>
      </c>
      <c r="N75" s="15" t="str">
        <f>IFERROR(INDEX('Formulación PDN 2027'!$Z$7:$Z$506,MATCH(ROW()-5,'Formulación PDN 2027'!$AK$7:$AK$506,0))&amp;"","")</f>
        <v/>
      </c>
      <c r="O75" s="15"/>
      <c r="P75" s="15" t="str">
        <f>IFERROR(INDEX('Formulación PDN 2027'!$AA$7:$AA$506,MATCH(ROW()-5,'Formulación PDN 2027'!$AK$7:$AK$506,0))&amp;"","")</f>
        <v/>
      </c>
      <c r="Q75" s="15" t="str">
        <f>IFERROR(INDEX('Formulación PDN 2027'!$AB$7:$AB$506,MATCH(ROW()-5,'Formulación PDN 2027'!$AK$7:$AK$506,0))&amp;"","")</f>
        <v/>
      </c>
      <c r="R75" s="15" t="str">
        <f>IFERROR(INDEX('Formulación PDN 2027'!$AD$7:$AD$506,MATCH(ROW()-5,'Formulación PDN 2027'!$AK$7:$AK$506,0))&amp;"","")</f>
        <v/>
      </c>
      <c r="S75" s="15" t="str">
        <f>IFERROR(INDEX('Formulación PDN 2027'!$AE$7:$AE$506,MATCH(ROW()-5,'Formulación PDN 2027'!$AK$7:$AK$506,0))&amp;"","")</f>
        <v/>
      </c>
      <c r="T75" s="15" t="str">
        <f>IFERROR(INDEX('Formulación PDN 2027'!$C$7:$C$506,MATCH(ROW()-5,'Formulación PDN 2027'!$AK$7:$AK$506,0))&amp;"","")</f>
        <v/>
      </c>
      <c r="U75" s="15" t="str">
        <f>IFERROR(INDEX('Formulación PDN 2027'!$B$7:$B$506,MATCH(ROW()-5,'Formulación PDN 2027'!$AK$7:$AK$506,0))&amp;"","")</f>
        <v/>
      </c>
      <c r="V75" s="15" t="str">
        <f>IFERROR(LEFT(INDEX('Formulación PDN 2027'!$E$7:$E$506,MATCH(ROW()-5,'Formulación PDN 2027'!$AK$7:$AK$506,0)),7),"")</f>
        <v/>
      </c>
      <c r="W75" s="15" t="str">
        <f>IFERROR(INDEX('Formulación PDN 2027'!$H$7:$H$506,MATCH(ROW()-5,'Formulación PDN 2027'!$AK$7:$AK$506,0))&amp;"","")</f>
        <v/>
      </c>
      <c r="X75" s="15" t="str">
        <f>IFERROR(INDEX('Formulación PDN 2027'!$U$7:$U$506,MATCH(ROW()-5,'Formulación PDN 2027'!$AK$7:$AK$506,0))&amp;"","")</f>
        <v/>
      </c>
      <c r="Y75" s="15" t="str">
        <f>IFERROR(INDEX('Formulación PDN 2027'!$AH$7:$AH$506,MATCH(ROW()-5,'Formulación PDN 2027'!$AK$7:$AK$506,0))&amp;"","")</f>
        <v/>
      </c>
    </row>
    <row r="76" spans="1:25" x14ac:dyDescent="0.3">
      <c r="A76" s="15" t="str">
        <f>IFERROR(INDEX('Formulación PDN 2027'!$A$7:$A$506,MATCH(ROW()-5,'Formulación PDN 2027'!$AK$7:$AK$506,0))&amp;"","")</f>
        <v/>
      </c>
      <c r="B76" s="20" t="str">
        <f>IFERROR(INDEX('Formulación PDN 2027'!$M$7:$M$506,MATCH(ROW()-5,'Formulación PDN 2027'!$AK$7:$AK$506,0)),"")</f>
        <v/>
      </c>
      <c r="C76" s="15" t="str">
        <f>IFERROR(INDEX('Formulación PDN 2027'!$N$7:$N$506,MATCH(ROW()-5,'Formulación PDN 2027'!$AK$7:$AK$506,0))&amp;"","")</f>
        <v/>
      </c>
      <c r="D76" s="15" t="str">
        <f>IFERROR(INDEX('Formulación PDN 2027'!$L$7:$L$506,MATCH(ROW()-5,'Formulación PDN 2027'!$AK$7:$AK$506,0))&amp;"","")</f>
        <v/>
      </c>
      <c r="E76" s="15" t="str">
        <f>IFERROR(MATCH(INDEX('Formulación PDN 2027'!$O$7:$O$506,MATCH(ROW()-5,'Formulación PDN 2027'!$AK$7:$AK$506,0)),L_MESES,0),"")</f>
        <v/>
      </c>
      <c r="F76" s="15" t="str">
        <f>IFERROR(MATCH(INDEX('Formulación PDN 2027'!$P$7:$P$506,MATCH(ROW()-5,'Formulación PDN 2027'!$AK$7:$AK$506,0)),L_MESES,0),"")</f>
        <v/>
      </c>
      <c r="G76" s="15" t="str">
        <f>IFERROR(INDEX('Formulación PDN 2027'!$Q$7:$Q$506,MATCH(ROW()-5,'Formulación PDN 2027'!$AK$7:$AK$506,0)),"")</f>
        <v/>
      </c>
      <c r="H76" s="15" t="str">
        <f>IFERROR(INDEX('Formulación PDN 2027'!$R$7:$R$506,MATCH(ROW()-5,'Formulación PDN 2027'!$AK$7:$AK$506,0))&amp;"","")</f>
        <v/>
      </c>
      <c r="I76" s="15" t="str">
        <f>IFERROR(INDEX('Formulación PDN 2027'!$S$7:$S$506,MATCH(ROW()-5,'Formulación PDN 2027'!$AK$7:$AK$506,0))&amp;"","")</f>
        <v/>
      </c>
      <c r="J76" s="15" t="str">
        <f>IFERROR(INDEX('Formulación PDN 2027'!$T$7:$T$506,MATCH(ROW()-5,'Formulación PDN 2027'!$AK$7:$AK$506,0))&amp;"","")</f>
        <v/>
      </c>
      <c r="K76" s="43" t="str">
        <f>IFERROR(INDEX('Formulación PDN 2027'!$W$7:$W$506,MATCH(ROW()-5,'Formulación PDN 2027'!$AK$7:$AK$506,0)),"")</f>
        <v/>
      </c>
      <c r="L76" s="43" t="str">
        <f>IFERROR(INDEX('Formulación PDN 2027'!$X$7:$X$506,MATCH(ROW()-5,'Formulación PDN 2027'!$AK$7:$AK$506,0)),"")</f>
        <v/>
      </c>
      <c r="M76" s="15" t="str">
        <f>IFERROR(INDEX('Formulación PDN 2027'!$Y$7:$Y$506,MATCH(ROW()-5,'Formulación PDN 2027'!$AK$7:$AK$506,0))&amp;"","")</f>
        <v/>
      </c>
      <c r="N76" s="15" t="str">
        <f>IFERROR(INDEX('Formulación PDN 2027'!$Z$7:$Z$506,MATCH(ROW()-5,'Formulación PDN 2027'!$AK$7:$AK$506,0))&amp;"","")</f>
        <v/>
      </c>
      <c r="O76" s="15"/>
      <c r="P76" s="15" t="str">
        <f>IFERROR(INDEX('Formulación PDN 2027'!$AA$7:$AA$506,MATCH(ROW()-5,'Formulación PDN 2027'!$AK$7:$AK$506,0))&amp;"","")</f>
        <v/>
      </c>
      <c r="Q76" s="15" t="str">
        <f>IFERROR(INDEX('Formulación PDN 2027'!$AB$7:$AB$506,MATCH(ROW()-5,'Formulación PDN 2027'!$AK$7:$AK$506,0))&amp;"","")</f>
        <v/>
      </c>
      <c r="R76" s="15" t="str">
        <f>IFERROR(INDEX('Formulación PDN 2027'!$AD$7:$AD$506,MATCH(ROW()-5,'Formulación PDN 2027'!$AK$7:$AK$506,0))&amp;"","")</f>
        <v/>
      </c>
      <c r="S76" s="15" t="str">
        <f>IFERROR(INDEX('Formulación PDN 2027'!$AE$7:$AE$506,MATCH(ROW()-5,'Formulación PDN 2027'!$AK$7:$AK$506,0))&amp;"","")</f>
        <v/>
      </c>
      <c r="T76" s="15" t="str">
        <f>IFERROR(INDEX('Formulación PDN 2027'!$C$7:$C$506,MATCH(ROW()-5,'Formulación PDN 2027'!$AK$7:$AK$506,0))&amp;"","")</f>
        <v/>
      </c>
      <c r="U76" s="15" t="str">
        <f>IFERROR(INDEX('Formulación PDN 2027'!$B$7:$B$506,MATCH(ROW()-5,'Formulación PDN 2027'!$AK$7:$AK$506,0))&amp;"","")</f>
        <v/>
      </c>
      <c r="V76" s="15" t="str">
        <f>IFERROR(LEFT(INDEX('Formulación PDN 2027'!$E$7:$E$506,MATCH(ROW()-5,'Formulación PDN 2027'!$AK$7:$AK$506,0)),7),"")</f>
        <v/>
      </c>
      <c r="W76" s="15" t="str">
        <f>IFERROR(INDEX('Formulación PDN 2027'!$H$7:$H$506,MATCH(ROW()-5,'Formulación PDN 2027'!$AK$7:$AK$506,0))&amp;"","")</f>
        <v/>
      </c>
      <c r="X76" s="15" t="str">
        <f>IFERROR(INDEX('Formulación PDN 2027'!$U$7:$U$506,MATCH(ROW()-5,'Formulación PDN 2027'!$AK$7:$AK$506,0))&amp;"","")</f>
        <v/>
      </c>
      <c r="Y76" s="15" t="str">
        <f>IFERROR(INDEX('Formulación PDN 2027'!$AH$7:$AH$506,MATCH(ROW()-5,'Formulación PDN 2027'!$AK$7:$AK$506,0))&amp;"","")</f>
        <v/>
      </c>
    </row>
    <row r="77" spans="1:25" x14ac:dyDescent="0.3">
      <c r="A77" s="15" t="str">
        <f>IFERROR(INDEX('Formulación PDN 2027'!$A$7:$A$506,MATCH(ROW()-5,'Formulación PDN 2027'!$AK$7:$AK$506,0))&amp;"","")</f>
        <v/>
      </c>
      <c r="B77" s="20" t="str">
        <f>IFERROR(INDEX('Formulación PDN 2027'!$M$7:$M$506,MATCH(ROW()-5,'Formulación PDN 2027'!$AK$7:$AK$506,0)),"")</f>
        <v/>
      </c>
      <c r="C77" s="15" t="str">
        <f>IFERROR(INDEX('Formulación PDN 2027'!$N$7:$N$506,MATCH(ROW()-5,'Formulación PDN 2027'!$AK$7:$AK$506,0))&amp;"","")</f>
        <v/>
      </c>
      <c r="D77" s="15" t="str">
        <f>IFERROR(INDEX('Formulación PDN 2027'!$L$7:$L$506,MATCH(ROW()-5,'Formulación PDN 2027'!$AK$7:$AK$506,0))&amp;"","")</f>
        <v/>
      </c>
      <c r="E77" s="15" t="str">
        <f>IFERROR(MATCH(INDEX('Formulación PDN 2027'!$O$7:$O$506,MATCH(ROW()-5,'Formulación PDN 2027'!$AK$7:$AK$506,0)),L_MESES,0),"")</f>
        <v/>
      </c>
      <c r="F77" s="15" t="str">
        <f>IFERROR(MATCH(INDEX('Formulación PDN 2027'!$P$7:$P$506,MATCH(ROW()-5,'Formulación PDN 2027'!$AK$7:$AK$506,0)),L_MESES,0),"")</f>
        <v/>
      </c>
      <c r="G77" s="15" t="str">
        <f>IFERROR(INDEX('Formulación PDN 2027'!$Q$7:$Q$506,MATCH(ROW()-5,'Formulación PDN 2027'!$AK$7:$AK$506,0)),"")</f>
        <v/>
      </c>
      <c r="H77" s="15" t="str">
        <f>IFERROR(INDEX('Formulación PDN 2027'!$R$7:$R$506,MATCH(ROW()-5,'Formulación PDN 2027'!$AK$7:$AK$506,0))&amp;"","")</f>
        <v/>
      </c>
      <c r="I77" s="15" t="str">
        <f>IFERROR(INDEX('Formulación PDN 2027'!$S$7:$S$506,MATCH(ROW()-5,'Formulación PDN 2027'!$AK$7:$AK$506,0))&amp;"","")</f>
        <v/>
      </c>
      <c r="J77" s="15" t="str">
        <f>IFERROR(INDEX('Formulación PDN 2027'!$T$7:$T$506,MATCH(ROW()-5,'Formulación PDN 2027'!$AK$7:$AK$506,0))&amp;"","")</f>
        <v/>
      </c>
      <c r="K77" s="43" t="str">
        <f>IFERROR(INDEX('Formulación PDN 2027'!$W$7:$W$506,MATCH(ROW()-5,'Formulación PDN 2027'!$AK$7:$AK$506,0)),"")</f>
        <v/>
      </c>
      <c r="L77" s="43" t="str">
        <f>IFERROR(INDEX('Formulación PDN 2027'!$X$7:$X$506,MATCH(ROW()-5,'Formulación PDN 2027'!$AK$7:$AK$506,0)),"")</f>
        <v/>
      </c>
      <c r="M77" s="15" t="str">
        <f>IFERROR(INDEX('Formulación PDN 2027'!$Y$7:$Y$506,MATCH(ROW()-5,'Formulación PDN 2027'!$AK$7:$AK$506,0))&amp;"","")</f>
        <v/>
      </c>
      <c r="N77" s="15" t="str">
        <f>IFERROR(INDEX('Formulación PDN 2027'!$Z$7:$Z$506,MATCH(ROW()-5,'Formulación PDN 2027'!$AK$7:$AK$506,0))&amp;"","")</f>
        <v/>
      </c>
      <c r="O77" s="15"/>
      <c r="P77" s="15" t="str">
        <f>IFERROR(INDEX('Formulación PDN 2027'!$AA$7:$AA$506,MATCH(ROW()-5,'Formulación PDN 2027'!$AK$7:$AK$506,0))&amp;"","")</f>
        <v/>
      </c>
      <c r="Q77" s="15" t="str">
        <f>IFERROR(INDEX('Formulación PDN 2027'!$AB$7:$AB$506,MATCH(ROW()-5,'Formulación PDN 2027'!$AK$7:$AK$506,0))&amp;"","")</f>
        <v/>
      </c>
      <c r="R77" s="15" t="str">
        <f>IFERROR(INDEX('Formulación PDN 2027'!$AD$7:$AD$506,MATCH(ROW()-5,'Formulación PDN 2027'!$AK$7:$AK$506,0))&amp;"","")</f>
        <v/>
      </c>
      <c r="S77" s="15" t="str">
        <f>IFERROR(INDEX('Formulación PDN 2027'!$AE$7:$AE$506,MATCH(ROW()-5,'Formulación PDN 2027'!$AK$7:$AK$506,0))&amp;"","")</f>
        <v/>
      </c>
      <c r="T77" s="15" t="str">
        <f>IFERROR(INDEX('Formulación PDN 2027'!$C$7:$C$506,MATCH(ROW()-5,'Formulación PDN 2027'!$AK$7:$AK$506,0))&amp;"","")</f>
        <v/>
      </c>
      <c r="U77" s="15" t="str">
        <f>IFERROR(INDEX('Formulación PDN 2027'!$B$7:$B$506,MATCH(ROW()-5,'Formulación PDN 2027'!$AK$7:$AK$506,0))&amp;"","")</f>
        <v/>
      </c>
      <c r="V77" s="15" t="str">
        <f>IFERROR(LEFT(INDEX('Formulación PDN 2027'!$E$7:$E$506,MATCH(ROW()-5,'Formulación PDN 2027'!$AK$7:$AK$506,0)),7),"")</f>
        <v/>
      </c>
      <c r="W77" s="15" t="str">
        <f>IFERROR(INDEX('Formulación PDN 2027'!$H$7:$H$506,MATCH(ROW()-5,'Formulación PDN 2027'!$AK$7:$AK$506,0))&amp;"","")</f>
        <v/>
      </c>
      <c r="X77" s="15" t="str">
        <f>IFERROR(INDEX('Formulación PDN 2027'!$U$7:$U$506,MATCH(ROW()-5,'Formulación PDN 2027'!$AK$7:$AK$506,0))&amp;"","")</f>
        <v/>
      </c>
      <c r="Y77" s="15" t="str">
        <f>IFERROR(INDEX('Formulación PDN 2027'!$AH$7:$AH$506,MATCH(ROW()-5,'Formulación PDN 2027'!$AK$7:$AK$506,0))&amp;"","")</f>
        <v/>
      </c>
    </row>
    <row r="78" spans="1:25" x14ac:dyDescent="0.3">
      <c r="A78" s="15" t="str">
        <f>IFERROR(INDEX('Formulación PDN 2027'!$A$7:$A$506,MATCH(ROW()-5,'Formulación PDN 2027'!$AK$7:$AK$506,0))&amp;"","")</f>
        <v/>
      </c>
      <c r="B78" s="20" t="str">
        <f>IFERROR(INDEX('Formulación PDN 2027'!$M$7:$M$506,MATCH(ROW()-5,'Formulación PDN 2027'!$AK$7:$AK$506,0)),"")</f>
        <v/>
      </c>
      <c r="C78" s="15" t="str">
        <f>IFERROR(INDEX('Formulación PDN 2027'!$N$7:$N$506,MATCH(ROW()-5,'Formulación PDN 2027'!$AK$7:$AK$506,0))&amp;"","")</f>
        <v/>
      </c>
      <c r="D78" s="15" t="str">
        <f>IFERROR(INDEX('Formulación PDN 2027'!$L$7:$L$506,MATCH(ROW()-5,'Formulación PDN 2027'!$AK$7:$AK$506,0))&amp;"","")</f>
        <v/>
      </c>
      <c r="E78" s="15" t="str">
        <f>IFERROR(MATCH(INDEX('Formulación PDN 2027'!$O$7:$O$506,MATCH(ROW()-5,'Formulación PDN 2027'!$AK$7:$AK$506,0)),L_MESES,0),"")</f>
        <v/>
      </c>
      <c r="F78" s="15" t="str">
        <f>IFERROR(MATCH(INDEX('Formulación PDN 2027'!$P$7:$P$506,MATCH(ROW()-5,'Formulación PDN 2027'!$AK$7:$AK$506,0)),L_MESES,0),"")</f>
        <v/>
      </c>
      <c r="G78" s="15" t="str">
        <f>IFERROR(INDEX('Formulación PDN 2027'!$Q$7:$Q$506,MATCH(ROW()-5,'Formulación PDN 2027'!$AK$7:$AK$506,0)),"")</f>
        <v/>
      </c>
      <c r="H78" s="15" t="str">
        <f>IFERROR(INDEX('Formulación PDN 2027'!$R$7:$R$506,MATCH(ROW()-5,'Formulación PDN 2027'!$AK$7:$AK$506,0))&amp;"","")</f>
        <v/>
      </c>
      <c r="I78" s="15" t="str">
        <f>IFERROR(INDEX('Formulación PDN 2027'!$S$7:$S$506,MATCH(ROW()-5,'Formulación PDN 2027'!$AK$7:$AK$506,0))&amp;"","")</f>
        <v/>
      </c>
      <c r="J78" s="15" t="str">
        <f>IFERROR(INDEX('Formulación PDN 2027'!$T$7:$T$506,MATCH(ROW()-5,'Formulación PDN 2027'!$AK$7:$AK$506,0))&amp;"","")</f>
        <v/>
      </c>
      <c r="K78" s="43" t="str">
        <f>IFERROR(INDEX('Formulación PDN 2027'!$W$7:$W$506,MATCH(ROW()-5,'Formulación PDN 2027'!$AK$7:$AK$506,0)),"")</f>
        <v/>
      </c>
      <c r="L78" s="43" t="str">
        <f>IFERROR(INDEX('Formulación PDN 2027'!$X$7:$X$506,MATCH(ROW()-5,'Formulación PDN 2027'!$AK$7:$AK$506,0)),"")</f>
        <v/>
      </c>
      <c r="M78" s="15" t="str">
        <f>IFERROR(INDEX('Formulación PDN 2027'!$Y$7:$Y$506,MATCH(ROW()-5,'Formulación PDN 2027'!$AK$7:$AK$506,0))&amp;"","")</f>
        <v/>
      </c>
      <c r="N78" s="15" t="str">
        <f>IFERROR(INDEX('Formulación PDN 2027'!$Z$7:$Z$506,MATCH(ROW()-5,'Formulación PDN 2027'!$AK$7:$AK$506,0))&amp;"","")</f>
        <v/>
      </c>
      <c r="O78" s="15"/>
      <c r="P78" s="15" t="str">
        <f>IFERROR(INDEX('Formulación PDN 2027'!$AA$7:$AA$506,MATCH(ROW()-5,'Formulación PDN 2027'!$AK$7:$AK$506,0))&amp;"","")</f>
        <v/>
      </c>
      <c r="Q78" s="15" t="str">
        <f>IFERROR(INDEX('Formulación PDN 2027'!$AB$7:$AB$506,MATCH(ROW()-5,'Formulación PDN 2027'!$AK$7:$AK$506,0))&amp;"","")</f>
        <v/>
      </c>
      <c r="R78" s="15" t="str">
        <f>IFERROR(INDEX('Formulación PDN 2027'!$AD$7:$AD$506,MATCH(ROW()-5,'Formulación PDN 2027'!$AK$7:$AK$506,0))&amp;"","")</f>
        <v/>
      </c>
      <c r="S78" s="15" t="str">
        <f>IFERROR(INDEX('Formulación PDN 2027'!$AE$7:$AE$506,MATCH(ROW()-5,'Formulación PDN 2027'!$AK$7:$AK$506,0))&amp;"","")</f>
        <v/>
      </c>
      <c r="T78" s="15" t="str">
        <f>IFERROR(INDEX('Formulación PDN 2027'!$C$7:$C$506,MATCH(ROW()-5,'Formulación PDN 2027'!$AK$7:$AK$506,0))&amp;"","")</f>
        <v/>
      </c>
      <c r="U78" s="15" t="str">
        <f>IFERROR(INDEX('Formulación PDN 2027'!$B$7:$B$506,MATCH(ROW()-5,'Formulación PDN 2027'!$AK$7:$AK$506,0))&amp;"","")</f>
        <v/>
      </c>
      <c r="V78" s="15" t="str">
        <f>IFERROR(LEFT(INDEX('Formulación PDN 2027'!$E$7:$E$506,MATCH(ROW()-5,'Formulación PDN 2027'!$AK$7:$AK$506,0)),7),"")</f>
        <v/>
      </c>
      <c r="W78" s="15" t="str">
        <f>IFERROR(INDEX('Formulación PDN 2027'!$H$7:$H$506,MATCH(ROW()-5,'Formulación PDN 2027'!$AK$7:$AK$506,0))&amp;"","")</f>
        <v/>
      </c>
      <c r="X78" s="15" t="str">
        <f>IFERROR(INDEX('Formulación PDN 2027'!$U$7:$U$506,MATCH(ROW()-5,'Formulación PDN 2027'!$AK$7:$AK$506,0))&amp;"","")</f>
        <v/>
      </c>
      <c r="Y78" s="15" t="str">
        <f>IFERROR(INDEX('Formulación PDN 2027'!$AH$7:$AH$506,MATCH(ROW()-5,'Formulación PDN 2027'!$AK$7:$AK$506,0))&amp;"","")</f>
        <v/>
      </c>
    </row>
    <row r="79" spans="1:25" x14ac:dyDescent="0.3">
      <c r="A79" s="15" t="str">
        <f>IFERROR(INDEX('Formulación PDN 2027'!$A$7:$A$506,MATCH(ROW()-5,'Formulación PDN 2027'!$AK$7:$AK$506,0))&amp;"","")</f>
        <v/>
      </c>
      <c r="B79" s="20" t="str">
        <f>IFERROR(INDEX('Formulación PDN 2027'!$M$7:$M$506,MATCH(ROW()-5,'Formulación PDN 2027'!$AK$7:$AK$506,0)),"")</f>
        <v/>
      </c>
      <c r="C79" s="15" t="str">
        <f>IFERROR(INDEX('Formulación PDN 2027'!$N$7:$N$506,MATCH(ROW()-5,'Formulación PDN 2027'!$AK$7:$AK$506,0))&amp;"","")</f>
        <v/>
      </c>
      <c r="D79" s="15" t="str">
        <f>IFERROR(INDEX('Formulación PDN 2027'!$L$7:$L$506,MATCH(ROW()-5,'Formulación PDN 2027'!$AK$7:$AK$506,0))&amp;"","")</f>
        <v/>
      </c>
      <c r="E79" s="15" t="str">
        <f>IFERROR(MATCH(INDEX('Formulación PDN 2027'!$O$7:$O$506,MATCH(ROW()-5,'Formulación PDN 2027'!$AK$7:$AK$506,0)),L_MESES,0),"")</f>
        <v/>
      </c>
      <c r="F79" s="15" t="str">
        <f>IFERROR(MATCH(INDEX('Formulación PDN 2027'!$P$7:$P$506,MATCH(ROW()-5,'Formulación PDN 2027'!$AK$7:$AK$506,0)),L_MESES,0),"")</f>
        <v/>
      </c>
      <c r="G79" s="15" t="str">
        <f>IFERROR(INDEX('Formulación PDN 2027'!$Q$7:$Q$506,MATCH(ROW()-5,'Formulación PDN 2027'!$AK$7:$AK$506,0)),"")</f>
        <v/>
      </c>
      <c r="H79" s="15" t="str">
        <f>IFERROR(INDEX('Formulación PDN 2027'!$R$7:$R$506,MATCH(ROW()-5,'Formulación PDN 2027'!$AK$7:$AK$506,0))&amp;"","")</f>
        <v/>
      </c>
      <c r="I79" s="15" t="str">
        <f>IFERROR(INDEX('Formulación PDN 2027'!$S$7:$S$506,MATCH(ROW()-5,'Formulación PDN 2027'!$AK$7:$AK$506,0))&amp;"","")</f>
        <v/>
      </c>
      <c r="J79" s="15" t="str">
        <f>IFERROR(INDEX('Formulación PDN 2027'!$T$7:$T$506,MATCH(ROW()-5,'Formulación PDN 2027'!$AK$7:$AK$506,0))&amp;"","")</f>
        <v/>
      </c>
      <c r="K79" s="43" t="str">
        <f>IFERROR(INDEX('Formulación PDN 2027'!$W$7:$W$506,MATCH(ROW()-5,'Formulación PDN 2027'!$AK$7:$AK$506,0)),"")</f>
        <v/>
      </c>
      <c r="L79" s="43" t="str">
        <f>IFERROR(INDEX('Formulación PDN 2027'!$X$7:$X$506,MATCH(ROW()-5,'Formulación PDN 2027'!$AK$7:$AK$506,0)),"")</f>
        <v/>
      </c>
      <c r="M79" s="15" t="str">
        <f>IFERROR(INDEX('Formulación PDN 2027'!$Y$7:$Y$506,MATCH(ROW()-5,'Formulación PDN 2027'!$AK$7:$AK$506,0))&amp;"","")</f>
        <v/>
      </c>
      <c r="N79" s="15" t="str">
        <f>IFERROR(INDEX('Formulación PDN 2027'!$Z$7:$Z$506,MATCH(ROW()-5,'Formulación PDN 2027'!$AK$7:$AK$506,0))&amp;"","")</f>
        <v/>
      </c>
      <c r="O79" s="15"/>
      <c r="P79" s="15" t="str">
        <f>IFERROR(INDEX('Formulación PDN 2027'!$AA$7:$AA$506,MATCH(ROW()-5,'Formulación PDN 2027'!$AK$7:$AK$506,0))&amp;"","")</f>
        <v/>
      </c>
      <c r="Q79" s="15" t="str">
        <f>IFERROR(INDEX('Formulación PDN 2027'!$AB$7:$AB$506,MATCH(ROW()-5,'Formulación PDN 2027'!$AK$7:$AK$506,0))&amp;"","")</f>
        <v/>
      </c>
      <c r="R79" s="15" t="str">
        <f>IFERROR(INDEX('Formulación PDN 2027'!$AD$7:$AD$506,MATCH(ROW()-5,'Formulación PDN 2027'!$AK$7:$AK$506,0))&amp;"","")</f>
        <v/>
      </c>
      <c r="S79" s="15" t="str">
        <f>IFERROR(INDEX('Formulación PDN 2027'!$AE$7:$AE$506,MATCH(ROW()-5,'Formulación PDN 2027'!$AK$7:$AK$506,0))&amp;"","")</f>
        <v/>
      </c>
      <c r="T79" s="15" t="str">
        <f>IFERROR(INDEX('Formulación PDN 2027'!$C$7:$C$506,MATCH(ROW()-5,'Formulación PDN 2027'!$AK$7:$AK$506,0))&amp;"","")</f>
        <v/>
      </c>
      <c r="U79" s="15" t="str">
        <f>IFERROR(INDEX('Formulación PDN 2027'!$B$7:$B$506,MATCH(ROW()-5,'Formulación PDN 2027'!$AK$7:$AK$506,0))&amp;"","")</f>
        <v/>
      </c>
      <c r="V79" s="15" t="str">
        <f>IFERROR(LEFT(INDEX('Formulación PDN 2027'!$E$7:$E$506,MATCH(ROW()-5,'Formulación PDN 2027'!$AK$7:$AK$506,0)),7),"")</f>
        <v/>
      </c>
      <c r="W79" s="15" t="str">
        <f>IFERROR(INDEX('Formulación PDN 2027'!$H$7:$H$506,MATCH(ROW()-5,'Formulación PDN 2027'!$AK$7:$AK$506,0))&amp;"","")</f>
        <v/>
      </c>
      <c r="X79" s="15" t="str">
        <f>IFERROR(INDEX('Formulación PDN 2027'!$U$7:$U$506,MATCH(ROW()-5,'Formulación PDN 2027'!$AK$7:$AK$506,0))&amp;"","")</f>
        <v/>
      </c>
      <c r="Y79" s="15" t="str">
        <f>IFERROR(INDEX('Formulación PDN 2027'!$AH$7:$AH$506,MATCH(ROW()-5,'Formulación PDN 2027'!$AK$7:$AK$506,0))&amp;"","")</f>
        <v/>
      </c>
    </row>
    <row r="80" spans="1:25" x14ac:dyDescent="0.3">
      <c r="A80" s="15" t="str">
        <f>IFERROR(INDEX('Formulación PDN 2027'!$A$7:$A$506,MATCH(ROW()-5,'Formulación PDN 2027'!$AK$7:$AK$506,0))&amp;"","")</f>
        <v/>
      </c>
      <c r="B80" s="20" t="str">
        <f>IFERROR(INDEX('Formulación PDN 2027'!$M$7:$M$506,MATCH(ROW()-5,'Formulación PDN 2027'!$AK$7:$AK$506,0)),"")</f>
        <v/>
      </c>
      <c r="C80" s="15" t="str">
        <f>IFERROR(INDEX('Formulación PDN 2027'!$N$7:$N$506,MATCH(ROW()-5,'Formulación PDN 2027'!$AK$7:$AK$506,0))&amp;"","")</f>
        <v/>
      </c>
      <c r="D80" s="15" t="str">
        <f>IFERROR(INDEX('Formulación PDN 2027'!$L$7:$L$506,MATCH(ROW()-5,'Formulación PDN 2027'!$AK$7:$AK$506,0))&amp;"","")</f>
        <v/>
      </c>
      <c r="E80" s="15" t="str">
        <f>IFERROR(MATCH(INDEX('Formulación PDN 2027'!$O$7:$O$506,MATCH(ROW()-5,'Formulación PDN 2027'!$AK$7:$AK$506,0)),L_MESES,0),"")</f>
        <v/>
      </c>
      <c r="F80" s="15" t="str">
        <f>IFERROR(MATCH(INDEX('Formulación PDN 2027'!$P$7:$P$506,MATCH(ROW()-5,'Formulación PDN 2027'!$AK$7:$AK$506,0)),L_MESES,0),"")</f>
        <v/>
      </c>
      <c r="G80" s="15" t="str">
        <f>IFERROR(INDEX('Formulación PDN 2027'!$Q$7:$Q$506,MATCH(ROW()-5,'Formulación PDN 2027'!$AK$7:$AK$506,0)),"")</f>
        <v/>
      </c>
      <c r="H80" s="15" t="str">
        <f>IFERROR(INDEX('Formulación PDN 2027'!$R$7:$R$506,MATCH(ROW()-5,'Formulación PDN 2027'!$AK$7:$AK$506,0))&amp;"","")</f>
        <v/>
      </c>
      <c r="I80" s="15" t="str">
        <f>IFERROR(INDEX('Formulación PDN 2027'!$S$7:$S$506,MATCH(ROW()-5,'Formulación PDN 2027'!$AK$7:$AK$506,0))&amp;"","")</f>
        <v/>
      </c>
      <c r="J80" s="15" t="str">
        <f>IFERROR(INDEX('Formulación PDN 2027'!$T$7:$T$506,MATCH(ROW()-5,'Formulación PDN 2027'!$AK$7:$AK$506,0))&amp;"","")</f>
        <v/>
      </c>
      <c r="K80" s="43" t="str">
        <f>IFERROR(INDEX('Formulación PDN 2027'!$W$7:$W$506,MATCH(ROW()-5,'Formulación PDN 2027'!$AK$7:$AK$506,0)),"")</f>
        <v/>
      </c>
      <c r="L80" s="43" t="str">
        <f>IFERROR(INDEX('Formulación PDN 2027'!$X$7:$X$506,MATCH(ROW()-5,'Formulación PDN 2027'!$AK$7:$AK$506,0)),"")</f>
        <v/>
      </c>
      <c r="M80" s="15" t="str">
        <f>IFERROR(INDEX('Formulación PDN 2027'!$Y$7:$Y$506,MATCH(ROW()-5,'Formulación PDN 2027'!$AK$7:$AK$506,0))&amp;"","")</f>
        <v/>
      </c>
      <c r="N80" s="15" t="str">
        <f>IFERROR(INDEX('Formulación PDN 2027'!$Z$7:$Z$506,MATCH(ROW()-5,'Formulación PDN 2027'!$AK$7:$AK$506,0))&amp;"","")</f>
        <v/>
      </c>
      <c r="O80" s="15"/>
      <c r="P80" s="15" t="str">
        <f>IFERROR(INDEX('Formulación PDN 2027'!$AA$7:$AA$506,MATCH(ROW()-5,'Formulación PDN 2027'!$AK$7:$AK$506,0))&amp;"","")</f>
        <v/>
      </c>
      <c r="Q80" s="15" t="str">
        <f>IFERROR(INDEX('Formulación PDN 2027'!$AB$7:$AB$506,MATCH(ROW()-5,'Formulación PDN 2027'!$AK$7:$AK$506,0))&amp;"","")</f>
        <v/>
      </c>
      <c r="R80" s="15" t="str">
        <f>IFERROR(INDEX('Formulación PDN 2027'!$AD$7:$AD$506,MATCH(ROW()-5,'Formulación PDN 2027'!$AK$7:$AK$506,0))&amp;"","")</f>
        <v/>
      </c>
      <c r="S80" s="15" t="str">
        <f>IFERROR(INDEX('Formulación PDN 2027'!$AE$7:$AE$506,MATCH(ROW()-5,'Formulación PDN 2027'!$AK$7:$AK$506,0))&amp;"","")</f>
        <v/>
      </c>
      <c r="T80" s="15" t="str">
        <f>IFERROR(INDEX('Formulación PDN 2027'!$C$7:$C$506,MATCH(ROW()-5,'Formulación PDN 2027'!$AK$7:$AK$506,0))&amp;"","")</f>
        <v/>
      </c>
      <c r="U80" s="15" t="str">
        <f>IFERROR(INDEX('Formulación PDN 2027'!$B$7:$B$506,MATCH(ROW()-5,'Formulación PDN 2027'!$AK$7:$AK$506,0))&amp;"","")</f>
        <v/>
      </c>
      <c r="V80" s="15" t="str">
        <f>IFERROR(LEFT(INDEX('Formulación PDN 2027'!$E$7:$E$506,MATCH(ROW()-5,'Formulación PDN 2027'!$AK$7:$AK$506,0)),7),"")</f>
        <v/>
      </c>
      <c r="W80" s="15" t="str">
        <f>IFERROR(INDEX('Formulación PDN 2027'!$H$7:$H$506,MATCH(ROW()-5,'Formulación PDN 2027'!$AK$7:$AK$506,0))&amp;"","")</f>
        <v/>
      </c>
      <c r="X80" s="15" t="str">
        <f>IFERROR(INDEX('Formulación PDN 2027'!$U$7:$U$506,MATCH(ROW()-5,'Formulación PDN 2027'!$AK$7:$AK$506,0))&amp;"","")</f>
        <v/>
      </c>
      <c r="Y80" s="15" t="str">
        <f>IFERROR(INDEX('Formulación PDN 2027'!$AH$7:$AH$506,MATCH(ROW()-5,'Formulación PDN 2027'!$AK$7:$AK$506,0))&amp;"","")</f>
        <v/>
      </c>
    </row>
    <row r="81" spans="1:25" x14ac:dyDescent="0.3">
      <c r="A81" s="15" t="str">
        <f>IFERROR(INDEX('Formulación PDN 2027'!$A$7:$A$506,MATCH(ROW()-5,'Formulación PDN 2027'!$AK$7:$AK$506,0))&amp;"","")</f>
        <v/>
      </c>
      <c r="B81" s="20" t="str">
        <f>IFERROR(INDEX('Formulación PDN 2027'!$M$7:$M$506,MATCH(ROW()-5,'Formulación PDN 2027'!$AK$7:$AK$506,0)),"")</f>
        <v/>
      </c>
      <c r="C81" s="15" t="str">
        <f>IFERROR(INDEX('Formulación PDN 2027'!$N$7:$N$506,MATCH(ROW()-5,'Formulación PDN 2027'!$AK$7:$AK$506,0))&amp;"","")</f>
        <v/>
      </c>
      <c r="D81" s="15" t="str">
        <f>IFERROR(INDEX('Formulación PDN 2027'!$L$7:$L$506,MATCH(ROW()-5,'Formulación PDN 2027'!$AK$7:$AK$506,0))&amp;"","")</f>
        <v/>
      </c>
      <c r="E81" s="15" t="str">
        <f>IFERROR(MATCH(INDEX('Formulación PDN 2027'!$O$7:$O$506,MATCH(ROW()-5,'Formulación PDN 2027'!$AK$7:$AK$506,0)),L_MESES,0),"")</f>
        <v/>
      </c>
      <c r="F81" s="15" t="str">
        <f>IFERROR(MATCH(INDEX('Formulación PDN 2027'!$P$7:$P$506,MATCH(ROW()-5,'Formulación PDN 2027'!$AK$7:$AK$506,0)),L_MESES,0),"")</f>
        <v/>
      </c>
      <c r="G81" s="15" t="str">
        <f>IFERROR(INDEX('Formulación PDN 2027'!$Q$7:$Q$506,MATCH(ROW()-5,'Formulación PDN 2027'!$AK$7:$AK$506,0)),"")</f>
        <v/>
      </c>
      <c r="H81" s="15" t="str">
        <f>IFERROR(INDEX('Formulación PDN 2027'!$R$7:$R$506,MATCH(ROW()-5,'Formulación PDN 2027'!$AK$7:$AK$506,0))&amp;"","")</f>
        <v/>
      </c>
      <c r="I81" s="15" t="str">
        <f>IFERROR(INDEX('Formulación PDN 2027'!$S$7:$S$506,MATCH(ROW()-5,'Formulación PDN 2027'!$AK$7:$AK$506,0))&amp;"","")</f>
        <v/>
      </c>
      <c r="J81" s="15" t="str">
        <f>IFERROR(INDEX('Formulación PDN 2027'!$T$7:$T$506,MATCH(ROW()-5,'Formulación PDN 2027'!$AK$7:$AK$506,0))&amp;"","")</f>
        <v/>
      </c>
      <c r="K81" s="43" t="str">
        <f>IFERROR(INDEX('Formulación PDN 2027'!$W$7:$W$506,MATCH(ROW()-5,'Formulación PDN 2027'!$AK$7:$AK$506,0)),"")</f>
        <v/>
      </c>
      <c r="L81" s="43" t="str">
        <f>IFERROR(INDEX('Formulación PDN 2027'!$X$7:$X$506,MATCH(ROW()-5,'Formulación PDN 2027'!$AK$7:$AK$506,0)),"")</f>
        <v/>
      </c>
      <c r="M81" s="15" t="str">
        <f>IFERROR(INDEX('Formulación PDN 2027'!$Y$7:$Y$506,MATCH(ROW()-5,'Formulación PDN 2027'!$AK$7:$AK$506,0))&amp;"","")</f>
        <v/>
      </c>
      <c r="N81" s="15" t="str">
        <f>IFERROR(INDEX('Formulación PDN 2027'!$Z$7:$Z$506,MATCH(ROW()-5,'Formulación PDN 2027'!$AK$7:$AK$506,0))&amp;"","")</f>
        <v/>
      </c>
      <c r="O81" s="15"/>
      <c r="P81" s="15" t="str">
        <f>IFERROR(INDEX('Formulación PDN 2027'!$AA$7:$AA$506,MATCH(ROW()-5,'Formulación PDN 2027'!$AK$7:$AK$506,0))&amp;"","")</f>
        <v/>
      </c>
      <c r="Q81" s="15" t="str">
        <f>IFERROR(INDEX('Formulación PDN 2027'!$AB$7:$AB$506,MATCH(ROW()-5,'Formulación PDN 2027'!$AK$7:$AK$506,0))&amp;"","")</f>
        <v/>
      </c>
      <c r="R81" s="15" t="str">
        <f>IFERROR(INDEX('Formulación PDN 2027'!$AD$7:$AD$506,MATCH(ROW()-5,'Formulación PDN 2027'!$AK$7:$AK$506,0))&amp;"","")</f>
        <v/>
      </c>
      <c r="S81" s="15" t="str">
        <f>IFERROR(INDEX('Formulación PDN 2027'!$AE$7:$AE$506,MATCH(ROW()-5,'Formulación PDN 2027'!$AK$7:$AK$506,0))&amp;"","")</f>
        <v/>
      </c>
      <c r="T81" s="15" t="str">
        <f>IFERROR(INDEX('Formulación PDN 2027'!$C$7:$C$506,MATCH(ROW()-5,'Formulación PDN 2027'!$AK$7:$AK$506,0))&amp;"","")</f>
        <v/>
      </c>
      <c r="U81" s="15" t="str">
        <f>IFERROR(INDEX('Formulación PDN 2027'!$B$7:$B$506,MATCH(ROW()-5,'Formulación PDN 2027'!$AK$7:$AK$506,0))&amp;"","")</f>
        <v/>
      </c>
      <c r="V81" s="15" t="str">
        <f>IFERROR(LEFT(INDEX('Formulación PDN 2027'!$E$7:$E$506,MATCH(ROW()-5,'Formulación PDN 2027'!$AK$7:$AK$506,0)),7),"")</f>
        <v/>
      </c>
      <c r="W81" s="15" t="str">
        <f>IFERROR(INDEX('Formulación PDN 2027'!$H$7:$H$506,MATCH(ROW()-5,'Formulación PDN 2027'!$AK$7:$AK$506,0))&amp;"","")</f>
        <v/>
      </c>
      <c r="X81" s="15" t="str">
        <f>IFERROR(INDEX('Formulación PDN 2027'!$U$7:$U$506,MATCH(ROW()-5,'Formulación PDN 2027'!$AK$7:$AK$506,0))&amp;"","")</f>
        <v/>
      </c>
      <c r="Y81" s="15" t="str">
        <f>IFERROR(INDEX('Formulación PDN 2027'!$AH$7:$AH$506,MATCH(ROW()-5,'Formulación PDN 2027'!$AK$7:$AK$506,0))&amp;"","")</f>
        <v/>
      </c>
    </row>
    <row r="82" spans="1:25" x14ac:dyDescent="0.3">
      <c r="A82" s="15" t="str">
        <f>IFERROR(INDEX('Formulación PDN 2027'!$A$7:$A$506,MATCH(ROW()-5,'Formulación PDN 2027'!$AK$7:$AK$506,0))&amp;"","")</f>
        <v/>
      </c>
      <c r="B82" s="20" t="str">
        <f>IFERROR(INDEX('Formulación PDN 2027'!$M$7:$M$506,MATCH(ROW()-5,'Formulación PDN 2027'!$AK$7:$AK$506,0)),"")</f>
        <v/>
      </c>
      <c r="C82" s="15" t="str">
        <f>IFERROR(INDEX('Formulación PDN 2027'!$N$7:$N$506,MATCH(ROW()-5,'Formulación PDN 2027'!$AK$7:$AK$506,0))&amp;"","")</f>
        <v/>
      </c>
      <c r="D82" s="15" t="str">
        <f>IFERROR(INDEX('Formulación PDN 2027'!$L$7:$L$506,MATCH(ROW()-5,'Formulación PDN 2027'!$AK$7:$AK$506,0))&amp;"","")</f>
        <v/>
      </c>
      <c r="E82" s="15" t="str">
        <f>IFERROR(MATCH(INDEX('Formulación PDN 2027'!$O$7:$O$506,MATCH(ROW()-5,'Formulación PDN 2027'!$AK$7:$AK$506,0)),L_MESES,0),"")</f>
        <v/>
      </c>
      <c r="F82" s="15" t="str">
        <f>IFERROR(MATCH(INDEX('Formulación PDN 2027'!$P$7:$P$506,MATCH(ROW()-5,'Formulación PDN 2027'!$AK$7:$AK$506,0)),L_MESES,0),"")</f>
        <v/>
      </c>
      <c r="G82" s="15" t="str">
        <f>IFERROR(INDEX('Formulación PDN 2027'!$Q$7:$Q$506,MATCH(ROW()-5,'Formulación PDN 2027'!$AK$7:$AK$506,0)),"")</f>
        <v/>
      </c>
      <c r="H82" s="15" t="str">
        <f>IFERROR(INDEX('Formulación PDN 2027'!$R$7:$R$506,MATCH(ROW()-5,'Formulación PDN 2027'!$AK$7:$AK$506,0))&amp;"","")</f>
        <v/>
      </c>
      <c r="I82" s="15" t="str">
        <f>IFERROR(INDEX('Formulación PDN 2027'!$S$7:$S$506,MATCH(ROW()-5,'Formulación PDN 2027'!$AK$7:$AK$506,0))&amp;"","")</f>
        <v/>
      </c>
      <c r="J82" s="15" t="str">
        <f>IFERROR(INDEX('Formulación PDN 2027'!$T$7:$T$506,MATCH(ROW()-5,'Formulación PDN 2027'!$AK$7:$AK$506,0))&amp;"","")</f>
        <v/>
      </c>
      <c r="K82" s="43" t="str">
        <f>IFERROR(INDEX('Formulación PDN 2027'!$W$7:$W$506,MATCH(ROW()-5,'Formulación PDN 2027'!$AK$7:$AK$506,0)),"")</f>
        <v/>
      </c>
      <c r="L82" s="43" t="str">
        <f>IFERROR(INDEX('Formulación PDN 2027'!$X$7:$X$506,MATCH(ROW()-5,'Formulación PDN 2027'!$AK$7:$AK$506,0)),"")</f>
        <v/>
      </c>
      <c r="M82" s="15" t="str">
        <f>IFERROR(INDEX('Formulación PDN 2027'!$Y$7:$Y$506,MATCH(ROW()-5,'Formulación PDN 2027'!$AK$7:$AK$506,0))&amp;"","")</f>
        <v/>
      </c>
      <c r="N82" s="15" t="str">
        <f>IFERROR(INDEX('Formulación PDN 2027'!$Z$7:$Z$506,MATCH(ROW()-5,'Formulación PDN 2027'!$AK$7:$AK$506,0))&amp;"","")</f>
        <v/>
      </c>
      <c r="O82" s="15"/>
      <c r="P82" s="15" t="str">
        <f>IFERROR(INDEX('Formulación PDN 2027'!$AA$7:$AA$506,MATCH(ROW()-5,'Formulación PDN 2027'!$AK$7:$AK$506,0))&amp;"","")</f>
        <v/>
      </c>
      <c r="Q82" s="15" t="str">
        <f>IFERROR(INDEX('Formulación PDN 2027'!$AB$7:$AB$506,MATCH(ROW()-5,'Formulación PDN 2027'!$AK$7:$AK$506,0))&amp;"","")</f>
        <v/>
      </c>
      <c r="R82" s="15" t="str">
        <f>IFERROR(INDEX('Formulación PDN 2027'!$AD$7:$AD$506,MATCH(ROW()-5,'Formulación PDN 2027'!$AK$7:$AK$506,0))&amp;"","")</f>
        <v/>
      </c>
      <c r="S82" s="15" t="str">
        <f>IFERROR(INDEX('Formulación PDN 2027'!$AE$7:$AE$506,MATCH(ROW()-5,'Formulación PDN 2027'!$AK$7:$AK$506,0))&amp;"","")</f>
        <v/>
      </c>
      <c r="T82" s="15" t="str">
        <f>IFERROR(INDEX('Formulación PDN 2027'!$C$7:$C$506,MATCH(ROW()-5,'Formulación PDN 2027'!$AK$7:$AK$506,0))&amp;"","")</f>
        <v/>
      </c>
      <c r="U82" s="15" t="str">
        <f>IFERROR(INDEX('Formulación PDN 2027'!$B$7:$B$506,MATCH(ROW()-5,'Formulación PDN 2027'!$AK$7:$AK$506,0))&amp;"","")</f>
        <v/>
      </c>
      <c r="V82" s="15" t="str">
        <f>IFERROR(LEFT(INDEX('Formulación PDN 2027'!$E$7:$E$506,MATCH(ROW()-5,'Formulación PDN 2027'!$AK$7:$AK$506,0)),7),"")</f>
        <v/>
      </c>
      <c r="W82" s="15" t="str">
        <f>IFERROR(INDEX('Formulación PDN 2027'!$H$7:$H$506,MATCH(ROW()-5,'Formulación PDN 2027'!$AK$7:$AK$506,0))&amp;"","")</f>
        <v/>
      </c>
      <c r="X82" s="15" t="str">
        <f>IFERROR(INDEX('Formulación PDN 2027'!$U$7:$U$506,MATCH(ROW()-5,'Formulación PDN 2027'!$AK$7:$AK$506,0))&amp;"","")</f>
        <v/>
      </c>
      <c r="Y82" s="15" t="str">
        <f>IFERROR(INDEX('Formulación PDN 2027'!$AH$7:$AH$506,MATCH(ROW()-5,'Formulación PDN 2027'!$AK$7:$AK$506,0))&amp;"","")</f>
        <v/>
      </c>
    </row>
    <row r="83" spans="1:25" x14ac:dyDescent="0.3">
      <c r="A83" s="15" t="str">
        <f>IFERROR(INDEX('Formulación PDN 2027'!$A$7:$A$506,MATCH(ROW()-5,'Formulación PDN 2027'!$AK$7:$AK$506,0))&amp;"","")</f>
        <v/>
      </c>
      <c r="B83" s="20" t="str">
        <f>IFERROR(INDEX('Formulación PDN 2027'!$M$7:$M$506,MATCH(ROW()-5,'Formulación PDN 2027'!$AK$7:$AK$506,0)),"")</f>
        <v/>
      </c>
      <c r="C83" s="15" t="str">
        <f>IFERROR(INDEX('Formulación PDN 2027'!$N$7:$N$506,MATCH(ROW()-5,'Formulación PDN 2027'!$AK$7:$AK$506,0))&amp;"","")</f>
        <v/>
      </c>
      <c r="D83" s="15" t="str">
        <f>IFERROR(INDEX('Formulación PDN 2027'!$L$7:$L$506,MATCH(ROW()-5,'Formulación PDN 2027'!$AK$7:$AK$506,0))&amp;"","")</f>
        <v/>
      </c>
      <c r="E83" s="15" t="str">
        <f>IFERROR(MATCH(INDEX('Formulación PDN 2027'!$O$7:$O$506,MATCH(ROW()-5,'Formulación PDN 2027'!$AK$7:$AK$506,0)),L_MESES,0),"")</f>
        <v/>
      </c>
      <c r="F83" s="15" t="str">
        <f>IFERROR(MATCH(INDEX('Formulación PDN 2027'!$P$7:$P$506,MATCH(ROW()-5,'Formulación PDN 2027'!$AK$7:$AK$506,0)),L_MESES,0),"")</f>
        <v/>
      </c>
      <c r="G83" s="15" t="str">
        <f>IFERROR(INDEX('Formulación PDN 2027'!$Q$7:$Q$506,MATCH(ROW()-5,'Formulación PDN 2027'!$AK$7:$AK$506,0)),"")</f>
        <v/>
      </c>
      <c r="H83" s="15" t="str">
        <f>IFERROR(INDEX('Formulación PDN 2027'!$R$7:$R$506,MATCH(ROW()-5,'Formulación PDN 2027'!$AK$7:$AK$506,0))&amp;"","")</f>
        <v/>
      </c>
      <c r="I83" s="15" t="str">
        <f>IFERROR(INDEX('Formulación PDN 2027'!$S$7:$S$506,MATCH(ROW()-5,'Formulación PDN 2027'!$AK$7:$AK$506,0))&amp;"","")</f>
        <v/>
      </c>
      <c r="J83" s="15" t="str">
        <f>IFERROR(INDEX('Formulación PDN 2027'!$T$7:$T$506,MATCH(ROW()-5,'Formulación PDN 2027'!$AK$7:$AK$506,0))&amp;"","")</f>
        <v/>
      </c>
      <c r="K83" s="43" t="str">
        <f>IFERROR(INDEX('Formulación PDN 2027'!$W$7:$W$506,MATCH(ROW()-5,'Formulación PDN 2027'!$AK$7:$AK$506,0)),"")</f>
        <v/>
      </c>
      <c r="L83" s="43" t="str">
        <f>IFERROR(INDEX('Formulación PDN 2027'!$X$7:$X$506,MATCH(ROW()-5,'Formulación PDN 2027'!$AK$7:$AK$506,0)),"")</f>
        <v/>
      </c>
      <c r="M83" s="15" t="str">
        <f>IFERROR(INDEX('Formulación PDN 2027'!$Y$7:$Y$506,MATCH(ROW()-5,'Formulación PDN 2027'!$AK$7:$AK$506,0))&amp;"","")</f>
        <v/>
      </c>
      <c r="N83" s="15" t="str">
        <f>IFERROR(INDEX('Formulación PDN 2027'!$Z$7:$Z$506,MATCH(ROW()-5,'Formulación PDN 2027'!$AK$7:$AK$506,0))&amp;"","")</f>
        <v/>
      </c>
      <c r="O83" s="15"/>
      <c r="P83" s="15" t="str">
        <f>IFERROR(INDEX('Formulación PDN 2027'!$AA$7:$AA$506,MATCH(ROW()-5,'Formulación PDN 2027'!$AK$7:$AK$506,0))&amp;"","")</f>
        <v/>
      </c>
      <c r="Q83" s="15" t="str">
        <f>IFERROR(INDEX('Formulación PDN 2027'!$AB$7:$AB$506,MATCH(ROW()-5,'Formulación PDN 2027'!$AK$7:$AK$506,0))&amp;"","")</f>
        <v/>
      </c>
      <c r="R83" s="15" t="str">
        <f>IFERROR(INDEX('Formulación PDN 2027'!$AD$7:$AD$506,MATCH(ROW()-5,'Formulación PDN 2027'!$AK$7:$AK$506,0))&amp;"","")</f>
        <v/>
      </c>
      <c r="S83" s="15" t="str">
        <f>IFERROR(INDEX('Formulación PDN 2027'!$AE$7:$AE$506,MATCH(ROW()-5,'Formulación PDN 2027'!$AK$7:$AK$506,0))&amp;"","")</f>
        <v/>
      </c>
      <c r="T83" s="15" t="str">
        <f>IFERROR(INDEX('Formulación PDN 2027'!$C$7:$C$506,MATCH(ROW()-5,'Formulación PDN 2027'!$AK$7:$AK$506,0))&amp;"","")</f>
        <v/>
      </c>
      <c r="U83" s="15" t="str">
        <f>IFERROR(INDEX('Formulación PDN 2027'!$B$7:$B$506,MATCH(ROW()-5,'Formulación PDN 2027'!$AK$7:$AK$506,0))&amp;"","")</f>
        <v/>
      </c>
      <c r="V83" s="15" t="str">
        <f>IFERROR(LEFT(INDEX('Formulación PDN 2027'!$E$7:$E$506,MATCH(ROW()-5,'Formulación PDN 2027'!$AK$7:$AK$506,0)),7),"")</f>
        <v/>
      </c>
      <c r="W83" s="15" t="str">
        <f>IFERROR(INDEX('Formulación PDN 2027'!$H$7:$H$506,MATCH(ROW()-5,'Formulación PDN 2027'!$AK$7:$AK$506,0))&amp;"","")</f>
        <v/>
      </c>
      <c r="X83" s="15" t="str">
        <f>IFERROR(INDEX('Formulación PDN 2027'!$U$7:$U$506,MATCH(ROW()-5,'Formulación PDN 2027'!$AK$7:$AK$506,0))&amp;"","")</f>
        <v/>
      </c>
      <c r="Y83" s="15" t="str">
        <f>IFERROR(INDEX('Formulación PDN 2027'!$AH$7:$AH$506,MATCH(ROW()-5,'Formulación PDN 2027'!$AK$7:$AK$506,0))&amp;"","")</f>
        <v/>
      </c>
    </row>
    <row r="84" spans="1:25" x14ac:dyDescent="0.3">
      <c r="A84" s="15" t="str">
        <f>IFERROR(INDEX('Formulación PDN 2027'!$A$7:$A$506,MATCH(ROW()-5,'Formulación PDN 2027'!$AK$7:$AK$506,0))&amp;"","")</f>
        <v/>
      </c>
      <c r="B84" s="20" t="str">
        <f>IFERROR(INDEX('Formulación PDN 2027'!$M$7:$M$506,MATCH(ROW()-5,'Formulación PDN 2027'!$AK$7:$AK$506,0)),"")</f>
        <v/>
      </c>
      <c r="C84" s="15" t="str">
        <f>IFERROR(INDEX('Formulación PDN 2027'!$N$7:$N$506,MATCH(ROW()-5,'Formulación PDN 2027'!$AK$7:$AK$506,0))&amp;"","")</f>
        <v/>
      </c>
      <c r="D84" s="15" t="str">
        <f>IFERROR(INDEX('Formulación PDN 2027'!$L$7:$L$506,MATCH(ROW()-5,'Formulación PDN 2027'!$AK$7:$AK$506,0))&amp;"","")</f>
        <v/>
      </c>
      <c r="E84" s="15" t="str">
        <f>IFERROR(MATCH(INDEX('Formulación PDN 2027'!$O$7:$O$506,MATCH(ROW()-5,'Formulación PDN 2027'!$AK$7:$AK$506,0)),L_MESES,0),"")</f>
        <v/>
      </c>
      <c r="F84" s="15" t="str">
        <f>IFERROR(MATCH(INDEX('Formulación PDN 2027'!$P$7:$P$506,MATCH(ROW()-5,'Formulación PDN 2027'!$AK$7:$AK$506,0)),L_MESES,0),"")</f>
        <v/>
      </c>
      <c r="G84" s="15" t="str">
        <f>IFERROR(INDEX('Formulación PDN 2027'!$Q$7:$Q$506,MATCH(ROW()-5,'Formulación PDN 2027'!$AK$7:$AK$506,0)),"")</f>
        <v/>
      </c>
      <c r="H84" s="15" t="str">
        <f>IFERROR(INDEX('Formulación PDN 2027'!$R$7:$R$506,MATCH(ROW()-5,'Formulación PDN 2027'!$AK$7:$AK$506,0))&amp;"","")</f>
        <v/>
      </c>
      <c r="I84" s="15" t="str">
        <f>IFERROR(INDEX('Formulación PDN 2027'!$S$7:$S$506,MATCH(ROW()-5,'Formulación PDN 2027'!$AK$7:$AK$506,0))&amp;"","")</f>
        <v/>
      </c>
      <c r="J84" s="15" t="str">
        <f>IFERROR(INDEX('Formulación PDN 2027'!$T$7:$T$506,MATCH(ROW()-5,'Formulación PDN 2027'!$AK$7:$AK$506,0))&amp;"","")</f>
        <v/>
      </c>
      <c r="K84" s="43" t="str">
        <f>IFERROR(INDEX('Formulación PDN 2027'!$W$7:$W$506,MATCH(ROW()-5,'Formulación PDN 2027'!$AK$7:$AK$506,0)),"")</f>
        <v/>
      </c>
      <c r="L84" s="43" t="str">
        <f>IFERROR(INDEX('Formulación PDN 2027'!$X$7:$X$506,MATCH(ROW()-5,'Formulación PDN 2027'!$AK$7:$AK$506,0)),"")</f>
        <v/>
      </c>
      <c r="M84" s="15" t="str">
        <f>IFERROR(INDEX('Formulación PDN 2027'!$Y$7:$Y$506,MATCH(ROW()-5,'Formulación PDN 2027'!$AK$7:$AK$506,0))&amp;"","")</f>
        <v/>
      </c>
      <c r="N84" s="15" t="str">
        <f>IFERROR(INDEX('Formulación PDN 2027'!$Z$7:$Z$506,MATCH(ROW()-5,'Formulación PDN 2027'!$AK$7:$AK$506,0))&amp;"","")</f>
        <v/>
      </c>
      <c r="O84" s="15"/>
      <c r="P84" s="15" t="str">
        <f>IFERROR(INDEX('Formulación PDN 2027'!$AA$7:$AA$506,MATCH(ROW()-5,'Formulación PDN 2027'!$AK$7:$AK$506,0))&amp;"","")</f>
        <v/>
      </c>
      <c r="Q84" s="15" t="str">
        <f>IFERROR(INDEX('Formulación PDN 2027'!$AB$7:$AB$506,MATCH(ROW()-5,'Formulación PDN 2027'!$AK$7:$AK$506,0))&amp;"","")</f>
        <v/>
      </c>
      <c r="R84" s="15" t="str">
        <f>IFERROR(INDEX('Formulación PDN 2027'!$AD$7:$AD$506,MATCH(ROW()-5,'Formulación PDN 2027'!$AK$7:$AK$506,0))&amp;"","")</f>
        <v/>
      </c>
      <c r="S84" s="15" t="str">
        <f>IFERROR(INDEX('Formulación PDN 2027'!$AE$7:$AE$506,MATCH(ROW()-5,'Formulación PDN 2027'!$AK$7:$AK$506,0))&amp;"","")</f>
        <v/>
      </c>
      <c r="T84" s="15" t="str">
        <f>IFERROR(INDEX('Formulación PDN 2027'!$C$7:$C$506,MATCH(ROW()-5,'Formulación PDN 2027'!$AK$7:$AK$506,0))&amp;"","")</f>
        <v/>
      </c>
      <c r="U84" s="15" t="str">
        <f>IFERROR(INDEX('Formulación PDN 2027'!$B$7:$B$506,MATCH(ROW()-5,'Formulación PDN 2027'!$AK$7:$AK$506,0))&amp;"","")</f>
        <v/>
      </c>
      <c r="V84" s="15" t="str">
        <f>IFERROR(LEFT(INDEX('Formulación PDN 2027'!$E$7:$E$506,MATCH(ROW()-5,'Formulación PDN 2027'!$AK$7:$AK$506,0)),7),"")</f>
        <v/>
      </c>
      <c r="W84" s="15" t="str">
        <f>IFERROR(INDEX('Formulación PDN 2027'!$H$7:$H$506,MATCH(ROW()-5,'Formulación PDN 2027'!$AK$7:$AK$506,0))&amp;"","")</f>
        <v/>
      </c>
      <c r="X84" s="15" t="str">
        <f>IFERROR(INDEX('Formulación PDN 2027'!$U$7:$U$506,MATCH(ROW()-5,'Formulación PDN 2027'!$AK$7:$AK$506,0))&amp;"","")</f>
        <v/>
      </c>
      <c r="Y84" s="15" t="str">
        <f>IFERROR(INDEX('Formulación PDN 2027'!$AH$7:$AH$506,MATCH(ROW()-5,'Formulación PDN 2027'!$AK$7:$AK$506,0))&amp;"","")</f>
        <v/>
      </c>
    </row>
    <row r="85" spans="1:25" x14ac:dyDescent="0.3">
      <c r="A85" s="15" t="str">
        <f>IFERROR(INDEX('Formulación PDN 2027'!$A$7:$A$506,MATCH(ROW()-5,'Formulación PDN 2027'!$AK$7:$AK$506,0))&amp;"","")</f>
        <v/>
      </c>
      <c r="B85" s="20" t="str">
        <f>IFERROR(INDEX('Formulación PDN 2027'!$M$7:$M$506,MATCH(ROW()-5,'Formulación PDN 2027'!$AK$7:$AK$506,0)),"")</f>
        <v/>
      </c>
      <c r="C85" s="15" t="str">
        <f>IFERROR(INDEX('Formulación PDN 2027'!$N$7:$N$506,MATCH(ROW()-5,'Formulación PDN 2027'!$AK$7:$AK$506,0))&amp;"","")</f>
        <v/>
      </c>
      <c r="D85" s="15" t="str">
        <f>IFERROR(INDEX('Formulación PDN 2027'!$L$7:$L$506,MATCH(ROW()-5,'Formulación PDN 2027'!$AK$7:$AK$506,0))&amp;"","")</f>
        <v/>
      </c>
      <c r="E85" s="15" t="str">
        <f>IFERROR(MATCH(INDEX('Formulación PDN 2027'!$O$7:$O$506,MATCH(ROW()-5,'Formulación PDN 2027'!$AK$7:$AK$506,0)),L_MESES,0),"")</f>
        <v/>
      </c>
      <c r="F85" s="15" t="str">
        <f>IFERROR(MATCH(INDEX('Formulación PDN 2027'!$P$7:$P$506,MATCH(ROW()-5,'Formulación PDN 2027'!$AK$7:$AK$506,0)),L_MESES,0),"")</f>
        <v/>
      </c>
      <c r="G85" s="15" t="str">
        <f>IFERROR(INDEX('Formulación PDN 2027'!$Q$7:$Q$506,MATCH(ROW()-5,'Formulación PDN 2027'!$AK$7:$AK$506,0)),"")</f>
        <v/>
      </c>
      <c r="H85" s="15" t="str">
        <f>IFERROR(INDEX('Formulación PDN 2027'!$R$7:$R$506,MATCH(ROW()-5,'Formulación PDN 2027'!$AK$7:$AK$506,0))&amp;"","")</f>
        <v/>
      </c>
      <c r="I85" s="15" t="str">
        <f>IFERROR(INDEX('Formulación PDN 2027'!$S$7:$S$506,MATCH(ROW()-5,'Formulación PDN 2027'!$AK$7:$AK$506,0))&amp;"","")</f>
        <v/>
      </c>
      <c r="J85" s="15" t="str">
        <f>IFERROR(INDEX('Formulación PDN 2027'!$T$7:$T$506,MATCH(ROW()-5,'Formulación PDN 2027'!$AK$7:$AK$506,0))&amp;"","")</f>
        <v/>
      </c>
      <c r="K85" s="43" t="str">
        <f>IFERROR(INDEX('Formulación PDN 2027'!$W$7:$W$506,MATCH(ROW()-5,'Formulación PDN 2027'!$AK$7:$AK$506,0)),"")</f>
        <v/>
      </c>
      <c r="L85" s="43" t="str">
        <f>IFERROR(INDEX('Formulación PDN 2027'!$X$7:$X$506,MATCH(ROW()-5,'Formulación PDN 2027'!$AK$7:$AK$506,0)),"")</f>
        <v/>
      </c>
      <c r="M85" s="15" t="str">
        <f>IFERROR(INDEX('Formulación PDN 2027'!$Y$7:$Y$506,MATCH(ROW()-5,'Formulación PDN 2027'!$AK$7:$AK$506,0))&amp;"","")</f>
        <v/>
      </c>
      <c r="N85" s="15" t="str">
        <f>IFERROR(INDEX('Formulación PDN 2027'!$Z$7:$Z$506,MATCH(ROW()-5,'Formulación PDN 2027'!$AK$7:$AK$506,0))&amp;"","")</f>
        <v/>
      </c>
      <c r="O85" s="15"/>
      <c r="P85" s="15" t="str">
        <f>IFERROR(INDEX('Formulación PDN 2027'!$AA$7:$AA$506,MATCH(ROW()-5,'Formulación PDN 2027'!$AK$7:$AK$506,0))&amp;"","")</f>
        <v/>
      </c>
      <c r="Q85" s="15" t="str">
        <f>IFERROR(INDEX('Formulación PDN 2027'!$AB$7:$AB$506,MATCH(ROW()-5,'Formulación PDN 2027'!$AK$7:$AK$506,0))&amp;"","")</f>
        <v/>
      </c>
      <c r="R85" s="15" t="str">
        <f>IFERROR(INDEX('Formulación PDN 2027'!$AD$7:$AD$506,MATCH(ROW()-5,'Formulación PDN 2027'!$AK$7:$AK$506,0))&amp;"","")</f>
        <v/>
      </c>
      <c r="S85" s="15" t="str">
        <f>IFERROR(INDEX('Formulación PDN 2027'!$AE$7:$AE$506,MATCH(ROW()-5,'Formulación PDN 2027'!$AK$7:$AK$506,0))&amp;"","")</f>
        <v/>
      </c>
      <c r="T85" s="15" t="str">
        <f>IFERROR(INDEX('Formulación PDN 2027'!$C$7:$C$506,MATCH(ROW()-5,'Formulación PDN 2027'!$AK$7:$AK$506,0))&amp;"","")</f>
        <v/>
      </c>
      <c r="U85" s="15" t="str">
        <f>IFERROR(INDEX('Formulación PDN 2027'!$B$7:$B$506,MATCH(ROW()-5,'Formulación PDN 2027'!$AK$7:$AK$506,0))&amp;"","")</f>
        <v/>
      </c>
      <c r="V85" s="15" t="str">
        <f>IFERROR(LEFT(INDEX('Formulación PDN 2027'!$E$7:$E$506,MATCH(ROW()-5,'Formulación PDN 2027'!$AK$7:$AK$506,0)),7),"")</f>
        <v/>
      </c>
      <c r="W85" s="15" t="str">
        <f>IFERROR(INDEX('Formulación PDN 2027'!$H$7:$H$506,MATCH(ROW()-5,'Formulación PDN 2027'!$AK$7:$AK$506,0))&amp;"","")</f>
        <v/>
      </c>
      <c r="X85" s="15" t="str">
        <f>IFERROR(INDEX('Formulación PDN 2027'!$U$7:$U$506,MATCH(ROW()-5,'Formulación PDN 2027'!$AK$7:$AK$506,0))&amp;"","")</f>
        <v/>
      </c>
      <c r="Y85" s="15" t="str">
        <f>IFERROR(INDEX('Formulación PDN 2027'!$AH$7:$AH$506,MATCH(ROW()-5,'Formulación PDN 2027'!$AK$7:$AK$506,0))&amp;"","")</f>
        <v/>
      </c>
    </row>
    <row r="86" spans="1:25" x14ac:dyDescent="0.3">
      <c r="A86" s="15" t="str">
        <f>IFERROR(INDEX('Formulación PDN 2027'!$A$7:$A$506,MATCH(ROW()-5,'Formulación PDN 2027'!$AK$7:$AK$506,0))&amp;"","")</f>
        <v/>
      </c>
      <c r="B86" s="20" t="str">
        <f>IFERROR(INDEX('Formulación PDN 2027'!$M$7:$M$506,MATCH(ROW()-5,'Formulación PDN 2027'!$AK$7:$AK$506,0)),"")</f>
        <v/>
      </c>
      <c r="C86" s="15" t="str">
        <f>IFERROR(INDEX('Formulación PDN 2027'!$N$7:$N$506,MATCH(ROW()-5,'Formulación PDN 2027'!$AK$7:$AK$506,0))&amp;"","")</f>
        <v/>
      </c>
      <c r="D86" s="15" t="str">
        <f>IFERROR(INDEX('Formulación PDN 2027'!$L$7:$L$506,MATCH(ROW()-5,'Formulación PDN 2027'!$AK$7:$AK$506,0))&amp;"","")</f>
        <v/>
      </c>
      <c r="E86" s="15" t="str">
        <f>IFERROR(MATCH(INDEX('Formulación PDN 2027'!$O$7:$O$506,MATCH(ROW()-5,'Formulación PDN 2027'!$AK$7:$AK$506,0)),L_MESES,0),"")</f>
        <v/>
      </c>
      <c r="F86" s="15" t="str">
        <f>IFERROR(MATCH(INDEX('Formulación PDN 2027'!$P$7:$P$506,MATCH(ROW()-5,'Formulación PDN 2027'!$AK$7:$AK$506,0)),L_MESES,0),"")</f>
        <v/>
      </c>
      <c r="G86" s="15" t="str">
        <f>IFERROR(INDEX('Formulación PDN 2027'!$Q$7:$Q$506,MATCH(ROW()-5,'Formulación PDN 2027'!$AK$7:$AK$506,0)),"")</f>
        <v/>
      </c>
      <c r="H86" s="15" t="str">
        <f>IFERROR(INDEX('Formulación PDN 2027'!$R$7:$R$506,MATCH(ROW()-5,'Formulación PDN 2027'!$AK$7:$AK$506,0))&amp;"","")</f>
        <v/>
      </c>
      <c r="I86" s="15" t="str">
        <f>IFERROR(INDEX('Formulación PDN 2027'!$S$7:$S$506,MATCH(ROW()-5,'Formulación PDN 2027'!$AK$7:$AK$506,0))&amp;"","")</f>
        <v/>
      </c>
      <c r="J86" s="15" t="str">
        <f>IFERROR(INDEX('Formulación PDN 2027'!$T$7:$T$506,MATCH(ROW()-5,'Formulación PDN 2027'!$AK$7:$AK$506,0))&amp;"","")</f>
        <v/>
      </c>
      <c r="K86" s="43" t="str">
        <f>IFERROR(INDEX('Formulación PDN 2027'!$W$7:$W$506,MATCH(ROW()-5,'Formulación PDN 2027'!$AK$7:$AK$506,0)),"")</f>
        <v/>
      </c>
      <c r="L86" s="43" t="str">
        <f>IFERROR(INDEX('Formulación PDN 2027'!$X$7:$X$506,MATCH(ROW()-5,'Formulación PDN 2027'!$AK$7:$AK$506,0)),"")</f>
        <v/>
      </c>
      <c r="M86" s="15" t="str">
        <f>IFERROR(INDEX('Formulación PDN 2027'!$Y$7:$Y$506,MATCH(ROW()-5,'Formulación PDN 2027'!$AK$7:$AK$506,0))&amp;"","")</f>
        <v/>
      </c>
      <c r="N86" s="15" t="str">
        <f>IFERROR(INDEX('Formulación PDN 2027'!$Z$7:$Z$506,MATCH(ROW()-5,'Formulación PDN 2027'!$AK$7:$AK$506,0))&amp;"","")</f>
        <v/>
      </c>
      <c r="O86" s="15"/>
      <c r="P86" s="15" t="str">
        <f>IFERROR(INDEX('Formulación PDN 2027'!$AA$7:$AA$506,MATCH(ROW()-5,'Formulación PDN 2027'!$AK$7:$AK$506,0))&amp;"","")</f>
        <v/>
      </c>
      <c r="Q86" s="15" t="str">
        <f>IFERROR(INDEX('Formulación PDN 2027'!$AB$7:$AB$506,MATCH(ROW()-5,'Formulación PDN 2027'!$AK$7:$AK$506,0))&amp;"","")</f>
        <v/>
      </c>
      <c r="R86" s="15" t="str">
        <f>IFERROR(INDEX('Formulación PDN 2027'!$AD$7:$AD$506,MATCH(ROW()-5,'Formulación PDN 2027'!$AK$7:$AK$506,0))&amp;"","")</f>
        <v/>
      </c>
      <c r="S86" s="15" t="str">
        <f>IFERROR(INDEX('Formulación PDN 2027'!$AE$7:$AE$506,MATCH(ROW()-5,'Formulación PDN 2027'!$AK$7:$AK$506,0))&amp;"","")</f>
        <v/>
      </c>
      <c r="T86" s="15" t="str">
        <f>IFERROR(INDEX('Formulación PDN 2027'!$C$7:$C$506,MATCH(ROW()-5,'Formulación PDN 2027'!$AK$7:$AK$506,0))&amp;"","")</f>
        <v/>
      </c>
      <c r="U86" s="15" t="str">
        <f>IFERROR(INDEX('Formulación PDN 2027'!$B$7:$B$506,MATCH(ROW()-5,'Formulación PDN 2027'!$AK$7:$AK$506,0))&amp;"","")</f>
        <v/>
      </c>
      <c r="V86" s="15" t="str">
        <f>IFERROR(LEFT(INDEX('Formulación PDN 2027'!$E$7:$E$506,MATCH(ROW()-5,'Formulación PDN 2027'!$AK$7:$AK$506,0)),7),"")</f>
        <v/>
      </c>
      <c r="W86" s="15" t="str">
        <f>IFERROR(INDEX('Formulación PDN 2027'!$H$7:$H$506,MATCH(ROW()-5,'Formulación PDN 2027'!$AK$7:$AK$506,0))&amp;"","")</f>
        <v/>
      </c>
      <c r="X86" s="15" t="str">
        <f>IFERROR(INDEX('Formulación PDN 2027'!$U$7:$U$506,MATCH(ROW()-5,'Formulación PDN 2027'!$AK$7:$AK$506,0))&amp;"","")</f>
        <v/>
      </c>
      <c r="Y86" s="15" t="str">
        <f>IFERROR(INDEX('Formulación PDN 2027'!$AH$7:$AH$506,MATCH(ROW()-5,'Formulación PDN 2027'!$AK$7:$AK$506,0))&amp;"","")</f>
        <v/>
      </c>
    </row>
    <row r="87" spans="1:25" x14ac:dyDescent="0.3">
      <c r="A87" s="15" t="str">
        <f>IFERROR(INDEX('Formulación PDN 2027'!$A$7:$A$506,MATCH(ROW()-5,'Formulación PDN 2027'!$AK$7:$AK$506,0))&amp;"","")</f>
        <v/>
      </c>
      <c r="B87" s="20" t="str">
        <f>IFERROR(INDEX('Formulación PDN 2027'!$M$7:$M$506,MATCH(ROW()-5,'Formulación PDN 2027'!$AK$7:$AK$506,0)),"")</f>
        <v/>
      </c>
      <c r="C87" s="15" t="str">
        <f>IFERROR(INDEX('Formulación PDN 2027'!$N$7:$N$506,MATCH(ROW()-5,'Formulación PDN 2027'!$AK$7:$AK$506,0))&amp;"","")</f>
        <v/>
      </c>
      <c r="D87" s="15" t="str">
        <f>IFERROR(INDEX('Formulación PDN 2027'!$L$7:$L$506,MATCH(ROW()-5,'Formulación PDN 2027'!$AK$7:$AK$506,0))&amp;"","")</f>
        <v/>
      </c>
      <c r="E87" s="15" t="str">
        <f>IFERROR(MATCH(INDEX('Formulación PDN 2027'!$O$7:$O$506,MATCH(ROW()-5,'Formulación PDN 2027'!$AK$7:$AK$506,0)),L_MESES,0),"")</f>
        <v/>
      </c>
      <c r="F87" s="15" t="str">
        <f>IFERROR(MATCH(INDEX('Formulación PDN 2027'!$P$7:$P$506,MATCH(ROW()-5,'Formulación PDN 2027'!$AK$7:$AK$506,0)),L_MESES,0),"")</f>
        <v/>
      </c>
      <c r="G87" s="15" t="str">
        <f>IFERROR(INDEX('Formulación PDN 2027'!$Q$7:$Q$506,MATCH(ROW()-5,'Formulación PDN 2027'!$AK$7:$AK$506,0)),"")</f>
        <v/>
      </c>
      <c r="H87" s="15" t="str">
        <f>IFERROR(INDEX('Formulación PDN 2027'!$R$7:$R$506,MATCH(ROW()-5,'Formulación PDN 2027'!$AK$7:$AK$506,0))&amp;"","")</f>
        <v/>
      </c>
      <c r="I87" s="15" t="str">
        <f>IFERROR(INDEX('Formulación PDN 2027'!$S$7:$S$506,MATCH(ROW()-5,'Formulación PDN 2027'!$AK$7:$AK$506,0))&amp;"","")</f>
        <v/>
      </c>
      <c r="J87" s="15" t="str">
        <f>IFERROR(INDEX('Formulación PDN 2027'!$T$7:$T$506,MATCH(ROW()-5,'Formulación PDN 2027'!$AK$7:$AK$506,0))&amp;"","")</f>
        <v/>
      </c>
      <c r="K87" s="43" t="str">
        <f>IFERROR(INDEX('Formulación PDN 2027'!$W$7:$W$506,MATCH(ROW()-5,'Formulación PDN 2027'!$AK$7:$AK$506,0)),"")</f>
        <v/>
      </c>
      <c r="L87" s="43" t="str">
        <f>IFERROR(INDEX('Formulación PDN 2027'!$X$7:$X$506,MATCH(ROW()-5,'Formulación PDN 2027'!$AK$7:$AK$506,0)),"")</f>
        <v/>
      </c>
      <c r="M87" s="15" t="str">
        <f>IFERROR(INDEX('Formulación PDN 2027'!$Y$7:$Y$506,MATCH(ROW()-5,'Formulación PDN 2027'!$AK$7:$AK$506,0))&amp;"","")</f>
        <v/>
      </c>
      <c r="N87" s="15" t="str">
        <f>IFERROR(INDEX('Formulación PDN 2027'!$Z$7:$Z$506,MATCH(ROW()-5,'Formulación PDN 2027'!$AK$7:$AK$506,0))&amp;"","")</f>
        <v/>
      </c>
      <c r="O87" s="15"/>
      <c r="P87" s="15" t="str">
        <f>IFERROR(INDEX('Formulación PDN 2027'!$AA$7:$AA$506,MATCH(ROW()-5,'Formulación PDN 2027'!$AK$7:$AK$506,0))&amp;"","")</f>
        <v/>
      </c>
      <c r="Q87" s="15" t="str">
        <f>IFERROR(INDEX('Formulación PDN 2027'!$AB$7:$AB$506,MATCH(ROW()-5,'Formulación PDN 2027'!$AK$7:$AK$506,0))&amp;"","")</f>
        <v/>
      </c>
      <c r="R87" s="15" t="str">
        <f>IFERROR(INDEX('Formulación PDN 2027'!$AD$7:$AD$506,MATCH(ROW()-5,'Formulación PDN 2027'!$AK$7:$AK$506,0))&amp;"","")</f>
        <v/>
      </c>
      <c r="S87" s="15" t="str">
        <f>IFERROR(INDEX('Formulación PDN 2027'!$AE$7:$AE$506,MATCH(ROW()-5,'Formulación PDN 2027'!$AK$7:$AK$506,0))&amp;"","")</f>
        <v/>
      </c>
      <c r="T87" s="15" t="str">
        <f>IFERROR(INDEX('Formulación PDN 2027'!$C$7:$C$506,MATCH(ROW()-5,'Formulación PDN 2027'!$AK$7:$AK$506,0))&amp;"","")</f>
        <v/>
      </c>
      <c r="U87" s="15" t="str">
        <f>IFERROR(INDEX('Formulación PDN 2027'!$B$7:$B$506,MATCH(ROW()-5,'Formulación PDN 2027'!$AK$7:$AK$506,0))&amp;"","")</f>
        <v/>
      </c>
      <c r="V87" s="15" t="str">
        <f>IFERROR(LEFT(INDEX('Formulación PDN 2027'!$E$7:$E$506,MATCH(ROW()-5,'Formulación PDN 2027'!$AK$7:$AK$506,0)),7),"")</f>
        <v/>
      </c>
      <c r="W87" s="15" t="str">
        <f>IFERROR(INDEX('Formulación PDN 2027'!$H$7:$H$506,MATCH(ROW()-5,'Formulación PDN 2027'!$AK$7:$AK$506,0))&amp;"","")</f>
        <v/>
      </c>
      <c r="X87" s="15" t="str">
        <f>IFERROR(INDEX('Formulación PDN 2027'!$U$7:$U$506,MATCH(ROW()-5,'Formulación PDN 2027'!$AK$7:$AK$506,0))&amp;"","")</f>
        <v/>
      </c>
      <c r="Y87" s="15" t="str">
        <f>IFERROR(INDEX('Formulación PDN 2027'!$AH$7:$AH$506,MATCH(ROW()-5,'Formulación PDN 2027'!$AK$7:$AK$506,0))&amp;"","")</f>
        <v/>
      </c>
    </row>
    <row r="88" spans="1:25" x14ac:dyDescent="0.3">
      <c r="A88" s="15" t="str">
        <f>IFERROR(INDEX('Formulación PDN 2027'!$A$7:$A$506,MATCH(ROW()-5,'Formulación PDN 2027'!$AK$7:$AK$506,0))&amp;"","")</f>
        <v/>
      </c>
      <c r="B88" s="20" t="str">
        <f>IFERROR(INDEX('Formulación PDN 2027'!$M$7:$M$506,MATCH(ROW()-5,'Formulación PDN 2027'!$AK$7:$AK$506,0)),"")</f>
        <v/>
      </c>
      <c r="C88" s="15" t="str">
        <f>IFERROR(INDEX('Formulación PDN 2027'!$N$7:$N$506,MATCH(ROW()-5,'Formulación PDN 2027'!$AK$7:$AK$506,0))&amp;"","")</f>
        <v/>
      </c>
      <c r="D88" s="15" t="str">
        <f>IFERROR(INDEX('Formulación PDN 2027'!$L$7:$L$506,MATCH(ROW()-5,'Formulación PDN 2027'!$AK$7:$AK$506,0))&amp;"","")</f>
        <v/>
      </c>
      <c r="E88" s="15" t="str">
        <f>IFERROR(MATCH(INDEX('Formulación PDN 2027'!$O$7:$O$506,MATCH(ROW()-5,'Formulación PDN 2027'!$AK$7:$AK$506,0)),L_MESES,0),"")</f>
        <v/>
      </c>
      <c r="F88" s="15" t="str">
        <f>IFERROR(MATCH(INDEX('Formulación PDN 2027'!$P$7:$P$506,MATCH(ROW()-5,'Formulación PDN 2027'!$AK$7:$AK$506,0)),L_MESES,0),"")</f>
        <v/>
      </c>
      <c r="G88" s="15" t="str">
        <f>IFERROR(INDEX('Formulación PDN 2027'!$Q$7:$Q$506,MATCH(ROW()-5,'Formulación PDN 2027'!$AK$7:$AK$506,0)),"")</f>
        <v/>
      </c>
      <c r="H88" s="15" t="str">
        <f>IFERROR(INDEX('Formulación PDN 2027'!$R$7:$R$506,MATCH(ROW()-5,'Formulación PDN 2027'!$AK$7:$AK$506,0))&amp;"","")</f>
        <v/>
      </c>
      <c r="I88" s="15" t="str">
        <f>IFERROR(INDEX('Formulación PDN 2027'!$S$7:$S$506,MATCH(ROW()-5,'Formulación PDN 2027'!$AK$7:$AK$506,0))&amp;"","")</f>
        <v/>
      </c>
      <c r="J88" s="15" t="str">
        <f>IFERROR(INDEX('Formulación PDN 2027'!$T$7:$T$506,MATCH(ROW()-5,'Formulación PDN 2027'!$AK$7:$AK$506,0))&amp;"","")</f>
        <v/>
      </c>
      <c r="K88" s="43" t="str">
        <f>IFERROR(INDEX('Formulación PDN 2027'!$W$7:$W$506,MATCH(ROW()-5,'Formulación PDN 2027'!$AK$7:$AK$506,0)),"")</f>
        <v/>
      </c>
      <c r="L88" s="43" t="str">
        <f>IFERROR(INDEX('Formulación PDN 2027'!$X$7:$X$506,MATCH(ROW()-5,'Formulación PDN 2027'!$AK$7:$AK$506,0)),"")</f>
        <v/>
      </c>
      <c r="M88" s="15" t="str">
        <f>IFERROR(INDEX('Formulación PDN 2027'!$Y$7:$Y$506,MATCH(ROW()-5,'Formulación PDN 2027'!$AK$7:$AK$506,0))&amp;"","")</f>
        <v/>
      </c>
      <c r="N88" s="15" t="str">
        <f>IFERROR(INDEX('Formulación PDN 2027'!$Z$7:$Z$506,MATCH(ROW()-5,'Formulación PDN 2027'!$AK$7:$AK$506,0))&amp;"","")</f>
        <v/>
      </c>
      <c r="O88" s="15"/>
      <c r="P88" s="15" t="str">
        <f>IFERROR(INDEX('Formulación PDN 2027'!$AA$7:$AA$506,MATCH(ROW()-5,'Formulación PDN 2027'!$AK$7:$AK$506,0))&amp;"","")</f>
        <v/>
      </c>
      <c r="Q88" s="15" t="str">
        <f>IFERROR(INDEX('Formulación PDN 2027'!$AB$7:$AB$506,MATCH(ROW()-5,'Formulación PDN 2027'!$AK$7:$AK$506,0))&amp;"","")</f>
        <v/>
      </c>
      <c r="R88" s="15" t="str">
        <f>IFERROR(INDEX('Formulación PDN 2027'!$AD$7:$AD$506,MATCH(ROW()-5,'Formulación PDN 2027'!$AK$7:$AK$506,0))&amp;"","")</f>
        <v/>
      </c>
      <c r="S88" s="15" t="str">
        <f>IFERROR(INDEX('Formulación PDN 2027'!$AE$7:$AE$506,MATCH(ROW()-5,'Formulación PDN 2027'!$AK$7:$AK$506,0))&amp;"","")</f>
        <v/>
      </c>
      <c r="T88" s="15" t="str">
        <f>IFERROR(INDEX('Formulación PDN 2027'!$C$7:$C$506,MATCH(ROW()-5,'Formulación PDN 2027'!$AK$7:$AK$506,0))&amp;"","")</f>
        <v/>
      </c>
      <c r="U88" s="15" t="str">
        <f>IFERROR(INDEX('Formulación PDN 2027'!$B$7:$B$506,MATCH(ROW()-5,'Formulación PDN 2027'!$AK$7:$AK$506,0))&amp;"","")</f>
        <v/>
      </c>
      <c r="V88" s="15" t="str">
        <f>IFERROR(LEFT(INDEX('Formulación PDN 2027'!$E$7:$E$506,MATCH(ROW()-5,'Formulación PDN 2027'!$AK$7:$AK$506,0)),7),"")</f>
        <v/>
      </c>
      <c r="W88" s="15" t="str">
        <f>IFERROR(INDEX('Formulación PDN 2027'!$H$7:$H$506,MATCH(ROW()-5,'Formulación PDN 2027'!$AK$7:$AK$506,0))&amp;"","")</f>
        <v/>
      </c>
      <c r="X88" s="15" t="str">
        <f>IFERROR(INDEX('Formulación PDN 2027'!$U$7:$U$506,MATCH(ROW()-5,'Formulación PDN 2027'!$AK$7:$AK$506,0))&amp;"","")</f>
        <v/>
      </c>
      <c r="Y88" s="15" t="str">
        <f>IFERROR(INDEX('Formulación PDN 2027'!$AH$7:$AH$506,MATCH(ROW()-5,'Formulación PDN 2027'!$AK$7:$AK$506,0))&amp;"","")</f>
        <v/>
      </c>
    </row>
    <row r="89" spans="1:25" x14ac:dyDescent="0.3">
      <c r="A89" s="15" t="str">
        <f>IFERROR(INDEX('Formulación PDN 2027'!$A$7:$A$506,MATCH(ROW()-5,'Formulación PDN 2027'!$AK$7:$AK$506,0))&amp;"","")</f>
        <v/>
      </c>
      <c r="B89" s="20" t="str">
        <f>IFERROR(INDEX('Formulación PDN 2027'!$M$7:$M$506,MATCH(ROW()-5,'Formulación PDN 2027'!$AK$7:$AK$506,0)),"")</f>
        <v/>
      </c>
      <c r="C89" s="15" t="str">
        <f>IFERROR(INDEX('Formulación PDN 2027'!$N$7:$N$506,MATCH(ROW()-5,'Formulación PDN 2027'!$AK$7:$AK$506,0))&amp;"","")</f>
        <v/>
      </c>
      <c r="D89" s="15" t="str">
        <f>IFERROR(INDEX('Formulación PDN 2027'!$L$7:$L$506,MATCH(ROW()-5,'Formulación PDN 2027'!$AK$7:$AK$506,0))&amp;"","")</f>
        <v/>
      </c>
      <c r="E89" s="15" t="str">
        <f>IFERROR(MATCH(INDEX('Formulación PDN 2027'!$O$7:$O$506,MATCH(ROW()-5,'Formulación PDN 2027'!$AK$7:$AK$506,0)),L_MESES,0),"")</f>
        <v/>
      </c>
      <c r="F89" s="15" t="str">
        <f>IFERROR(MATCH(INDEX('Formulación PDN 2027'!$P$7:$P$506,MATCH(ROW()-5,'Formulación PDN 2027'!$AK$7:$AK$506,0)),L_MESES,0),"")</f>
        <v/>
      </c>
      <c r="G89" s="15" t="str">
        <f>IFERROR(INDEX('Formulación PDN 2027'!$Q$7:$Q$506,MATCH(ROW()-5,'Formulación PDN 2027'!$AK$7:$AK$506,0)),"")</f>
        <v/>
      </c>
      <c r="H89" s="15" t="str">
        <f>IFERROR(INDEX('Formulación PDN 2027'!$R$7:$R$506,MATCH(ROW()-5,'Formulación PDN 2027'!$AK$7:$AK$506,0))&amp;"","")</f>
        <v/>
      </c>
      <c r="I89" s="15" t="str">
        <f>IFERROR(INDEX('Formulación PDN 2027'!$S$7:$S$506,MATCH(ROW()-5,'Formulación PDN 2027'!$AK$7:$AK$506,0))&amp;"","")</f>
        <v/>
      </c>
      <c r="J89" s="15" t="str">
        <f>IFERROR(INDEX('Formulación PDN 2027'!$T$7:$T$506,MATCH(ROW()-5,'Formulación PDN 2027'!$AK$7:$AK$506,0))&amp;"","")</f>
        <v/>
      </c>
      <c r="K89" s="43" t="str">
        <f>IFERROR(INDEX('Formulación PDN 2027'!$W$7:$W$506,MATCH(ROW()-5,'Formulación PDN 2027'!$AK$7:$AK$506,0)),"")</f>
        <v/>
      </c>
      <c r="L89" s="43" t="str">
        <f>IFERROR(INDEX('Formulación PDN 2027'!$X$7:$X$506,MATCH(ROW()-5,'Formulación PDN 2027'!$AK$7:$AK$506,0)),"")</f>
        <v/>
      </c>
      <c r="M89" s="15" t="str">
        <f>IFERROR(INDEX('Formulación PDN 2027'!$Y$7:$Y$506,MATCH(ROW()-5,'Formulación PDN 2027'!$AK$7:$AK$506,0))&amp;"","")</f>
        <v/>
      </c>
      <c r="N89" s="15" t="str">
        <f>IFERROR(INDEX('Formulación PDN 2027'!$Z$7:$Z$506,MATCH(ROW()-5,'Formulación PDN 2027'!$AK$7:$AK$506,0))&amp;"","")</f>
        <v/>
      </c>
      <c r="O89" s="15"/>
      <c r="P89" s="15" t="str">
        <f>IFERROR(INDEX('Formulación PDN 2027'!$AA$7:$AA$506,MATCH(ROW()-5,'Formulación PDN 2027'!$AK$7:$AK$506,0))&amp;"","")</f>
        <v/>
      </c>
      <c r="Q89" s="15" t="str">
        <f>IFERROR(INDEX('Formulación PDN 2027'!$AB$7:$AB$506,MATCH(ROW()-5,'Formulación PDN 2027'!$AK$7:$AK$506,0))&amp;"","")</f>
        <v/>
      </c>
      <c r="R89" s="15" t="str">
        <f>IFERROR(INDEX('Formulación PDN 2027'!$AD$7:$AD$506,MATCH(ROW()-5,'Formulación PDN 2027'!$AK$7:$AK$506,0))&amp;"","")</f>
        <v/>
      </c>
      <c r="S89" s="15" t="str">
        <f>IFERROR(INDEX('Formulación PDN 2027'!$AE$7:$AE$506,MATCH(ROW()-5,'Formulación PDN 2027'!$AK$7:$AK$506,0))&amp;"","")</f>
        <v/>
      </c>
      <c r="T89" s="15" t="str">
        <f>IFERROR(INDEX('Formulación PDN 2027'!$C$7:$C$506,MATCH(ROW()-5,'Formulación PDN 2027'!$AK$7:$AK$506,0))&amp;"","")</f>
        <v/>
      </c>
      <c r="U89" s="15" t="str">
        <f>IFERROR(INDEX('Formulación PDN 2027'!$B$7:$B$506,MATCH(ROW()-5,'Formulación PDN 2027'!$AK$7:$AK$506,0))&amp;"","")</f>
        <v/>
      </c>
      <c r="V89" s="15" t="str">
        <f>IFERROR(LEFT(INDEX('Formulación PDN 2027'!$E$7:$E$506,MATCH(ROW()-5,'Formulación PDN 2027'!$AK$7:$AK$506,0)),7),"")</f>
        <v/>
      </c>
      <c r="W89" s="15" t="str">
        <f>IFERROR(INDEX('Formulación PDN 2027'!$H$7:$H$506,MATCH(ROW()-5,'Formulación PDN 2027'!$AK$7:$AK$506,0))&amp;"","")</f>
        <v/>
      </c>
      <c r="X89" s="15" t="str">
        <f>IFERROR(INDEX('Formulación PDN 2027'!$U$7:$U$506,MATCH(ROW()-5,'Formulación PDN 2027'!$AK$7:$AK$506,0))&amp;"","")</f>
        <v/>
      </c>
      <c r="Y89" s="15" t="str">
        <f>IFERROR(INDEX('Formulación PDN 2027'!$AH$7:$AH$506,MATCH(ROW()-5,'Formulación PDN 2027'!$AK$7:$AK$506,0))&amp;"","")</f>
        <v/>
      </c>
    </row>
    <row r="90" spans="1:25" x14ac:dyDescent="0.3">
      <c r="A90" s="15" t="str">
        <f>IFERROR(INDEX('Formulación PDN 2027'!$A$7:$A$506,MATCH(ROW()-5,'Formulación PDN 2027'!$AK$7:$AK$506,0))&amp;"","")</f>
        <v/>
      </c>
      <c r="B90" s="20" t="str">
        <f>IFERROR(INDEX('Formulación PDN 2027'!$M$7:$M$506,MATCH(ROW()-5,'Formulación PDN 2027'!$AK$7:$AK$506,0)),"")</f>
        <v/>
      </c>
      <c r="C90" s="15" t="str">
        <f>IFERROR(INDEX('Formulación PDN 2027'!$N$7:$N$506,MATCH(ROW()-5,'Formulación PDN 2027'!$AK$7:$AK$506,0))&amp;"","")</f>
        <v/>
      </c>
      <c r="D90" s="15" t="str">
        <f>IFERROR(INDEX('Formulación PDN 2027'!$L$7:$L$506,MATCH(ROW()-5,'Formulación PDN 2027'!$AK$7:$AK$506,0))&amp;"","")</f>
        <v/>
      </c>
      <c r="E90" s="15" t="str">
        <f>IFERROR(MATCH(INDEX('Formulación PDN 2027'!$O$7:$O$506,MATCH(ROW()-5,'Formulación PDN 2027'!$AK$7:$AK$506,0)),L_MESES,0),"")</f>
        <v/>
      </c>
      <c r="F90" s="15" t="str">
        <f>IFERROR(MATCH(INDEX('Formulación PDN 2027'!$P$7:$P$506,MATCH(ROW()-5,'Formulación PDN 2027'!$AK$7:$AK$506,0)),L_MESES,0),"")</f>
        <v/>
      </c>
      <c r="G90" s="15" t="str">
        <f>IFERROR(INDEX('Formulación PDN 2027'!$Q$7:$Q$506,MATCH(ROW()-5,'Formulación PDN 2027'!$AK$7:$AK$506,0)),"")</f>
        <v/>
      </c>
      <c r="H90" s="15" t="str">
        <f>IFERROR(INDEX('Formulación PDN 2027'!$R$7:$R$506,MATCH(ROW()-5,'Formulación PDN 2027'!$AK$7:$AK$506,0))&amp;"","")</f>
        <v/>
      </c>
      <c r="I90" s="15" t="str">
        <f>IFERROR(INDEX('Formulación PDN 2027'!$S$7:$S$506,MATCH(ROW()-5,'Formulación PDN 2027'!$AK$7:$AK$506,0))&amp;"","")</f>
        <v/>
      </c>
      <c r="J90" s="15" t="str">
        <f>IFERROR(INDEX('Formulación PDN 2027'!$T$7:$T$506,MATCH(ROW()-5,'Formulación PDN 2027'!$AK$7:$AK$506,0))&amp;"","")</f>
        <v/>
      </c>
      <c r="K90" s="43" t="str">
        <f>IFERROR(INDEX('Formulación PDN 2027'!$W$7:$W$506,MATCH(ROW()-5,'Formulación PDN 2027'!$AK$7:$AK$506,0)),"")</f>
        <v/>
      </c>
      <c r="L90" s="43" t="str">
        <f>IFERROR(INDEX('Formulación PDN 2027'!$X$7:$X$506,MATCH(ROW()-5,'Formulación PDN 2027'!$AK$7:$AK$506,0)),"")</f>
        <v/>
      </c>
      <c r="M90" s="15" t="str">
        <f>IFERROR(INDEX('Formulación PDN 2027'!$Y$7:$Y$506,MATCH(ROW()-5,'Formulación PDN 2027'!$AK$7:$AK$506,0))&amp;"","")</f>
        <v/>
      </c>
      <c r="N90" s="15" t="str">
        <f>IFERROR(INDEX('Formulación PDN 2027'!$Z$7:$Z$506,MATCH(ROW()-5,'Formulación PDN 2027'!$AK$7:$AK$506,0))&amp;"","")</f>
        <v/>
      </c>
      <c r="O90" s="15"/>
      <c r="P90" s="15" t="str">
        <f>IFERROR(INDEX('Formulación PDN 2027'!$AA$7:$AA$506,MATCH(ROW()-5,'Formulación PDN 2027'!$AK$7:$AK$506,0))&amp;"","")</f>
        <v/>
      </c>
      <c r="Q90" s="15" t="str">
        <f>IFERROR(INDEX('Formulación PDN 2027'!$AB$7:$AB$506,MATCH(ROW()-5,'Formulación PDN 2027'!$AK$7:$AK$506,0))&amp;"","")</f>
        <v/>
      </c>
      <c r="R90" s="15" t="str">
        <f>IFERROR(INDEX('Formulación PDN 2027'!$AD$7:$AD$506,MATCH(ROW()-5,'Formulación PDN 2027'!$AK$7:$AK$506,0))&amp;"","")</f>
        <v/>
      </c>
      <c r="S90" s="15" t="str">
        <f>IFERROR(INDEX('Formulación PDN 2027'!$AE$7:$AE$506,MATCH(ROW()-5,'Formulación PDN 2027'!$AK$7:$AK$506,0))&amp;"","")</f>
        <v/>
      </c>
      <c r="T90" s="15" t="str">
        <f>IFERROR(INDEX('Formulación PDN 2027'!$C$7:$C$506,MATCH(ROW()-5,'Formulación PDN 2027'!$AK$7:$AK$506,0))&amp;"","")</f>
        <v/>
      </c>
      <c r="U90" s="15" t="str">
        <f>IFERROR(INDEX('Formulación PDN 2027'!$B$7:$B$506,MATCH(ROW()-5,'Formulación PDN 2027'!$AK$7:$AK$506,0))&amp;"","")</f>
        <v/>
      </c>
      <c r="V90" s="15" t="str">
        <f>IFERROR(LEFT(INDEX('Formulación PDN 2027'!$E$7:$E$506,MATCH(ROW()-5,'Formulación PDN 2027'!$AK$7:$AK$506,0)),7),"")</f>
        <v/>
      </c>
      <c r="W90" s="15" t="str">
        <f>IFERROR(INDEX('Formulación PDN 2027'!$H$7:$H$506,MATCH(ROW()-5,'Formulación PDN 2027'!$AK$7:$AK$506,0))&amp;"","")</f>
        <v/>
      </c>
      <c r="X90" s="15" t="str">
        <f>IFERROR(INDEX('Formulación PDN 2027'!$U$7:$U$506,MATCH(ROW()-5,'Formulación PDN 2027'!$AK$7:$AK$506,0))&amp;"","")</f>
        <v/>
      </c>
      <c r="Y90" s="15" t="str">
        <f>IFERROR(INDEX('Formulación PDN 2027'!$AH$7:$AH$506,MATCH(ROW()-5,'Formulación PDN 2027'!$AK$7:$AK$506,0))&amp;"","")</f>
        <v/>
      </c>
    </row>
    <row r="91" spans="1:25" x14ac:dyDescent="0.3">
      <c r="A91" s="15" t="str">
        <f>IFERROR(INDEX('Formulación PDN 2027'!$A$7:$A$506,MATCH(ROW()-5,'Formulación PDN 2027'!$AK$7:$AK$506,0))&amp;"","")</f>
        <v/>
      </c>
      <c r="B91" s="20" t="str">
        <f>IFERROR(INDEX('Formulación PDN 2027'!$M$7:$M$506,MATCH(ROW()-5,'Formulación PDN 2027'!$AK$7:$AK$506,0)),"")</f>
        <v/>
      </c>
      <c r="C91" s="15" t="str">
        <f>IFERROR(INDEX('Formulación PDN 2027'!$N$7:$N$506,MATCH(ROW()-5,'Formulación PDN 2027'!$AK$7:$AK$506,0))&amp;"","")</f>
        <v/>
      </c>
      <c r="D91" s="15" t="str">
        <f>IFERROR(INDEX('Formulación PDN 2027'!$L$7:$L$506,MATCH(ROW()-5,'Formulación PDN 2027'!$AK$7:$AK$506,0))&amp;"","")</f>
        <v/>
      </c>
      <c r="E91" s="15" t="str">
        <f>IFERROR(MATCH(INDEX('Formulación PDN 2027'!$O$7:$O$506,MATCH(ROW()-5,'Formulación PDN 2027'!$AK$7:$AK$506,0)),L_MESES,0),"")</f>
        <v/>
      </c>
      <c r="F91" s="15" t="str">
        <f>IFERROR(MATCH(INDEX('Formulación PDN 2027'!$P$7:$P$506,MATCH(ROW()-5,'Formulación PDN 2027'!$AK$7:$AK$506,0)),L_MESES,0),"")</f>
        <v/>
      </c>
      <c r="G91" s="15" t="str">
        <f>IFERROR(INDEX('Formulación PDN 2027'!$Q$7:$Q$506,MATCH(ROW()-5,'Formulación PDN 2027'!$AK$7:$AK$506,0)),"")</f>
        <v/>
      </c>
      <c r="H91" s="15" t="str">
        <f>IFERROR(INDEX('Formulación PDN 2027'!$R$7:$R$506,MATCH(ROW()-5,'Formulación PDN 2027'!$AK$7:$AK$506,0))&amp;"","")</f>
        <v/>
      </c>
      <c r="I91" s="15" t="str">
        <f>IFERROR(INDEX('Formulación PDN 2027'!$S$7:$S$506,MATCH(ROW()-5,'Formulación PDN 2027'!$AK$7:$AK$506,0))&amp;"","")</f>
        <v/>
      </c>
      <c r="J91" s="15" t="str">
        <f>IFERROR(INDEX('Formulación PDN 2027'!$T$7:$T$506,MATCH(ROW()-5,'Formulación PDN 2027'!$AK$7:$AK$506,0))&amp;"","")</f>
        <v/>
      </c>
      <c r="K91" s="43" t="str">
        <f>IFERROR(INDEX('Formulación PDN 2027'!$W$7:$W$506,MATCH(ROW()-5,'Formulación PDN 2027'!$AK$7:$AK$506,0)),"")</f>
        <v/>
      </c>
      <c r="L91" s="43" t="str">
        <f>IFERROR(INDEX('Formulación PDN 2027'!$X$7:$X$506,MATCH(ROW()-5,'Formulación PDN 2027'!$AK$7:$AK$506,0)),"")</f>
        <v/>
      </c>
      <c r="M91" s="15" t="str">
        <f>IFERROR(INDEX('Formulación PDN 2027'!$Y$7:$Y$506,MATCH(ROW()-5,'Formulación PDN 2027'!$AK$7:$AK$506,0))&amp;"","")</f>
        <v/>
      </c>
      <c r="N91" s="15" t="str">
        <f>IFERROR(INDEX('Formulación PDN 2027'!$Z$7:$Z$506,MATCH(ROW()-5,'Formulación PDN 2027'!$AK$7:$AK$506,0))&amp;"","")</f>
        <v/>
      </c>
      <c r="O91" s="15"/>
      <c r="P91" s="15" t="str">
        <f>IFERROR(INDEX('Formulación PDN 2027'!$AA$7:$AA$506,MATCH(ROW()-5,'Formulación PDN 2027'!$AK$7:$AK$506,0))&amp;"","")</f>
        <v/>
      </c>
      <c r="Q91" s="15" t="str">
        <f>IFERROR(INDEX('Formulación PDN 2027'!$AB$7:$AB$506,MATCH(ROW()-5,'Formulación PDN 2027'!$AK$7:$AK$506,0))&amp;"","")</f>
        <v/>
      </c>
      <c r="R91" s="15" t="str">
        <f>IFERROR(INDEX('Formulación PDN 2027'!$AD$7:$AD$506,MATCH(ROW()-5,'Formulación PDN 2027'!$AK$7:$AK$506,0))&amp;"","")</f>
        <v/>
      </c>
      <c r="S91" s="15" t="str">
        <f>IFERROR(INDEX('Formulación PDN 2027'!$AE$7:$AE$506,MATCH(ROW()-5,'Formulación PDN 2027'!$AK$7:$AK$506,0))&amp;"","")</f>
        <v/>
      </c>
      <c r="T91" s="15" t="str">
        <f>IFERROR(INDEX('Formulación PDN 2027'!$C$7:$C$506,MATCH(ROW()-5,'Formulación PDN 2027'!$AK$7:$AK$506,0))&amp;"","")</f>
        <v/>
      </c>
      <c r="U91" s="15" t="str">
        <f>IFERROR(INDEX('Formulación PDN 2027'!$B$7:$B$506,MATCH(ROW()-5,'Formulación PDN 2027'!$AK$7:$AK$506,0))&amp;"","")</f>
        <v/>
      </c>
      <c r="V91" s="15" t="str">
        <f>IFERROR(LEFT(INDEX('Formulación PDN 2027'!$E$7:$E$506,MATCH(ROW()-5,'Formulación PDN 2027'!$AK$7:$AK$506,0)),7),"")</f>
        <v/>
      </c>
      <c r="W91" s="15" t="str">
        <f>IFERROR(INDEX('Formulación PDN 2027'!$H$7:$H$506,MATCH(ROW()-5,'Formulación PDN 2027'!$AK$7:$AK$506,0))&amp;"","")</f>
        <v/>
      </c>
      <c r="X91" s="15" t="str">
        <f>IFERROR(INDEX('Formulación PDN 2027'!$U$7:$U$506,MATCH(ROW()-5,'Formulación PDN 2027'!$AK$7:$AK$506,0))&amp;"","")</f>
        <v/>
      </c>
      <c r="Y91" s="15" t="str">
        <f>IFERROR(INDEX('Formulación PDN 2027'!$AH$7:$AH$506,MATCH(ROW()-5,'Formulación PDN 2027'!$AK$7:$AK$506,0))&amp;"","")</f>
        <v/>
      </c>
    </row>
    <row r="92" spans="1:25" x14ac:dyDescent="0.3">
      <c r="A92" s="15" t="str">
        <f>IFERROR(INDEX('Formulación PDN 2027'!$A$7:$A$506,MATCH(ROW()-5,'Formulación PDN 2027'!$AK$7:$AK$506,0))&amp;"","")</f>
        <v/>
      </c>
      <c r="B92" s="20" t="str">
        <f>IFERROR(INDEX('Formulación PDN 2027'!$M$7:$M$506,MATCH(ROW()-5,'Formulación PDN 2027'!$AK$7:$AK$506,0)),"")</f>
        <v/>
      </c>
      <c r="C92" s="15" t="str">
        <f>IFERROR(INDEX('Formulación PDN 2027'!$N$7:$N$506,MATCH(ROW()-5,'Formulación PDN 2027'!$AK$7:$AK$506,0))&amp;"","")</f>
        <v/>
      </c>
      <c r="D92" s="15" t="str">
        <f>IFERROR(INDEX('Formulación PDN 2027'!$L$7:$L$506,MATCH(ROW()-5,'Formulación PDN 2027'!$AK$7:$AK$506,0))&amp;"","")</f>
        <v/>
      </c>
      <c r="E92" s="15" t="str">
        <f>IFERROR(MATCH(INDEX('Formulación PDN 2027'!$O$7:$O$506,MATCH(ROW()-5,'Formulación PDN 2027'!$AK$7:$AK$506,0)),L_MESES,0),"")</f>
        <v/>
      </c>
      <c r="F92" s="15" t="str">
        <f>IFERROR(MATCH(INDEX('Formulación PDN 2027'!$P$7:$P$506,MATCH(ROW()-5,'Formulación PDN 2027'!$AK$7:$AK$506,0)),L_MESES,0),"")</f>
        <v/>
      </c>
      <c r="G92" s="15" t="str">
        <f>IFERROR(INDEX('Formulación PDN 2027'!$Q$7:$Q$506,MATCH(ROW()-5,'Formulación PDN 2027'!$AK$7:$AK$506,0)),"")</f>
        <v/>
      </c>
      <c r="H92" s="15" t="str">
        <f>IFERROR(INDEX('Formulación PDN 2027'!$R$7:$R$506,MATCH(ROW()-5,'Formulación PDN 2027'!$AK$7:$AK$506,0))&amp;"","")</f>
        <v/>
      </c>
      <c r="I92" s="15" t="str">
        <f>IFERROR(INDEX('Formulación PDN 2027'!$S$7:$S$506,MATCH(ROW()-5,'Formulación PDN 2027'!$AK$7:$AK$506,0))&amp;"","")</f>
        <v/>
      </c>
      <c r="J92" s="15" t="str">
        <f>IFERROR(INDEX('Formulación PDN 2027'!$T$7:$T$506,MATCH(ROW()-5,'Formulación PDN 2027'!$AK$7:$AK$506,0))&amp;"","")</f>
        <v/>
      </c>
      <c r="K92" s="43" t="str">
        <f>IFERROR(INDEX('Formulación PDN 2027'!$W$7:$W$506,MATCH(ROW()-5,'Formulación PDN 2027'!$AK$7:$AK$506,0)),"")</f>
        <v/>
      </c>
      <c r="L92" s="43" t="str">
        <f>IFERROR(INDEX('Formulación PDN 2027'!$X$7:$X$506,MATCH(ROW()-5,'Formulación PDN 2027'!$AK$7:$AK$506,0)),"")</f>
        <v/>
      </c>
      <c r="M92" s="15" t="str">
        <f>IFERROR(INDEX('Formulación PDN 2027'!$Y$7:$Y$506,MATCH(ROW()-5,'Formulación PDN 2027'!$AK$7:$AK$506,0))&amp;"","")</f>
        <v/>
      </c>
      <c r="N92" s="15" t="str">
        <f>IFERROR(INDEX('Formulación PDN 2027'!$Z$7:$Z$506,MATCH(ROW()-5,'Formulación PDN 2027'!$AK$7:$AK$506,0))&amp;"","")</f>
        <v/>
      </c>
      <c r="O92" s="15"/>
      <c r="P92" s="15" t="str">
        <f>IFERROR(INDEX('Formulación PDN 2027'!$AA$7:$AA$506,MATCH(ROW()-5,'Formulación PDN 2027'!$AK$7:$AK$506,0))&amp;"","")</f>
        <v/>
      </c>
      <c r="Q92" s="15" t="str">
        <f>IFERROR(INDEX('Formulación PDN 2027'!$AB$7:$AB$506,MATCH(ROW()-5,'Formulación PDN 2027'!$AK$7:$AK$506,0))&amp;"","")</f>
        <v/>
      </c>
      <c r="R92" s="15" t="str">
        <f>IFERROR(INDEX('Formulación PDN 2027'!$AD$7:$AD$506,MATCH(ROW()-5,'Formulación PDN 2027'!$AK$7:$AK$506,0))&amp;"","")</f>
        <v/>
      </c>
      <c r="S92" s="15" t="str">
        <f>IFERROR(INDEX('Formulación PDN 2027'!$AE$7:$AE$506,MATCH(ROW()-5,'Formulación PDN 2027'!$AK$7:$AK$506,0))&amp;"","")</f>
        <v/>
      </c>
      <c r="T92" s="15" t="str">
        <f>IFERROR(INDEX('Formulación PDN 2027'!$C$7:$C$506,MATCH(ROW()-5,'Formulación PDN 2027'!$AK$7:$AK$506,0))&amp;"","")</f>
        <v/>
      </c>
      <c r="U92" s="15" t="str">
        <f>IFERROR(INDEX('Formulación PDN 2027'!$B$7:$B$506,MATCH(ROW()-5,'Formulación PDN 2027'!$AK$7:$AK$506,0))&amp;"","")</f>
        <v/>
      </c>
      <c r="V92" s="15" t="str">
        <f>IFERROR(LEFT(INDEX('Formulación PDN 2027'!$E$7:$E$506,MATCH(ROW()-5,'Formulación PDN 2027'!$AK$7:$AK$506,0)),7),"")</f>
        <v/>
      </c>
      <c r="W92" s="15" t="str">
        <f>IFERROR(INDEX('Formulación PDN 2027'!$H$7:$H$506,MATCH(ROW()-5,'Formulación PDN 2027'!$AK$7:$AK$506,0))&amp;"","")</f>
        <v/>
      </c>
      <c r="X92" s="15" t="str">
        <f>IFERROR(INDEX('Formulación PDN 2027'!$U$7:$U$506,MATCH(ROW()-5,'Formulación PDN 2027'!$AK$7:$AK$506,0))&amp;"","")</f>
        <v/>
      </c>
      <c r="Y92" s="15" t="str">
        <f>IFERROR(INDEX('Formulación PDN 2027'!$AH$7:$AH$506,MATCH(ROW()-5,'Formulación PDN 2027'!$AK$7:$AK$506,0))&amp;"","")</f>
        <v/>
      </c>
    </row>
    <row r="93" spans="1:25" x14ac:dyDescent="0.3">
      <c r="A93" s="15" t="str">
        <f>IFERROR(INDEX('Formulación PDN 2027'!$A$7:$A$506,MATCH(ROW()-5,'Formulación PDN 2027'!$AK$7:$AK$506,0))&amp;"","")</f>
        <v/>
      </c>
      <c r="B93" s="20" t="str">
        <f>IFERROR(INDEX('Formulación PDN 2027'!$M$7:$M$506,MATCH(ROW()-5,'Formulación PDN 2027'!$AK$7:$AK$506,0)),"")</f>
        <v/>
      </c>
      <c r="C93" s="15" t="str">
        <f>IFERROR(INDEX('Formulación PDN 2027'!$N$7:$N$506,MATCH(ROW()-5,'Formulación PDN 2027'!$AK$7:$AK$506,0))&amp;"","")</f>
        <v/>
      </c>
      <c r="D93" s="15" t="str">
        <f>IFERROR(INDEX('Formulación PDN 2027'!$L$7:$L$506,MATCH(ROW()-5,'Formulación PDN 2027'!$AK$7:$AK$506,0))&amp;"","")</f>
        <v/>
      </c>
      <c r="E93" s="15" t="str">
        <f>IFERROR(MATCH(INDEX('Formulación PDN 2027'!$O$7:$O$506,MATCH(ROW()-5,'Formulación PDN 2027'!$AK$7:$AK$506,0)),L_MESES,0),"")</f>
        <v/>
      </c>
      <c r="F93" s="15" t="str">
        <f>IFERROR(MATCH(INDEX('Formulación PDN 2027'!$P$7:$P$506,MATCH(ROW()-5,'Formulación PDN 2027'!$AK$7:$AK$506,0)),L_MESES,0),"")</f>
        <v/>
      </c>
      <c r="G93" s="15" t="str">
        <f>IFERROR(INDEX('Formulación PDN 2027'!$Q$7:$Q$506,MATCH(ROW()-5,'Formulación PDN 2027'!$AK$7:$AK$506,0)),"")</f>
        <v/>
      </c>
      <c r="H93" s="15" t="str">
        <f>IFERROR(INDEX('Formulación PDN 2027'!$R$7:$R$506,MATCH(ROW()-5,'Formulación PDN 2027'!$AK$7:$AK$506,0))&amp;"","")</f>
        <v/>
      </c>
      <c r="I93" s="15" t="str">
        <f>IFERROR(INDEX('Formulación PDN 2027'!$S$7:$S$506,MATCH(ROW()-5,'Formulación PDN 2027'!$AK$7:$AK$506,0))&amp;"","")</f>
        <v/>
      </c>
      <c r="J93" s="15" t="str">
        <f>IFERROR(INDEX('Formulación PDN 2027'!$T$7:$T$506,MATCH(ROW()-5,'Formulación PDN 2027'!$AK$7:$AK$506,0))&amp;"","")</f>
        <v/>
      </c>
      <c r="K93" s="43" t="str">
        <f>IFERROR(INDEX('Formulación PDN 2027'!$W$7:$W$506,MATCH(ROW()-5,'Formulación PDN 2027'!$AK$7:$AK$506,0)),"")</f>
        <v/>
      </c>
      <c r="L93" s="43" t="str">
        <f>IFERROR(INDEX('Formulación PDN 2027'!$X$7:$X$506,MATCH(ROW()-5,'Formulación PDN 2027'!$AK$7:$AK$506,0)),"")</f>
        <v/>
      </c>
      <c r="M93" s="15" t="str">
        <f>IFERROR(INDEX('Formulación PDN 2027'!$Y$7:$Y$506,MATCH(ROW()-5,'Formulación PDN 2027'!$AK$7:$AK$506,0))&amp;"","")</f>
        <v/>
      </c>
      <c r="N93" s="15" t="str">
        <f>IFERROR(INDEX('Formulación PDN 2027'!$Z$7:$Z$506,MATCH(ROW()-5,'Formulación PDN 2027'!$AK$7:$AK$506,0))&amp;"","")</f>
        <v/>
      </c>
      <c r="O93" s="15"/>
      <c r="P93" s="15" t="str">
        <f>IFERROR(INDEX('Formulación PDN 2027'!$AA$7:$AA$506,MATCH(ROW()-5,'Formulación PDN 2027'!$AK$7:$AK$506,0))&amp;"","")</f>
        <v/>
      </c>
      <c r="Q93" s="15" t="str">
        <f>IFERROR(INDEX('Formulación PDN 2027'!$AB$7:$AB$506,MATCH(ROW()-5,'Formulación PDN 2027'!$AK$7:$AK$506,0))&amp;"","")</f>
        <v/>
      </c>
      <c r="R93" s="15" t="str">
        <f>IFERROR(INDEX('Formulación PDN 2027'!$AD$7:$AD$506,MATCH(ROW()-5,'Formulación PDN 2027'!$AK$7:$AK$506,0))&amp;"","")</f>
        <v/>
      </c>
      <c r="S93" s="15" t="str">
        <f>IFERROR(INDEX('Formulación PDN 2027'!$AE$7:$AE$506,MATCH(ROW()-5,'Formulación PDN 2027'!$AK$7:$AK$506,0))&amp;"","")</f>
        <v/>
      </c>
      <c r="T93" s="15" t="str">
        <f>IFERROR(INDEX('Formulación PDN 2027'!$C$7:$C$506,MATCH(ROW()-5,'Formulación PDN 2027'!$AK$7:$AK$506,0))&amp;"","")</f>
        <v/>
      </c>
      <c r="U93" s="15" t="str">
        <f>IFERROR(INDEX('Formulación PDN 2027'!$B$7:$B$506,MATCH(ROW()-5,'Formulación PDN 2027'!$AK$7:$AK$506,0))&amp;"","")</f>
        <v/>
      </c>
      <c r="V93" s="15" t="str">
        <f>IFERROR(LEFT(INDEX('Formulación PDN 2027'!$E$7:$E$506,MATCH(ROW()-5,'Formulación PDN 2027'!$AK$7:$AK$506,0)),7),"")</f>
        <v/>
      </c>
      <c r="W93" s="15" t="str">
        <f>IFERROR(INDEX('Formulación PDN 2027'!$H$7:$H$506,MATCH(ROW()-5,'Formulación PDN 2027'!$AK$7:$AK$506,0))&amp;"","")</f>
        <v/>
      </c>
      <c r="X93" s="15" t="str">
        <f>IFERROR(INDEX('Formulación PDN 2027'!$U$7:$U$506,MATCH(ROW()-5,'Formulación PDN 2027'!$AK$7:$AK$506,0))&amp;"","")</f>
        <v/>
      </c>
      <c r="Y93" s="15" t="str">
        <f>IFERROR(INDEX('Formulación PDN 2027'!$AH$7:$AH$506,MATCH(ROW()-5,'Formulación PDN 2027'!$AK$7:$AK$506,0))&amp;"","")</f>
        <v/>
      </c>
    </row>
    <row r="94" spans="1:25" x14ac:dyDescent="0.3">
      <c r="A94" s="15" t="str">
        <f>IFERROR(INDEX('Formulación PDN 2027'!$A$7:$A$506,MATCH(ROW()-5,'Formulación PDN 2027'!$AK$7:$AK$506,0))&amp;"","")</f>
        <v/>
      </c>
      <c r="B94" s="20" t="str">
        <f>IFERROR(INDEX('Formulación PDN 2027'!$M$7:$M$506,MATCH(ROW()-5,'Formulación PDN 2027'!$AK$7:$AK$506,0)),"")</f>
        <v/>
      </c>
      <c r="C94" s="15" t="str">
        <f>IFERROR(INDEX('Formulación PDN 2027'!$N$7:$N$506,MATCH(ROW()-5,'Formulación PDN 2027'!$AK$7:$AK$506,0))&amp;"","")</f>
        <v/>
      </c>
      <c r="D94" s="15" t="str">
        <f>IFERROR(INDEX('Formulación PDN 2027'!$L$7:$L$506,MATCH(ROW()-5,'Formulación PDN 2027'!$AK$7:$AK$506,0))&amp;"","")</f>
        <v/>
      </c>
      <c r="E94" s="15" t="str">
        <f>IFERROR(MATCH(INDEX('Formulación PDN 2027'!$O$7:$O$506,MATCH(ROW()-5,'Formulación PDN 2027'!$AK$7:$AK$506,0)),L_MESES,0),"")</f>
        <v/>
      </c>
      <c r="F94" s="15" t="str">
        <f>IFERROR(MATCH(INDEX('Formulación PDN 2027'!$P$7:$P$506,MATCH(ROW()-5,'Formulación PDN 2027'!$AK$7:$AK$506,0)),L_MESES,0),"")</f>
        <v/>
      </c>
      <c r="G94" s="15" t="str">
        <f>IFERROR(INDEX('Formulación PDN 2027'!$Q$7:$Q$506,MATCH(ROW()-5,'Formulación PDN 2027'!$AK$7:$AK$506,0)),"")</f>
        <v/>
      </c>
      <c r="H94" s="15" t="str">
        <f>IFERROR(INDEX('Formulación PDN 2027'!$R$7:$R$506,MATCH(ROW()-5,'Formulación PDN 2027'!$AK$7:$AK$506,0))&amp;"","")</f>
        <v/>
      </c>
      <c r="I94" s="15" t="str">
        <f>IFERROR(INDEX('Formulación PDN 2027'!$S$7:$S$506,MATCH(ROW()-5,'Formulación PDN 2027'!$AK$7:$AK$506,0))&amp;"","")</f>
        <v/>
      </c>
      <c r="J94" s="15" t="str">
        <f>IFERROR(INDEX('Formulación PDN 2027'!$T$7:$T$506,MATCH(ROW()-5,'Formulación PDN 2027'!$AK$7:$AK$506,0))&amp;"","")</f>
        <v/>
      </c>
      <c r="K94" s="43" t="str">
        <f>IFERROR(INDEX('Formulación PDN 2027'!$W$7:$W$506,MATCH(ROW()-5,'Formulación PDN 2027'!$AK$7:$AK$506,0)),"")</f>
        <v/>
      </c>
      <c r="L94" s="43" t="str">
        <f>IFERROR(INDEX('Formulación PDN 2027'!$X$7:$X$506,MATCH(ROW()-5,'Formulación PDN 2027'!$AK$7:$AK$506,0)),"")</f>
        <v/>
      </c>
      <c r="M94" s="15" t="str">
        <f>IFERROR(INDEX('Formulación PDN 2027'!$Y$7:$Y$506,MATCH(ROW()-5,'Formulación PDN 2027'!$AK$7:$AK$506,0))&amp;"","")</f>
        <v/>
      </c>
      <c r="N94" s="15" t="str">
        <f>IFERROR(INDEX('Formulación PDN 2027'!$Z$7:$Z$506,MATCH(ROW()-5,'Formulación PDN 2027'!$AK$7:$AK$506,0))&amp;"","")</f>
        <v/>
      </c>
      <c r="O94" s="15"/>
      <c r="P94" s="15" t="str">
        <f>IFERROR(INDEX('Formulación PDN 2027'!$AA$7:$AA$506,MATCH(ROW()-5,'Formulación PDN 2027'!$AK$7:$AK$506,0))&amp;"","")</f>
        <v/>
      </c>
      <c r="Q94" s="15" t="str">
        <f>IFERROR(INDEX('Formulación PDN 2027'!$AB$7:$AB$506,MATCH(ROW()-5,'Formulación PDN 2027'!$AK$7:$AK$506,0))&amp;"","")</f>
        <v/>
      </c>
      <c r="R94" s="15" t="str">
        <f>IFERROR(INDEX('Formulación PDN 2027'!$AD$7:$AD$506,MATCH(ROW()-5,'Formulación PDN 2027'!$AK$7:$AK$506,0))&amp;"","")</f>
        <v/>
      </c>
      <c r="S94" s="15" t="str">
        <f>IFERROR(INDEX('Formulación PDN 2027'!$AE$7:$AE$506,MATCH(ROW()-5,'Formulación PDN 2027'!$AK$7:$AK$506,0))&amp;"","")</f>
        <v/>
      </c>
      <c r="T94" s="15" t="str">
        <f>IFERROR(INDEX('Formulación PDN 2027'!$C$7:$C$506,MATCH(ROW()-5,'Formulación PDN 2027'!$AK$7:$AK$506,0))&amp;"","")</f>
        <v/>
      </c>
      <c r="U94" s="15" t="str">
        <f>IFERROR(INDEX('Formulación PDN 2027'!$B$7:$B$506,MATCH(ROW()-5,'Formulación PDN 2027'!$AK$7:$AK$506,0))&amp;"","")</f>
        <v/>
      </c>
      <c r="V94" s="15" t="str">
        <f>IFERROR(LEFT(INDEX('Formulación PDN 2027'!$E$7:$E$506,MATCH(ROW()-5,'Formulación PDN 2027'!$AK$7:$AK$506,0)),7),"")</f>
        <v/>
      </c>
      <c r="W94" s="15" t="str">
        <f>IFERROR(INDEX('Formulación PDN 2027'!$H$7:$H$506,MATCH(ROW()-5,'Formulación PDN 2027'!$AK$7:$AK$506,0))&amp;"","")</f>
        <v/>
      </c>
      <c r="X94" s="15" t="str">
        <f>IFERROR(INDEX('Formulación PDN 2027'!$U$7:$U$506,MATCH(ROW()-5,'Formulación PDN 2027'!$AK$7:$AK$506,0))&amp;"","")</f>
        <v/>
      </c>
      <c r="Y94" s="15" t="str">
        <f>IFERROR(INDEX('Formulación PDN 2027'!$AH$7:$AH$506,MATCH(ROW()-5,'Formulación PDN 2027'!$AK$7:$AK$506,0))&amp;"","")</f>
        <v/>
      </c>
    </row>
    <row r="95" spans="1:25" x14ac:dyDescent="0.3">
      <c r="A95" s="15" t="str">
        <f>IFERROR(INDEX('Formulación PDN 2027'!$A$7:$A$506,MATCH(ROW()-5,'Formulación PDN 2027'!$AK$7:$AK$506,0))&amp;"","")</f>
        <v/>
      </c>
      <c r="B95" s="20" t="str">
        <f>IFERROR(INDEX('Formulación PDN 2027'!$M$7:$M$506,MATCH(ROW()-5,'Formulación PDN 2027'!$AK$7:$AK$506,0)),"")</f>
        <v/>
      </c>
      <c r="C95" s="15" t="str">
        <f>IFERROR(INDEX('Formulación PDN 2027'!$N$7:$N$506,MATCH(ROW()-5,'Formulación PDN 2027'!$AK$7:$AK$506,0))&amp;"","")</f>
        <v/>
      </c>
      <c r="D95" s="15" t="str">
        <f>IFERROR(INDEX('Formulación PDN 2027'!$L$7:$L$506,MATCH(ROW()-5,'Formulación PDN 2027'!$AK$7:$AK$506,0))&amp;"","")</f>
        <v/>
      </c>
      <c r="E95" s="15" t="str">
        <f>IFERROR(MATCH(INDEX('Formulación PDN 2027'!$O$7:$O$506,MATCH(ROW()-5,'Formulación PDN 2027'!$AK$7:$AK$506,0)),L_MESES,0),"")</f>
        <v/>
      </c>
      <c r="F95" s="15" t="str">
        <f>IFERROR(MATCH(INDEX('Formulación PDN 2027'!$P$7:$P$506,MATCH(ROW()-5,'Formulación PDN 2027'!$AK$7:$AK$506,0)),L_MESES,0),"")</f>
        <v/>
      </c>
      <c r="G95" s="15" t="str">
        <f>IFERROR(INDEX('Formulación PDN 2027'!$Q$7:$Q$506,MATCH(ROW()-5,'Formulación PDN 2027'!$AK$7:$AK$506,0)),"")</f>
        <v/>
      </c>
      <c r="H95" s="15" t="str">
        <f>IFERROR(INDEX('Formulación PDN 2027'!$R$7:$R$506,MATCH(ROW()-5,'Formulación PDN 2027'!$AK$7:$AK$506,0))&amp;"","")</f>
        <v/>
      </c>
      <c r="I95" s="15" t="str">
        <f>IFERROR(INDEX('Formulación PDN 2027'!$S$7:$S$506,MATCH(ROW()-5,'Formulación PDN 2027'!$AK$7:$AK$506,0))&amp;"","")</f>
        <v/>
      </c>
      <c r="J95" s="15" t="str">
        <f>IFERROR(INDEX('Formulación PDN 2027'!$T$7:$T$506,MATCH(ROW()-5,'Formulación PDN 2027'!$AK$7:$AK$506,0))&amp;"","")</f>
        <v/>
      </c>
      <c r="K95" s="43" t="str">
        <f>IFERROR(INDEX('Formulación PDN 2027'!$W$7:$W$506,MATCH(ROW()-5,'Formulación PDN 2027'!$AK$7:$AK$506,0)),"")</f>
        <v/>
      </c>
      <c r="L95" s="43" t="str">
        <f>IFERROR(INDEX('Formulación PDN 2027'!$X$7:$X$506,MATCH(ROW()-5,'Formulación PDN 2027'!$AK$7:$AK$506,0)),"")</f>
        <v/>
      </c>
      <c r="M95" s="15" t="str">
        <f>IFERROR(INDEX('Formulación PDN 2027'!$Y$7:$Y$506,MATCH(ROW()-5,'Formulación PDN 2027'!$AK$7:$AK$506,0))&amp;"","")</f>
        <v/>
      </c>
      <c r="N95" s="15" t="str">
        <f>IFERROR(INDEX('Formulación PDN 2027'!$Z$7:$Z$506,MATCH(ROW()-5,'Formulación PDN 2027'!$AK$7:$AK$506,0))&amp;"","")</f>
        <v/>
      </c>
      <c r="O95" s="15"/>
      <c r="P95" s="15" t="str">
        <f>IFERROR(INDEX('Formulación PDN 2027'!$AA$7:$AA$506,MATCH(ROW()-5,'Formulación PDN 2027'!$AK$7:$AK$506,0))&amp;"","")</f>
        <v/>
      </c>
      <c r="Q95" s="15" t="str">
        <f>IFERROR(INDEX('Formulación PDN 2027'!$AB$7:$AB$506,MATCH(ROW()-5,'Formulación PDN 2027'!$AK$7:$AK$506,0))&amp;"","")</f>
        <v/>
      </c>
      <c r="R95" s="15" t="str">
        <f>IFERROR(INDEX('Formulación PDN 2027'!$AD$7:$AD$506,MATCH(ROW()-5,'Formulación PDN 2027'!$AK$7:$AK$506,0))&amp;"","")</f>
        <v/>
      </c>
      <c r="S95" s="15" t="str">
        <f>IFERROR(INDEX('Formulación PDN 2027'!$AE$7:$AE$506,MATCH(ROW()-5,'Formulación PDN 2027'!$AK$7:$AK$506,0))&amp;"","")</f>
        <v/>
      </c>
      <c r="T95" s="15" t="str">
        <f>IFERROR(INDEX('Formulación PDN 2027'!$C$7:$C$506,MATCH(ROW()-5,'Formulación PDN 2027'!$AK$7:$AK$506,0))&amp;"","")</f>
        <v/>
      </c>
      <c r="U95" s="15" t="str">
        <f>IFERROR(INDEX('Formulación PDN 2027'!$B$7:$B$506,MATCH(ROW()-5,'Formulación PDN 2027'!$AK$7:$AK$506,0))&amp;"","")</f>
        <v/>
      </c>
      <c r="V95" s="15" t="str">
        <f>IFERROR(LEFT(INDEX('Formulación PDN 2027'!$E$7:$E$506,MATCH(ROW()-5,'Formulación PDN 2027'!$AK$7:$AK$506,0)),7),"")</f>
        <v/>
      </c>
      <c r="W95" s="15" t="str">
        <f>IFERROR(INDEX('Formulación PDN 2027'!$H$7:$H$506,MATCH(ROW()-5,'Formulación PDN 2027'!$AK$7:$AK$506,0))&amp;"","")</f>
        <v/>
      </c>
      <c r="X95" s="15" t="str">
        <f>IFERROR(INDEX('Formulación PDN 2027'!$U$7:$U$506,MATCH(ROW()-5,'Formulación PDN 2027'!$AK$7:$AK$506,0))&amp;"","")</f>
        <v/>
      </c>
      <c r="Y95" s="15" t="str">
        <f>IFERROR(INDEX('Formulación PDN 2027'!$AH$7:$AH$506,MATCH(ROW()-5,'Formulación PDN 2027'!$AK$7:$AK$506,0))&amp;"","")</f>
        <v/>
      </c>
    </row>
    <row r="96" spans="1:25" x14ac:dyDescent="0.3">
      <c r="A96" s="15" t="str">
        <f>IFERROR(INDEX('Formulación PDN 2027'!$A$7:$A$506,MATCH(ROW()-5,'Formulación PDN 2027'!$AK$7:$AK$506,0))&amp;"","")</f>
        <v/>
      </c>
      <c r="B96" s="20" t="str">
        <f>IFERROR(INDEX('Formulación PDN 2027'!$M$7:$M$506,MATCH(ROW()-5,'Formulación PDN 2027'!$AK$7:$AK$506,0)),"")</f>
        <v/>
      </c>
      <c r="C96" s="15" t="str">
        <f>IFERROR(INDEX('Formulación PDN 2027'!$N$7:$N$506,MATCH(ROW()-5,'Formulación PDN 2027'!$AK$7:$AK$506,0))&amp;"","")</f>
        <v/>
      </c>
      <c r="D96" s="15" t="str">
        <f>IFERROR(INDEX('Formulación PDN 2027'!$L$7:$L$506,MATCH(ROW()-5,'Formulación PDN 2027'!$AK$7:$AK$506,0))&amp;"","")</f>
        <v/>
      </c>
      <c r="E96" s="15" t="str">
        <f>IFERROR(MATCH(INDEX('Formulación PDN 2027'!$O$7:$O$506,MATCH(ROW()-5,'Formulación PDN 2027'!$AK$7:$AK$506,0)),L_MESES,0),"")</f>
        <v/>
      </c>
      <c r="F96" s="15" t="str">
        <f>IFERROR(MATCH(INDEX('Formulación PDN 2027'!$P$7:$P$506,MATCH(ROW()-5,'Formulación PDN 2027'!$AK$7:$AK$506,0)),L_MESES,0),"")</f>
        <v/>
      </c>
      <c r="G96" s="15" t="str">
        <f>IFERROR(INDEX('Formulación PDN 2027'!$Q$7:$Q$506,MATCH(ROW()-5,'Formulación PDN 2027'!$AK$7:$AK$506,0)),"")</f>
        <v/>
      </c>
      <c r="H96" s="15" t="str">
        <f>IFERROR(INDEX('Formulación PDN 2027'!$R$7:$R$506,MATCH(ROW()-5,'Formulación PDN 2027'!$AK$7:$AK$506,0))&amp;"","")</f>
        <v/>
      </c>
      <c r="I96" s="15" t="str">
        <f>IFERROR(INDEX('Formulación PDN 2027'!$S$7:$S$506,MATCH(ROW()-5,'Formulación PDN 2027'!$AK$7:$AK$506,0))&amp;"","")</f>
        <v/>
      </c>
      <c r="J96" s="15" t="str">
        <f>IFERROR(INDEX('Formulación PDN 2027'!$T$7:$T$506,MATCH(ROW()-5,'Formulación PDN 2027'!$AK$7:$AK$506,0))&amp;"","")</f>
        <v/>
      </c>
      <c r="K96" s="43" t="str">
        <f>IFERROR(INDEX('Formulación PDN 2027'!$W$7:$W$506,MATCH(ROW()-5,'Formulación PDN 2027'!$AK$7:$AK$506,0)),"")</f>
        <v/>
      </c>
      <c r="L96" s="43" t="str">
        <f>IFERROR(INDEX('Formulación PDN 2027'!$X$7:$X$506,MATCH(ROW()-5,'Formulación PDN 2027'!$AK$7:$AK$506,0)),"")</f>
        <v/>
      </c>
      <c r="M96" s="15" t="str">
        <f>IFERROR(INDEX('Formulación PDN 2027'!$Y$7:$Y$506,MATCH(ROW()-5,'Formulación PDN 2027'!$AK$7:$AK$506,0))&amp;"","")</f>
        <v/>
      </c>
      <c r="N96" s="15" t="str">
        <f>IFERROR(INDEX('Formulación PDN 2027'!$Z$7:$Z$506,MATCH(ROW()-5,'Formulación PDN 2027'!$AK$7:$AK$506,0))&amp;"","")</f>
        <v/>
      </c>
      <c r="O96" s="15"/>
      <c r="P96" s="15" t="str">
        <f>IFERROR(INDEX('Formulación PDN 2027'!$AA$7:$AA$506,MATCH(ROW()-5,'Formulación PDN 2027'!$AK$7:$AK$506,0))&amp;"","")</f>
        <v/>
      </c>
      <c r="Q96" s="15" t="str">
        <f>IFERROR(INDEX('Formulación PDN 2027'!$AB$7:$AB$506,MATCH(ROW()-5,'Formulación PDN 2027'!$AK$7:$AK$506,0))&amp;"","")</f>
        <v/>
      </c>
      <c r="R96" s="15" t="str">
        <f>IFERROR(INDEX('Formulación PDN 2027'!$AD$7:$AD$506,MATCH(ROW()-5,'Formulación PDN 2027'!$AK$7:$AK$506,0))&amp;"","")</f>
        <v/>
      </c>
      <c r="S96" s="15" t="str">
        <f>IFERROR(INDEX('Formulación PDN 2027'!$AE$7:$AE$506,MATCH(ROW()-5,'Formulación PDN 2027'!$AK$7:$AK$506,0))&amp;"","")</f>
        <v/>
      </c>
      <c r="T96" s="15" t="str">
        <f>IFERROR(INDEX('Formulación PDN 2027'!$C$7:$C$506,MATCH(ROW()-5,'Formulación PDN 2027'!$AK$7:$AK$506,0))&amp;"","")</f>
        <v/>
      </c>
      <c r="U96" s="15" t="str">
        <f>IFERROR(INDEX('Formulación PDN 2027'!$B$7:$B$506,MATCH(ROW()-5,'Formulación PDN 2027'!$AK$7:$AK$506,0))&amp;"","")</f>
        <v/>
      </c>
      <c r="V96" s="15" t="str">
        <f>IFERROR(LEFT(INDEX('Formulación PDN 2027'!$E$7:$E$506,MATCH(ROW()-5,'Formulación PDN 2027'!$AK$7:$AK$506,0)),7),"")</f>
        <v/>
      </c>
      <c r="W96" s="15" t="str">
        <f>IFERROR(INDEX('Formulación PDN 2027'!$H$7:$H$506,MATCH(ROW()-5,'Formulación PDN 2027'!$AK$7:$AK$506,0))&amp;"","")</f>
        <v/>
      </c>
      <c r="X96" s="15" t="str">
        <f>IFERROR(INDEX('Formulación PDN 2027'!$U$7:$U$506,MATCH(ROW()-5,'Formulación PDN 2027'!$AK$7:$AK$506,0))&amp;"","")</f>
        <v/>
      </c>
      <c r="Y96" s="15" t="str">
        <f>IFERROR(INDEX('Formulación PDN 2027'!$AH$7:$AH$506,MATCH(ROW()-5,'Formulación PDN 2027'!$AK$7:$AK$506,0))&amp;"","")</f>
        <v/>
      </c>
    </row>
    <row r="97" spans="1:25" x14ac:dyDescent="0.3">
      <c r="A97" s="15" t="str">
        <f>IFERROR(INDEX('Formulación PDN 2027'!$A$7:$A$506,MATCH(ROW()-5,'Formulación PDN 2027'!$AK$7:$AK$506,0))&amp;"","")</f>
        <v/>
      </c>
      <c r="B97" s="20" t="str">
        <f>IFERROR(INDEX('Formulación PDN 2027'!$M$7:$M$506,MATCH(ROW()-5,'Formulación PDN 2027'!$AK$7:$AK$506,0)),"")</f>
        <v/>
      </c>
      <c r="C97" s="15" t="str">
        <f>IFERROR(INDEX('Formulación PDN 2027'!$N$7:$N$506,MATCH(ROW()-5,'Formulación PDN 2027'!$AK$7:$AK$506,0))&amp;"","")</f>
        <v/>
      </c>
      <c r="D97" s="15" t="str">
        <f>IFERROR(INDEX('Formulación PDN 2027'!$L$7:$L$506,MATCH(ROW()-5,'Formulación PDN 2027'!$AK$7:$AK$506,0))&amp;"","")</f>
        <v/>
      </c>
      <c r="E97" s="15" t="str">
        <f>IFERROR(MATCH(INDEX('Formulación PDN 2027'!$O$7:$O$506,MATCH(ROW()-5,'Formulación PDN 2027'!$AK$7:$AK$506,0)),L_MESES,0),"")</f>
        <v/>
      </c>
      <c r="F97" s="15" t="str">
        <f>IFERROR(MATCH(INDEX('Formulación PDN 2027'!$P$7:$P$506,MATCH(ROW()-5,'Formulación PDN 2027'!$AK$7:$AK$506,0)),L_MESES,0),"")</f>
        <v/>
      </c>
      <c r="G97" s="15" t="str">
        <f>IFERROR(INDEX('Formulación PDN 2027'!$Q$7:$Q$506,MATCH(ROW()-5,'Formulación PDN 2027'!$AK$7:$AK$506,0)),"")</f>
        <v/>
      </c>
      <c r="H97" s="15" t="str">
        <f>IFERROR(INDEX('Formulación PDN 2027'!$R$7:$R$506,MATCH(ROW()-5,'Formulación PDN 2027'!$AK$7:$AK$506,0))&amp;"","")</f>
        <v/>
      </c>
      <c r="I97" s="15" t="str">
        <f>IFERROR(INDEX('Formulación PDN 2027'!$S$7:$S$506,MATCH(ROW()-5,'Formulación PDN 2027'!$AK$7:$AK$506,0))&amp;"","")</f>
        <v/>
      </c>
      <c r="J97" s="15" t="str">
        <f>IFERROR(INDEX('Formulación PDN 2027'!$T$7:$T$506,MATCH(ROW()-5,'Formulación PDN 2027'!$AK$7:$AK$506,0))&amp;"","")</f>
        <v/>
      </c>
      <c r="K97" s="43" t="str">
        <f>IFERROR(INDEX('Formulación PDN 2027'!$W$7:$W$506,MATCH(ROW()-5,'Formulación PDN 2027'!$AK$7:$AK$506,0)),"")</f>
        <v/>
      </c>
      <c r="L97" s="43" t="str">
        <f>IFERROR(INDEX('Formulación PDN 2027'!$X$7:$X$506,MATCH(ROW()-5,'Formulación PDN 2027'!$AK$7:$AK$506,0)),"")</f>
        <v/>
      </c>
      <c r="M97" s="15" t="str">
        <f>IFERROR(INDEX('Formulación PDN 2027'!$Y$7:$Y$506,MATCH(ROW()-5,'Formulación PDN 2027'!$AK$7:$AK$506,0))&amp;"","")</f>
        <v/>
      </c>
      <c r="N97" s="15" t="str">
        <f>IFERROR(INDEX('Formulación PDN 2027'!$Z$7:$Z$506,MATCH(ROW()-5,'Formulación PDN 2027'!$AK$7:$AK$506,0))&amp;"","")</f>
        <v/>
      </c>
      <c r="O97" s="15"/>
      <c r="P97" s="15" t="str">
        <f>IFERROR(INDEX('Formulación PDN 2027'!$AA$7:$AA$506,MATCH(ROW()-5,'Formulación PDN 2027'!$AK$7:$AK$506,0))&amp;"","")</f>
        <v/>
      </c>
      <c r="Q97" s="15" t="str">
        <f>IFERROR(INDEX('Formulación PDN 2027'!$AB$7:$AB$506,MATCH(ROW()-5,'Formulación PDN 2027'!$AK$7:$AK$506,0))&amp;"","")</f>
        <v/>
      </c>
      <c r="R97" s="15" t="str">
        <f>IFERROR(INDEX('Formulación PDN 2027'!$AD$7:$AD$506,MATCH(ROW()-5,'Formulación PDN 2027'!$AK$7:$AK$506,0))&amp;"","")</f>
        <v/>
      </c>
      <c r="S97" s="15" t="str">
        <f>IFERROR(INDEX('Formulación PDN 2027'!$AE$7:$AE$506,MATCH(ROW()-5,'Formulación PDN 2027'!$AK$7:$AK$506,0))&amp;"","")</f>
        <v/>
      </c>
      <c r="T97" s="15" t="str">
        <f>IFERROR(INDEX('Formulación PDN 2027'!$C$7:$C$506,MATCH(ROW()-5,'Formulación PDN 2027'!$AK$7:$AK$506,0))&amp;"","")</f>
        <v/>
      </c>
      <c r="U97" s="15" t="str">
        <f>IFERROR(INDEX('Formulación PDN 2027'!$B$7:$B$506,MATCH(ROW()-5,'Formulación PDN 2027'!$AK$7:$AK$506,0))&amp;"","")</f>
        <v/>
      </c>
      <c r="V97" s="15" t="str">
        <f>IFERROR(LEFT(INDEX('Formulación PDN 2027'!$E$7:$E$506,MATCH(ROW()-5,'Formulación PDN 2027'!$AK$7:$AK$506,0)),7),"")</f>
        <v/>
      </c>
      <c r="W97" s="15" t="str">
        <f>IFERROR(INDEX('Formulación PDN 2027'!$H$7:$H$506,MATCH(ROW()-5,'Formulación PDN 2027'!$AK$7:$AK$506,0))&amp;"","")</f>
        <v/>
      </c>
      <c r="X97" s="15" t="str">
        <f>IFERROR(INDEX('Formulación PDN 2027'!$U$7:$U$506,MATCH(ROW()-5,'Formulación PDN 2027'!$AK$7:$AK$506,0))&amp;"","")</f>
        <v/>
      </c>
      <c r="Y97" s="15" t="str">
        <f>IFERROR(INDEX('Formulación PDN 2027'!$AH$7:$AH$506,MATCH(ROW()-5,'Formulación PDN 2027'!$AK$7:$AK$506,0))&amp;"","")</f>
        <v/>
      </c>
    </row>
    <row r="98" spans="1:25" x14ac:dyDescent="0.3">
      <c r="A98" s="15" t="str">
        <f>IFERROR(INDEX('Formulación PDN 2027'!$A$7:$A$506,MATCH(ROW()-5,'Formulación PDN 2027'!$AK$7:$AK$506,0))&amp;"","")</f>
        <v/>
      </c>
      <c r="B98" s="20" t="str">
        <f>IFERROR(INDEX('Formulación PDN 2027'!$M$7:$M$506,MATCH(ROW()-5,'Formulación PDN 2027'!$AK$7:$AK$506,0)),"")</f>
        <v/>
      </c>
      <c r="C98" s="15" t="str">
        <f>IFERROR(INDEX('Formulación PDN 2027'!$N$7:$N$506,MATCH(ROW()-5,'Formulación PDN 2027'!$AK$7:$AK$506,0))&amp;"","")</f>
        <v/>
      </c>
      <c r="D98" s="15" t="str">
        <f>IFERROR(INDEX('Formulación PDN 2027'!$L$7:$L$506,MATCH(ROW()-5,'Formulación PDN 2027'!$AK$7:$AK$506,0))&amp;"","")</f>
        <v/>
      </c>
      <c r="E98" s="15" t="str">
        <f>IFERROR(MATCH(INDEX('Formulación PDN 2027'!$O$7:$O$506,MATCH(ROW()-5,'Formulación PDN 2027'!$AK$7:$AK$506,0)),L_MESES,0),"")</f>
        <v/>
      </c>
      <c r="F98" s="15" t="str">
        <f>IFERROR(MATCH(INDEX('Formulación PDN 2027'!$P$7:$P$506,MATCH(ROW()-5,'Formulación PDN 2027'!$AK$7:$AK$506,0)),L_MESES,0),"")</f>
        <v/>
      </c>
      <c r="G98" s="15" t="str">
        <f>IFERROR(INDEX('Formulación PDN 2027'!$Q$7:$Q$506,MATCH(ROW()-5,'Formulación PDN 2027'!$AK$7:$AK$506,0)),"")</f>
        <v/>
      </c>
      <c r="H98" s="15" t="str">
        <f>IFERROR(INDEX('Formulación PDN 2027'!$R$7:$R$506,MATCH(ROW()-5,'Formulación PDN 2027'!$AK$7:$AK$506,0))&amp;"","")</f>
        <v/>
      </c>
      <c r="I98" s="15" t="str">
        <f>IFERROR(INDEX('Formulación PDN 2027'!$S$7:$S$506,MATCH(ROW()-5,'Formulación PDN 2027'!$AK$7:$AK$506,0))&amp;"","")</f>
        <v/>
      </c>
      <c r="J98" s="15" t="str">
        <f>IFERROR(INDEX('Formulación PDN 2027'!$T$7:$T$506,MATCH(ROW()-5,'Formulación PDN 2027'!$AK$7:$AK$506,0))&amp;"","")</f>
        <v/>
      </c>
      <c r="K98" s="43" t="str">
        <f>IFERROR(INDEX('Formulación PDN 2027'!$W$7:$W$506,MATCH(ROW()-5,'Formulación PDN 2027'!$AK$7:$AK$506,0)),"")</f>
        <v/>
      </c>
      <c r="L98" s="43" t="str">
        <f>IFERROR(INDEX('Formulación PDN 2027'!$X$7:$X$506,MATCH(ROW()-5,'Formulación PDN 2027'!$AK$7:$AK$506,0)),"")</f>
        <v/>
      </c>
      <c r="M98" s="15" t="str">
        <f>IFERROR(INDEX('Formulación PDN 2027'!$Y$7:$Y$506,MATCH(ROW()-5,'Formulación PDN 2027'!$AK$7:$AK$506,0))&amp;"","")</f>
        <v/>
      </c>
      <c r="N98" s="15" t="str">
        <f>IFERROR(INDEX('Formulación PDN 2027'!$Z$7:$Z$506,MATCH(ROW()-5,'Formulación PDN 2027'!$AK$7:$AK$506,0))&amp;"","")</f>
        <v/>
      </c>
      <c r="O98" s="15"/>
      <c r="P98" s="15" t="str">
        <f>IFERROR(INDEX('Formulación PDN 2027'!$AA$7:$AA$506,MATCH(ROW()-5,'Formulación PDN 2027'!$AK$7:$AK$506,0))&amp;"","")</f>
        <v/>
      </c>
      <c r="Q98" s="15" t="str">
        <f>IFERROR(INDEX('Formulación PDN 2027'!$AB$7:$AB$506,MATCH(ROW()-5,'Formulación PDN 2027'!$AK$7:$AK$506,0))&amp;"","")</f>
        <v/>
      </c>
      <c r="R98" s="15" t="str">
        <f>IFERROR(INDEX('Formulación PDN 2027'!$AD$7:$AD$506,MATCH(ROW()-5,'Formulación PDN 2027'!$AK$7:$AK$506,0))&amp;"","")</f>
        <v/>
      </c>
      <c r="S98" s="15" t="str">
        <f>IFERROR(INDEX('Formulación PDN 2027'!$AE$7:$AE$506,MATCH(ROW()-5,'Formulación PDN 2027'!$AK$7:$AK$506,0))&amp;"","")</f>
        <v/>
      </c>
      <c r="T98" s="15" t="str">
        <f>IFERROR(INDEX('Formulación PDN 2027'!$C$7:$C$506,MATCH(ROW()-5,'Formulación PDN 2027'!$AK$7:$AK$506,0))&amp;"","")</f>
        <v/>
      </c>
      <c r="U98" s="15" t="str">
        <f>IFERROR(INDEX('Formulación PDN 2027'!$B$7:$B$506,MATCH(ROW()-5,'Formulación PDN 2027'!$AK$7:$AK$506,0))&amp;"","")</f>
        <v/>
      </c>
      <c r="V98" s="15" t="str">
        <f>IFERROR(LEFT(INDEX('Formulación PDN 2027'!$E$7:$E$506,MATCH(ROW()-5,'Formulación PDN 2027'!$AK$7:$AK$506,0)),7),"")</f>
        <v/>
      </c>
      <c r="W98" s="15" t="str">
        <f>IFERROR(INDEX('Formulación PDN 2027'!$H$7:$H$506,MATCH(ROW()-5,'Formulación PDN 2027'!$AK$7:$AK$506,0))&amp;"","")</f>
        <v/>
      </c>
      <c r="X98" s="15" t="str">
        <f>IFERROR(INDEX('Formulación PDN 2027'!$U$7:$U$506,MATCH(ROW()-5,'Formulación PDN 2027'!$AK$7:$AK$506,0))&amp;"","")</f>
        <v/>
      </c>
      <c r="Y98" s="15" t="str">
        <f>IFERROR(INDEX('Formulación PDN 2027'!$AH$7:$AH$506,MATCH(ROW()-5,'Formulación PDN 2027'!$AK$7:$AK$506,0))&amp;"","")</f>
        <v/>
      </c>
    </row>
    <row r="99" spans="1:25" x14ac:dyDescent="0.3">
      <c r="A99" s="15" t="str">
        <f>IFERROR(INDEX('Formulación PDN 2027'!$A$7:$A$506,MATCH(ROW()-5,'Formulación PDN 2027'!$AK$7:$AK$506,0))&amp;"","")</f>
        <v/>
      </c>
      <c r="B99" s="20" t="str">
        <f>IFERROR(INDEX('Formulación PDN 2027'!$M$7:$M$506,MATCH(ROW()-5,'Formulación PDN 2027'!$AK$7:$AK$506,0)),"")</f>
        <v/>
      </c>
      <c r="C99" s="15" t="str">
        <f>IFERROR(INDEX('Formulación PDN 2027'!$N$7:$N$506,MATCH(ROW()-5,'Formulación PDN 2027'!$AK$7:$AK$506,0))&amp;"","")</f>
        <v/>
      </c>
      <c r="D99" s="15" t="str">
        <f>IFERROR(INDEX('Formulación PDN 2027'!$L$7:$L$506,MATCH(ROW()-5,'Formulación PDN 2027'!$AK$7:$AK$506,0))&amp;"","")</f>
        <v/>
      </c>
      <c r="E99" s="15" t="str">
        <f>IFERROR(MATCH(INDEX('Formulación PDN 2027'!$O$7:$O$506,MATCH(ROW()-5,'Formulación PDN 2027'!$AK$7:$AK$506,0)),L_MESES,0),"")</f>
        <v/>
      </c>
      <c r="F99" s="15" t="str">
        <f>IFERROR(MATCH(INDEX('Formulación PDN 2027'!$P$7:$P$506,MATCH(ROW()-5,'Formulación PDN 2027'!$AK$7:$AK$506,0)),L_MESES,0),"")</f>
        <v/>
      </c>
      <c r="G99" s="15" t="str">
        <f>IFERROR(INDEX('Formulación PDN 2027'!$Q$7:$Q$506,MATCH(ROW()-5,'Formulación PDN 2027'!$AK$7:$AK$506,0)),"")</f>
        <v/>
      </c>
      <c r="H99" s="15" t="str">
        <f>IFERROR(INDEX('Formulación PDN 2027'!$R$7:$R$506,MATCH(ROW()-5,'Formulación PDN 2027'!$AK$7:$AK$506,0))&amp;"","")</f>
        <v/>
      </c>
      <c r="I99" s="15" t="str">
        <f>IFERROR(INDEX('Formulación PDN 2027'!$S$7:$S$506,MATCH(ROW()-5,'Formulación PDN 2027'!$AK$7:$AK$506,0))&amp;"","")</f>
        <v/>
      </c>
      <c r="J99" s="15" t="str">
        <f>IFERROR(INDEX('Formulación PDN 2027'!$T$7:$T$506,MATCH(ROW()-5,'Formulación PDN 2027'!$AK$7:$AK$506,0))&amp;"","")</f>
        <v/>
      </c>
      <c r="K99" s="43" t="str">
        <f>IFERROR(INDEX('Formulación PDN 2027'!$W$7:$W$506,MATCH(ROW()-5,'Formulación PDN 2027'!$AK$7:$AK$506,0)),"")</f>
        <v/>
      </c>
      <c r="L99" s="43" t="str">
        <f>IFERROR(INDEX('Formulación PDN 2027'!$X$7:$X$506,MATCH(ROW()-5,'Formulación PDN 2027'!$AK$7:$AK$506,0)),"")</f>
        <v/>
      </c>
      <c r="M99" s="15" t="str">
        <f>IFERROR(INDEX('Formulación PDN 2027'!$Y$7:$Y$506,MATCH(ROW()-5,'Formulación PDN 2027'!$AK$7:$AK$506,0))&amp;"","")</f>
        <v/>
      </c>
      <c r="N99" s="15" t="str">
        <f>IFERROR(INDEX('Formulación PDN 2027'!$Z$7:$Z$506,MATCH(ROW()-5,'Formulación PDN 2027'!$AK$7:$AK$506,0))&amp;"","")</f>
        <v/>
      </c>
      <c r="O99" s="15"/>
      <c r="P99" s="15" t="str">
        <f>IFERROR(INDEX('Formulación PDN 2027'!$AA$7:$AA$506,MATCH(ROW()-5,'Formulación PDN 2027'!$AK$7:$AK$506,0))&amp;"","")</f>
        <v/>
      </c>
      <c r="Q99" s="15" t="str">
        <f>IFERROR(INDEX('Formulación PDN 2027'!$AB$7:$AB$506,MATCH(ROW()-5,'Formulación PDN 2027'!$AK$7:$AK$506,0))&amp;"","")</f>
        <v/>
      </c>
      <c r="R99" s="15" t="str">
        <f>IFERROR(INDEX('Formulación PDN 2027'!$AD$7:$AD$506,MATCH(ROW()-5,'Formulación PDN 2027'!$AK$7:$AK$506,0))&amp;"","")</f>
        <v/>
      </c>
      <c r="S99" s="15" t="str">
        <f>IFERROR(INDEX('Formulación PDN 2027'!$AE$7:$AE$506,MATCH(ROW()-5,'Formulación PDN 2027'!$AK$7:$AK$506,0))&amp;"","")</f>
        <v/>
      </c>
      <c r="T99" s="15" t="str">
        <f>IFERROR(INDEX('Formulación PDN 2027'!$C$7:$C$506,MATCH(ROW()-5,'Formulación PDN 2027'!$AK$7:$AK$506,0))&amp;"","")</f>
        <v/>
      </c>
      <c r="U99" s="15" t="str">
        <f>IFERROR(INDEX('Formulación PDN 2027'!$B$7:$B$506,MATCH(ROW()-5,'Formulación PDN 2027'!$AK$7:$AK$506,0))&amp;"","")</f>
        <v/>
      </c>
      <c r="V99" s="15" t="str">
        <f>IFERROR(LEFT(INDEX('Formulación PDN 2027'!$E$7:$E$506,MATCH(ROW()-5,'Formulación PDN 2027'!$AK$7:$AK$506,0)),7),"")</f>
        <v/>
      </c>
      <c r="W99" s="15" t="str">
        <f>IFERROR(INDEX('Formulación PDN 2027'!$H$7:$H$506,MATCH(ROW()-5,'Formulación PDN 2027'!$AK$7:$AK$506,0))&amp;"","")</f>
        <v/>
      </c>
      <c r="X99" s="15" t="str">
        <f>IFERROR(INDEX('Formulación PDN 2027'!$U$7:$U$506,MATCH(ROW()-5,'Formulación PDN 2027'!$AK$7:$AK$506,0))&amp;"","")</f>
        <v/>
      </c>
      <c r="Y99" s="15" t="str">
        <f>IFERROR(INDEX('Formulación PDN 2027'!$AH$7:$AH$506,MATCH(ROW()-5,'Formulación PDN 2027'!$AK$7:$AK$506,0))&amp;"","")</f>
        <v/>
      </c>
    </row>
    <row r="100" spans="1:25" x14ac:dyDescent="0.3">
      <c r="A100" s="15" t="str">
        <f>IFERROR(INDEX('Formulación PDN 2027'!$A$7:$A$506,MATCH(ROW()-5,'Formulación PDN 2027'!$AK$7:$AK$506,0))&amp;"","")</f>
        <v/>
      </c>
      <c r="B100" s="20" t="str">
        <f>IFERROR(INDEX('Formulación PDN 2027'!$M$7:$M$506,MATCH(ROW()-5,'Formulación PDN 2027'!$AK$7:$AK$506,0)),"")</f>
        <v/>
      </c>
      <c r="C100" s="15" t="str">
        <f>IFERROR(INDEX('Formulación PDN 2027'!$N$7:$N$506,MATCH(ROW()-5,'Formulación PDN 2027'!$AK$7:$AK$506,0))&amp;"","")</f>
        <v/>
      </c>
      <c r="D100" s="15" t="str">
        <f>IFERROR(INDEX('Formulación PDN 2027'!$L$7:$L$506,MATCH(ROW()-5,'Formulación PDN 2027'!$AK$7:$AK$506,0))&amp;"","")</f>
        <v/>
      </c>
      <c r="E100" s="15" t="str">
        <f>IFERROR(MATCH(INDEX('Formulación PDN 2027'!$O$7:$O$506,MATCH(ROW()-5,'Formulación PDN 2027'!$AK$7:$AK$506,0)),L_MESES,0),"")</f>
        <v/>
      </c>
      <c r="F100" s="15" t="str">
        <f>IFERROR(MATCH(INDEX('Formulación PDN 2027'!$P$7:$P$506,MATCH(ROW()-5,'Formulación PDN 2027'!$AK$7:$AK$506,0)),L_MESES,0),"")</f>
        <v/>
      </c>
      <c r="G100" s="15" t="str">
        <f>IFERROR(INDEX('Formulación PDN 2027'!$Q$7:$Q$506,MATCH(ROW()-5,'Formulación PDN 2027'!$AK$7:$AK$506,0)),"")</f>
        <v/>
      </c>
      <c r="H100" s="15" t="str">
        <f>IFERROR(INDEX('Formulación PDN 2027'!$R$7:$R$506,MATCH(ROW()-5,'Formulación PDN 2027'!$AK$7:$AK$506,0))&amp;"","")</f>
        <v/>
      </c>
      <c r="I100" s="15" t="str">
        <f>IFERROR(INDEX('Formulación PDN 2027'!$S$7:$S$506,MATCH(ROW()-5,'Formulación PDN 2027'!$AK$7:$AK$506,0))&amp;"","")</f>
        <v/>
      </c>
      <c r="J100" s="15" t="str">
        <f>IFERROR(INDEX('Formulación PDN 2027'!$T$7:$T$506,MATCH(ROW()-5,'Formulación PDN 2027'!$AK$7:$AK$506,0))&amp;"","")</f>
        <v/>
      </c>
      <c r="K100" s="43" t="str">
        <f>IFERROR(INDEX('Formulación PDN 2027'!$W$7:$W$506,MATCH(ROW()-5,'Formulación PDN 2027'!$AK$7:$AK$506,0)),"")</f>
        <v/>
      </c>
      <c r="L100" s="43" t="str">
        <f>IFERROR(INDEX('Formulación PDN 2027'!$X$7:$X$506,MATCH(ROW()-5,'Formulación PDN 2027'!$AK$7:$AK$506,0)),"")</f>
        <v/>
      </c>
      <c r="M100" s="15" t="str">
        <f>IFERROR(INDEX('Formulación PDN 2027'!$Y$7:$Y$506,MATCH(ROW()-5,'Formulación PDN 2027'!$AK$7:$AK$506,0))&amp;"","")</f>
        <v/>
      </c>
      <c r="N100" s="15" t="str">
        <f>IFERROR(INDEX('Formulación PDN 2027'!$Z$7:$Z$506,MATCH(ROW()-5,'Formulación PDN 2027'!$AK$7:$AK$506,0))&amp;"","")</f>
        <v/>
      </c>
      <c r="O100" s="15"/>
      <c r="P100" s="15" t="str">
        <f>IFERROR(INDEX('Formulación PDN 2027'!$AA$7:$AA$506,MATCH(ROW()-5,'Formulación PDN 2027'!$AK$7:$AK$506,0))&amp;"","")</f>
        <v/>
      </c>
      <c r="Q100" s="15" t="str">
        <f>IFERROR(INDEX('Formulación PDN 2027'!$AB$7:$AB$506,MATCH(ROW()-5,'Formulación PDN 2027'!$AK$7:$AK$506,0))&amp;"","")</f>
        <v/>
      </c>
      <c r="R100" s="15" t="str">
        <f>IFERROR(INDEX('Formulación PDN 2027'!$AD$7:$AD$506,MATCH(ROW()-5,'Formulación PDN 2027'!$AK$7:$AK$506,0))&amp;"","")</f>
        <v/>
      </c>
      <c r="S100" s="15" t="str">
        <f>IFERROR(INDEX('Formulación PDN 2027'!$AE$7:$AE$506,MATCH(ROW()-5,'Formulación PDN 2027'!$AK$7:$AK$506,0))&amp;"","")</f>
        <v/>
      </c>
      <c r="T100" s="15" t="str">
        <f>IFERROR(INDEX('Formulación PDN 2027'!$C$7:$C$506,MATCH(ROW()-5,'Formulación PDN 2027'!$AK$7:$AK$506,0))&amp;"","")</f>
        <v/>
      </c>
      <c r="U100" s="15" t="str">
        <f>IFERROR(INDEX('Formulación PDN 2027'!$B$7:$B$506,MATCH(ROW()-5,'Formulación PDN 2027'!$AK$7:$AK$506,0))&amp;"","")</f>
        <v/>
      </c>
      <c r="V100" s="15" t="str">
        <f>IFERROR(LEFT(INDEX('Formulación PDN 2027'!$E$7:$E$506,MATCH(ROW()-5,'Formulación PDN 2027'!$AK$7:$AK$506,0)),7),"")</f>
        <v/>
      </c>
      <c r="W100" s="15" t="str">
        <f>IFERROR(INDEX('Formulación PDN 2027'!$H$7:$H$506,MATCH(ROW()-5,'Formulación PDN 2027'!$AK$7:$AK$506,0))&amp;"","")</f>
        <v/>
      </c>
      <c r="X100" s="15" t="str">
        <f>IFERROR(INDEX('Formulación PDN 2027'!$U$7:$U$506,MATCH(ROW()-5,'Formulación PDN 2027'!$AK$7:$AK$506,0))&amp;"","")</f>
        <v/>
      </c>
      <c r="Y100" s="15" t="str">
        <f>IFERROR(INDEX('Formulación PDN 2027'!$AH$7:$AH$506,MATCH(ROW()-5,'Formulación PDN 2027'!$AK$7:$AK$506,0))&amp;"","")</f>
        <v/>
      </c>
    </row>
    <row r="101" spans="1:25" x14ac:dyDescent="0.3">
      <c r="A101" s="15" t="str">
        <f>IFERROR(INDEX('Formulación PDN 2027'!$A$7:$A$506,MATCH(ROW()-5,'Formulación PDN 2027'!$AK$7:$AK$506,0))&amp;"","")</f>
        <v/>
      </c>
      <c r="B101" s="20" t="str">
        <f>IFERROR(INDEX('Formulación PDN 2027'!$M$7:$M$506,MATCH(ROW()-5,'Formulación PDN 2027'!$AK$7:$AK$506,0)),"")</f>
        <v/>
      </c>
      <c r="C101" s="15" t="str">
        <f>IFERROR(INDEX('Formulación PDN 2027'!$N$7:$N$506,MATCH(ROW()-5,'Formulación PDN 2027'!$AK$7:$AK$506,0))&amp;"","")</f>
        <v/>
      </c>
      <c r="D101" s="15" t="str">
        <f>IFERROR(INDEX('Formulación PDN 2027'!$L$7:$L$506,MATCH(ROW()-5,'Formulación PDN 2027'!$AK$7:$AK$506,0))&amp;"","")</f>
        <v/>
      </c>
      <c r="E101" s="15" t="str">
        <f>IFERROR(MATCH(INDEX('Formulación PDN 2027'!$O$7:$O$506,MATCH(ROW()-5,'Formulación PDN 2027'!$AK$7:$AK$506,0)),L_MESES,0),"")</f>
        <v/>
      </c>
      <c r="F101" s="15" t="str">
        <f>IFERROR(MATCH(INDEX('Formulación PDN 2027'!$P$7:$P$506,MATCH(ROW()-5,'Formulación PDN 2027'!$AK$7:$AK$506,0)),L_MESES,0),"")</f>
        <v/>
      </c>
      <c r="G101" s="15" t="str">
        <f>IFERROR(INDEX('Formulación PDN 2027'!$Q$7:$Q$506,MATCH(ROW()-5,'Formulación PDN 2027'!$AK$7:$AK$506,0)),"")</f>
        <v/>
      </c>
      <c r="H101" s="15" t="str">
        <f>IFERROR(INDEX('Formulación PDN 2027'!$R$7:$R$506,MATCH(ROW()-5,'Formulación PDN 2027'!$AK$7:$AK$506,0))&amp;"","")</f>
        <v/>
      </c>
      <c r="I101" s="15" t="str">
        <f>IFERROR(INDEX('Formulación PDN 2027'!$S$7:$S$506,MATCH(ROW()-5,'Formulación PDN 2027'!$AK$7:$AK$506,0))&amp;"","")</f>
        <v/>
      </c>
      <c r="J101" s="15" t="str">
        <f>IFERROR(INDEX('Formulación PDN 2027'!$T$7:$T$506,MATCH(ROW()-5,'Formulación PDN 2027'!$AK$7:$AK$506,0))&amp;"","")</f>
        <v/>
      </c>
      <c r="K101" s="43" t="str">
        <f>IFERROR(INDEX('Formulación PDN 2027'!$W$7:$W$506,MATCH(ROW()-5,'Formulación PDN 2027'!$AK$7:$AK$506,0)),"")</f>
        <v/>
      </c>
      <c r="L101" s="43" t="str">
        <f>IFERROR(INDEX('Formulación PDN 2027'!$X$7:$X$506,MATCH(ROW()-5,'Formulación PDN 2027'!$AK$7:$AK$506,0)),"")</f>
        <v/>
      </c>
      <c r="M101" s="15" t="str">
        <f>IFERROR(INDEX('Formulación PDN 2027'!$Y$7:$Y$506,MATCH(ROW()-5,'Formulación PDN 2027'!$AK$7:$AK$506,0))&amp;"","")</f>
        <v/>
      </c>
      <c r="N101" s="15" t="str">
        <f>IFERROR(INDEX('Formulación PDN 2027'!$Z$7:$Z$506,MATCH(ROW()-5,'Formulación PDN 2027'!$AK$7:$AK$506,0))&amp;"","")</f>
        <v/>
      </c>
      <c r="O101" s="15"/>
      <c r="P101" s="15" t="str">
        <f>IFERROR(INDEX('Formulación PDN 2027'!$AA$7:$AA$506,MATCH(ROW()-5,'Formulación PDN 2027'!$AK$7:$AK$506,0))&amp;"","")</f>
        <v/>
      </c>
      <c r="Q101" s="15" t="str">
        <f>IFERROR(INDEX('Formulación PDN 2027'!$AB$7:$AB$506,MATCH(ROW()-5,'Formulación PDN 2027'!$AK$7:$AK$506,0))&amp;"","")</f>
        <v/>
      </c>
      <c r="R101" s="15" t="str">
        <f>IFERROR(INDEX('Formulación PDN 2027'!$AD$7:$AD$506,MATCH(ROW()-5,'Formulación PDN 2027'!$AK$7:$AK$506,0))&amp;"","")</f>
        <v/>
      </c>
      <c r="S101" s="15" t="str">
        <f>IFERROR(INDEX('Formulación PDN 2027'!$AE$7:$AE$506,MATCH(ROW()-5,'Formulación PDN 2027'!$AK$7:$AK$506,0))&amp;"","")</f>
        <v/>
      </c>
      <c r="T101" s="15" t="str">
        <f>IFERROR(INDEX('Formulación PDN 2027'!$C$7:$C$506,MATCH(ROW()-5,'Formulación PDN 2027'!$AK$7:$AK$506,0))&amp;"","")</f>
        <v/>
      </c>
      <c r="U101" s="15" t="str">
        <f>IFERROR(INDEX('Formulación PDN 2027'!$B$7:$B$506,MATCH(ROW()-5,'Formulación PDN 2027'!$AK$7:$AK$506,0))&amp;"","")</f>
        <v/>
      </c>
      <c r="V101" s="15" t="str">
        <f>IFERROR(LEFT(INDEX('Formulación PDN 2027'!$E$7:$E$506,MATCH(ROW()-5,'Formulación PDN 2027'!$AK$7:$AK$506,0)),7),"")</f>
        <v/>
      </c>
      <c r="W101" s="15" t="str">
        <f>IFERROR(INDEX('Formulación PDN 2027'!$H$7:$H$506,MATCH(ROW()-5,'Formulación PDN 2027'!$AK$7:$AK$506,0))&amp;"","")</f>
        <v/>
      </c>
      <c r="X101" s="15" t="str">
        <f>IFERROR(INDEX('Formulación PDN 2027'!$U$7:$U$506,MATCH(ROW()-5,'Formulación PDN 2027'!$AK$7:$AK$506,0))&amp;"","")</f>
        <v/>
      </c>
      <c r="Y101" s="15" t="str">
        <f>IFERROR(INDEX('Formulación PDN 2027'!$AH$7:$AH$506,MATCH(ROW()-5,'Formulación PDN 2027'!$AK$7:$AK$506,0))&amp;"","")</f>
        <v/>
      </c>
    </row>
    <row r="102" spans="1:25" x14ac:dyDescent="0.3">
      <c r="A102" s="15" t="str">
        <f>IFERROR(INDEX('Formulación PDN 2027'!$A$7:$A$506,MATCH(ROW()-5,'Formulación PDN 2027'!$AK$7:$AK$506,0))&amp;"","")</f>
        <v/>
      </c>
      <c r="B102" s="20" t="str">
        <f>IFERROR(INDEX('Formulación PDN 2027'!$M$7:$M$506,MATCH(ROW()-5,'Formulación PDN 2027'!$AK$7:$AK$506,0)),"")</f>
        <v/>
      </c>
      <c r="C102" s="15" t="str">
        <f>IFERROR(INDEX('Formulación PDN 2027'!$N$7:$N$506,MATCH(ROW()-5,'Formulación PDN 2027'!$AK$7:$AK$506,0))&amp;"","")</f>
        <v/>
      </c>
      <c r="D102" s="15" t="str">
        <f>IFERROR(INDEX('Formulación PDN 2027'!$L$7:$L$506,MATCH(ROW()-5,'Formulación PDN 2027'!$AK$7:$AK$506,0))&amp;"","")</f>
        <v/>
      </c>
      <c r="E102" s="15" t="str">
        <f>IFERROR(MATCH(INDEX('Formulación PDN 2027'!$O$7:$O$506,MATCH(ROW()-5,'Formulación PDN 2027'!$AK$7:$AK$506,0)),L_MESES,0),"")</f>
        <v/>
      </c>
      <c r="F102" s="15" t="str">
        <f>IFERROR(MATCH(INDEX('Formulación PDN 2027'!$P$7:$P$506,MATCH(ROW()-5,'Formulación PDN 2027'!$AK$7:$AK$506,0)),L_MESES,0),"")</f>
        <v/>
      </c>
      <c r="G102" s="15" t="str">
        <f>IFERROR(INDEX('Formulación PDN 2027'!$Q$7:$Q$506,MATCH(ROW()-5,'Formulación PDN 2027'!$AK$7:$AK$506,0)),"")</f>
        <v/>
      </c>
      <c r="H102" s="15" t="str">
        <f>IFERROR(INDEX('Formulación PDN 2027'!$R$7:$R$506,MATCH(ROW()-5,'Formulación PDN 2027'!$AK$7:$AK$506,0))&amp;"","")</f>
        <v/>
      </c>
      <c r="I102" s="15" t="str">
        <f>IFERROR(INDEX('Formulación PDN 2027'!$S$7:$S$506,MATCH(ROW()-5,'Formulación PDN 2027'!$AK$7:$AK$506,0))&amp;"","")</f>
        <v/>
      </c>
      <c r="J102" s="15" t="str">
        <f>IFERROR(INDEX('Formulación PDN 2027'!$T$7:$T$506,MATCH(ROW()-5,'Formulación PDN 2027'!$AK$7:$AK$506,0))&amp;"","")</f>
        <v/>
      </c>
      <c r="K102" s="43" t="str">
        <f>IFERROR(INDEX('Formulación PDN 2027'!$W$7:$W$506,MATCH(ROW()-5,'Formulación PDN 2027'!$AK$7:$AK$506,0)),"")</f>
        <v/>
      </c>
      <c r="L102" s="43" t="str">
        <f>IFERROR(INDEX('Formulación PDN 2027'!$X$7:$X$506,MATCH(ROW()-5,'Formulación PDN 2027'!$AK$7:$AK$506,0)),"")</f>
        <v/>
      </c>
      <c r="M102" s="15" t="str">
        <f>IFERROR(INDEX('Formulación PDN 2027'!$Y$7:$Y$506,MATCH(ROW()-5,'Formulación PDN 2027'!$AK$7:$AK$506,0))&amp;"","")</f>
        <v/>
      </c>
      <c r="N102" s="15" t="str">
        <f>IFERROR(INDEX('Formulación PDN 2027'!$Z$7:$Z$506,MATCH(ROW()-5,'Formulación PDN 2027'!$AK$7:$AK$506,0))&amp;"","")</f>
        <v/>
      </c>
      <c r="O102" s="15"/>
      <c r="P102" s="15" t="str">
        <f>IFERROR(INDEX('Formulación PDN 2027'!$AA$7:$AA$506,MATCH(ROW()-5,'Formulación PDN 2027'!$AK$7:$AK$506,0))&amp;"","")</f>
        <v/>
      </c>
      <c r="Q102" s="15" t="str">
        <f>IFERROR(INDEX('Formulación PDN 2027'!$AB$7:$AB$506,MATCH(ROW()-5,'Formulación PDN 2027'!$AK$7:$AK$506,0))&amp;"","")</f>
        <v/>
      </c>
      <c r="R102" s="15" t="str">
        <f>IFERROR(INDEX('Formulación PDN 2027'!$AD$7:$AD$506,MATCH(ROW()-5,'Formulación PDN 2027'!$AK$7:$AK$506,0))&amp;"","")</f>
        <v/>
      </c>
      <c r="S102" s="15" t="str">
        <f>IFERROR(INDEX('Formulación PDN 2027'!$AE$7:$AE$506,MATCH(ROW()-5,'Formulación PDN 2027'!$AK$7:$AK$506,0))&amp;"","")</f>
        <v/>
      </c>
      <c r="T102" s="15" t="str">
        <f>IFERROR(INDEX('Formulación PDN 2027'!$C$7:$C$506,MATCH(ROW()-5,'Formulación PDN 2027'!$AK$7:$AK$506,0))&amp;"","")</f>
        <v/>
      </c>
      <c r="U102" s="15" t="str">
        <f>IFERROR(INDEX('Formulación PDN 2027'!$B$7:$B$506,MATCH(ROW()-5,'Formulación PDN 2027'!$AK$7:$AK$506,0))&amp;"","")</f>
        <v/>
      </c>
      <c r="V102" s="15" t="str">
        <f>IFERROR(LEFT(INDEX('Formulación PDN 2027'!$E$7:$E$506,MATCH(ROW()-5,'Formulación PDN 2027'!$AK$7:$AK$506,0)),7),"")</f>
        <v/>
      </c>
      <c r="W102" s="15" t="str">
        <f>IFERROR(INDEX('Formulación PDN 2027'!$H$7:$H$506,MATCH(ROW()-5,'Formulación PDN 2027'!$AK$7:$AK$506,0))&amp;"","")</f>
        <v/>
      </c>
      <c r="X102" s="15" t="str">
        <f>IFERROR(INDEX('Formulación PDN 2027'!$U$7:$U$506,MATCH(ROW()-5,'Formulación PDN 2027'!$AK$7:$AK$506,0))&amp;"","")</f>
        <v/>
      </c>
      <c r="Y102" s="15" t="str">
        <f>IFERROR(INDEX('Formulación PDN 2027'!$AH$7:$AH$506,MATCH(ROW()-5,'Formulación PDN 2027'!$AK$7:$AK$506,0))&amp;"","")</f>
        <v/>
      </c>
    </row>
    <row r="103" spans="1:25" x14ac:dyDescent="0.3">
      <c r="A103" s="15" t="str">
        <f>IFERROR(INDEX('Formulación PDN 2027'!$A$7:$A$506,MATCH(ROW()-5,'Formulación PDN 2027'!$AK$7:$AK$506,0))&amp;"","")</f>
        <v/>
      </c>
      <c r="B103" s="20" t="str">
        <f>IFERROR(INDEX('Formulación PDN 2027'!$M$7:$M$506,MATCH(ROW()-5,'Formulación PDN 2027'!$AK$7:$AK$506,0)),"")</f>
        <v/>
      </c>
      <c r="C103" s="15" t="str">
        <f>IFERROR(INDEX('Formulación PDN 2027'!$N$7:$N$506,MATCH(ROW()-5,'Formulación PDN 2027'!$AK$7:$AK$506,0))&amp;"","")</f>
        <v/>
      </c>
      <c r="D103" s="15" t="str">
        <f>IFERROR(INDEX('Formulación PDN 2027'!$L$7:$L$506,MATCH(ROW()-5,'Formulación PDN 2027'!$AK$7:$AK$506,0))&amp;"","")</f>
        <v/>
      </c>
      <c r="E103" s="15" t="str">
        <f>IFERROR(MATCH(INDEX('Formulación PDN 2027'!$O$7:$O$506,MATCH(ROW()-5,'Formulación PDN 2027'!$AK$7:$AK$506,0)),L_MESES,0),"")</f>
        <v/>
      </c>
      <c r="F103" s="15" t="str">
        <f>IFERROR(MATCH(INDEX('Formulación PDN 2027'!$P$7:$P$506,MATCH(ROW()-5,'Formulación PDN 2027'!$AK$7:$AK$506,0)),L_MESES,0),"")</f>
        <v/>
      </c>
      <c r="G103" s="15" t="str">
        <f>IFERROR(INDEX('Formulación PDN 2027'!$Q$7:$Q$506,MATCH(ROW()-5,'Formulación PDN 2027'!$AK$7:$AK$506,0)),"")</f>
        <v/>
      </c>
      <c r="H103" s="15" t="str">
        <f>IFERROR(INDEX('Formulación PDN 2027'!$R$7:$R$506,MATCH(ROW()-5,'Formulación PDN 2027'!$AK$7:$AK$506,0))&amp;"","")</f>
        <v/>
      </c>
      <c r="I103" s="15" t="str">
        <f>IFERROR(INDEX('Formulación PDN 2027'!$S$7:$S$506,MATCH(ROW()-5,'Formulación PDN 2027'!$AK$7:$AK$506,0))&amp;"","")</f>
        <v/>
      </c>
      <c r="J103" s="15" t="str">
        <f>IFERROR(INDEX('Formulación PDN 2027'!$T$7:$T$506,MATCH(ROW()-5,'Formulación PDN 2027'!$AK$7:$AK$506,0))&amp;"","")</f>
        <v/>
      </c>
      <c r="K103" s="43" t="str">
        <f>IFERROR(INDEX('Formulación PDN 2027'!$W$7:$W$506,MATCH(ROW()-5,'Formulación PDN 2027'!$AK$7:$AK$506,0)),"")</f>
        <v/>
      </c>
      <c r="L103" s="43" t="str">
        <f>IFERROR(INDEX('Formulación PDN 2027'!$X$7:$X$506,MATCH(ROW()-5,'Formulación PDN 2027'!$AK$7:$AK$506,0)),"")</f>
        <v/>
      </c>
      <c r="M103" s="15" t="str">
        <f>IFERROR(INDEX('Formulación PDN 2027'!$Y$7:$Y$506,MATCH(ROW()-5,'Formulación PDN 2027'!$AK$7:$AK$506,0))&amp;"","")</f>
        <v/>
      </c>
      <c r="N103" s="15" t="str">
        <f>IFERROR(INDEX('Formulación PDN 2027'!$Z$7:$Z$506,MATCH(ROW()-5,'Formulación PDN 2027'!$AK$7:$AK$506,0))&amp;"","")</f>
        <v/>
      </c>
      <c r="O103" s="15"/>
      <c r="P103" s="15" t="str">
        <f>IFERROR(INDEX('Formulación PDN 2027'!$AA$7:$AA$506,MATCH(ROW()-5,'Formulación PDN 2027'!$AK$7:$AK$506,0))&amp;"","")</f>
        <v/>
      </c>
      <c r="Q103" s="15" t="str">
        <f>IFERROR(INDEX('Formulación PDN 2027'!$AB$7:$AB$506,MATCH(ROW()-5,'Formulación PDN 2027'!$AK$7:$AK$506,0))&amp;"","")</f>
        <v/>
      </c>
      <c r="R103" s="15" t="str">
        <f>IFERROR(INDEX('Formulación PDN 2027'!$AD$7:$AD$506,MATCH(ROW()-5,'Formulación PDN 2027'!$AK$7:$AK$506,0))&amp;"","")</f>
        <v/>
      </c>
      <c r="S103" s="15" t="str">
        <f>IFERROR(INDEX('Formulación PDN 2027'!$AE$7:$AE$506,MATCH(ROW()-5,'Formulación PDN 2027'!$AK$7:$AK$506,0))&amp;"","")</f>
        <v/>
      </c>
      <c r="T103" s="15" t="str">
        <f>IFERROR(INDEX('Formulación PDN 2027'!$C$7:$C$506,MATCH(ROW()-5,'Formulación PDN 2027'!$AK$7:$AK$506,0))&amp;"","")</f>
        <v/>
      </c>
      <c r="U103" s="15" t="str">
        <f>IFERROR(INDEX('Formulación PDN 2027'!$B$7:$B$506,MATCH(ROW()-5,'Formulación PDN 2027'!$AK$7:$AK$506,0))&amp;"","")</f>
        <v/>
      </c>
      <c r="V103" s="15" t="str">
        <f>IFERROR(LEFT(INDEX('Formulación PDN 2027'!$E$7:$E$506,MATCH(ROW()-5,'Formulación PDN 2027'!$AK$7:$AK$506,0)),7),"")</f>
        <v/>
      </c>
      <c r="W103" s="15" t="str">
        <f>IFERROR(INDEX('Formulación PDN 2027'!$H$7:$H$506,MATCH(ROW()-5,'Formulación PDN 2027'!$AK$7:$AK$506,0))&amp;"","")</f>
        <v/>
      </c>
      <c r="X103" s="15" t="str">
        <f>IFERROR(INDEX('Formulación PDN 2027'!$U$7:$U$506,MATCH(ROW()-5,'Formulación PDN 2027'!$AK$7:$AK$506,0))&amp;"","")</f>
        <v/>
      </c>
      <c r="Y103" s="15" t="str">
        <f>IFERROR(INDEX('Formulación PDN 2027'!$AH$7:$AH$506,MATCH(ROW()-5,'Formulación PDN 2027'!$AK$7:$AK$506,0))&amp;"","")</f>
        <v/>
      </c>
    </row>
    <row r="104" spans="1:25" x14ac:dyDescent="0.3">
      <c r="A104" s="15" t="str">
        <f>IFERROR(INDEX('Formulación PDN 2027'!$A$7:$A$506,MATCH(ROW()-5,'Formulación PDN 2027'!$AK$7:$AK$506,0))&amp;"","")</f>
        <v/>
      </c>
      <c r="B104" s="20" t="str">
        <f>IFERROR(INDEX('Formulación PDN 2027'!$M$7:$M$506,MATCH(ROW()-5,'Formulación PDN 2027'!$AK$7:$AK$506,0)),"")</f>
        <v/>
      </c>
      <c r="C104" s="15" t="str">
        <f>IFERROR(INDEX('Formulación PDN 2027'!$N$7:$N$506,MATCH(ROW()-5,'Formulación PDN 2027'!$AK$7:$AK$506,0))&amp;"","")</f>
        <v/>
      </c>
      <c r="D104" s="15" t="str">
        <f>IFERROR(INDEX('Formulación PDN 2027'!$L$7:$L$506,MATCH(ROW()-5,'Formulación PDN 2027'!$AK$7:$AK$506,0))&amp;"","")</f>
        <v/>
      </c>
      <c r="E104" s="15" t="str">
        <f>IFERROR(MATCH(INDEX('Formulación PDN 2027'!$O$7:$O$506,MATCH(ROW()-5,'Formulación PDN 2027'!$AK$7:$AK$506,0)),L_MESES,0),"")</f>
        <v/>
      </c>
      <c r="F104" s="15" t="str">
        <f>IFERROR(MATCH(INDEX('Formulación PDN 2027'!$P$7:$P$506,MATCH(ROW()-5,'Formulación PDN 2027'!$AK$7:$AK$506,0)),L_MESES,0),"")</f>
        <v/>
      </c>
      <c r="G104" s="15" t="str">
        <f>IFERROR(INDEX('Formulación PDN 2027'!$Q$7:$Q$506,MATCH(ROW()-5,'Formulación PDN 2027'!$AK$7:$AK$506,0)),"")</f>
        <v/>
      </c>
      <c r="H104" s="15" t="str">
        <f>IFERROR(INDEX('Formulación PDN 2027'!$R$7:$R$506,MATCH(ROW()-5,'Formulación PDN 2027'!$AK$7:$AK$506,0))&amp;"","")</f>
        <v/>
      </c>
      <c r="I104" s="15" t="str">
        <f>IFERROR(INDEX('Formulación PDN 2027'!$S$7:$S$506,MATCH(ROW()-5,'Formulación PDN 2027'!$AK$7:$AK$506,0))&amp;"","")</f>
        <v/>
      </c>
      <c r="J104" s="15" t="str">
        <f>IFERROR(INDEX('Formulación PDN 2027'!$T$7:$T$506,MATCH(ROW()-5,'Formulación PDN 2027'!$AK$7:$AK$506,0))&amp;"","")</f>
        <v/>
      </c>
      <c r="K104" s="43" t="str">
        <f>IFERROR(INDEX('Formulación PDN 2027'!$W$7:$W$506,MATCH(ROW()-5,'Formulación PDN 2027'!$AK$7:$AK$506,0)),"")</f>
        <v/>
      </c>
      <c r="L104" s="43" t="str">
        <f>IFERROR(INDEX('Formulación PDN 2027'!$X$7:$X$506,MATCH(ROW()-5,'Formulación PDN 2027'!$AK$7:$AK$506,0)),"")</f>
        <v/>
      </c>
      <c r="M104" s="15" t="str">
        <f>IFERROR(INDEX('Formulación PDN 2027'!$Y$7:$Y$506,MATCH(ROW()-5,'Formulación PDN 2027'!$AK$7:$AK$506,0))&amp;"","")</f>
        <v/>
      </c>
      <c r="N104" s="15" t="str">
        <f>IFERROR(INDEX('Formulación PDN 2027'!$Z$7:$Z$506,MATCH(ROW()-5,'Formulación PDN 2027'!$AK$7:$AK$506,0))&amp;"","")</f>
        <v/>
      </c>
      <c r="O104" s="15"/>
      <c r="P104" s="15" t="str">
        <f>IFERROR(INDEX('Formulación PDN 2027'!$AA$7:$AA$506,MATCH(ROW()-5,'Formulación PDN 2027'!$AK$7:$AK$506,0))&amp;"","")</f>
        <v/>
      </c>
      <c r="Q104" s="15" t="str">
        <f>IFERROR(INDEX('Formulación PDN 2027'!$AB$7:$AB$506,MATCH(ROW()-5,'Formulación PDN 2027'!$AK$7:$AK$506,0))&amp;"","")</f>
        <v/>
      </c>
      <c r="R104" s="15" t="str">
        <f>IFERROR(INDEX('Formulación PDN 2027'!$AD$7:$AD$506,MATCH(ROW()-5,'Formulación PDN 2027'!$AK$7:$AK$506,0))&amp;"","")</f>
        <v/>
      </c>
      <c r="S104" s="15" t="str">
        <f>IFERROR(INDEX('Formulación PDN 2027'!$AE$7:$AE$506,MATCH(ROW()-5,'Formulación PDN 2027'!$AK$7:$AK$506,0))&amp;"","")</f>
        <v/>
      </c>
      <c r="T104" s="15" t="str">
        <f>IFERROR(INDEX('Formulación PDN 2027'!$C$7:$C$506,MATCH(ROW()-5,'Formulación PDN 2027'!$AK$7:$AK$506,0))&amp;"","")</f>
        <v/>
      </c>
      <c r="U104" s="15" t="str">
        <f>IFERROR(INDEX('Formulación PDN 2027'!$B$7:$B$506,MATCH(ROW()-5,'Formulación PDN 2027'!$AK$7:$AK$506,0))&amp;"","")</f>
        <v/>
      </c>
      <c r="V104" s="15" t="str">
        <f>IFERROR(LEFT(INDEX('Formulación PDN 2027'!$E$7:$E$506,MATCH(ROW()-5,'Formulación PDN 2027'!$AK$7:$AK$506,0)),7),"")</f>
        <v/>
      </c>
      <c r="W104" s="15" t="str">
        <f>IFERROR(INDEX('Formulación PDN 2027'!$H$7:$H$506,MATCH(ROW()-5,'Formulación PDN 2027'!$AK$7:$AK$506,0))&amp;"","")</f>
        <v/>
      </c>
      <c r="X104" s="15" t="str">
        <f>IFERROR(INDEX('Formulación PDN 2027'!$U$7:$U$506,MATCH(ROW()-5,'Formulación PDN 2027'!$AK$7:$AK$506,0))&amp;"","")</f>
        <v/>
      </c>
      <c r="Y104" s="15" t="str">
        <f>IFERROR(INDEX('Formulación PDN 2027'!$AH$7:$AH$506,MATCH(ROW()-5,'Formulación PDN 2027'!$AK$7:$AK$506,0))&amp;"","")</f>
        <v/>
      </c>
    </row>
    <row r="105" spans="1:25" x14ac:dyDescent="0.3">
      <c r="A105" s="15" t="str">
        <f>IFERROR(INDEX('Formulación PDN 2027'!$A$7:$A$506,MATCH(ROW()-5,'Formulación PDN 2027'!$AK$7:$AK$506,0))&amp;"","")</f>
        <v/>
      </c>
      <c r="B105" s="20" t="str">
        <f>IFERROR(INDEX('Formulación PDN 2027'!$M$7:$M$506,MATCH(ROW()-5,'Formulación PDN 2027'!$AK$7:$AK$506,0)),"")</f>
        <v/>
      </c>
      <c r="C105" s="15" t="str">
        <f>IFERROR(INDEX('Formulación PDN 2027'!$N$7:$N$506,MATCH(ROW()-5,'Formulación PDN 2027'!$AK$7:$AK$506,0))&amp;"","")</f>
        <v/>
      </c>
      <c r="D105" s="15" t="str">
        <f>IFERROR(INDEX('Formulación PDN 2027'!$L$7:$L$506,MATCH(ROW()-5,'Formulación PDN 2027'!$AK$7:$AK$506,0))&amp;"","")</f>
        <v/>
      </c>
      <c r="E105" s="15" t="str">
        <f>IFERROR(MATCH(INDEX('Formulación PDN 2027'!$O$7:$O$506,MATCH(ROW()-5,'Formulación PDN 2027'!$AK$7:$AK$506,0)),L_MESES,0),"")</f>
        <v/>
      </c>
      <c r="F105" s="15" t="str">
        <f>IFERROR(MATCH(INDEX('Formulación PDN 2027'!$P$7:$P$506,MATCH(ROW()-5,'Formulación PDN 2027'!$AK$7:$AK$506,0)),L_MESES,0),"")</f>
        <v/>
      </c>
      <c r="G105" s="15" t="str">
        <f>IFERROR(INDEX('Formulación PDN 2027'!$Q$7:$Q$506,MATCH(ROW()-5,'Formulación PDN 2027'!$AK$7:$AK$506,0)),"")</f>
        <v/>
      </c>
      <c r="H105" s="15" t="str">
        <f>IFERROR(INDEX('Formulación PDN 2027'!$R$7:$R$506,MATCH(ROW()-5,'Formulación PDN 2027'!$AK$7:$AK$506,0))&amp;"","")</f>
        <v/>
      </c>
      <c r="I105" s="15" t="str">
        <f>IFERROR(INDEX('Formulación PDN 2027'!$S$7:$S$506,MATCH(ROW()-5,'Formulación PDN 2027'!$AK$7:$AK$506,0))&amp;"","")</f>
        <v/>
      </c>
      <c r="J105" s="15" t="str">
        <f>IFERROR(INDEX('Formulación PDN 2027'!$T$7:$T$506,MATCH(ROW()-5,'Formulación PDN 2027'!$AK$7:$AK$506,0))&amp;"","")</f>
        <v/>
      </c>
      <c r="K105" s="43" t="str">
        <f>IFERROR(INDEX('Formulación PDN 2027'!$W$7:$W$506,MATCH(ROW()-5,'Formulación PDN 2027'!$AK$7:$AK$506,0)),"")</f>
        <v/>
      </c>
      <c r="L105" s="43" t="str">
        <f>IFERROR(INDEX('Formulación PDN 2027'!$X$7:$X$506,MATCH(ROW()-5,'Formulación PDN 2027'!$AK$7:$AK$506,0)),"")</f>
        <v/>
      </c>
      <c r="M105" s="15" t="str">
        <f>IFERROR(INDEX('Formulación PDN 2027'!$Y$7:$Y$506,MATCH(ROW()-5,'Formulación PDN 2027'!$AK$7:$AK$506,0))&amp;"","")</f>
        <v/>
      </c>
      <c r="N105" s="15" t="str">
        <f>IFERROR(INDEX('Formulación PDN 2027'!$Z$7:$Z$506,MATCH(ROW()-5,'Formulación PDN 2027'!$AK$7:$AK$506,0))&amp;"","")</f>
        <v/>
      </c>
      <c r="O105" s="15"/>
      <c r="P105" s="15" t="str">
        <f>IFERROR(INDEX('Formulación PDN 2027'!$AA$7:$AA$506,MATCH(ROW()-5,'Formulación PDN 2027'!$AK$7:$AK$506,0))&amp;"","")</f>
        <v/>
      </c>
      <c r="Q105" s="15" t="str">
        <f>IFERROR(INDEX('Formulación PDN 2027'!$AB$7:$AB$506,MATCH(ROW()-5,'Formulación PDN 2027'!$AK$7:$AK$506,0))&amp;"","")</f>
        <v/>
      </c>
      <c r="R105" s="15" t="str">
        <f>IFERROR(INDEX('Formulación PDN 2027'!$AD$7:$AD$506,MATCH(ROW()-5,'Formulación PDN 2027'!$AK$7:$AK$506,0))&amp;"","")</f>
        <v/>
      </c>
      <c r="S105" s="15" t="str">
        <f>IFERROR(INDEX('Formulación PDN 2027'!$AE$7:$AE$506,MATCH(ROW()-5,'Formulación PDN 2027'!$AK$7:$AK$506,0))&amp;"","")</f>
        <v/>
      </c>
      <c r="T105" s="15" t="str">
        <f>IFERROR(INDEX('Formulación PDN 2027'!$C$7:$C$506,MATCH(ROW()-5,'Formulación PDN 2027'!$AK$7:$AK$506,0))&amp;"","")</f>
        <v/>
      </c>
      <c r="U105" s="15" t="str">
        <f>IFERROR(INDEX('Formulación PDN 2027'!$B$7:$B$506,MATCH(ROW()-5,'Formulación PDN 2027'!$AK$7:$AK$506,0))&amp;"","")</f>
        <v/>
      </c>
      <c r="V105" s="15" t="str">
        <f>IFERROR(LEFT(INDEX('Formulación PDN 2027'!$E$7:$E$506,MATCH(ROW()-5,'Formulación PDN 2027'!$AK$7:$AK$506,0)),7),"")</f>
        <v/>
      </c>
      <c r="W105" s="15" t="str">
        <f>IFERROR(INDEX('Formulación PDN 2027'!$H$7:$H$506,MATCH(ROW()-5,'Formulación PDN 2027'!$AK$7:$AK$506,0))&amp;"","")</f>
        <v/>
      </c>
      <c r="X105" s="15" t="str">
        <f>IFERROR(INDEX('Formulación PDN 2027'!$U$7:$U$506,MATCH(ROW()-5,'Formulación PDN 2027'!$AK$7:$AK$506,0))&amp;"","")</f>
        <v/>
      </c>
      <c r="Y105" s="15" t="str">
        <f>IFERROR(INDEX('Formulación PDN 2027'!$AH$7:$AH$506,MATCH(ROW()-5,'Formulación PDN 2027'!$AK$7:$AK$506,0))&amp;"","")</f>
        <v/>
      </c>
    </row>
    <row r="106" spans="1:25" x14ac:dyDescent="0.3">
      <c r="A106" s="15" t="str">
        <f>IFERROR(INDEX('Formulación PDN 2027'!$A$7:$A$506,MATCH(ROW()-5,'Formulación PDN 2027'!$AK$7:$AK$506,0))&amp;"","")</f>
        <v/>
      </c>
      <c r="B106" s="20" t="str">
        <f>IFERROR(INDEX('Formulación PDN 2027'!$M$7:$M$506,MATCH(ROW()-5,'Formulación PDN 2027'!$AK$7:$AK$506,0)),"")</f>
        <v/>
      </c>
      <c r="C106" s="15" t="str">
        <f>IFERROR(INDEX('Formulación PDN 2027'!$N$7:$N$506,MATCH(ROW()-5,'Formulación PDN 2027'!$AK$7:$AK$506,0))&amp;"","")</f>
        <v/>
      </c>
      <c r="D106" s="15" t="str">
        <f>IFERROR(INDEX('Formulación PDN 2027'!$L$7:$L$506,MATCH(ROW()-5,'Formulación PDN 2027'!$AK$7:$AK$506,0))&amp;"","")</f>
        <v/>
      </c>
      <c r="E106" s="15" t="str">
        <f>IFERROR(MATCH(INDEX('Formulación PDN 2027'!$O$7:$O$506,MATCH(ROW()-5,'Formulación PDN 2027'!$AK$7:$AK$506,0)),L_MESES,0),"")</f>
        <v/>
      </c>
      <c r="F106" s="15" t="str">
        <f>IFERROR(MATCH(INDEX('Formulación PDN 2027'!$P$7:$P$506,MATCH(ROW()-5,'Formulación PDN 2027'!$AK$7:$AK$506,0)),L_MESES,0),"")</f>
        <v/>
      </c>
      <c r="G106" s="15" t="str">
        <f>IFERROR(INDEX('Formulación PDN 2027'!$Q$7:$Q$506,MATCH(ROW()-5,'Formulación PDN 2027'!$AK$7:$AK$506,0)),"")</f>
        <v/>
      </c>
      <c r="H106" s="15" t="str">
        <f>IFERROR(INDEX('Formulación PDN 2027'!$R$7:$R$506,MATCH(ROW()-5,'Formulación PDN 2027'!$AK$7:$AK$506,0))&amp;"","")</f>
        <v/>
      </c>
      <c r="I106" s="15" t="str">
        <f>IFERROR(INDEX('Formulación PDN 2027'!$S$7:$S$506,MATCH(ROW()-5,'Formulación PDN 2027'!$AK$7:$AK$506,0))&amp;"","")</f>
        <v/>
      </c>
      <c r="J106" s="15" t="str">
        <f>IFERROR(INDEX('Formulación PDN 2027'!$T$7:$T$506,MATCH(ROW()-5,'Formulación PDN 2027'!$AK$7:$AK$506,0))&amp;"","")</f>
        <v/>
      </c>
      <c r="K106" s="43" t="str">
        <f>IFERROR(INDEX('Formulación PDN 2027'!$W$7:$W$506,MATCH(ROW()-5,'Formulación PDN 2027'!$AK$7:$AK$506,0)),"")</f>
        <v/>
      </c>
      <c r="L106" s="43" t="str">
        <f>IFERROR(INDEX('Formulación PDN 2027'!$X$7:$X$506,MATCH(ROW()-5,'Formulación PDN 2027'!$AK$7:$AK$506,0)),"")</f>
        <v/>
      </c>
      <c r="M106" s="15" t="str">
        <f>IFERROR(INDEX('Formulación PDN 2027'!$Y$7:$Y$506,MATCH(ROW()-5,'Formulación PDN 2027'!$AK$7:$AK$506,0))&amp;"","")</f>
        <v/>
      </c>
      <c r="N106" s="15" t="str">
        <f>IFERROR(INDEX('Formulación PDN 2027'!$Z$7:$Z$506,MATCH(ROW()-5,'Formulación PDN 2027'!$AK$7:$AK$506,0))&amp;"","")</f>
        <v/>
      </c>
      <c r="O106" s="15"/>
      <c r="P106" s="15" t="str">
        <f>IFERROR(INDEX('Formulación PDN 2027'!$AA$7:$AA$506,MATCH(ROW()-5,'Formulación PDN 2027'!$AK$7:$AK$506,0))&amp;"","")</f>
        <v/>
      </c>
      <c r="Q106" s="15" t="str">
        <f>IFERROR(INDEX('Formulación PDN 2027'!$AB$7:$AB$506,MATCH(ROW()-5,'Formulación PDN 2027'!$AK$7:$AK$506,0))&amp;"","")</f>
        <v/>
      </c>
      <c r="R106" s="15" t="str">
        <f>IFERROR(INDEX('Formulación PDN 2027'!$AD$7:$AD$506,MATCH(ROW()-5,'Formulación PDN 2027'!$AK$7:$AK$506,0))&amp;"","")</f>
        <v/>
      </c>
      <c r="S106" s="15" t="str">
        <f>IFERROR(INDEX('Formulación PDN 2027'!$AE$7:$AE$506,MATCH(ROW()-5,'Formulación PDN 2027'!$AK$7:$AK$506,0))&amp;"","")</f>
        <v/>
      </c>
      <c r="T106" s="15" t="str">
        <f>IFERROR(INDEX('Formulación PDN 2027'!$C$7:$C$506,MATCH(ROW()-5,'Formulación PDN 2027'!$AK$7:$AK$506,0))&amp;"","")</f>
        <v/>
      </c>
      <c r="U106" s="15" t="str">
        <f>IFERROR(INDEX('Formulación PDN 2027'!$B$7:$B$506,MATCH(ROW()-5,'Formulación PDN 2027'!$AK$7:$AK$506,0))&amp;"","")</f>
        <v/>
      </c>
      <c r="V106" s="15" t="str">
        <f>IFERROR(LEFT(INDEX('Formulación PDN 2027'!$E$7:$E$506,MATCH(ROW()-5,'Formulación PDN 2027'!$AK$7:$AK$506,0)),7),"")</f>
        <v/>
      </c>
      <c r="W106" s="15" t="str">
        <f>IFERROR(INDEX('Formulación PDN 2027'!$H$7:$H$506,MATCH(ROW()-5,'Formulación PDN 2027'!$AK$7:$AK$506,0))&amp;"","")</f>
        <v/>
      </c>
      <c r="X106" s="15" t="str">
        <f>IFERROR(INDEX('Formulación PDN 2027'!$U$7:$U$506,MATCH(ROW()-5,'Formulación PDN 2027'!$AK$7:$AK$506,0))&amp;"","")</f>
        <v/>
      </c>
      <c r="Y106" s="15" t="str">
        <f>IFERROR(INDEX('Formulación PDN 2027'!$AH$7:$AH$506,MATCH(ROW()-5,'Formulación PDN 2027'!$AK$7:$AK$506,0))&amp;"","")</f>
        <v/>
      </c>
    </row>
    <row r="107" spans="1:25" x14ac:dyDescent="0.3">
      <c r="A107" s="15" t="str">
        <f>IFERROR(INDEX('Formulación PDN 2027'!$A$7:$A$506,MATCH(ROW()-5,'Formulación PDN 2027'!$AK$7:$AK$506,0))&amp;"","")</f>
        <v/>
      </c>
      <c r="B107" s="20" t="str">
        <f>IFERROR(INDEX('Formulación PDN 2027'!$M$7:$M$506,MATCH(ROW()-5,'Formulación PDN 2027'!$AK$7:$AK$506,0)),"")</f>
        <v/>
      </c>
      <c r="C107" s="15" t="str">
        <f>IFERROR(INDEX('Formulación PDN 2027'!$N$7:$N$506,MATCH(ROW()-5,'Formulación PDN 2027'!$AK$7:$AK$506,0))&amp;"","")</f>
        <v/>
      </c>
      <c r="D107" s="15" t="str">
        <f>IFERROR(INDEX('Formulación PDN 2027'!$L$7:$L$506,MATCH(ROW()-5,'Formulación PDN 2027'!$AK$7:$AK$506,0))&amp;"","")</f>
        <v/>
      </c>
      <c r="E107" s="15" t="str">
        <f>IFERROR(MATCH(INDEX('Formulación PDN 2027'!$O$7:$O$506,MATCH(ROW()-5,'Formulación PDN 2027'!$AK$7:$AK$506,0)),L_MESES,0),"")</f>
        <v/>
      </c>
      <c r="F107" s="15" t="str">
        <f>IFERROR(MATCH(INDEX('Formulación PDN 2027'!$P$7:$P$506,MATCH(ROW()-5,'Formulación PDN 2027'!$AK$7:$AK$506,0)),L_MESES,0),"")</f>
        <v/>
      </c>
      <c r="G107" s="15" t="str">
        <f>IFERROR(INDEX('Formulación PDN 2027'!$Q$7:$Q$506,MATCH(ROW()-5,'Formulación PDN 2027'!$AK$7:$AK$506,0)),"")</f>
        <v/>
      </c>
      <c r="H107" s="15" t="str">
        <f>IFERROR(INDEX('Formulación PDN 2027'!$R$7:$R$506,MATCH(ROW()-5,'Formulación PDN 2027'!$AK$7:$AK$506,0))&amp;"","")</f>
        <v/>
      </c>
      <c r="I107" s="15" t="str">
        <f>IFERROR(INDEX('Formulación PDN 2027'!$S$7:$S$506,MATCH(ROW()-5,'Formulación PDN 2027'!$AK$7:$AK$506,0))&amp;"","")</f>
        <v/>
      </c>
      <c r="J107" s="15" t="str">
        <f>IFERROR(INDEX('Formulación PDN 2027'!$T$7:$T$506,MATCH(ROW()-5,'Formulación PDN 2027'!$AK$7:$AK$506,0))&amp;"","")</f>
        <v/>
      </c>
      <c r="K107" s="43" t="str">
        <f>IFERROR(INDEX('Formulación PDN 2027'!$W$7:$W$506,MATCH(ROW()-5,'Formulación PDN 2027'!$AK$7:$AK$506,0)),"")</f>
        <v/>
      </c>
      <c r="L107" s="43" t="str">
        <f>IFERROR(INDEX('Formulación PDN 2027'!$X$7:$X$506,MATCH(ROW()-5,'Formulación PDN 2027'!$AK$7:$AK$506,0)),"")</f>
        <v/>
      </c>
      <c r="M107" s="15" t="str">
        <f>IFERROR(INDEX('Formulación PDN 2027'!$Y$7:$Y$506,MATCH(ROW()-5,'Formulación PDN 2027'!$AK$7:$AK$506,0))&amp;"","")</f>
        <v/>
      </c>
      <c r="N107" s="15" t="str">
        <f>IFERROR(INDEX('Formulación PDN 2027'!$Z$7:$Z$506,MATCH(ROW()-5,'Formulación PDN 2027'!$AK$7:$AK$506,0))&amp;"","")</f>
        <v/>
      </c>
      <c r="O107" s="15"/>
      <c r="P107" s="15" t="str">
        <f>IFERROR(INDEX('Formulación PDN 2027'!$AA$7:$AA$506,MATCH(ROW()-5,'Formulación PDN 2027'!$AK$7:$AK$506,0))&amp;"","")</f>
        <v/>
      </c>
      <c r="Q107" s="15" t="str">
        <f>IFERROR(INDEX('Formulación PDN 2027'!$AB$7:$AB$506,MATCH(ROW()-5,'Formulación PDN 2027'!$AK$7:$AK$506,0))&amp;"","")</f>
        <v/>
      </c>
      <c r="R107" s="15" t="str">
        <f>IFERROR(INDEX('Formulación PDN 2027'!$AD$7:$AD$506,MATCH(ROW()-5,'Formulación PDN 2027'!$AK$7:$AK$506,0))&amp;"","")</f>
        <v/>
      </c>
      <c r="S107" s="15" t="str">
        <f>IFERROR(INDEX('Formulación PDN 2027'!$AE$7:$AE$506,MATCH(ROW()-5,'Formulación PDN 2027'!$AK$7:$AK$506,0))&amp;"","")</f>
        <v/>
      </c>
      <c r="T107" s="15" t="str">
        <f>IFERROR(INDEX('Formulación PDN 2027'!$C$7:$C$506,MATCH(ROW()-5,'Formulación PDN 2027'!$AK$7:$AK$506,0))&amp;"","")</f>
        <v/>
      </c>
      <c r="U107" s="15" t="str">
        <f>IFERROR(INDEX('Formulación PDN 2027'!$B$7:$B$506,MATCH(ROW()-5,'Formulación PDN 2027'!$AK$7:$AK$506,0))&amp;"","")</f>
        <v/>
      </c>
      <c r="V107" s="15" t="str">
        <f>IFERROR(LEFT(INDEX('Formulación PDN 2027'!$E$7:$E$506,MATCH(ROW()-5,'Formulación PDN 2027'!$AK$7:$AK$506,0)),7),"")</f>
        <v/>
      </c>
      <c r="W107" s="15" t="str">
        <f>IFERROR(INDEX('Formulación PDN 2027'!$H$7:$H$506,MATCH(ROW()-5,'Formulación PDN 2027'!$AK$7:$AK$506,0))&amp;"","")</f>
        <v/>
      </c>
      <c r="X107" s="15" t="str">
        <f>IFERROR(INDEX('Formulación PDN 2027'!$U$7:$U$506,MATCH(ROW()-5,'Formulación PDN 2027'!$AK$7:$AK$506,0))&amp;"","")</f>
        <v/>
      </c>
      <c r="Y107" s="15" t="str">
        <f>IFERROR(INDEX('Formulación PDN 2027'!$AH$7:$AH$506,MATCH(ROW()-5,'Formulación PDN 2027'!$AK$7:$AK$506,0))&amp;"","")</f>
        <v/>
      </c>
    </row>
    <row r="108" spans="1:25" x14ac:dyDescent="0.3">
      <c r="A108" s="15" t="str">
        <f>IFERROR(INDEX('Formulación PDN 2027'!$A$7:$A$506,MATCH(ROW()-5,'Formulación PDN 2027'!$AK$7:$AK$506,0))&amp;"","")</f>
        <v/>
      </c>
      <c r="B108" s="20" t="str">
        <f>IFERROR(INDEX('Formulación PDN 2027'!$M$7:$M$506,MATCH(ROW()-5,'Formulación PDN 2027'!$AK$7:$AK$506,0)),"")</f>
        <v/>
      </c>
      <c r="C108" s="15" t="str">
        <f>IFERROR(INDEX('Formulación PDN 2027'!$N$7:$N$506,MATCH(ROW()-5,'Formulación PDN 2027'!$AK$7:$AK$506,0))&amp;"","")</f>
        <v/>
      </c>
      <c r="D108" s="15" t="str">
        <f>IFERROR(INDEX('Formulación PDN 2027'!$L$7:$L$506,MATCH(ROW()-5,'Formulación PDN 2027'!$AK$7:$AK$506,0))&amp;"","")</f>
        <v/>
      </c>
      <c r="E108" s="15" t="str">
        <f>IFERROR(MATCH(INDEX('Formulación PDN 2027'!$O$7:$O$506,MATCH(ROW()-5,'Formulación PDN 2027'!$AK$7:$AK$506,0)),L_MESES,0),"")</f>
        <v/>
      </c>
      <c r="F108" s="15" t="str">
        <f>IFERROR(MATCH(INDEX('Formulación PDN 2027'!$P$7:$P$506,MATCH(ROW()-5,'Formulación PDN 2027'!$AK$7:$AK$506,0)),L_MESES,0),"")</f>
        <v/>
      </c>
      <c r="G108" s="15" t="str">
        <f>IFERROR(INDEX('Formulación PDN 2027'!$Q$7:$Q$506,MATCH(ROW()-5,'Formulación PDN 2027'!$AK$7:$AK$506,0)),"")</f>
        <v/>
      </c>
      <c r="H108" s="15" t="str">
        <f>IFERROR(INDEX('Formulación PDN 2027'!$R$7:$R$506,MATCH(ROW()-5,'Formulación PDN 2027'!$AK$7:$AK$506,0))&amp;"","")</f>
        <v/>
      </c>
      <c r="I108" s="15" t="str">
        <f>IFERROR(INDEX('Formulación PDN 2027'!$S$7:$S$506,MATCH(ROW()-5,'Formulación PDN 2027'!$AK$7:$AK$506,0))&amp;"","")</f>
        <v/>
      </c>
      <c r="J108" s="15" t="str">
        <f>IFERROR(INDEX('Formulación PDN 2027'!$T$7:$T$506,MATCH(ROW()-5,'Formulación PDN 2027'!$AK$7:$AK$506,0))&amp;"","")</f>
        <v/>
      </c>
      <c r="K108" s="43" t="str">
        <f>IFERROR(INDEX('Formulación PDN 2027'!$W$7:$W$506,MATCH(ROW()-5,'Formulación PDN 2027'!$AK$7:$AK$506,0)),"")</f>
        <v/>
      </c>
      <c r="L108" s="43" t="str">
        <f>IFERROR(INDEX('Formulación PDN 2027'!$X$7:$X$506,MATCH(ROW()-5,'Formulación PDN 2027'!$AK$7:$AK$506,0)),"")</f>
        <v/>
      </c>
      <c r="M108" s="15" t="str">
        <f>IFERROR(INDEX('Formulación PDN 2027'!$Y$7:$Y$506,MATCH(ROW()-5,'Formulación PDN 2027'!$AK$7:$AK$506,0))&amp;"","")</f>
        <v/>
      </c>
      <c r="N108" s="15" t="str">
        <f>IFERROR(INDEX('Formulación PDN 2027'!$Z$7:$Z$506,MATCH(ROW()-5,'Formulación PDN 2027'!$AK$7:$AK$506,0))&amp;"","")</f>
        <v/>
      </c>
      <c r="O108" s="15"/>
      <c r="P108" s="15" t="str">
        <f>IFERROR(INDEX('Formulación PDN 2027'!$AA$7:$AA$506,MATCH(ROW()-5,'Formulación PDN 2027'!$AK$7:$AK$506,0))&amp;"","")</f>
        <v/>
      </c>
      <c r="Q108" s="15" t="str">
        <f>IFERROR(INDEX('Formulación PDN 2027'!$AB$7:$AB$506,MATCH(ROW()-5,'Formulación PDN 2027'!$AK$7:$AK$506,0))&amp;"","")</f>
        <v/>
      </c>
      <c r="R108" s="15" t="str">
        <f>IFERROR(INDEX('Formulación PDN 2027'!$AD$7:$AD$506,MATCH(ROW()-5,'Formulación PDN 2027'!$AK$7:$AK$506,0))&amp;"","")</f>
        <v/>
      </c>
      <c r="S108" s="15" t="str">
        <f>IFERROR(INDEX('Formulación PDN 2027'!$AE$7:$AE$506,MATCH(ROW()-5,'Formulación PDN 2027'!$AK$7:$AK$506,0))&amp;"","")</f>
        <v/>
      </c>
      <c r="T108" s="15" t="str">
        <f>IFERROR(INDEX('Formulación PDN 2027'!$C$7:$C$506,MATCH(ROW()-5,'Formulación PDN 2027'!$AK$7:$AK$506,0))&amp;"","")</f>
        <v/>
      </c>
      <c r="U108" s="15" t="str">
        <f>IFERROR(INDEX('Formulación PDN 2027'!$B$7:$B$506,MATCH(ROW()-5,'Formulación PDN 2027'!$AK$7:$AK$506,0))&amp;"","")</f>
        <v/>
      </c>
      <c r="V108" s="15" t="str">
        <f>IFERROR(LEFT(INDEX('Formulación PDN 2027'!$E$7:$E$506,MATCH(ROW()-5,'Formulación PDN 2027'!$AK$7:$AK$506,0)),7),"")</f>
        <v/>
      </c>
      <c r="W108" s="15" t="str">
        <f>IFERROR(INDEX('Formulación PDN 2027'!$H$7:$H$506,MATCH(ROW()-5,'Formulación PDN 2027'!$AK$7:$AK$506,0))&amp;"","")</f>
        <v/>
      </c>
      <c r="X108" s="15" t="str">
        <f>IFERROR(INDEX('Formulación PDN 2027'!$U$7:$U$506,MATCH(ROW()-5,'Formulación PDN 2027'!$AK$7:$AK$506,0))&amp;"","")</f>
        <v/>
      </c>
      <c r="Y108" s="15" t="str">
        <f>IFERROR(INDEX('Formulación PDN 2027'!$AH$7:$AH$506,MATCH(ROW()-5,'Formulación PDN 2027'!$AK$7:$AK$506,0))&amp;"","")</f>
        <v/>
      </c>
    </row>
    <row r="109" spans="1:25" x14ac:dyDescent="0.3">
      <c r="A109" s="15" t="str">
        <f>IFERROR(INDEX('Formulación PDN 2027'!$A$7:$A$506,MATCH(ROW()-5,'Formulación PDN 2027'!$AK$7:$AK$506,0))&amp;"","")</f>
        <v/>
      </c>
      <c r="B109" s="20" t="str">
        <f>IFERROR(INDEX('Formulación PDN 2027'!$M$7:$M$506,MATCH(ROW()-5,'Formulación PDN 2027'!$AK$7:$AK$506,0)),"")</f>
        <v/>
      </c>
      <c r="C109" s="15" t="str">
        <f>IFERROR(INDEX('Formulación PDN 2027'!$N$7:$N$506,MATCH(ROW()-5,'Formulación PDN 2027'!$AK$7:$AK$506,0))&amp;"","")</f>
        <v/>
      </c>
      <c r="D109" s="15" t="str">
        <f>IFERROR(INDEX('Formulación PDN 2027'!$L$7:$L$506,MATCH(ROW()-5,'Formulación PDN 2027'!$AK$7:$AK$506,0))&amp;"","")</f>
        <v/>
      </c>
      <c r="E109" s="15" t="str">
        <f>IFERROR(MATCH(INDEX('Formulación PDN 2027'!$O$7:$O$506,MATCH(ROW()-5,'Formulación PDN 2027'!$AK$7:$AK$506,0)),L_MESES,0),"")</f>
        <v/>
      </c>
      <c r="F109" s="15" t="str">
        <f>IFERROR(MATCH(INDEX('Formulación PDN 2027'!$P$7:$P$506,MATCH(ROW()-5,'Formulación PDN 2027'!$AK$7:$AK$506,0)),L_MESES,0),"")</f>
        <v/>
      </c>
      <c r="G109" s="15" t="str">
        <f>IFERROR(INDEX('Formulación PDN 2027'!$Q$7:$Q$506,MATCH(ROW()-5,'Formulación PDN 2027'!$AK$7:$AK$506,0)),"")</f>
        <v/>
      </c>
      <c r="H109" s="15" t="str">
        <f>IFERROR(INDEX('Formulación PDN 2027'!$R$7:$R$506,MATCH(ROW()-5,'Formulación PDN 2027'!$AK$7:$AK$506,0))&amp;"","")</f>
        <v/>
      </c>
      <c r="I109" s="15" t="str">
        <f>IFERROR(INDEX('Formulación PDN 2027'!$S$7:$S$506,MATCH(ROW()-5,'Formulación PDN 2027'!$AK$7:$AK$506,0))&amp;"","")</f>
        <v/>
      </c>
      <c r="J109" s="15" t="str">
        <f>IFERROR(INDEX('Formulación PDN 2027'!$T$7:$T$506,MATCH(ROW()-5,'Formulación PDN 2027'!$AK$7:$AK$506,0))&amp;"","")</f>
        <v/>
      </c>
      <c r="K109" s="43" t="str">
        <f>IFERROR(INDEX('Formulación PDN 2027'!$W$7:$W$506,MATCH(ROW()-5,'Formulación PDN 2027'!$AK$7:$AK$506,0)),"")</f>
        <v/>
      </c>
      <c r="L109" s="43" t="str">
        <f>IFERROR(INDEX('Formulación PDN 2027'!$X$7:$X$506,MATCH(ROW()-5,'Formulación PDN 2027'!$AK$7:$AK$506,0)),"")</f>
        <v/>
      </c>
      <c r="M109" s="15" t="str">
        <f>IFERROR(INDEX('Formulación PDN 2027'!$Y$7:$Y$506,MATCH(ROW()-5,'Formulación PDN 2027'!$AK$7:$AK$506,0))&amp;"","")</f>
        <v/>
      </c>
      <c r="N109" s="15" t="str">
        <f>IFERROR(INDEX('Formulación PDN 2027'!$Z$7:$Z$506,MATCH(ROW()-5,'Formulación PDN 2027'!$AK$7:$AK$506,0))&amp;"","")</f>
        <v/>
      </c>
      <c r="O109" s="15"/>
      <c r="P109" s="15" t="str">
        <f>IFERROR(INDEX('Formulación PDN 2027'!$AA$7:$AA$506,MATCH(ROW()-5,'Formulación PDN 2027'!$AK$7:$AK$506,0))&amp;"","")</f>
        <v/>
      </c>
      <c r="Q109" s="15" t="str">
        <f>IFERROR(INDEX('Formulación PDN 2027'!$AB$7:$AB$506,MATCH(ROW()-5,'Formulación PDN 2027'!$AK$7:$AK$506,0))&amp;"","")</f>
        <v/>
      </c>
      <c r="R109" s="15" t="str">
        <f>IFERROR(INDEX('Formulación PDN 2027'!$AD$7:$AD$506,MATCH(ROW()-5,'Formulación PDN 2027'!$AK$7:$AK$506,0))&amp;"","")</f>
        <v/>
      </c>
      <c r="S109" s="15" t="str">
        <f>IFERROR(INDEX('Formulación PDN 2027'!$AE$7:$AE$506,MATCH(ROW()-5,'Formulación PDN 2027'!$AK$7:$AK$506,0))&amp;"","")</f>
        <v/>
      </c>
      <c r="T109" s="15" t="str">
        <f>IFERROR(INDEX('Formulación PDN 2027'!$C$7:$C$506,MATCH(ROW()-5,'Formulación PDN 2027'!$AK$7:$AK$506,0))&amp;"","")</f>
        <v/>
      </c>
      <c r="U109" s="15" t="str">
        <f>IFERROR(INDEX('Formulación PDN 2027'!$B$7:$B$506,MATCH(ROW()-5,'Formulación PDN 2027'!$AK$7:$AK$506,0))&amp;"","")</f>
        <v/>
      </c>
      <c r="V109" s="15" t="str">
        <f>IFERROR(LEFT(INDEX('Formulación PDN 2027'!$E$7:$E$506,MATCH(ROW()-5,'Formulación PDN 2027'!$AK$7:$AK$506,0)),7),"")</f>
        <v/>
      </c>
      <c r="W109" s="15" t="str">
        <f>IFERROR(INDEX('Formulación PDN 2027'!$H$7:$H$506,MATCH(ROW()-5,'Formulación PDN 2027'!$AK$7:$AK$506,0))&amp;"","")</f>
        <v/>
      </c>
      <c r="X109" s="15" t="str">
        <f>IFERROR(INDEX('Formulación PDN 2027'!$U$7:$U$506,MATCH(ROW()-5,'Formulación PDN 2027'!$AK$7:$AK$506,0))&amp;"","")</f>
        <v/>
      </c>
      <c r="Y109" s="15" t="str">
        <f>IFERROR(INDEX('Formulación PDN 2027'!$AH$7:$AH$506,MATCH(ROW()-5,'Formulación PDN 2027'!$AK$7:$AK$506,0))&amp;"","")</f>
        <v/>
      </c>
    </row>
    <row r="110" spans="1:25" x14ac:dyDescent="0.3">
      <c r="A110" s="15" t="str">
        <f>IFERROR(INDEX('Formulación PDN 2027'!$A$7:$A$506,MATCH(ROW()-5,'Formulación PDN 2027'!$AK$7:$AK$506,0))&amp;"","")</f>
        <v/>
      </c>
      <c r="B110" s="20" t="str">
        <f>IFERROR(INDEX('Formulación PDN 2027'!$M$7:$M$506,MATCH(ROW()-5,'Formulación PDN 2027'!$AK$7:$AK$506,0)),"")</f>
        <v/>
      </c>
      <c r="C110" s="15" t="str">
        <f>IFERROR(INDEX('Formulación PDN 2027'!$N$7:$N$506,MATCH(ROW()-5,'Formulación PDN 2027'!$AK$7:$AK$506,0))&amp;"","")</f>
        <v/>
      </c>
      <c r="D110" s="15" t="str">
        <f>IFERROR(INDEX('Formulación PDN 2027'!$L$7:$L$506,MATCH(ROW()-5,'Formulación PDN 2027'!$AK$7:$AK$506,0))&amp;"","")</f>
        <v/>
      </c>
      <c r="E110" s="15" t="str">
        <f>IFERROR(MATCH(INDEX('Formulación PDN 2027'!$O$7:$O$506,MATCH(ROW()-5,'Formulación PDN 2027'!$AK$7:$AK$506,0)),L_MESES,0),"")</f>
        <v/>
      </c>
      <c r="F110" s="15" t="str">
        <f>IFERROR(MATCH(INDEX('Formulación PDN 2027'!$P$7:$P$506,MATCH(ROW()-5,'Formulación PDN 2027'!$AK$7:$AK$506,0)),L_MESES,0),"")</f>
        <v/>
      </c>
      <c r="G110" s="15" t="str">
        <f>IFERROR(INDEX('Formulación PDN 2027'!$Q$7:$Q$506,MATCH(ROW()-5,'Formulación PDN 2027'!$AK$7:$AK$506,0)),"")</f>
        <v/>
      </c>
      <c r="H110" s="15" t="str">
        <f>IFERROR(INDEX('Formulación PDN 2027'!$R$7:$R$506,MATCH(ROW()-5,'Formulación PDN 2027'!$AK$7:$AK$506,0))&amp;"","")</f>
        <v/>
      </c>
      <c r="I110" s="15" t="str">
        <f>IFERROR(INDEX('Formulación PDN 2027'!$S$7:$S$506,MATCH(ROW()-5,'Formulación PDN 2027'!$AK$7:$AK$506,0))&amp;"","")</f>
        <v/>
      </c>
      <c r="J110" s="15" t="str">
        <f>IFERROR(INDEX('Formulación PDN 2027'!$T$7:$T$506,MATCH(ROW()-5,'Formulación PDN 2027'!$AK$7:$AK$506,0))&amp;"","")</f>
        <v/>
      </c>
      <c r="K110" s="43" t="str">
        <f>IFERROR(INDEX('Formulación PDN 2027'!$W$7:$W$506,MATCH(ROW()-5,'Formulación PDN 2027'!$AK$7:$AK$506,0)),"")</f>
        <v/>
      </c>
      <c r="L110" s="43" t="str">
        <f>IFERROR(INDEX('Formulación PDN 2027'!$X$7:$X$506,MATCH(ROW()-5,'Formulación PDN 2027'!$AK$7:$AK$506,0)),"")</f>
        <v/>
      </c>
      <c r="M110" s="15" t="str">
        <f>IFERROR(INDEX('Formulación PDN 2027'!$Y$7:$Y$506,MATCH(ROW()-5,'Formulación PDN 2027'!$AK$7:$AK$506,0))&amp;"","")</f>
        <v/>
      </c>
      <c r="N110" s="15" t="str">
        <f>IFERROR(INDEX('Formulación PDN 2027'!$Z$7:$Z$506,MATCH(ROW()-5,'Formulación PDN 2027'!$AK$7:$AK$506,0))&amp;"","")</f>
        <v/>
      </c>
      <c r="O110" s="15"/>
      <c r="P110" s="15" t="str">
        <f>IFERROR(INDEX('Formulación PDN 2027'!$AA$7:$AA$506,MATCH(ROW()-5,'Formulación PDN 2027'!$AK$7:$AK$506,0))&amp;"","")</f>
        <v/>
      </c>
      <c r="Q110" s="15" t="str">
        <f>IFERROR(INDEX('Formulación PDN 2027'!$AB$7:$AB$506,MATCH(ROW()-5,'Formulación PDN 2027'!$AK$7:$AK$506,0))&amp;"","")</f>
        <v/>
      </c>
      <c r="R110" s="15" t="str">
        <f>IFERROR(INDEX('Formulación PDN 2027'!$AD$7:$AD$506,MATCH(ROW()-5,'Formulación PDN 2027'!$AK$7:$AK$506,0))&amp;"","")</f>
        <v/>
      </c>
      <c r="S110" s="15" t="str">
        <f>IFERROR(INDEX('Formulación PDN 2027'!$AE$7:$AE$506,MATCH(ROW()-5,'Formulación PDN 2027'!$AK$7:$AK$506,0))&amp;"","")</f>
        <v/>
      </c>
      <c r="T110" s="15" t="str">
        <f>IFERROR(INDEX('Formulación PDN 2027'!$C$7:$C$506,MATCH(ROW()-5,'Formulación PDN 2027'!$AK$7:$AK$506,0))&amp;"","")</f>
        <v/>
      </c>
      <c r="U110" s="15" t="str">
        <f>IFERROR(INDEX('Formulación PDN 2027'!$B$7:$B$506,MATCH(ROW()-5,'Formulación PDN 2027'!$AK$7:$AK$506,0))&amp;"","")</f>
        <v/>
      </c>
      <c r="V110" s="15" t="str">
        <f>IFERROR(LEFT(INDEX('Formulación PDN 2027'!$E$7:$E$506,MATCH(ROW()-5,'Formulación PDN 2027'!$AK$7:$AK$506,0)),7),"")</f>
        <v/>
      </c>
      <c r="W110" s="15" t="str">
        <f>IFERROR(INDEX('Formulación PDN 2027'!$H$7:$H$506,MATCH(ROW()-5,'Formulación PDN 2027'!$AK$7:$AK$506,0))&amp;"","")</f>
        <v/>
      </c>
      <c r="X110" s="15" t="str">
        <f>IFERROR(INDEX('Formulación PDN 2027'!$U$7:$U$506,MATCH(ROW()-5,'Formulación PDN 2027'!$AK$7:$AK$506,0))&amp;"","")</f>
        <v/>
      </c>
      <c r="Y110" s="15" t="str">
        <f>IFERROR(INDEX('Formulación PDN 2027'!$AH$7:$AH$506,MATCH(ROW()-5,'Formulación PDN 2027'!$AK$7:$AK$506,0))&amp;"","")</f>
        <v/>
      </c>
    </row>
    <row r="111" spans="1:25" x14ac:dyDescent="0.3">
      <c r="A111" s="15" t="str">
        <f>IFERROR(INDEX('Formulación PDN 2027'!$A$7:$A$506,MATCH(ROW()-5,'Formulación PDN 2027'!$AK$7:$AK$506,0))&amp;"","")</f>
        <v/>
      </c>
      <c r="B111" s="20" t="str">
        <f>IFERROR(INDEX('Formulación PDN 2027'!$M$7:$M$506,MATCH(ROW()-5,'Formulación PDN 2027'!$AK$7:$AK$506,0)),"")</f>
        <v/>
      </c>
      <c r="C111" s="15" t="str">
        <f>IFERROR(INDEX('Formulación PDN 2027'!$N$7:$N$506,MATCH(ROW()-5,'Formulación PDN 2027'!$AK$7:$AK$506,0))&amp;"","")</f>
        <v/>
      </c>
      <c r="D111" s="15" t="str">
        <f>IFERROR(INDEX('Formulación PDN 2027'!$L$7:$L$506,MATCH(ROW()-5,'Formulación PDN 2027'!$AK$7:$AK$506,0))&amp;"","")</f>
        <v/>
      </c>
      <c r="E111" s="15" t="str">
        <f>IFERROR(MATCH(INDEX('Formulación PDN 2027'!$O$7:$O$506,MATCH(ROW()-5,'Formulación PDN 2027'!$AK$7:$AK$506,0)),L_MESES,0),"")</f>
        <v/>
      </c>
      <c r="F111" s="15" t="str">
        <f>IFERROR(MATCH(INDEX('Formulación PDN 2027'!$P$7:$P$506,MATCH(ROW()-5,'Formulación PDN 2027'!$AK$7:$AK$506,0)),L_MESES,0),"")</f>
        <v/>
      </c>
      <c r="G111" s="15" t="str">
        <f>IFERROR(INDEX('Formulación PDN 2027'!$Q$7:$Q$506,MATCH(ROW()-5,'Formulación PDN 2027'!$AK$7:$AK$506,0)),"")</f>
        <v/>
      </c>
      <c r="H111" s="15" t="str">
        <f>IFERROR(INDEX('Formulación PDN 2027'!$R$7:$R$506,MATCH(ROW()-5,'Formulación PDN 2027'!$AK$7:$AK$506,0))&amp;"","")</f>
        <v/>
      </c>
      <c r="I111" s="15" t="str">
        <f>IFERROR(INDEX('Formulación PDN 2027'!$S$7:$S$506,MATCH(ROW()-5,'Formulación PDN 2027'!$AK$7:$AK$506,0))&amp;"","")</f>
        <v/>
      </c>
      <c r="J111" s="15" t="str">
        <f>IFERROR(INDEX('Formulación PDN 2027'!$T$7:$T$506,MATCH(ROW()-5,'Formulación PDN 2027'!$AK$7:$AK$506,0))&amp;"","")</f>
        <v/>
      </c>
      <c r="K111" s="43" t="str">
        <f>IFERROR(INDEX('Formulación PDN 2027'!$W$7:$W$506,MATCH(ROW()-5,'Formulación PDN 2027'!$AK$7:$AK$506,0)),"")</f>
        <v/>
      </c>
      <c r="L111" s="43" t="str">
        <f>IFERROR(INDEX('Formulación PDN 2027'!$X$7:$X$506,MATCH(ROW()-5,'Formulación PDN 2027'!$AK$7:$AK$506,0)),"")</f>
        <v/>
      </c>
      <c r="M111" s="15" t="str">
        <f>IFERROR(INDEX('Formulación PDN 2027'!$Y$7:$Y$506,MATCH(ROW()-5,'Formulación PDN 2027'!$AK$7:$AK$506,0))&amp;"","")</f>
        <v/>
      </c>
      <c r="N111" s="15" t="str">
        <f>IFERROR(INDEX('Formulación PDN 2027'!$Z$7:$Z$506,MATCH(ROW()-5,'Formulación PDN 2027'!$AK$7:$AK$506,0))&amp;"","")</f>
        <v/>
      </c>
      <c r="O111" s="15"/>
      <c r="P111" s="15" t="str">
        <f>IFERROR(INDEX('Formulación PDN 2027'!$AA$7:$AA$506,MATCH(ROW()-5,'Formulación PDN 2027'!$AK$7:$AK$506,0))&amp;"","")</f>
        <v/>
      </c>
      <c r="Q111" s="15" t="str">
        <f>IFERROR(INDEX('Formulación PDN 2027'!$AB$7:$AB$506,MATCH(ROW()-5,'Formulación PDN 2027'!$AK$7:$AK$506,0))&amp;"","")</f>
        <v/>
      </c>
      <c r="R111" s="15" t="str">
        <f>IFERROR(INDEX('Formulación PDN 2027'!$AD$7:$AD$506,MATCH(ROW()-5,'Formulación PDN 2027'!$AK$7:$AK$506,0))&amp;"","")</f>
        <v/>
      </c>
      <c r="S111" s="15" t="str">
        <f>IFERROR(INDEX('Formulación PDN 2027'!$AE$7:$AE$506,MATCH(ROW()-5,'Formulación PDN 2027'!$AK$7:$AK$506,0))&amp;"","")</f>
        <v/>
      </c>
      <c r="T111" s="15" t="str">
        <f>IFERROR(INDEX('Formulación PDN 2027'!$C$7:$C$506,MATCH(ROW()-5,'Formulación PDN 2027'!$AK$7:$AK$506,0))&amp;"","")</f>
        <v/>
      </c>
      <c r="U111" s="15" t="str">
        <f>IFERROR(INDEX('Formulación PDN 2027'!$B$7:$B$506,MATCH(ROW()-5,'Formulación PDN 2027'!$AK$7:$AK$506,0))&amp;"","")</f>
        <v/>
      </c>
      <c r="V111" s="15" t="str">
        <f>IFERROR(LEFT(INDEX('Formulación PDN 2027'!$E$7:$E$506,MATCH(ROW()-5,'Formulación PDN 2027'!$AK$7:$AK$506,0)),7),"")</f>
        <v/>
      </c>
      <c r="W111" s="15" t="str">
        <f>IFERROR(INDEX('Formulación PDN 2027'!$H$7:$H$506,MATCH(ROW()-5,'Formulación PDN 2027'!$AK$7:$AK$506,0))&amp;"","")</f>
        <v/>
      </c>
      <c r="X111" s="15" t="str">
        <f>IFERROR(INDEX('Formulación PDN 2027'!$U$7:$U$506,MATCH(ROW()-5,'Formulación PDN 2027'!$AK$7:$AK$506,0))&amp;"","")</f>
        <v/>
      </c>
      <c r="Y111" s="15" t="str">
        <f>IFERROR(INDEX('Formulación PDN 2027'!$AH$7:$AH$506,MATCH(ROW()-5,'Formulación PDN 2027'!$AK$7:$AK$506,0))&amp;"","")</f>
        <v/>
      </c>
    </row>
    <row r="112" spans="1:25" x14ac:dyDescent="0.3">
      <c r="A112" s="15" t="str">
        <f>IFERROR(INDEX('Formulación PDN 2027'!$A$7:$A$506,MATCH(ROW()-5,'Formulación PDN 2027'!$AK$7:$AK$506,0))&amp;"","")</f>
        <v/>
      </c>
      <c r="B112" s="20" t="str">
        <f>IFERROR(INDEX('Formulación PDN 2027'!$M$7:$M$506,MATCH(ROW()-5,'Formulación PDN 2027'!$AK$7:$AK$506,0)),"")</f>
        <v/>
      </c>
      <c r="C112" s="15" t="str">
        <f>IFERROR(INDEX('Formulación PDN 2027'!$N$7:$N$506,MATCH(ROW()-5,'Formulación PDN 2027'!$AK$7:$AK$506,0))&amp;"","")</f>
        <v/>
      </c>
      <c r="D112" s="15" t="str">
        <f>IFERROR(INDEX('Formulación PDN 2027'!$L$7:$L$506,MATCH(ROW()-5,'Formulación PDN 2027'!$AK$7:$AK$506,0))&amp;"","")</f>
        <v/>
      </c>
      <c r="E112" s="15" t="str">
        <f>IFERROR(MATCH(INDEX('Formulación PDN 2027'!$O$7:$O$506,MATCH(ROW()-5,'Formulación PDN 2027'!$AK$7:$AK$506,0)),L_MESES,0),"")</f>
        <v/>
      </c>
      <c r="F112" s="15" t="str">
        <f>IFERROR(MATCH(INDEX('Formulación PDN 2027'!$P$7:$P$506,MATCH(ROW()-5,'Formulación PDN 2027'!$AK$7:$AK$506,0)),L_MESES,0),"")</f>
        <v/>
      </c>
      <c r="G112" s="15" t="str">
        <f>IFERROR(INDEX('Formulación PDN 2027'!$Q$7:$Q$506,MATCH(ROW()-5,'Formulación PDN 2027'!$AK$7:$AK$506,0)),"")</f>
        <v/>
      </c>
      <c r="H112" s="15" t="str">
        <f>IFERROR(INDEX('Formulación PDN 2027'!$R$7:$R$506,MATCH(ROW()-5,'Formulación PDN 2027'!$AK$7:$AK$506,0))&amp;"","")</f>
        <v/>
      </c>
      <c r="I112" s="15" t="str">
        <f>IFERROR(INDEX('Formulación PDN 2027'!$S$7:$S$506,MATCH(ROW()-5,'Formulación PDN 2027'!$AK$7:$AK$506,0))&amp;"","")</f>
        <v/>
      </c>
      <c r="J112" s="15" t="str">
        <f>IFERROR(INDEX('Formulación PDN 2027'!$T$7:$T$506,MATCH(ROW()-5,'Formulación PDN 2027'!$AK$7:$AK$506,0))&amp;"","")</f>
        <v/>
      </c>
      <c r="K112" s="43" t="str">
        <f>IFERROR(INDEX('Formulación PDN 2027'!$W$7:$W$506,MATCH(ROW()-5,'Formulación PDN 2027'!$AK$7:$AK$506,0)),"")</f>
        <v/>
      </c>
      <c r="L112" s="43" t="str">
        <f>IFERROR(INDEX('Formulación PDN 2027'!$X$7:$X$506,MATCH(ROW()-5,'Formulación PDN 2027'!$AK$7:$AK$506,0)),"")</f>
        <v/>
      </c>
      <c r="M112" s="15" t="str">
        <f>IFERROR(INDEX('Formulación PDN 2027'!$Y$7:$Y$506,MATCH(ROW()-5,'Formulación PDN 2027'!$AK$7:$AK$506,0))&amp;"","")</f>
        <v/>
      </c>
      <c r="N112" s="15" t="str">
        <f>IFERROR(INDEX('Formulación PDN 2027'!$Z$7:$Z$506,MATCH(ROW()-5,'Formulación PDN 2027'!$AK$7:$AK$506,0))&amp;"","")</f>
        <v/>
      </c>
      <c r="O112" s="15"/>
      <c r="P112" s="15" t="str">
        <f>IFERROR(INDEX('Formulación PDN 2027'!$AA$7:$AA$506,MATCH(ROW()-5,'Formulación PDN 2027'!$AK$7:$AK$506,0))&amp;"","")</f>
        <v/>
      </c>
      <c r="Q112" s="15" t="str">
        <f>IFERROR(INDEX('Formulación PDN 2027'!$AB$7:$AB$506,MATCH(ROW()-5,'Formulación PDN 2027'!$AK$7:$AK$506,0))&amp;"","")</f>
        <v/>
      </c>
      <c r="R112" s="15" t="str">
        <f>IFERROR(INDEX('Formulación PDN 2027'!$AD$7:$AD$506,MATCH(ROW()-5,'Formulación PDN 2027'!$AK$7:$AK$506,0))&amp;"","")</f>
        <v/>
      </c>
      <c r="S112" s="15" t="str">
        <f>IFERROR(INDEX('Formulación PDN 2027'!$AE$7:$AE$506,MATCH(ROW()-5,'Formulación PDN 2027'!$AK$7:$AK$506,0))&amp;"","")</f>
        <v/>
      </c>
      <c r="T112" s="15" t="str">
        <f>IFERROR(INDEX('Formulación PDN 2027'!$C$7:$C$506,MATCH(ROW()-5,'Formulación PDN 2027'!$AK$7:$AK$506,0))&amp;"","")</f>
        <v/>
      </c>
      <c r="U112" s="15" t="str">
        <f>IFERROR(INDEX('Formulación PDN 2027'!$B$7:$B$506,MATCH(ROW()-5,'Formulación PDN 2027'!$AK$7:$AK$506,0))&amp;"","")</f>
        <v/>
      </c>
      <c r="V112" s="15" t="str">
        <f>IFERROR(LEFT(INDEX('Formulación PDN 2027'!$E$7:$E$506,MATCH(ROW()-5,'Formulación PDN 2027'!$AK$7:$AK$506,0)),7),"")</f>
        <v/>
      </c>
      <c r="W112" s="15" t="str">
        <f>IFERROR(INDEX('Formulación PDN 2027'!$H$7:$H$506,MATCH(ROW()-5,'Formulación PDN 2027'!$AK$7:$AK$506,0))&amp;"","")</f>
        <v/>
      </c>
      <c r="X112" s="15" t="str">
        <f>IFERROR(INDEX('Formulación PDN 2027'!$U$7:$U$506,MATCH(ROW()-5,'Formulación PDN 2027'!$AK$7:$AK$506,0))&amp;"","")</f>
        <v/>
      </c>
      <c r="Y112" s="15" t="str">
        <f>IFERROR(INDEX('Formulación PDN 2027'!$AH$7:$AH$506,MATCH(ROW()-5,'Formulación PDN 2027'!$AK$7:$AK$506,0))&amp;"","")</f>
        <v/>
      </c>
    </row>
    <row r="113" spans="1:25" x14ac:dyDescent="0.3">
      <c r="A113" s="15" t="str">
        <f>IFERROR(INDEX('Formulación PDN 2027'!$A$7:$A$506,MATCH(ROW()-5,'Formulación PDN 2027'!$AK$7:$AK$506,0))&amp;"","")</f>
        <v/>
      </c>
      <c r="B113" s="20" t="str">
        <f>IFERROR(INDEX('Formulación PDN 2027'!$M$7:$M$506,MATCH(ROW()-5,'Formulación PDN 2027'!$AK$7:$AK$506,0)),"")</f>
        <v/>
      </c>
      <c r="C113" s="15" t="str">
        <f>IFERROR(INDEX('Formulación PDN 2027'!$N$7:$N$506,MATCH(ROW()-5,'Formulación PDN 2027'!$AK$7:$AK$506,0))&amp;"","")</f>
        <v/>
      </c>
      <c r="D113" s="15" t="str">
        <f>IFERROR(INDEX('Formulación PDN 2027'!$L$7:$L$506,MATCH(ROW()-5,'Formulación PDN 2027'!$AK$7:$AK$506,0))&amp;"","")</f>
        <v/>
      </c>
      <c r="E113" s="15" t="str">
        <f>IFERROR(MATCH(INDEX('Formulación PDN 2027'!$O$7:$O$506,MATCH(ROW()-5,'Formulación PDN 2027'!$AK$7:$AK$506,0)),L_MESES,0),"")</f>
        <v/>
      </c>
      <c r="F113" s="15" t="str">
        <f>IFERROR(MATCH(INDEX('Formulación PDN 2027'!$P$7:$P$506,MATCH(ROW()-5,'Formulación PDN 2027'!$AK$7:$AK$506,0)),L_MESES,0),"")</f>
        <v/>
      </c>
      <c r="G113" s="15" t="str">
        <f>IFERROR(INDEX('Formulación PDN 2027'!$Q$7:$Q$506,MATCH(ROW()-5,'Formulación PDN 2027'!$AK$7:$AK$506,0)),"")</f>
        <v/>
      </c>
      <c r="H113" s="15" t="str">
        <f>IFERROR(INDEX('Formulación PDN 2027'!$R$7:$R$506,MATCH(ROW()-5,'Formulación PDN 2027'!$AK$7:$AK$506,0))&amp;"","")</f>
        <v/>
      </c>
      <c r="I113" s="15" t="str">
        <f>IFERROR(INDEX('Formulación PDN 2027'!$S$7:$S$506,MATCH(ROW()-5,'Formulación PDN 2027'!$AK$7:$AK$506,0))&amp;"","")</f>
        <v/>
      </c>
      <c r="J113" s="15" t="str">
        <f>IFERROR(INDEX('Formulación PDN 2027'!$T$7:$T$506,MATCH(ROW()-5,'Formulación PDN 2027'!$AK$7:$AK$506,0))&amp;"","")</f>
        <v/>
      </c>
      <c r="K113" s="43" t="str">
        <f>IFERROR(INDEX('Formulación PDN 2027'!$W$7:$W$506,MATCH(ROW()-5,'Formulación PDN 2027'!$AK$7:$AK$506,0)),"")</f>
        <v/>
      </c>
      <c r="L113" s="43" t="str">
        <f>IFERROR(INDEX('Formulación PDN 2027'!$X$7:$X$506,MATCH(ROW()-5,'Formulación PDN 2027'!$AK$7:$AK$506,0)),"")</f>
        <v/>
      </c>
      <c r="M113" s="15" t="str">
        <f>IFERROR(INDEX('Formulación PDN 2027'!$Y$7:$Y$506,MATCH(ROW()-5,'Formulación PDN 2027'!$AK$7:$AK$506,0))&amp;"","")</f>
        <v/>
      </c>
      <c r="N113" s="15" t="str">
        <f>IFERROR(INDEX('Formulación PDN 2027'!$Z$7:$Z$506,MATCH(ROW()-5,'Formulación PDN 2027'!$AK$7:$AK$506,0))&amp;"","")</f>
        <v/>
      </c>
      <c r="O113" s="15"/>
      <c r="P113" s="15" t="str">
        <f>IFERROR(INDEX('Formulación PDN 2027'!$AA$7:$AA$506,MATCH(ROW()-5,'Formulación PDN 2027'!$AK$7:$AK$506,0))&amp;"","")</f>
        <v/>
      </c>
      <c r="Q113" s="15" t="str">
        <f>IFERROR(INDEX('Formulación PDN 2027'!$AB$7:$AB$506,MATCH(ROW()-5,'Formulación PDN 2027'!$AK$7:$AK$506,0))&amp;"","")</f>
        <v/>
      </c>
      <c r="R113" s="15" t="str">
        <f>IFERROR(INDEX('Formulación PDN 2027'!$AD$7:$AD$506,MATCH(ROW()-5,'Formulación PDN 2027'!$AK$7:$AK$506,0))&amp;"","")</f>
        <v/>
      </c>
      <c r="S113" s="15" t="str">
        <f>IFERROR(INDEX('Formulación PDN 2027'!$AE$7:$AE$506,MATCH(ROW()-5,'Formulación PDN 2027'!$AK$7:$AK$506,0))&amp;"","")</f>
        <v/>
      </c>
      <c r="T113" s="15" t="str">
        <f>IFERROR(INDEX('Formulación PDN 2027'!$C$7:$C$506,MATCH(ROW()-5,'Formulación PDN 2027'!$AK$7:$AK$506,0))&amp;"","")</f>
        <v/>
      </c>
      <c r="U113" s="15" t="str">
        <f>IFERROR(INDEX('Formulación PDN 2027'!$B$7:$B$506,MATCH(ROW()-5,'Formulación PDN 2027'!$AK$7:$AK$506,0))&amp;"","")</f>
        <v/>
      </c>
      <c r="V113" s="15" t="str">
        <f>IFERROR(LEFT(INDEX('Formulación PDN 2027'!$E$7:$E$506,MATCH(ROW()-5,'Formulación PDN 2027'!$AK$7:$AK$506,0)),7),"")</f>
        <v/>
      </c>
      <c r="W113" s="15" t="str">
        <f>IFERROR(INDEX('Formulación PDN 2027'!$H$7:$H$506,MATCH(ROW()-5,'Formulación PDN 2027'!$AK$7:$AK$506,0))&amp;"","")</f>
        <v/>
      </c>
      <c r="X113" s="15" t="str">
        <f>IFERROR(INDEX('Formulación PDN 2027'!$U$7:$U$506,MATCH(ROW()-5,'Formulación PDN 2027'!$AK$7:$AK$506,0))&amp;"","")</f>
        <v/>
      </c>
      <c r="Y113" s="15" t="str">
        <f>IFERROR(INDEX('Formulación PDN 2027'!$AH$7:$AH$506,MATCH(ROW()-5,'Formulación PDN 2027'!$AK$7:$AK$506,0))&amp;"","")</f>
        <v/>
      </c>
    </row>
    <row r="114" spans="1:25" x14ac:dyDescent="0.3">
      <c r="A114" s="15" t="str">
        <f>IFERROR(INDEX('Formulación PDN 2027'!$A$7:$A$506,MATCH(ROW()-5,'Formulación PDN 2027'!$AK$7:$AK$506,0))&amp;"","")</f>
        <v/>
      </c>
      <c r="B114" s="20" t="str">
        <f>IFERROR(INDEX('Formulación PDN 2027'!$M$7:$M$506,MATCH(ROW()-5,'Formulación PDN 2027'!$AK$7:$AK$506,0)),"")</f>
        <v/>
      </c>
      <c r="C114" s="15" t="str">
        <f>IFERROR(INDEX('Formulación PDN 2027'!$N$7:$N$506,MATCH(ROW()-5,'Formulación PDN 2027'!$AK$7:$AK$506,0))&amp;"","")</f>
        <v/>
      </c>
      <c r="D114" s="15" t="str">
        <f>IFERROR(INDEX('Formulación PDN 2027'!$L$7:$L$506,MATCH(ROW()-5,'Formulación PDN 2027'!$AK$7:$AK$506,0))&amp;"","")</f>
        <v/>
      </c>
      <c r="E114" s="15" t="str">
        <f>IFERROR(MATCH(INDEX('Formulación PDN 2027'!$O$7:$O$506,MATCH(ROW()-5,'Formulación PDN 2027'!$AK$7:$AK$506,0)),L_MESES,0),"")</f>
        <v/>
      </c>
      <c r="F114" s="15" t="str">
        <f>IFERROR(MATCH(INDEX('Formulación PDN 2027'!$P$7:$P$506,MATCH(ROW()-5,'Formulación PDN 2027'!$AK$7:$AK$506,0)),L_MESES,0),"")</f>
        <v/>
      </c>
      <c r="G114" s="15" t="str">
        <f>IFERROR(INDEX('Formulación PDN 2027'!$Q$7:$Q$506,MATCH(ROW()-5,'Formulación PDN 2027'!$AK$7:$AK$506,0)),"")</f>
        <v/>
      </c>
      <c r="H114" s="15" t="str">
        <f>IFERROR(INDEX('Formulación PDN 2027'!$R$7:$R$506,MATCH(ROW()-5,'Formulación PDN 2027'!$AK$7:$AK$506,0))&amp;"","")</f>
        <v/>
      </c>
      <c r="I114" s="15" t="str">
        <f>IFERROR(INDEX('Formulación PDN 2027'!$S$7:$S$506,MATCH(ROW()-5,'Formulación PDN 2027'!$AK$7:$AK$506,0))&amp;"","")</f>
        <v/>
      </c>
      <c r="J114" s="15" t="str">
        <f>IFERROR(INDEX('Formulación PDN 2027'!$T$7:$T$506,MATCH(ROW()-5,'Formulación PDN 2027'!$AK$7:$AK$506,0))&amp;"","")</f>
        <v/>
      </c>
      <c r="K114" s="43" t="str">
        <f>IFERROR(INDEX('Formulación PDN 2027'!$W$7:$W$506,MATCH(ROW()-5,'Formulación PDN 2027'!$AK$7:$AK$506,0)),"")</f>
        <v/>
      </c>
      <c r="L114" s="43" t="str">
        <f>IFERROR(INDEX('Formulación PDN 2027'!$X$7:$X$506,MATCH(ROW()-5,'Formulación PDN 2027'!$AK$7:$AK$506,0)),"")</f>
        <v/>
      </c>
      <c r="M114" s="15" t="str">
        <f>IFERROR(INDEX('Formulación PDN 2027'!$Y$7:$Y$506,MATCH(ROW()-5,'Formulación PDN 2027'!$AK$7:$AK$506,0))&amp;"","")</f>
        <v/>
      </c>
      <c r="N114" s="15" t="str">
        <f>IFERROR(INDEX('Formulación PDN 2027'!$Z$7:$Z$506,MATCH(ROW()-5,'Formulación PDN 2027'!$AK$7:$AK$506,0))&amp;"","")</f>
        <v/>
      </c>
      <c r="O114" s="15"/>
      <c r="P114" s="15" t="str">
        <f>IFERROR(INDEX('Formulación PDN 2027'!$AA$7:$AA$506,MATCH(ROW()-5,'Formulación PDN 2027'!$AK$7:$AK$506,0))&amp;"","")</f>
        <v/>
      </c>
      <c r="Q114" s="15" t="str">
        <f>IFERROR(INDEX('Formulación PDN 2027'!$AB$7:$AB$506,MATCH(ROW()-5,'Formulación PDN 2027'!$AK$7:$AK$506,0))&amp;"","")</f>
        <v/>
      </c>
      <c r="R114" s="15" t="str">
        <f>IFERROR(INDEX('Formulación PDN 2027'!$AD$7:$AD$506,MATCH(ROW()-5,'Formulación PDN 2027'!$AK$7:$AK$506,0))&amp;"","")</f>
        <v/>
      </c>
      <c r="S114" s="15" t="str">
        <f>IFERROR(INDEX('Formulación PDN 2027'!$AE$7:$AE$506,MATCH(ROW()-5,'Formulación PDN 2027'!$AK$7:$AK$506,0))&amp;"","")</f>
        <v/>
      </c>
      <c r="T114" s="15" t="str">
        <f>IFERROR(INDEX('Formulación PDN 2027'!$C$7:$C$506,MATCH(ROW()-5,'Formulación PDN 2027'!$AK$7:$AK$506,0))&amp;"","")</f>
        <v/>
      </c>
      <c r="U114" s="15" t="str">
        <f>IFERROR(INDEX('Formulación PDN 2027'!$B$7:$B$506,MATCH(ROW()-5,'Formulación PDN 2027'!$AK$7:$AK$506,0))&amp;"","")</f>
        <v/>
      </c>
      <c r="V114" s="15" t="str">
        <f>IFERROR(LEFT(INDEX('Formulación PDN 2027'!$E$7:$E$506,MATCH(ROW()-5,'Formulación PDN 2027'!$AK$7:$AK$506,0)),7),"")</f>
        <v/>
      </c>
      <c r="W114" s="15" t="str">
        <f>IFERROR(INDEX('Formulación PDN 2027'!$H$7:$H$506,MATCH(ROW()-5,'Formulación PDN 2027'!$AK$7:$AK$506,0))&amp;"","")</f>
        <v/>
      </c>
      <c r="X114" s="15" t="str">
        <f>IFERROR(INDEX('Formulación PDN 2027'!$U$7:$U$506,MATCH(ROW()-5,'Formulación PDN 2027'!$AK$7:$AK$506,0))&amp;"","")</f>
        <v/>
      </c>
      <c r="Y114" s="15" t="str">
        <f>IFERROR(INDEX('Formulación PDN 2027'!$AH$7:$AH$506,MATCH(ROW()-5,'Formulación PDN 2027'!$AK$7:$AK$506,0))&amp;"","")</f>
        <v/>
      </c>
    </row>
    <row r="115" spans="1:25" x14ac:dyDescent="0.3">
      <c r="A115" s="15" t="str">
        <f>IFERROR(INDEX('Formulación PDN 2027'!$A$7:$A$506,MATCH(ROW()-5,'Formulación PDN 2027'!$AK$7:$AK$506,0))&amp;"","")</f>
        <v/>
      </c>
      <c r="B115" s="20" t="str">
        <f>IFERROR(INDEX('Formulación PDN 2027'!$M$7:$M$506,MATCH(ROW()-5,'Formulación PDN 2027'!$AK$7:$AK$506,0)),"")</f>
        <v/>
      </c>
      <c r="C115" s="15" t="str">
        <f>IFERROR(INDEX('Formulación PDN 2027'!$N$7:$N$506,MATCH(ROW()-5,'Formulación PDN 2027'!$AK$7:$AK$506,0))&amp;"","")</f>
        <v/>
      </c>
      <c r="D115" s="15" t="str">
        <f>IFERROR(INDEX('Formulación PDN 2027'!$L$7:$L$506,MATCH(ROW()-5,'Formulación PDN 2027'!$AK$7:$AK$506,0))&amp;"","")</f>
        <v/>
      </c>
      <c r="E115" s="15" t="str">
        <f>IFERROR(MATCH(INDEX('Formulación PDN 2027'!$O$7:$O$506,MATCH(ROW()-5,'Formulación PDN 2027'!$AK$7:$AK$506,0)),L_MESES,0),"")</f>
        <v/>
      </c>
      <c r="F115" s="15" t="str">
        <f>IFERROR(MATCH(INDEX('Formulación PDN 2027'!$P$7:$P$506,MATCH(ROW()-5,'Formulación PDN 2027'!$AK$7:$AK$506,0)),L_MESES,0),"")</f>
        <v/>
      </c>
      <c r="G115" s="15" t="str">
        <f>IFERROR(INDEX('Formulación PDN 2027'!$Q$7:$Q$506,MATCH(ROW()-5,'Formulación PDN 2027'!$AK$7:$AK$506,0)),"")</f>
        <v/>
      </c>
      <c r="H115" s="15" t="str">
        <f>IFERROR(INDEX('Formulación PDN 2027'!$R$7:$R$506,MATCH(ROW()-5,'Formulación PDN 2027'!$AK$7:$AK$506,0))&amp;"","")</f>
        <v/>
      </c>
      <c r="I115" s="15" t="str">
        <f>IFERROR(INDEX('Formulación PDN 2027'!$S$7:$S$506,MATCH(ROW()-5,'Formulación PDN 2027'!$AK$7:$AK$506,0))&amp;"","")</f>
        <v/>
      </c>
      <c r="J115" s="15" t="str">
        <f>IFERROR(INDEX('Formulación PDN 2027'!$T$7:$T$506,MATCH(ROW()-5,'Formulación PDN 2027'!$AK$7:$AK$506,0))&amp;"","")</f>
        <v/>
      </c>
      <c r="K115" s="43" t="str">
        <f>IFERROR(INDEX('Formulación PDN 2027'!$W$7:$W$506,MATCH(ROW()-5,'Formulación PDN 2027'!$AK$7:$AK$506,0)),"")</f>
        <v/>
      </c>
      <c r="L115" s="43" t="str">
        <f>IFERROR(INDEX('Formulación PDN 2027'!$X$7:$X$506,MATCH(ROW()-5,'Formulación PDN 2027'!$AK$7:$AK$506,0)),"")</f>
        <v/>
      </c>
      <c r="M115" s="15" t="str">
        <f>IFERROR(INDEX('Formulación PDN 2027'!$Y$7:$Y$506,MATCH(ROW()-5,'Formulación PDN 2027'!$AK$7:$AK$506,0))&amp;"","")</f>
        <v/>
      </c>
      <c r="N115" s="15" t="str">
        <f>IFERROR(INDEX('Formulación PDN 2027'!$Z$7:$Z$506,MATCH(ROW()-5,'Formulación PDN 2027'!$AK$7:$AK$506,0))&amp;"","")</f>
        <v/>
      </c>
      <c r="O115" s="15"/>
      <c r="P115" s="15" t="str">
        <f>IFERROR(INDEX('Formulación PDN 2027'!$AA$7:$AA$506,MATCH(ROW()-5,'Formulación PDN 2027'!$AK$7:$AK$506,0))&amp;"","")</f>
        <v/>
      </c>
      <c r="Q115" s="15" t="str">
        <f>IFERROR(INDEX('Formulación PDN 2027'!$AB$7:$AB$506,MATCH(ROW()-5,'Formulación PDN 2027'!$AK$7:$AK$506,0))&amp;"","")</f>
        <v/>
      </c>
      <c r="R115" s="15" t="str">
        <f>IFERROR(INDEX('Formulación PDN 2027'!$AD$7:$AD$506,MATCH(ROW()-5,'Formulación PDN 2027'!$AK$7:$AK$506,0))&amp;"","")</f>
        <v/>
      </c>
      <c r="S115" s="15" t="str">
        <f>IFERROR(INDEX('Formulación PDN 2027'!$AE$7:$AE$506,MATCH(ROW()-5,'Formulación PDN 2027'!$AK$7:$AK$506,0))&amp;"","")</f>
        <v/>
      </c>
      <c r="T115" s="15" t="str">
        <f>IFERROR(INDEX('Formulación PDN 2027'!$C$7:$C$506,MATCH(ROW()-5,'Formulación PDN 2027'!$AK$7:$AK$506,0))&amp;"","")</f>
        <v/>
      </c>
      <c r="U115" s="15" t="str">
        <f>IFERROR(INDEX('Formulación PDN 2027'!$B$7:$B$506,MATCH(ROW()-5,'Formulación PDN 2027'!$AK$7:$AK$506,0))&amp;"","")</f>
        <v/>
      </c>
      <c r="V115" s="15" t="str">
        <f>IFERROR(LEFT(INDEX('Formulación PDN 2027'!$E$7:$E$506,MATCH(ROW()-5,'Formulación PDN 2027'!$AK$7:$AK$506,0)),7),"")</f>
        <v/>
      </c>
      <c r="W115" s="15" t="str">
        <f>IFERROR(INDEX('Formulación PDN 2027'!$H$7:$H$506,MATCH(ROW()-5,'Formulación PDN 2027'!$AK$7:$AK$506,0))&amp;"","")</f>
        <v/>
      </c>
      <c r="X115" s="15" t="str">
        <f>IFERROR(INDEX('Formulación PDN 2027'!$U$7:$U$506,MATCH(ROW()-5,'Formulación PDN 2027'!$AK$7:$AK$506,0))&amp;"","")</f>
        <v/>
      </c>
      <c r="Y115" s="15" t="str">
        <f>IFERROR(INDEX('Formulación PDN 2027'!$AH$7:$AH$506,MATCH(ROW()-5,'Formulación PDN 2027'!$AK$7:$AK$506,0))&amp;"","")</f>
        <v/>
      </c>
    </row>
    <row r="116" spans="1:25" x14ac:dyDescent="0.3">
      <c r="A116" s="15" t="str">
        <f>IFERROR(INDEX('Formulación PDN 2027'!$A$7:$A$506,MATCH(ROW()-5,'Formulación PDN 2027'!$AK$7:$AK$506,0))&amp;"","")</f>
        <v/>
      </c>
      <c r="B116" s="20" t="str">
        <f>IFERROR(INDEX('Formulación PDN 2027'!$M$7:$M$506,MATCH(ROW()-5,'Formulación PDN 2027'!$AK$7:$AK$506,0)),"")</f>
        <v/>
      </c>
      <c r="C116" s="15" t="str">
        <f>IFERROR(INDEX('Formulación PDN 2027'!$N$7:$N$506,MATCH(ROW()-5,'Formulación PDN 2027'!$AK$7:$AK$506,0))&amp;"","")</f>
        <v/>
      </c>
      <c r="D116" s="15" t="str">
        <f>IFERROR(INDEX('Formulación PDN 2027'!$L$7:$L$506,MATCH(ROW()-5,'Formulación PDN 2027'!$AK$7:$AK$506,0))&amp;"","")</f>
        <v/>
      </c>
      <c r="E116" s="15" t="str">
        <f>IFERROR(MATCH(INDEX('Formulación PDN 2027'!$O$7:$O$506,MATCH(ROW()-5,'Formulación PDN 2027'!$AK$7:$AK$506,0)),L_MESES,0),"")</f>
        <v/>
      </c>
      <c r="F116" s="15" t="str">
        <f>IFERROR(MATCH(INDEX('Formulación PDN 2027'!$P$7:$P$506,MATCH(ROW()-5,'Formulación PDN 2027'!$AK$7:$AK$506,0)),L_MESES,0),"")</f>
        <v/>
      </c>
      <c r="G116" s="15" t="str">
        <f>IFERROR(INDEX('Formulación PDN 2027'!$Q$7:$Q$506,MATCH(ROW()-5,'Formulación PDN 2027'!$AK$7:$AK$506,0)),"")</f>
        <v/>
      </c>
      <c r="H116" s="15" t="str">
        <f>IFERROR(INDEX('Formulación PDN 2027'!$R$7:$R$506,MATCH(ROW()-5,'Formulación PDN 2027'!$AK$7:$AK$506,0))&amp;"","")</f>
        <v/>
      </c>
      <c r="I116" s="15" t="str">
        <f>IFERROR(INDEX('Formulación PDN 2027'!$S$7:$S$506,MATCH(ROW()-5,'Formulación PDN 2027'!$AK$7:$AK$506,0))&amp;"","")</f>
        <v/>
      </c>
      <c r="J116" s="15" t="str">
        <f>IFERROR(INDEX('Formulación PDN 2027'!$T$7:$T$506,MATCH(ROW()-5,'Formulación PDN 2027'!$AK$7:$AK$506,0))&amp;"","")</f>
        <v/>
      </c>
      <c r="K116" s="43" t="str">
        <f>IFERROR(INDEX('Formulación PDN 2027'!$W$7:$W$506,MATCH(ROW()-5,'Formulación PDN 2027'!$AK$7:$AK$506,0)),"")</f>
        <v/>
      </c>
      <c r="L116" s="43" t="str">
        <f>IFERROR(INDEX('Formulación PDN 2027'!$X$7:$X$506,MATCH(ROW()-5,'Formulación PDN 2027'!$AK$7:$AK$506,0)),"")</f>
        <v/>
      </c>
      <c r="M116" s="15" t="str">
        <f>IFERROR(INDEX('Formulación PDN 2027'!$Y$7:$Y$506,MATCH(ROW()-5,'Formulación PDN 2027'!$AK$7:$AK$506,0))&amp;"","")</f>
        <v/>
      </c>
      <c r="N116" s="15" t="str">
        <f>IFERROR(INDEX('Formulación PDN 2027'!$Z$7:$Z$506,MATCH(ROW()-5,'Formulación PDN 2027'!$AK$7:$AK$506,0))&amp;"","")</f>
        <v/>
      </c>
      <c r="O116" s="15"/>
      <c r="P116" s="15" t="str">
        <f>IFERROR(INDEX('Formulación PDN 2027'!$AA$7:$AA$506,MATCH(ROW()-5,'Formulación PDN 2027'!$AK$7:$AK$506,0))&amp;"","")</f>
        <v/>
      </c>
      <c r="Q116" s="15" t="str">
        <f>IFERROR(INDEX('Formulación PDN 2027'!$AB$7:$AB$506,MATCH(ROW()-5,'Formulación PDN 2027'!$AK$7:$AK$506,0))&amp;"","")</f>
        <v/>
      </c>
      <c r="R116" s="15" t="str">
        <f>IFERROR(INDEX('Formulación PDN 2027'!$AD$7:$AD$506,MATCH(ROW()-5,'Formulación PDN 2027'!$AK$7:$AK$506,0))&amp;"","")</f>
        <v/>
      </c>
      <c r="S116" s="15" t="str">
        <f>IFERROR(INDEX('Formulación PDN 2027'!$AE$7:$AE$506,MATCH(ROW()-5,'Formulación PDN 2027'!$AK$7:$AK$506,0))&amp;"","")</f>
        <v/>
      </c>
      <c r="T116" s="15" t="str">
        <f>IFERROR(INDEX('Formulación PDN 2027'!$C$7:$C$506,MATCH(ROW()-5,'Formulación PDN 2027'!$AK$7:$AK$506,0))&amp;"","")</f>
        <v/>
      </c>
      <c r="U116" s="15" t="str">
        <f>IFERROR(INDEX('Formulación PDN 2027'!$B$7:$B$506,MATCH(ROW()-5,'Formulación PDN 2027'!$AK$7:$AK$506,0))&amp;"","")</f>
        <v/>
      </c>
      <c r="V116" s="15" t="str">
        <f>IFERROR(LEFT(INDEX('Formulación PDN 2027'!$E$7:$E$506,MATCH(ROW()-5,'Formulación PDN 2027'!$AK$7:$AK$506,0)),7),"")</f>
        <v/>
      </c>
      <c r="W116" s="15" t="str">
        <f>IFERROR(INDEX('Formulación PDN 2027'!$H$7:$H$506,MATCH(ROW()-5,'Formulación PDN 2027'!$AK$7:$AK$506,0))&amp;"","")</f>
        <v/>
      </c>
      <c r="X116" s="15" t="str">
        <f>IFERROR(INDEX('Formulación PDN 2027'!$U$7:$U$506,MATCH(ROW()-5,'Formulación PDN 2027'!$AK$7:$AK$506,0))&amp;"","")</f>
        <v/>
      </c>
      <c r="Y116" s="15" t="str">
        <f>IFERROR(INDEX('Formulación PDN 2027'!$AH$7:$AH$506,MATCH(ROW()-5,'Formulación PDN 2027'!$AK$7:$AK$506,0))&amp;"","")</f>
        <v/>
      </c>
    </row>
    <row r="117" spans="1:25" x14ac:dyDescent="0.3">
      <c r="A117" s="15" t="str">
        <f>IFERROR(INDEX('Formulación PDN 2027'!$A$7:$A$506,MATCH(ROW()-5,'Formulación PDN 2027'!$AK$7:$AK$506,0))&amp;"","")</f>
        <v/>
      </c>
      <c r="B117" s="20" t="str">
        <f>IFERROR(INDEX('Formulación PDN 2027'!$M$7:$M$506,MATCH(ROW()-5,'Formulación PDN 2027'!$AK$7:$AK$506,0)),"")</f>
        <v/>
      </c>
      <c r="C117" s="15" t="str">
        <f>IFERROR(INDEX('Formulación PDN 2027'!$N$7:$N$506,MATCH(ROW()-5,'Formulación PDN 2027'!$AK$7:$AK$506,0))&amp;"","")</f>
        <v/>
      </c>
      <c r="D117" s="15" t="str">
        <f>IFERROR(INDEX('Formulación PDN 2027'!$L$7:$L$506,MATCH(ROW()-5,'Formulación PDN 2027'!$AK$7:$AK$506,0))&amp;"","")</f>
        <v/>
      </c>
      <c r="E117" s="15" t="str">
        <f>IFERROR(MATCH(INDEX('Formulación PDN 2027'!$O$7:$O$506,MATCH(ROW()-5,'Formulación PDN 2027'!$AK$7:$AK$506,0)),L_MESES,0),"")</f>
        <v/>
      </c>
      <c r="F117" s="15" t="str">
        <f>IFERROR(MATCH(INDEX('Formulación PDN 2027'!$P$7:$P$506,MATCH(ROW()-5,'Formulación PDN 2027'!$AK$7:$AK$506,0)),L_MESES,0),"")</f>
        <v/>
      </c>
      <c r="G117" s="15" t="str">
        <f>IFERROR(INDEX('Formulación PDN 2027'!$Q$7:$Q$506,MATCH(ROW()-5,'Formulación PDN 2027'!$AK$7:$AK$506,0)),"")</f>
        <v/>
      </c>
      <c r="H117" s="15" t="str">
        <f>IFERROR(INDEX('Formulación PDN 2027'!$R$7:$R$506,MATCH(ROW()-5,'Formulación PDN 2027'!$AK$7:$AK$506,0))&amp;"","")</f>
        <v/>
      </c>
      <c r="I117" s="15" t="str">
        <f>IFERROR(INDEX('Formulación PDN 2027'!$S$7:$S$506,MATCH(ROW()-5,'Formulación PDN 2027'!$AK$7:$AK$506,0))&amp;"","")</f>
        <v/>
      </c>
      <c r="J117" s="15" t="str">
        <f>IFERROR(INDEX('Formulación PDN 2027'!$T$7:$T$506,MATCH(ROW()-5,'Formulación PDN 2027'!$AK$7:$AK$506,0))&amp;"","")</f>
        <v/>
      </c>
      <c r="K117" s="43" t="str">
        <f>IFERROR(INDEX('Formulación PDN 2027'!$W$7:$W$506,MATCH(ROW()-5,'Formulación PDN 2027'!$AK$7:$AK$506,0)),"")</f>
        <v/>
      </c>
      <c r="L117" s="43" t="str">
        <f>IFERROR(INDEX('Formulación PDN 2027'!$X$7:$X$506,MATCH(ROW()-5,'Formulación PDN 2027'!$AK$7:$AK$506,0)),"")</f>
        <v/>
      </c>
      <c r="M117" s="15" t="str">
        <f>IFERROR(INDEX('Formulación PDN 2027'!$Y$7:$Y$506,MATCH(ROW()-5,'Formulación PDN 2027'!$AK$7:$AK$506,0))&amp;"","")</f>
        <v/>
      </c>
      <c r="N117" s="15" t="str">
        <f>IFERROR(INDEX('Formulación PDN 2027'!$Z$7:$Z$506,MATCH(ROW()-5,'Formulación PDN 2027'!$AK$7:$AK$506,0))&amp;"","")</f>
        <v/>
      </c>
      <c r="O117" s="15"/>
      <c r="P117" s="15" t="str">
        <f>IFERROR(INDEX('Formulación PDN 2027'!$AA$7:$AA$506,MATCH(ROW()-5,'Formulación PDN 2027'!$AK$7:$AK$506,0))&amp;"","")</f>
        <v/>
      </c>
      <c r="Q117" s="15" t="str">
        <f>IFERROR(INDEX('Formulación PDN 2027'!$AB$7:$AB$506,MATCH(ROW()-5,'Formulación PDN 2027'!$AK$7:$AK$506,0))&amp;"","")</f>
        <v/>
      </c>
      <c r="R117" s="15" t="str">
        <f>IFERROR(INDEX('Formulación PDN 2027'!$AD$7:$AD$506,MATCH(ROW()-5,'Formulación PDN 2027'!$AK$7:$AK$506,0))&amp;"","")</f>
        <v/>
      </c>
      <c r="S117" s="15" t="str">
        <f>IFERROR(INDEX('Formulación PDN 2027'!$AE$7:$AE$506,MATCH(ROW()-5,'Formulación PDN 2027'!$AK$7:$AK$506,0))&amp;"","")</f>
        <v/>
      </c>
      <c r="T117" s="15" t="str">
        <f>IFERROR(INDEX('Formulación PDN 2027'!$C$7:$C$506,MATCH(ROW()-5,'Formulación PDN 2027'!$AK$7:$AK$506,0))&amp;"","")</f>
        <v/>
      </c>
      <c r="U117" s="15" t="str">
        <f>IFERROR(INDEX('Formulación PDN 2027'!$B$7:$B$506,MATCH(ROW()-5,'Formulación PDN 2027'!$AK$7:$AK$506,0))&amp;"","")</f>
        <v/>
      </c>
      <c r="V117" s="15" t="str">
        <f>IFERROR(LEFT(INDEX('Formulación PDN 2027'!$E$7:$E$506,MATCH(ROW()-5,'Formulación PDN 2027'!$AK$7:$AK$506,0)),7),"")</f>
        <v/>
      </c>
      <c r="W117" s="15" t="str">
        <f>IFERROR(INDEX('Formulación PDN 2027'!$H$7:$H$506,MATCH(ROW()-5,'Formulación PDN 2027'!$AK$7:$AK$506,0))&amp;"","")</f>
        <v/>
      </c>
      <c r="X117" s="15" t="str">
        <f>IFERROR(INDEX('Formulación PDN 2027'!$U$7:$U$506,MATCH(ROW()-5,'Formulación PDN 2027'!$AK$7:$AK$506,0))&amp;"","")</f>
        <v/>
      </c>
      <c r="Y117" s="15" t="str">
        <f>IFERROR(INDEX('Formulación PDN 2027'!$AH$7:$AH$506,MATCH(ROW()-5,'Formulación PDN 2027'!$AK$7:$AK$506,0))&amp;"","")</f>
        <v/>
      </c>
    </row>
    <row r="118" spans="1:25" x14ac:dyDescent="0.3">
      <c r="A118" s="15" t="str">
        <f>IFERROR(INDEX('Formulación PDN 2027'!$A$7:$A$506,MATCH(ROW()-5,'Formulación PDN 2027'!$AK$7:$AK$506,0))&amp;"","")</f>
        <v/>
      </c>
      <c r="B118" s="20" t="str">
        <f>IFERROR(INDEX('Formulación PDN 2027'!$M$7:$M$506,MATCH(ROW()-5,'Formulación PDN 2027'!$AK$7:$AK$506,0)),"")</f>
        <v/>
      </c>
      <c r="C118" s="15" t="str">
        <f>IFERROR(INDEX('Formulación PDN 2027'!$N$7:$N$506,MATCH(ROW()-5,'Formulación PDN 2027'!$AK$7:$AK$506,0))&amp;"","")</f>
        <v/>
      </c>
      <c r="D118" s="15" t="str">
        <f>IFERROR(INDEX('Formulación PDN 2027'!$L$7:$L$506,MATCH(ROW()-5,'Formulación PDN 2027'!$AK$7:$AK$506,0))&amp;"","")</f>
        <v/>
      </c>
      <c r="E118" s="15" t="str">
        <f>IFERROR(MATCH(INDEX('Formulación PDN 2027'!$O$7:$O$506,MATCH(ROW()-5,'Formulación PDN 2027'!$AK$7:$AK$506,0)),L_MESES,0),"")</f>
        <v/>
      </c>
      <c r="F118" s="15" t="str">
        <f>IFERROR(MATCH(INDEX('Formulación PDN 2027'!$P$7:$P$506,MATCH(ROW()-5,'Formulación PDN 2027'!$AK$7:$AK$506,0)),L_MESES,0),"")</f>
        <v/>
      </c>
      <c r="G118" s="15" t="str">
        <f>IFERROR(INDEX('Formulación PDN 2027'!$Q$7:$Q$506,MATCH(ROW()-5,'Formulación PDN 2027'!$AK$7:$AK$506,0)),"")</f>
        <v/>
      </c>
      <c r="H118" s="15" t="str">
        <f>IFERROR(INDEX('Formulación PDN 2027'!$R$7:$R$506,MATCH(ROW()-5,'Formulación PDN 2027'!$AK$7:$AK$506,0))&amp;"","")</f>
        <v/>
      </c>
      <c r="I118" s="15" t="str">
        <f>IFERROR(INDEX('Formulación PDN 2027'!$S$7:$S$506,MATCH(ROW()-5,'Formulación PDN 2027'!$AK$7:$AK$506,0))&amp;"","")</f>
        <v/>
      </c>
      <c r="J118" s="15" t="str">
        <f>IFERROR(INDEX('Formulación PDN 2027'!$T$7:$T$506,MATCH(ROW()-5,'Formulación PDN 2027'!$AK$7:$AK$506,0))&amp;"","")</f>
        <v/>
      </c>
      <c r="K118" s="43" t="str">
        <f>IFERROR(INDEX('Formulación PDN 2027'!$W$7:$W$506,MATCH(ROW()-5,'Formulación PDN 2027'!$AK$7:$AK$506,0)),"")</f>
        <v/>
      </c>
      <c r="L118" s="43" t="str">
        <f>IFERROR(INDEX('Formulación PDN 2027'!$X$7:$X$506,MATCH(ROW()-5,'Formulación PDN 2027'!$AK$7:$AK$506,0)),"")</f>
        <v/>
      </c>
      <c r="M118" s="15" t="str">
        <f>IFERROR(INDEX('Formulación PDN 2027'!$Y$7:$Y$506,MATCH(ROW()-5,'Formulación PDN 2027'!$AK$7:$AK$506,0))&amp;"","")</f>
        <v/>
      </c>
      <c r="N118" s="15" t="str">
        <f>IFERROR(INDEX('Formulación PDN 2027'!$Z$7:$Z$506,MATCH(ROW()-5,'Formulación PDN 2027'!$AK$7:$AK$506,0))&amp;"","")</f>
        <v/>
      </c>
      <c r="O118" s="15"/>
      <c r="P118" s="15" t="str">
        <f>IFERROR(INDEX('Formulación PDN 2027'!$AA$7:$AA$506,MATCH(ROW()-5,'Formulación PDN 2027'!$AK$7:$AK$506,0))&amp;"","")</f>
        <v/>
      </c>
      <c r="Q118" s="15" t="str">
        <f>IFERROR(INDEX('Formulación PDN 2027'!$AB$7:$AB$506,MATCH(ROW()-5,'Formulación PDN 2027'!$AK$7:$AK$506,0))&amp;"","")</f>
        <v/>
      </c>
      <c r="R118" s="15" t="str">
        <f>IFERROR(INDEX('Formulación PDN 2027'!$AD$7:$AD$506,MATCH(ROW()-5,'Formulación PDN 2027'!$AK$7:$AK$506,0))&amp;"","")</f>
        <v/>
      </c>
      <c r="S118" s="15" t="str">
        <f>IFERROR(INDEX('Formulación PDN 2027'!$AE$7:$AE$506,MATCH(ROW()-5,'Formulación PDN 2027'!$AK$7:$AK$506,0))&amp;"","")</f>
        <v/>
      </c>
      <c r="T118" s="15" t="str">
        <f>IFERROR(INDEX('Formulación PDN 2027'!$C$7:$C$506,MATCH(ROW()-5,'Formulación PDN 2027'!$AK$7:$AK$506,0))&amp;"","")</f>
        <v/>
      </c>
      <c r="U118" s="15" t="str">
        <f>IFERROR(INDEX('Formulación PDN 2027'!$B$7:$B$506,MATCH(ROW()-5,'Formulación PDN 2027'!$AK$7:$AK$506,0))&amp;"","")</f>
        <v/>
      </c>
      <c r="V118" s="15" t="str">
        <f>IFERROR(LEFT(INDEX('Formulación PDN 2027'!$E$7:$E$506,MATCH(ROW()-5,'Formulación PDN 2027'!$AK$7:$AK$506,0)),7),"")</f>
        <v/>
      </c>
      <c r="W118" s="15" t="str">
        <f>IFERROR(INDEX('Formulación PDN 2027'!$H$7:$H$506,MATCH(ROW()-5,'Formulación PDN 2027'!$AK$7:$AK$506,0))&amp;"","")</f>
        <v/>
      </c>
      <c r="X118" s="15" t="str">
        <f>IFERROR(INDEX('Formulación PDN 2027'!$U$7:$U$506,MATCH(ROW()-5,'Formulación PDN 2027'!$AK$7:$AK$506,0))&amp;"","")</f>
        <v/>
      </c>
      <c r="Y118" s="15" t="str">
        <f>IFERROR(INDEX('Formulación PDN 2027'!$AH$7:$AH$506,MATCH(ROW()-5,'Formulación PDN 2027'!$AK$7:$AK$506,0))&amp;"","")</f>
        <v/>
      </c>
    </row>
    <row r="119" spans="1:25" x14ac:dyDescent="0.3">
      <c r="A119" s="15" t="str">
        <f>IFERROR(INDEX('Formulación PDN 2027'!$A$7:$A$506,MATCH(ROW()-5,'Formulación PDN 2027'!$AK$7:$AK$506,0))&amp;"","")</f>
        <v/>
      </c>
      <c r="B119" s="20" t="str">
        <f>IFERROR(INDEX('Formulación PDN 2027'!$M$7:$M$506,MATCH(ROW()-5,'Formulación PDN 2027'!$AK$7:$AK$506,0)),"")</f>
        <v/>
      </c>
      <c r="C119" s="15" t="str">
        <f>IFERROR(INDEX('Formulación PDN 2027'!$N$7:$N$506,MATCH(ROW()-5,'Formulación PDN 2027'!$AK$7:$AK$506,0))&amp;"","")</f>
        <v/>
      </c>
      <c r="D119" s="15" t="str">
        <f>IFERROR(INDEX('Formulación PDN 2027'!$L$7:$L$506,MATCH(ROW()-5,'Formulación PDN 2027'!$AK$7:$AK$506,0))&amp;"","")</f>
        <v/>
      </c>
      <c r="E119" s="15" t="str">
        <f>IFERROR(MATCH(INDEX('Formulación PDN 2027'!$O$7:$O$506,MATCH(ROW()-5,'Formulación PDN 2027'!$AK$7:$AK$506,0)),L_MESES,0),"")</f>
        <v/>
      </c>
      <c r="F119" s="15" t="str">
        <f>IFERROR(MATCH(INDEX('Formulación PDN 2027'!$P$7:$P$506,MATCH(ROW()-5,'Formulación PDN 2027'!$AK$7:$AK$506,0)),L_MESES,0),"")</f>
        <v/>
      </c>
      <c r="G119" s="15" t="str">
        <f>IFERROR(INDEX('Formulación PDN 2027'!$Q$7:$Q$506,MATCH(ROW()-5,'Formulación PDN 2027'!$AK$7:$AK$506,0)),"")</f>
        <v/>
      </c>
      <c r="H119" s="15" t="str">
        <f>IFERROR(INDEX('Formulación PDN 2027'!$R$7:$R$506,MATCH(ROW()-5,'Formulación PDN 2027'!$AK$7:$AK$506,0))&amp;"","")</f>
        <v/>
      </c>
      <c r="I119" s="15" t="str">
        <f>IFERROR(INDEX('Formulación PDN 2027'!$S$7:$S$506,MATCH(ROW()-5,'Formulación PDN 2027'!$AK$7:$AK$506,0))&amp;"","")</f>
        <v/>
      </c>
      <c r="J119" s="15" t="str">
        <f>IFERROR(INDEX('Formulación PDN 2027'!$T$7:$T$506,MATCH(ROW()-5,'Formulación PDN 2027'!$AK$7:$AK$506,0))&amp;"","")</f>
        <v/>
      </c>
      <c r="K119" s="43" t="str">
        <f>IFERROR(INDEX('Formulación PDN 2027'!$W$7:$W$506,MATCH(ROW()-5,'Formulación PDN 2027'!$AK$7:$AK$506,0)),"")</f>
        <v/>
      </c>
      <c r="L119" s="43" t="str">
        <f>IFERROR(INDEX('Formulación PDN 2027'!$X$7:$X$506,MATCH(ROW()-5,'Formulación PDN 2027'!$AK$7:$AK$506,0)),"")</f>
        <v/>
      </c>
      <c r="M119" s="15" t="str">
        <f>IFERROR(INDEX('Formulación PDN 2027'!$Y$7:$Y$506,MATCH(ROW()-5,'Formulación PDN 2027'!$AK$7:$AK$506,0))&amp;"","")</f>
        <v/>
      </c>
      <c r="N119" s="15" t="str">
        <f>IFERROR(INDEX('Formulación PDN 2027'!$Z$7:$Z$506,MATCH(ROW()-5,'Formulación PDN 2027'!$AK$7:$AK$506,0))&amp;"","")</f>
        <v/>
      </c>
      <c r="O119" s="15"/>
      <c r="P119" s="15" t="str">
        <f>IFERROR(INDEX('Formulación PDN 2027'!$AA$7:$AA$506,MATCH(ROW()-5,'Formulación PDN 2027'!$AK$7:$AK$506,0))&amp;"","")</f>
        <v/>
      </c>
      <c r="Q119" s="15" t="str">
        <f>IFERROR(INDEX('Formulación PDN 2027'!$AB$7:$AB$506,MATCH(ROW()-5,'Formulación PDN 2027'!$AK$7:$AK$506,0))&amp;"","")</f>
        <v/>
      </c>
      <c r="R119" s="15" t="str">
        <f>IFERROR(INDEX('Formulación PDN 2027'!$AD$7:$AD$506,MATCH(ROW()-5,'Formulación PDN 2027'!$AK$7:$AK$506,0))&amp;"","")</f>
        <v/>
      </c>
      <c r="S119" s="15" t="str">
        <f>IFERROR(INDEX('Formulación PDN 2027'!$AE$7:$AE$506,MATCH(ROW()-5,'Formulación PDN 2027'!$AK$7:$AK$506,0))&amp;"","")</f>
        <v/>
      </c>
      <c r="T119" s="15" t="str">
        <f>IFERROR(INDEX('Formulación PDN 2027'!$C$7:$C$506,MATCH(ROW()-5,'Formulación PDN 2027'!$AK$7:$AK$506,0))&amp;"","")</f>
        <v/>
      </c>
      <c r="U119" s="15" t="str">
        <f>IFERROR(INDEX('Formulación PDN 2027'!$B$7:$B$506,MATCH(ROW()-5,'Formulación PDN 2027'!$AK$7:$AK$506,0))&amp;"","")</f>
        <v/>
      </c>
      <c r="V119" s="15" t="str">
        <f>IFERROR(LEFT(INDEX('Formulación PDN 2027'!$E$7:$E$506,MATCH(ROW()-5,'Formulación PDN 2027'!$AK$7:$AK$506,0)),7),"")</f>
        <v/>
      </c>
      <c r="W119" s="15" t="str">
        <f>IFERROR(INDEX('Formulación PDN 2027'!$H$7:$H$506,MATCH(ROW()-5,'Formulación PDN 2027'!$AK$7:$AK$506,0))&amp;"","")</f>
        <v/>
      </c>
      <c r="X119" s="15" t="str">
        <f>IFERROR(INDEX('Formulación PDN 2027'!$U$7:$U$506,MATCH(ROW()-5,'Formulación PDN 2027'!$AK$7:$AK$506,0))&amp;"","")</f>
        <v/>
      </c>
      <c r="Y119" s="15" t="str">
        <f>IFERROR(INDEX('Formulación PDN 2027'!$AH$7:$AH$506,MATCH(ROW()-5,'Formulación PDN 2027'!$AK$7:$AK$506,0))&amp;"","")</f>
        <v/>
      </c>
    </row>
    <row r="120" spans="1:25" x14ac:dyDescent="0.3">
      <c r="A120" s="15" t="str">
        <f>IFERROR(INDEX('Formulación PDN 2027'!$A$7:$A$506,MATCH(ROW()-5,'Formulación PDN 2027'!$AK$7:$AK$506,0))&amp;"","")</f>
        <v/>
      </c>
      <c r="B120" s="20" t="str">
        <f>IFERROR(INDEX('Formulación PDN 2027'!$M$7:$M$506,MATCH(ROW()-5,'Formulación PDN 2027'!$AK$7:$AK$506,0)),"")</f>
        <v/>
      </c>
      <c r="C120" s="15" t="str">
        <f>IFERROR(INDEX('Formulación PDN 2027'!$N$7:$N$506,MATCH(ROW()-5,'Formulación PDN 2027'!$AK$7:$AK$506,0))&amp;"","")</f>
        <v/>
      </c>
      <c r="D120" s="15" t="str">
        <f>IFERROR(INDEX('Formulación PDN 2027'!$L$7:$L$506,MATCH(ROW()-5,'Formulación PDN 2027'!$AK$7:$AK$506,0))&amp;"","")</f>
        <v/>
      </c>
      <c r="E120" s="15" t="str">
        <f>IFERROR(MATCH(INDEX('Formulación PDN 2027'!$O$7:$O$506,MATCH(ROW()-5,'Formulación PDN 2027'!$AK$7:$AK$506,0)),L_MESES,0),"")</f>
        <v/>
      </c>
      <c r="F120" s="15" t="str">
        <f>IFERROR(MATCH(INDEX('Formulación PDN 2027'!$P$7:$P$506,MATCH(ROW()-5,'Formulación PDN 2027'!$AK$7:$AK$506,0)),L_MESES,0),"")</f>
        <v/>
      </c>
      <c r="G120" s="15" t="str">
        <f>IFERROR(INDEX('Formulación PDN 2027'!$Q$7:$Q$506,MATCH(ROW()-5,'Formulación PDN 2027'!$AK$7:$AK$506,0)),"")</f>
        <v/>
      </c>
      <c r="H120" s="15" t="str">
        <f>IFERROR(INDEX('Formulación PDN 2027'!$R$7:$R$506,MATCH(ROW()-5,'Formulación PDN 2027'!$AK$7:$AK$506,0))&amp;"","")</f>
        <v/>
      </c>
      <c r="I120" s="15" t="str">
        <f>IFERROR(INDEX('Formulación PDN 2027'!$S$7:$S$506,MATCH(ROW()-5,'Formulación PDN 2027'!$AK$7:$AK$506,0))&amp;"","")</f>
        <v/>
      </c>
      <c r="J120" s="15" t="str">
        <f>IFERROR(INDEX('Formulación PDN 2027'!$T$7:$T$506,MATCH(ROW()-5,'Formulación PDN 2027'!$AK$7:$AK$506,0))&amp;"","")</f>
        <v/>
      </c>
      <c r="K120" s="43" t="str">
        <f>IFERROR(INDEX('Formulación PDN 2027'!$W$7:$W$506,MATCH(ROW()-5,'Formulación PDN 2027'!$AK$7:$AK$506,0)),"")</f>
        <v/>
      </c>
      <c r="L120" s="43" t="str">
        <f>IFERROR(INDEX('Formulación PDN 2027'!$X$7:$X$506,MATCH(ROW()-5,'Formulación PDN 2027'!$AK$7:$AK$506,0)),"")</f>
        <v/>
      </c>
      <c r="M120" s="15" t="str">
        <f>IFERROR(INDEX('Formulación PDN 2027'!$Y$7:$Y$506,MATCH(ROW()-5,'Formulación PDN 2027'!$AK$7:$AK$506,0))&amp;"","")</f>
        <v/>
      </c>
      <c r="N120" s="15" t="str">
        <f>IFERROR(INDEX('Formulación PDN 2027'!$Z$7:$Z$506,MATCH(ROW()-5,'Formulación PDN 2027'!$AK$7:$AK$506,0))&amp;"","")</f>
        <v/>
      </c>
      <c r="O120" s="15"/>
      <c r="P120" s="15" t="str">
        <f>IFERROR(INDEX('Formulación PDN 2027'!$AA$7:$AA$506,MATCH(ROW()-5,'Formulación PDN 2027'!$AK$7:$AK$506,0))&amp;"","")</f>
        <v/>
      </c>
      <c r="Q120" s="15" t="str">
        <f>IFERROR(INDEX('Formulación PDN 2027'!$AB$7:$AB$506,MATCH(ROW()-5,'Formulación PDN 2027'!$AK$7:$AK$506,0))&amp;"","")</f>
        <v/>
      </c>
      <c r="R120" s="15" t="str">
        <f>IFERROR(INDEX('Formulación PDN 2027'!$AD$7:$AD$506,MATCH(ROW()-5,'Formulación PDN 2027'!$AK$7:$AK$506,0))&amp;"","")</f>
        <v/>
      </c>
      <c r="S120" s="15" t="str">
        <f>IFERROR(INDEX('Formulación PDN 2027'!$AE$7:$AE$506,MATCH(ROW()-5,'Formulación PDN 2027'!$AK$7:$AK$506,0))&amp;"","")</f>
        <v/>
      </c>
      <c r="T120" s="15" t="str">
        <f>IFERROR(INDEX('Formulación PDN 2027'!$C$7:$C$506,MATCH(ROW()-5,'Formulación PDN 2027'!$AK$7:$AK$506,0))&amp;"","")</f>
        <v/>
      </c>
      <c r="U120" s="15" t="str">
        <f>IFERROR(INDEX('Formulación PDN 2027'!$B$7:$B$506,MATCH(ROW()-5,'Formulación PDN 2027'!$AK$7:$AK$506,0))&amp;"","")</f>
        <v/>
      </c>
      <c r="V120" s="15" t="str">
        <f>IFERROR(LEFT(INDEX('Formulación PDN 2027'!$E$7:$E$506,MATCH(ROW()-5,'Formulación PDN 2027'!$AK$7:$AK$506,0)),7),"")</f>
        <v/>
      </c>
      <c r="W120" s="15" t="str">
        <f>IFERROR(INDEX('Formulación PDN 2027'!$H$7:$H$506,MATCH(ROW()-5,'Formulación PDN 2027'!$AK$7:$AK$506,0))&amp;"","")</f>
        <v/>
      </c>
      <c r="X120" s="15" t="str">
        <f>IFERROR(INDEX('Formulación PDN 2027'!$U$7:$U$506,MATCH(ROW()-5,'Formulación PDN 2027'!$AK$7:$AK$506,0))&amp;"","")</f>
        <v/>
      </c>
      <c r="Y120" s="15" t="str">
        <f>IFERROR(INDEX('Formulación PDN 2027'!$AH$7:$AH$506,MATCH(ROW()-5,'Formulación PDN 2027'!$AK$7:$AK$506,0))&amp;"","")</f>
        <v/>
      </c>
    </row>
    <row r="121" spans="1:25" x14ac:dyDescent="0.3">
      <c r="A121" s="15" t="str">
        <f>IFERROR(INDEX('Formulación PDN 2027'!$A$7:$A$506,MATCH(ROW()-5,'Formulación PDN 2027'!$AK$7:$AK$506,0))&amp;"","")</f>
        <v/>
      </c>
      <c r="B121" s="20" t="str">
        <f>IFERROR(INDEX('Formulación PDN 2027'!$M$7:$M$506,MATCH(ROW()-5,'Formulación PDN 2027'!$AK$7:$AK$506,0)),"")</f>
        <v/>
      </c>
      <c r="C121" s="15" t="str">
        <f>IFERROR(INDEX('Formulación PDN 2027'!$N$7:$N$506,MATCH(ROW()-5,'Formulación PDN 2027'!$AK$7:$AK$506,0))&amp;"","")</f>
        <v/>
      </c>
      <c r="D121" s="15" t="str">
        <f>IFERROR(INDEX('Formulación PDN 2027'!$L$7:$L$506,MATCH(ROW()-5,'Formulación PDN 2027'!$AK$7:$AK$506,0))&amp;"","")</f>
        <v/>
      </c>
      <c r="E121" s="15" t="str">
        <f>IFERROR(MATCH(INDEX('Formulación PDN 2027'!$O$7:$O$506,MATCH(ROW()-5,'Formulación PDN 2027'!$AK$7:$AK$506,0)),L_MESES,0),"")</f>
        <v/>
      </c>
      <c r="F121" s="15" t="str">
        <f>IFERROR(MATCH(INDEX('Formulación PDN 2027'!$P$7:$P$506,MATCH(ROW()-5,'Formulación PDN 2027'!$AK$7:$AK$506,0)),L_MESES,0),"")</f>
        <v/>
      </c>
      <c r="G121" s="15" t="str">
        <f>IFERROR(INDEX('Formulación PDN 2027'!$Q$7:$Q$506,MATCH(ROW()-5,'Formulación PDN 2027'!$AK$7:$AK$506,0)),"")</f>
        <v/>
      </c>
      <c r="H121" s="15" t="str">
        <f>IFERROR(INDEX('Formulación PDN 2027'!$R$7:$R$506,MATCH(ROW()-5,'Formulación PDN 2027'!$AK$7:$AK$506,0))&amp;"","")</f>
        <v/>
      </c>
      <c r="I121" s="15" t="str">
        <f>IFERROR(INDEX('Formulación PDN 2027'!$S$7:$S$506,MATCH(ROW()-5,'Formulación PDN 2027'!$AK$7:$AK$506,0))&amp;"","")</f>
        <v/>
      </c>
      <c r="J121" s="15" t="str">
        <f>IFERROR(INDEX('Formulación PDN 2027'!$T$7:$T$506,MATCH(ROW()-5,'Formulación PDN 2027'!$AK$7:$AK$506,0))&amp;"","")</f>
        <v/>
      </c>
      <c r="K121" s="43" t="str">
        <f>IFERROR(INDEX('Formulación PDN 2027'!$W$7:$W$506,MATCH(ROW()-5,'Formulación PDN 2027'!$AK$7:$AK$506,0)),"")</f>
        <v/>
      </c>
      <c r="L121" s="43" t="str">
        <f>IFERROR(INDEX('Formulación PDN 2027'!$X$7:$X$506,MATCH(ROW()-5,'Formulación PDN 2027'!$AK$7:$AK$506,0)),"")</f>
        <v/>
      </c>
      <c r="M121" s="15" t="str">
        <f>IFERROR(INDEX('Formulación PDN 2027'!$Y$7:$Y$506,MATCH(ROW()-5,'Formulación PDN 2027'!$AK$7:$AK$506,0))&amp;"","")</f>
        <v/>
      </c>
      <c r="N121" s="15" t="str">
        <f>IFERROR(INDEX('Formulación PDN 2027'!$Z$7:$Z$506,MATCH(ROW()-5,'Formulación PDN 2027'!$AK$7:$AK$506,0))&amp;"","")</f>
        <v/>
      </c>
      <c r="O121" s="15"/>
      <c r="P121" s="15" t="str">
        <f>IFERROR(INDEX('Formulación PDN 2027'!$AA$7:$AA$506,MATCH(ROW()-5,'Formulación PDN 2027'!$AK$7:$AK$506,0))&amp;"","")</f>
        <v/>
      </c>
      <c r="Q121" s="15" t="str">
        <f>IFERROR(INDEX('Formulación PDN 2027'!$AB$7:$AB$506,MATCH(ROW()-5,'Formulación PDN 2027'!$AK$7:$AK$506,0))&amp;"","")</f>
        <v/>
      </c>
      <c r="R121" s="15" t="str">
        <f>IFERROR(INDEX('Formulación PDN 2027'!$AD$7:$AD$506,MATCH(ROW()-5,'Formulación PDN 2027'!$AK$7:$AK$506,0))&amp;"","")</f>
        <v/>
      </c>
      <c r="S121" s="15" t="str">
        <f>IFERROR(INDEX('Formulación PDN 2027'!$AE$7:$AE$506,MATCH(ROW()-5,'Formulación PDN 2027'!$AK$7:$AK$506,0))&amp;"","")</f>
        <v/>
      </c>
      <c r="T121" s="15" t="str">
        <f>IFERROR(INDEX('Formulación PDN 2027'!$C$7:$C$506,MATCH(ROW()-5,'Formulación PDN 2027'!$AK$7:$AK$506,0))&amp;"","")</f>
        <v/>
      </c>
      <c r="U121" s="15" t="str">
        <f>IFERROR(INDEX('Formulación PDN 2027'!$B$7:$B$506,MATCH(ROW()-5,'Formulación PDN 2027'!$AK$7:$AK$506,0))&amp;"","")</f>
        <v/>
      </c>
      <c r="V121" s="15" t="str">
        <f>IFERROR(LEFT(INDEX('Formulación PDN 2027'!$E$7:$E$506,MATCH(ROW()-5,'Formulación PDN 2027'!$AK$7:$AK$506,0)),7),"")</f>
        <v/>
      </c>
      <c r="W121" s="15" t="str">
        <f>IFERROR(INDEX('Formulación PDN 2027'!$H$7:$H$506,MATCH(ROW()-5,'Formulación PDN 2027'!$AK$7:$AK$506,0))&amp;"","")</f>
        <v/>
      </c>
      <c r="X121" s="15" t="str">
        <f>IFERROR(INDEX('Formulación PDN 2027'!$U$7:$U$506,MATCH(ROW()-5,'Formulación PDN 2027'!$AK$7:$AK$506,0))&amp;"","")</f>
        <v/>
      </c>
      <c r="Y121" s="15" t="str">
        <f>IFERROR(INDEX('Formulación PDN 2027'!$AH$7:$AH$506,MATCH(ROW()-5,'Formulación PDN 2027'!$AK$7:$AK$506,0))&amp;"","")</f>
        <v/>
      </c>
    </row>
    <row r="122" spans="1:25" x14ac:dyDescent="0.3">
      <c r="A122" s="15" t="str">
        <f>IFERROR(INDEX('Formulación PDN 2027'!$A$7:$A$506,MATCH(ROW()-5,'Formulación PDN 2027'!$AK$7:$AK$506,0))&amp;"","")</f>
        <v/>
      </c>
      <c r="B122" s="20" t="str">
        <f>IFERROR(INDEX('Formulación PDN 2027'!$M$7:$M$506,MATCH(ROW()-5,'Formulación PDN 2027'!$AK$7:$AK$506,0)),"")</f>
        <v/>
      </c>
      <c r="C122" s="15" t="str">
        <f>IFERROR(INDEX('Formulación PDN 2027'!$N$7:$N$506,MATCH(ROW()-5,'Formulación PDN 2027'!$AK$7:$AK$506,0))&amp;"","")</f>
        <v/>
      </c>
      <c r="D122" s="15" t="str">
        <f>IFERROR(INDEX('Formulación PDN 2027'!$L$7:$L$506,MATCH(ROW()-5,'Formulación PDN 2027'!$AK$7:$AK$506,0))&amp;"","")</f>
        <v/>
      </c>
      <c r="E122" s="15" t="str">
        <f>IFERROR(MATCH(INDEX('Formulación PDN 2027'!$O$7:$O$506,MATCH(ROW()-5,'Formulación PDN 2027'!$AK$7:$AK$506,0)),L_MESES,0),"")</f>
        <v/>
      </c>
      <c r="F122" s="15" t="str">
        <f>IFERROR(MATCH(INDEX('Formulación PDN 2027'!$P$7:$P$506,MATCH(ROW()-5,'Formulación PDN 2027'!$AK$7:$AK$506,0)),L_MESES,0),"")</f>
        <v/>
      </c>
      <c r="G122" s="15" t="str">
        <f>IFERROR(INDEX('Formulación PDN 2027'!$Q$7:$Q$506,MATCH(ROW()-5,'Formulación PDN 2027'!$AK$7:$AK$506,0)),"")</f>
        <v/>
      </c>
      <c r="H122" s="15" t="str">
        <f>IFERROR(INDEX('Formulación PDN 2027'!$R$7:$R$506,MATCH(ROW()-5,'Formulación PDN 2027'!$AK$7:$AK$506,0))&amp;"","")</f>
        <v/>
      </c>
      <c r="I122" s="15" t="str">
        <f>IFERROR(INDEX('Formulación PDN 2027'!$S$7:$S$506,MATCH(ROW()-5,'Formulación PDN 2027'!$AK$7:$AK$506,0))&amp;"","")</f>
        <v/>
      </c>
      <c r="J122" s="15" t="str">
        <f>IFERROR(INDEX('Formulación PDN 2027'!$T$7:$T$506,MATCH(ROW()-5,'Formulación PDN 2027'!$AK$7:$AK$506,0))&amp;"","")</f>
        <v/>
      </c>
      <c r="K122" s="43" t="str">
        <f>IFERROR(INDEX('Formulación PDN 2027'!$W$7:$W$506,MATCH(ROW()-5,'Formulación PDN 2027'!$AK$7:$AK$506,0)),"")</f>
        <v/>
      </c>
      <c r="L122" s="43" t="str">
        <f>IFERROR(INDEX('Formulación PDN 2027'!$X$7:$X$506,MATCH(ROW()-5,'Formulación PDN 2027'!$AK$7:$AK$506,0)),"")</f>
        <v/>
      </c>
      <c r="M122" s="15" t="str">
        <f>IFERROR(INDEX('Formulación PDN 2027'!$Y$7:$Y$506,MATCH(ROW()-5,'Formulación PDN 2027'!$AK$7:$AK$506,0))&amp;"","")</f>
        <v/>
      </c>
      <c r="N122" s="15" t="str">
        <f>IFERROR(INDEX('Formulación PDN 2027'!$Z$7:$Z$506,MATCH(ROW()-5,'Formulación PDN 2027'!$AK$7:$AK$506,0))&amp;"","")</f>
        <v/>
      </c>
      <c r="O122" s="15"/>
      <c r="P122" s="15" t="str">
        <f>IFERROR(INDEX('Formulación PDN 2027'!$AA$7:$AA$506,MATCH(ROW()-5,'Formulación PDN 2027'!$AK$7:$AK$506,0))&amp;"","")</f>
        <v/>
      </c>
      <c r="Q122" s="15" t="str">
        <f>IFERROR(INDEX('Formulación PDN 2027'!$AB$7:$AB$506,MATCH(ROW()-5,'Formulación PDN 2027'!$AK$7:$AK$506,0))&amp;"","")</f>
        <v/>
      </c>
      <c r="R122" s="15" t="str">
        <f>IFERROR(INDEX('Formulación PDN 2027'!$AD$7:$AD$506,MATCH(ROW()-5,'Formulación PDN 2027'!$AK$7:$AK$506,0))&amp;"","")</f>
        <v/>
      </c>
      <c r="S122" s="15" t="str">
        <f>IFERROR(INDEX('Formulación PDN 2027'!$AE$7:$AE$506,MATCH(ROW()-5,'Formulación PDN 2027'!$AK$7:$AK$506,0))&amp;"","")</f>
        <v/>
      </c>
      <c r="T122" s="15" t="str">
        <f>IFERROR(INDEX('Formulación PDN 2027'!$C$7:$C$506,MATCH(ROW()-5,'Formulación PDN 2027'!$AK$7:$AK$506,0))&amp;"","")</f>
        <v/>
      </c>
      <c r="U122" s="15" t="str">
        <f>IFERROR(INDEX('Formulación PDN 2027'!$B$7:$B$506,MATCH(ROW()-5,'Formulación PDN 2027'!$AK$7:$AK$506,0))&amp;"","")</f>
        <v/>
      </c>
      <c r="V122" s="15" t="str">
        <f>IFERROR(LEFT(INDEX('Formulación PDN 2027'!$E$7:$E$506,MATCH(ROW()-5,'Formulación PDN 2027'!$AK$7:$AK$506,0)),7),"")</f>
        <v/>
      </c>
      <c r="W122" s="15" t="str">
        <f>IFERROR(INDEX('Formulación PDN 2027'!$H$7:$H$506,MATCH(ROW()-5,'Formulación PDN 2027'!$AK$7:$AK$506,0))&amp;"","")</f>
        <v/>
      </c>
      <c r="X122" s="15" t="str">
        <f>IFERROR(INDEX('Formulación PDN 2027'!$U$7:$U$506,MATCH(ROW()-5,'Formulación PDN 2027'!$AK$7:$AK$506,0))&amp;"","")</f>
        <v/>
      </c>
      <c r="Y122" s="15" t="str">
        <f>IFERROR(INDEX('Formulación PDN 2027'!$AH$7:$AH$506,MATCH(ROW()-5,'Formulación PDN 2027'!$AK$7:$AK$506,0))&amp;"","")</f>
        <v/>
      </c>
    </row>
    <row r="123" spans="1:25" x14ac:dyDescent="0.3">
      <c r="A123" s="15" t="str">
        <f>IFERROR(INDEX('Formulación PDN 2027'!$A$7:$A$506,MATCH(ROW()-5,'Formulación PDN 2027'!$AK$7:$AK$506,0))&amp;"","")</f>
        <v/>
      </c>
      <c r="B123" s="20" t="str">
        <f>IFERROR(INDEX('Formulación PDN 2027'!$M$7:$M$506,MATCH(ROW()-5,'Formulación PDN 2027'!$AK$7:$AK$506,0)),"")</f>
        <v/>
      </c>
      <c r="C123" s="15" t="str">
        <f>IFERROR(INDEX('Formulación PDN 2027'!$N$7:$N$506,MATCH(ROW()-5,'Formulación PDN 2027'!$AK$7:$AK$506,0))&amp;"","")</f>
        <v/>
      </c>
      <c r="D123" s="15" t="str">
        <f>IFERROR(INDEX('Formulación PDN 2027'!$L$7:$L$506,MATCH(ROW()-5,'Formulación PDN 2027'!$AK$7:$AK$506,0))&amp;"","")</f>
        <v/>
      </c>
      <c r="E123" s="15" t="str">
        <f>IFERROR(MATCH(INDEX('Formulación PDN 2027'!$O$7:$O$506,MATCH(ROW()-5,'Formulación PDN 2027'!$AK$7:$AK$506,0)),L_MESES,0),"")</f>
        <v/>
      </c>
      <c r="F123" s="15" t="str">
        <f>IFERROR(MATCH(INDEX('Formulación PDN 2027'!$P$7:$P$506,MATCH(ROW()-5,'Formulación PDN 2027'!$AK$7:$AK$506,0)),L_MESES,0),"")</f>
        <v/>
      </c>
      <c r="G123" s="15" t="str">
        <f>IFERROR(INDEX('Formulación PDN 2027'!$Q$7:$Q$506,MATCH(ROW()-5,'Formulación PDN 2027'!$AK$7:$AK$506,0)),"")</f>
        <v/>
      </c>
      <c r="H123" s="15" t="str">
        <f>IFERROR(INDEX('Formulación PDN 2027'!$R$7:$R$506,MATCH(ROW()-5,'Formulación PDN 2027'!$AK$7:$AK$506,0))&amp;"","")</f>
        <v/>
      </c>
      <c r="I123" s="15" t="str">
        <f>IFERROR(INDEX('Formulación PDN 2027'!$S$7:$S$506,MATCH(ROW()-5,'Formulación PDN 2027'!$AK$7:$AK$506,0))&amp;"","")</f>
        <v/>
      </c>
      <c r="J123" s="15" t="str">
        <f>IFERROR(INDEX('Formulación PDN 2027'!$T$7:$T$506,MATCH(ROW()-5,'Formulación PDN 2027'!$AK$7:$AK$506,0))&amp;"","")</f>
        <v/>
      </c>
      <c r="K123" s="43" t="str">
        <f>IFERROR(INDEX('Formulación PDN 2027'!$W$7:$W$506,MATCH(ROW()-5,'Formulación PDN 2027'!$AK$7:$AK$506,0)),"")</f>
        <v/>
      </c>
      <c r="L123" s="43" t="str">
        <f>IFERROR(INDEX('Formulación PDN 2027'!$X$7:$X$506,MATCH(ROW()-5,'Formulación PDN 2027'!$AK$7:$AK$506,0)),"")</f>
        <v/>
      </c>
      <c r="M123" s="15" t="str">
        <f>IFERROR(INDEX('Formulación PDN 2027'!$Y$7:$Y$506,MATCH(ROW()-5,'Formulación PDN 2027'!$AK$7:$AK$506,0))&amp;"","")</f>
        <v/>
      </c>
      <c r="N123" s="15" t="str">
        <f>IFERROR(INDEX('Formulación PDN 2027'!$Z$7:$Z$506,MATCH(ROW()-5,'Formulación PDN 2027'!$AK$7:$AK$506,0))&amp;"","")</f>
        <v/>
      </c>
      <c r="O123" s="15"/>
      <c r="P123" s="15" t="str">
        <f>IFERROR(INDEX('Formulación PDN 2027'!$AA$7:$AA$506,MATCH(ROW()-5,'Formulación PDN 2027'!$AK$7:$AK$506,0))&amp;"","")</f>
        <v/>
      </c>
      <c r="Q123" s="15" t="str">
        <f>IFERROR(INDEX('Formulación PDN 2027'!$AB$7:$AB$506,MATCH(ROW()-5,'Formulación PDN 2027'!$AK$7:$AK$506,0))&amp;"","")</f>
        <v/>
      </c>
      <c r="R123" s="15" t="str">
        <f>IFERROR(INDEX('Formulación PDN 2027'!$AD$7:$AD$506,MATCH(ROW()-5,'Formulación PDN 2027'!$AK$7:$AK$506,0))&amp;"","")</f>
        <v/>
      </c>
      <c r="S123" s="15" t="str">
        <f>IFERROR(INDEX('Formulación PDN 2027'!$AE$7:$AE$506,MATCH(ROW()-5,'Formulación PDN 2027'!$AK$7:$AK$506,0))&amp;"","")</f>
        <v/>
      </c>
      <c r="T123" s="15" t="str">
        <f>IFERROR(INDEX('Formulación PDN 2027'!$C$7:$C$506,MATCH(ROW()-5,'Formulación PDN 2027'!$AK$7:$AK$506,0))&amp;"","")</f>
        <v/>
      </c>
      <c r="U123" s="15" t="str">
        <f>IFERROR(INDEX('Formulación PDN 2027'!$B$7:$B$506,MATCH(ROW()-5,'Formulación PDN 2027'!$AK$7:$AK$506,0))&amp;"","")</f>
        <v/>
      </c>
      <c r="V123" s="15" t="str">
        <f>IFERROR(LEFT(INDEX('Formulación PDN 2027'!$E$7:$E$506,MATCH(ROW()-5,'Formulación PDN 2027'!$AK$7:$AK$506,0)),7),"")</f>
        <v/>
      </c>
      <c r="W123" s="15" t="str">
        <f>IFERROR(INDEX('Formulación PDN 2027'!$H$7:$H$506,MATCH(ROW()-5,'Formulación PDN 2027'!$AK$7:$AK$506,0))&amp;"","")</f>
        <v/>
      </c>
      <c r="X123" s="15" t="str">
        <f>IFERROR(INDEX('Formulación PDN 2027'!$U$7:$U$506,MATCH(ROW()-5,'Formulación PDN 2027'!$AK$7:$AK$506,0))&amp;"","")</f>
        <v/>
      </c>
      <c r="Y123" s="15" t="str">
        <f>IFERROR(INDEX('Formulación PDN 2027'!$AH$7:$AH$506,MATCH(ROW()-5,'Formulación PDN 2027'!$AK$7:$AK$506,0))&amp;"","")</f>
        <v/>
      </c>
    </row>
    <row r="124" spans="1:25" x14ac:dyDescent="0.3">
      <c r="A124" s="15" t="str">
        <f>IFERROR(INDEX('Formulación PDN 2027'!$A$7:$A$506,MATCH(ROW()-5,'Formulación PDN 2027'!$AK$7:$AK$506,0))&amp;"","")</f>
        <v/>
      </c>
      <c r="B124" s="20" t="str">
        <f>IFERROR(INDEX('Formulación PDN 2027'!$M$7:$M$506,MATCH(ROW()-5,'Formulación PDN 2027'!$AK$7:$AK$506,0)),"")</f>
        <v/>
      </c>
      <c r="C124" s="15" t="str">
        <f>IFERROR(INDEX('Formulación PDN 2027'!$N$7:$N$506,MATCH(ROW()-5,'Formulación PDN 2027'!$AK$7:$AK$506,0))&amp;"","")</f>
        <v/>
      </c>
      <c r="D124" s="15" t="str">
        <f>IFERROR(INDEX('Formulación PDN 2027'!$L$7:$L$506,MATCH(ROW()-5,'Formulación PDN 2027'!$AK$7:$AK$506,0))&amp;"","")</f>
        <v/>
      </c>
      <c r="E124" s="15" t="str">
        <f>IFERROR(MATCH(INDEX('Formulación PDN 2027'!$O$7:$O$506,MATCH(ROW()-5,'Formulación PDN 2027'!$AK$7:$AK$506,0)),L_MESES,0),"")</f>
        <v/>
      </c>
      <c r="F124" s="15" t="str">
        <f>IFERROR(MATCH(INDEX('Formulación PDN 2027'!$P$7:$P$506,MATCH(ROW()-5,'Formulación PDN 2027'!$AK$7:$AK$506,0)),L_MESES,0),"")</f>
        <v/>
      </c>
      <c r="G124" s="15" t="str">
        <f>IFERROR(INDEX('Formulación PDN 2027'!$Q$7:$Q$506,MATCH(ROW()-5,'Formulación PDN 2027'!$AK$7:$AK$506,0)),"")</f>
        <v/>
      </c>
      <c r="H124" s="15" t="str">
        <f>IFERROR(INDEX('Formulación PDN 2027'!$R$7:$R$506,MATCH(ROW()-5,'Formulación PDN 2027'!$AK$7:$AK$506,0))&amp;"","")</f>
        <v/>
      </c>
      <c r="I124" s="15" t="str">
        <f>IFERROR(INDEX('Formulación PDN 2027'!$S$7:$S$506,MATCH(ROW()-5,'Formulación PDN 2027'!$AK$7:$AK$506,0))&amp;"","")</f>
        <v/>
      </c>
      <c r="J124" s="15" t="str">
        <f>IFERROR(INDEX('Formulación PDN 2027'!$T$7:$T$506,MATCH(ROW()-5,'Formulación PDN 2027'!$AK$7:$AK$506,0))&amp;"","")</f>
        <v/>
      </c>
      <c r="K124" s="43" t="str">
        <f>IFERROR(INDEX('Formulación PDN 2027'!$W$7:$W$506,MATCH(ROW()-5,'Formulación PDN 2027'!$AK$7:$AK$506,0)),"")</f>
        <v/>
      </c>
      <c r="L124" s="43" t="str">
        <f>IFERROR(INDEX('Formulación PDN 2027'!$X$7:$X$506,MATCH(ROW()-5,'Formulación PDN 2027'!$AK$7:$AK$506,0)),"")</f>
        <v/>
      </c>
      <c r="M124" s="15" t="str">
        <f>IFERROR(INDEX('Formulación PDN 2027'!$Y$7:$Y$506,MATCH(ROW()-5,'Formulación PDN 2027'!$AK$7:$AK$506,0))&amp;"","")</f>
        <v/>
      </c>
      <c r="N124" s="15" t="str">
        <f>IFERROR(INDEX('Formulación PDN 2027'!$Z$7:$Z$506,MATCH(ROW()-5,'Formulación PDN 2027'!$AK$7:$AK$506,0))&amp;"","")</f>
        <v/>
      </c>
      <c r="O124" s="15"/>
      <c r="P124" s="15" t="str">
        <f>IFERROR(INDEX('Formulación PDN 2027'!$AA$7:$AA$506,MATCH(ROW()-5,'Formulación PDN 2027'!$AK$7:$AK$506,0))&amp;"","")</f>
        <v/>
      </c>
      <c r="Q124" s="15" t="str">
        <f>IFERROR(INDEX('Formulación PDN 2027'!$AB$7:$AB$506,MATCH(ROW()-5,'Formulación PDN 2027'!$AK$7:$AK$506,0))&amp;"","")</f>
        <v/>
      </c>
      <c r="R124" s="15" t="str">
        <f>IFERROR(INDEX('Formulación PDN 2027'!$AD$7:$AD$506,MATCH(ROW()-5,'Formulación PDN 2027'!$AK$7:$AK$506,0))&amp;"","")</f>
        <v/>
      </c>
      <c r="S124" s="15" t="str">
        <f>IFERROR(INDEX('Formulación PDN 2027'!$AE$7:$AE$506,MATCH(ROW()-5,'Formulación PDN 2027'!$AK$7:$AK$506,0))&amp;"","")</f>
        <v/>
      </c>
      <c r="T124" s="15" t="str">
        <f>IFERROR(INDEX('Formulación PDN 2027'!$C$7:$C$506,MATCH(ROW()-5,'Formulación PDN 2027'!$AK$7:$AK$506,0))&amp;"","")</f>
        <v/>
      </c>
      <c r="U124" s="15" t="str">
        <f>IFERROR(INDEX('Formulación PDN 2027'!$B$7:$B$506,MATCH(ROW()-5,'Formulación PDN 2027'!$AK$7:$AK$506,0))&amp;"","")</f>
        <v/>
      </c>
      <c r="V124" s="15" t="str">
        <f>IFERROR(LEFT(INDEX('Formulación PDN 2027'!$E$7:$E$506,MATCH(ROW()-5,'Formulación PDN 2027'!$AK$7:$AK$506,0)),7),"")</f>
        <v/>
      </c>
      <c r="W124" s="15" t="str">
        <f>IFERROR(INDEX('Formulación PDN 2027'!$H$7:$H$506,MATCH(ROW()-5,'Formulación PDN 2027'!$AK$7:$AK$506,0))&amp;"","")</f>
        <v/>
      </c>
      <c r="X124" s="15" t="str">
        <f>IFERROR(INDEX('Formulación PDN 2027'!$U$7:$U$506,MATCH(ROW()-5,'Formulación PDN 2027'!$AK$7:$AK$506,0))&amp;"","")</f>
        <v/>
      </c>
      <c r="Y124" s="15" t="str">
        <f>IFERROR(INDEX('Formulación PDN 2027'!$AH$7:$AH$506,MATCH(ROW()-5,'Formulación PDN 2027'!$AK$7:$AK$506,0))&amp;"","")</f>
        <v/>
      </c>
    </row>
    <row r="125" spans="1:25" x14ac:dyDescent="0.3">
      <c r="A125" s="15" t="str">
        <f>IFERROR(INDEX('Formulación PDN 2027'!$A$7:$A$506,MATCH(ROW()-5,'Formulación PDN 2027'!$AK$7:$AK$506,0))&amp;"","")</f>
        <v/>
      </c>
      <c r="B125" s="20" t="str">
        <f>IFERROR(INDEX('Formulación PDN 2027'!$M$7:$M$506,MATCH(ROW()-5,'Formulación PDN 2027'!$AK$7:$AK$506,0)),"")</f>
        <v/>
      </c>
      <c r="C125" s="15" t="str">
        <f>IFERROR(INDEX('Formulación PDN 2027'!$N$7:$N$506,MATCH(ROW()-5,'Formulación PDN 2027'!$AK$7:$AK$506,0))&amp;"","")</f>
        <v/>
      </c>
      <c r="D125" s="15" t="str">
        <f>IFERROR(INDEX('Formulación PDN 2027'!$L$7:$L$506,MATCH(ROW()-5,'Formulación PDN 2027'!$AK$7:$AK$506,0))&amp;"","")</f>
        <v/>
      </c>
      <c r="E125" s="15" t="str">
        <f>IFERROR(MATCH(INDEX('Formulación PDN 2027'!$O$7:$O$506,MATCH(ROW()-5,'Formulación PDN 2027'!$AK$7:$AK$506,0)),L_MESES,0),"")</f>
        <v/>
      </c>
      <c r="F125" s="15" t="str">
        <f>IFERROR(MATCH(INDEX('Formulación PDN 2027'!$P$7:$P$506,MATCH(ROW()-5,'Formulación PDN 2027'!$AK$7:$AK$506,0)),L_MESES,0),"")</f>
        <v/>
      </c>
      <c r="G125" s="15" t="str">
        <f>IFERROR(INDEX('Formulación PDN 2027'!$Q$7:$Q$506,MATCH(ROW()-5,'Formulación PDN 2027'!$AK$7:$AK$506,0)),"")</f>
        <v/>
      </c>
      <c r="H125" s="15" t="str">
        <f>IFERROR(INDEX('Formulación PDN 2027'!$R$7:$R$506,MATCH(ROW()-5,'Formulación PDN 2027'!$AK$7:$AK$506,0))&amp;"","")</f>
        <v/>
      </c>
      <c r="I125" s="15" t="str">
        <f>IFERROR(INDEX('Formulación PDN 2027'!$S$7:$S$506,MATCH(ROW()-5,'Formulación PDN 2027'!$AK$7:$AK$506,0))&amp;"","")</f>
        <v/>
      </c>
      <c r="J125" s="15" t="str">
        <f>IFERROR(INDEX('Formulación PDN 2027'!$T$7:$T$506,MATCH(ROW()-5,'Formulación PDN 2027'!$AK$7:$AK$506,0))&amp;"","")</f>
        <v/>
      </c>
      <c r="K125" s="43" t="str">
        <f>IFERROR(INDEX('Formulación PDN 2027'!$W$7:$W$506,MATCH(ROW()-5,'Formulación PDN 2027'!$AK$7:$AK$506,0)),"")</f>
        <v/>
      </c>
      <c r="L125" s="43" t="str">
        <f>IFERROR(INDEX('Formulación PDN 2027'!$X$7:$X$506,MATCH(ROW()-5,'Formulación PDN 2027'!$AK$7:$AK$506,0)),"")</f>
        <v/>
      </c>
      <c r="M125" s="15" t="str">
        <f>IFERROR(INDEX('Formulación PDN 2027'!$Y$7:$Y$506,MATCH(ROW()-5,'Formulación PDN 2027'!$AK$7:$AK$506,0))&amp;"","")</f>
        <v/>
      </c>
      <c r="N125" s="15" t="str">
        <f>IFERROR(INDEX('Formulación PDN 2027'!$Z$7:$Z$506,MATCH(ROW()-5,'Formulación PDN 2027'!$AK$7:$AK$506,0))&amp;"","")</f>
        <v/>
      </c>
      <c r="O125" s="15"/>
      <c r="P125" s="15" t="str">
        <f>IFERROR(INDEX('Formulación PDN 2027'!$AA$7:$AA$506,MATCH(ROW()-5,'Formulación PDN 2027'!$AK$7:$AK$506,0))&amp;"","")</f>
        <v/>
      </c>
      <c r="Q125" s="15" t="str">
        <f>IFERROR(INDEX('Formulación PDN 2027'!$AB$7:$AB$506,MATCH(ROW()-5,'Formulación PDN 2027'!$AK$7:$AK$506,0))&amp;"","")</f>
        <v/>
      </c>
      <c r="R125" s="15" t="str">
        <f>IFERROR(INDEX('Formulación PDN 2027'!$AD$7:$AD$506,MATCH(ROW()-5,'Formulación PDN 2027'!$AK$7:$AK$506,0))&amp;"","")</f>
        <v/>
      </c>
      <c r="S125" s="15" t="str">
        <f>IFERROR(INDEX('Formulación PDN 2027'!$AE$7:$AE$506,MATCH(ROW()-5,'Formulación PDN 2027'!$AK$7:$AK$506,0))&amp;"","")</f>
        <v/>
      </c>
      <c r="T125" s="15" t="str">
        <f>IFERROR(INDEX('Formulación PDN 2027'!$C$7:$C$506,MATCH(ROW()-5,'Formulación PDN 2027'!$AK$7:$AK$506,0))&amp;"","")</f>
        <v/>
      </c>
      <c r="U125" s="15" t="str">
        <f>IFERROR(INDEX('Formulación PDN 2027'!$B$7:$B$506,MATCH(ROW()-5,'Formulación PDN 2027'!$AK$7:$AK$506,0))&amp;"","")</f>
        <v/>
      </c>
      <c r="V125" s="15" t="str">
        <f>IFERROR(LEFT(INDEX('Formulación PDN 2027'!$E$7:$E$506,MATCH(ROW()-5,'Formulación PDN 2027'!$AK$7:$AK$506,0)),7),"")</f>
        <v/>
      </c>
      <c r="W125" s="15" t="str">
        <f>IFERROR(INDEX('Formulación PDN 2027'!$H$7:$H$506,MATCH(ROW()-5,'Formulación PDN 2027'!$AK$7:$AK$506,0))&amp;"","")</f>
        <v/>
      </c>
      <c r="X125" s="15" t="str">
        <f>IFERROR(INDEX('Formulación PDN 2027'!$U$7:$U$506,MATCH(ROW()-5,'Formulación PDN 2027'!$AK$7:$AK$506,0))&amp;"","")</f>
        <v/>
      </c>
      <c r="Y125" s="15" t="str">
        <f>IFERROR(INDEX('Formulación PDN 2027'!$AH$7:$AH$506,MATCH(ROW()-5,'Formulación PDN 2027'!$AK$7:$AK$506,0))&amp;"","")</f>
        <v/>
      </c>
    </row>
    <row r="126" spans="1:25" x14ac:dyDescent="0.3">
      <c r="A126" s="15" t="str">
        <f>IFERROR(INDEX('Formulación PDN 2027'!$A$7:$A$506,MATCH(ROW()-5,'Formulación PDN 2027'!$AK$7:$AK$506,0))&amp;"","")</f>
        <v/>
      </c>
      <c r="B126" s="20" t="str">
        <f>IFERROR(INDEX('Formulación PDN 2027'!$M$7:$M$506,MATCH(ROW()-5,'Formulación PDN 2027'!$AK$7:$AK$506,0)),"")</f>
        <v/>
      </c>
      <c r="C126" s="15" t="str">
        <f>IFERROR(INDEX('Formulación PDN 2027'!$N$7:$N$506,MATCH(ROW()-5,'Formulación PDN 2027'!$AK$7:$AK$506,0))&amp;"","")</f>
        <v/>
      </c>
      <c r="D126" s="15" t="str">
        <f>IFERROR(INDEX('Formulación PDN 2027'!$L$7:$L$506,MATCH(ROW()-5,'Formulación PDN 2027'!$AK$7:$AK$506,0))&amp;"","")</f>
        <v/>
      </c>
      <c r="E126" s="15" t="str">
        <f>IFERROR(MATCH(INDEX('Formulación PDN 2027'!$O$7:$O$506,MATCH(ROW()-5,'Formulación PDN 2027'!$AK$7:$AK$506,0)),L_MESES,0),"")</f>
        <v/>
      </c>
      <c r="F126" s="15" t="str">
        <f>IFERROR(MATCH(INDEX('Formulación PDN 2027'!$P$7:$P$506,MATCH(ROW()-5,'Formulación PDN 2027'!$AK$7:$AK$506,0)),L_MESES,0),"")</f>
        <v/>
      </c>
      <c r="G126" s="15" t="str">
        <f>IFERROR(INDEX('Formulación PDN 2027'!$Q$7:$Q$506,MATCH(ROW()-5,'Formulación PDN 2027'!$AK$7:$AK$506,0)),"")</f>
        <v/>
      </c>
      <c r="H126" s="15" t="str">
        <f>IFERROR(INDEX('Formulación PDN 2027'!$R$7:$R$506,MATCH(ROW()-5,'Formulación PDN 2027'!$AK$7:$AK$506,0))&amp;"","")</f>
        <v/>
      </c>
      <c r="I126" s="15" t="str">
        <f>IFERROR(INDEX('Formulación PDN 2027'!$S$7:$S$506,MATCH(ROW()-5,'Formulación PDN 2027'!$AK$7:$AK$506,0))&amp;"","")</f>
        <v/>
      </c>
      <c r="J126" s="15" t="str">
        <f>IFERROR(INDEX('Formulación PDN 2027'!$T$7:$T$506,MATCH(ROW()-5,'Formulación PDN 2027'!$AK$7:$AK$506,0))&amp;"","")</f>
        <v/>
      </c>
      <c r="K126" s="43" t="str">
        <f>IFERROR(INDEX('Formulación PDN 2027'!$W$7:$W$506,MATCH(ROW()-5,'Formulación PDN 2027'!$AK$7:$AK$506,0)),"")</f>
        <v/>
      </c>
      <c r="L126" s="43" t="str">
        <f>IFERROR(INDEX('Formulación PDN 2027'!$X$7:$X$506,MATCH(ROW()-5,'Formulación PDN 2027'!$AK$7:$AK$506,0)),"")</f>
        <v/>
      </c>
      <c r="M126" s="15" t="str">
        <f>IFERROR(INDEX('Formulación PDN 2027'!$Y$7:$Y$506,MATCH(ROW()-5,'Formulación PDN 2027'!$AK$7:$AK$506,0))&amp;"","")</f>
        <v/>
      </c>
      <c r="N126" s="15" t="str">
        <f>IFERROR(INDEX('Formulación PDN 2027'!$Z$7:$Z$506,MATCH(ROW()-5,'Formulación PDN 2027'!$AK$7:$AK$506,0))&amp;"","")</f>
        <v/>
      </c>
      <c r="O126" s="15"/>
      <c r="P126" s="15" t="str">
        <f>IFERROR(INDEX('Formulación PDN 2027'!$AA$7:$AA$506,MATCH(ROW()-5,'Formulación PDN 2027'!$AK$7:$AK$506,0))&amp;"","")</f>
        <v/>
      </c>
      <c r="Q126" s="15" t="str">
        <f>IFERROR(INDEX('Formulación PDN 2027'!$AB$7:$AB$506,MATCH(ROW()-5,'Formulación PDN 2027'!$AK$7:$AK$506,0))&amp;"","")</f>
        <v/>
      </c>
      <c r="R126" s="15" t="str">
        <f>IFERROR(INDEX('Formulación PDN 2027'!$AD$7:$AD$506,MATCH(ROW()-5,'Formulación PDN 2027'!$AK$7:$AK$506,0))&amp;"","")</f>
        <v/>
      </c>
      <c r="S126" s="15" t="str">
        <f>IFERROR(INDEX('Formulación PDN 2027'!$AE$7:$AE$506,MATCH(ROW()-5,'Formulación PDN 2027'!$AK$7:$AK$506,0))&amp;"","")</f>
        <v/>
      </c>
      <c r="T126" s="15" t="str">
        <f>IFERROR(INDEX('Formulación PDN 2027'!$C$7:$C$506,MATCH(ROW()-5,'Formulación PDN 2027'!$AK$7:$AK$506,0))&amp;"","")</f>
        <v/>
      </c>
      <c r="U126" s="15" t="str">
        <f>IFERROR(INDEX('Formulación PDN 2027'!$B$7:$B$506,MATCH(ROW()-5,'Formulación PDN 2027'!$AK$7:$AK$506,0))&amp;"","")</f>
        <v/>
      </c>
      <c r="V126" s="15" t="str">
        <f>IFERROR(LEFT(INDEX('Formulación PDN 2027'!$E$7:$E$506,MATCH(ROW()-5,'Formulación PDN 2027'!$AK$7:$AK$506,0)),7),"")</f>
        <v/>
      </c>
      <c r="W126" s="15" t="str">
        <f>IFERROR(INDEX('Formulación PDN 2027'!$H$7:$H$506,MATCH(ROW()-5,'Formulación PDN 2027'!$AK$7:$AK$506,0))&amp;"","")</f>
        <v/>
      </c>
      <c r="X126" s="15" t="str">
        <f>IFERROR(INDEX('Formulación PDN 2027'!$U$7:$U$506,MATCH(ROW()-5,'Formulación PDN 2027'!$AK$7:$AK$506,0))&amp;"","")</f>
        <v/>
      </c>
      <c r="Y126" s="15" t="str">
        <f>IFERROR(INDEX('Formulación PDN 2027'!$AH$7:$AH$506,MATCH(ROW()-5,'Formulación PDN 2027'!$AK$7:$AK$506,0))&amp;"","")</f>
        <v/>
      </c>
    </row>
    <row r="127" spans="1:25" x14ac:dyDescent="0.3">
      <c r="A127" s="15" t="str">
        <f>IFERROR(INDEX('Formulación PDN 2027'!$A$7:$A$506,MATCH(ROW()-5,'Formulación PDN 2027'!$AK$7:$AK$506,0))&amp;"","")</f>
        <v/>
      </c>
      <c r="B127" s="20" t="str">
        <f>IFERROR(INDEX('Formulación PDN 2027'!$M$7:$M$506,MATCH(ROW()-5,'Formulación PDN 2027'!$AK$7:$AK$506,0)),"")</f>
        <v/>
      </c>
      <c r="C127" s="15" t="str">
        <f>IFERROR(INDEX('Formulación PDN 2027'!$N$7:$N$506,MATCH(ROW()-5,'Formulación PDN 2027'!$AK$7:$AK$506,0))&amp;"","")</f>
        <v/>
      </c>
      <c r="D127" s="15" t="str">
        <f>IFERROR(INDEX('Formulación PDN 2027'!$L$7:$L$506,MATCH(ROW()-5,'Formulación PDN 2027'!$AK$7:$AK$506,0))&amp;"","")</f>
        <v/>
      </c>
      <c r="E127" s="15" t="str">
        <f>IFERROR(MATCH(INDEX('Formulación PDN 2027'!$O$7:$O$506,MATCH(ROW()-5,'Formulación PDN 2027'!$AK$7:$AK$506,0)),L_MESES,0),"")</f>
        <v/>
      </c>
      <c r="F127" s="15" t="str">
        <f>IFERROR(MATCH(INDEX('Formulación PDN 2027'!$P$7:$P$506,MATCH(ROW()-5,'Formulación PDN 2027'!$AK$7:$AK$506,0)),L_MESES,0),"")</f>
        <v/>
      </c>
      <c r="G127" s="15" t="str">
        <f>IFERROR(INDEX('Formulación PDN 2027'!$Q$7:$Q$506,MATCH(ROW()-5,'Formulación PDN 2027'!$AK$7:$AK$506,0)),"")</f>
        <v/>
      </c>
      <c r="H127" s="15" t="str">
        <f>IFERROR(INDEX('Formulación PDN 2027'!$R$7:$R$506,MATCH(ROW()-5,'Formulación PDN 2027'!$AK$7:$AK$506,0))&amp;"","")</f>
        <v/>
      </c>
      <c r="I127" s="15" t="str">
        <f>IFERROR(INDEX('Formulación PDN 2027'!$S$7:$S$506,MATCH(ROW()-5,'Formulación PDN 2027'!$AK$7:$AK$506,0))&amp;"","")</f>
        <v/>
      </c>
      <c r="J127" s="15" t="str">
        <f>IFERROR(INDEX('Formulación PDN 2027'!$T$7:$T$506,MATCH(ROW()-5,'Formulación PDN 2027'!$AK$7:$AK$506,0))&amp;"","")</f>
        <v/>
      </c>
      <c r="K127" s="43" t="str">
        <f>IFERROR(INDEX('Formulación PDN 2027'!$W$7:$W$506,MATCH(ROW()-5,'Formulación PDN 2027'!$AK$7:$AK$506,0)),"")</f>
        <v/>
      </c>
      <c r="L127" s="43" t="str">
        <f>IFERROR(INDEX('Formulación PDN 2027'!$X$7:$X$506,MATCH(ROW()-5,'Formulación PDN 2027'!$AK$7:$AK$506,0)),"")</f>
        <v/>
      </c>
      <c r="M127" s="15" t="str">
        <f>IFERROR(INDEX('Formulación PDN 2027'!$Y$7:$Y$506,MATCH(ROW()-5,'Formulación PDN 2027'!$AK$7:$AK$506,0))&amp;"","")</f>
        <v/>
      </c>
      <c r="N127" s="15" t="str">
        <f>IFERROR(INDEX('Formulación PDN 2027'!$Z$7:$Z$506,MATCH(ROW()-5,'Formulación PDN 2027'!$AK$7:$AK$506,0))&amp;"","")</f>
        <v/>
      </c>
      <c r="O127" s="15"/>
      <c r="P127" s="15" t="str">
        <f>IFERROR(INDEX('Formulación PDN 2027'!$AA$7:$AA$506,MATCH(ROW()-5,'Formulación PDN 2027'!$AK$7:$AK$506,0))&amp;"","")</f>
        <v/>
      </c>
      <c r="Q127" s="15" t="str">
        <f>IFERROR(INDEX('Formulación PDN 2027'!$AB$7:$AB$506,MATCH(ROW()-5,'Formulación PDN 2027'!$AK$7:$AK$506,0))&amp;"","")</f>
        <v/>
      </c>
      <c r="R127" s="15" t="str">
        <f>IFERROR(INDEX('Formulación PDN 2027'!$AD$7:$AD$506,MATCH(ROW()-5,'Formulación PDN 2027'!$AK$7:$AK$506,0))&amp;"","")</f>
        <v/>
      </c>
      <c r="S127" s="15" t="str">
        <f>IFERROR(INDEX('Formulación PDN 2027'!$AE$7:$AE$506,MATCH(ROW()-5,'Formulación PDN 2027'!$AK$7:$AK$506,0))&amp;"","")</f>
        <v/>
      </c>
      <c r="T127" s="15" t="str">
        <f>IFERROR(INDEX('Formulación PDN 2027'!$C$7:$C$506,MATCH(ROW()-5,'Formulación PDN 2027'!$AK$7:$AK$506,0))&amp;"","")</f>
        <v/>
      </c>
      <c r="U127" s="15" t="str">
        <f>IFERROR(INDEX('Formulación PDN 2027'!$B$7:$B$506,MATCH(ROW()-5,'Formulación PDN 2027'!$AK$7:$AK$506,0))&amp;"","")</f>
        <v/>
      </c>
      <c r="V127" s="15" t="str">
        <f>IFERROR(LEFT(INDEX('Formulación PDN 2027'!$E$7:$E$506,MATCH(ROW()-5,'Formulación PDN 2027'!$AK$7:$AK$506,0)),7),"")</f>
        <v/>
      </c>
      <c r="W127" s="15" t="str">
        <f>IFERROR(INDEX('Formulación PDN 2027'!$H$7:$H$506,MATCH(ROW()-5,'Formulación PDN 2027'!$AK$7:$AK$506,0))&amp;"","")</f>
        <v/>
      </c>
      <c r="X127" s="15" t="str">
        <f>IFERROR(INDEX('Formulación PDN 2027'!$U$7:$U$506,MATCH(ROW()-5,'Formulación PDN 2027'!$AK$7:$AK$506,0))&amp;"","")</f>
        <v/>
      </c>
      <c r="Y127" s="15" t="str">
        <f>IFERROR(INDEX('Formulación PDN 2027'!$AH$7:$AH$506,MATCH(ROW()-5,'Formulación PDN 2027'!$AK$7:$AK$506,0))&amp;"","")</f>
        <v/>
      </c>
    </row>
    <row r="128" spans="1:25" x14ac:dyDescent="0.3">
      <c r="A128" s="15" t="str">
        <f>IFERROR(INDEX('Formulación PDN 2027'!$A$7:$A$506,MATCH(ROW()-5,'Formulación PDN 2027'!$AK$7:$AK$506,0))&amp;"","")</f>
        <v/>
      </c>
      <c r="B128" s="20" t="str">
        <f>IFERROR(INDEX('Formulación PDN 2027'!$M$7:$M$506,MATCH(ROW()-5,'Formulación PDN 2027'!$AK$7:$AK$506,0)),"")</f>
        <v/>
      </c>
      <c r="C128" s="15" t="str">
        <f>IFERROR(INDEX('Formulación PDN 2027'!$N$7:$N$506,MATCH(ROW()-5,'Formulación PDN 2027'!$AK$7:$AK$506,0))&amp;"","")</f>
        <v/>
      </c>
      <c r="D128" s="15" t="str">
        <f>IFERROR(INDEX('Formulación PDN 2027'!$L$7:$L$506,MATCH(ROW()-5,'Formulación PDN 2027'!$AK$7:$AK$506,0))&amp;"","")</f>
        <v/>
      </c>
      <c r="E128" s="15" t="str">
        <f>IFERROR(MATCH(INDEX('Formulación PDN 2027'!$O$7:$O$506,MATCH(ROW()-5,'Formulación PDN 2027'!$AK$7:$AK$506,0)),L_MESES,0),"")</f>
        <v/>
      </c>
      <c r="F128" s="15" t="str">
        <f>IFERROR(MATCH(INDEX('Formulación PDN 2027'!$P$7:$P$506,MATCH(ROW()-5,'Formulación PDN 2027'!$AK$7:$AK$506,0)),L_MESES,0),"")</f>
        <v/>
      </c>
      <c r="G128" s="15" t="str">
        <f>IFERROR(INDEX('Formulación PDN 2027'!$Q$7:$Q$506,MATCH(ROW()-5,'Formulación PDN 2027'!$AK$7:$AK$506,0)),"")</f>
        <v/>
      </c>
      <c r="H128" s="15" t="str">
        <f>IFERROR(INDEX('Formulación PDN 2027'!$R$7:$R$506,MATCH(ROW()-5,'Formulación PDN 2027'!$AK$7:$AK$506,0))&amp;"","")</f>
        <v/>
      </c>
      <c r="I128" s="15" t="str">
        <f>IFERROR(INDEX('Formulación PDN 2027'!$S$7:$S$506,MATCH(ROW()-5,'Formulación PDN 2027'!$AK$7:$AK$506,0))&amp;"","")</f>
        <v/>
      </c>
      <c r="J128" s="15" t="str">
        <f>IFERROR(INDEX('Formulación PDN 2027'!$T$7:$T$506,MATCH(ROW()-5,'Formulación PDN 2027'!$AK$7:$AK$506,0))&amp;"","")</f>
        <v/>
      </c>
      <c r="K128" s="43" t="str">
        <f>IFERROR(INDEX('Formulación PDN 2027'!$W$7:$W$506,MATCH(ROW()-5,'Formulación PDN 2027'!$AK$7:$AK$506,0)),"")</f>
        <v/>
      </c>
      <c r="L128" s="43" t="str">
        <f>IFERROR(INDEX('Formulación PDN 2027'!$X$7:$X$506,MATCH(ROW()-5,'Formulación PDN 2027'!$AK$7:$AK$506,0)),"")</f>
        <v/>
      </c>
      <c r="M128" s="15" t="str">
        <f>IFERROR(INDEX('Formulación PDN 2027'!$Y$7:$Y$506,MATCH(ROW()-5,'Formulación PDN 2027'!$AK$7:$AK$506,0))&amp;"","")</f>
        <v/>
      </c>
      <c r="N128" s="15" t="str">
        <f>IFERROR(INDEX('Formulación PDN 2027'!$Z$7:$Z$506,MATCH(ROW()-5,'Formulación PDN 2027'!$AK$7:$AK$506,0))&amp;"","")</f>
        <v/>
      </c>
      <c r="O128" s="15"/>
      <c r="P128" s="15" t="str">
        <f>IFERROR(INDEX('Formulación PDN 2027'!$AA$7:$AA$506,MATCH(ROW()-5,'Formulación PDN 2027'!$AK$7:$AK$506,0))&amp;"","")</f>
        <v/>
      </c>
      <c r="Q128" s="15" t="str">
        <f>IFERROR(INDEX('Formulación PDN 2027'!$AB$7:$AB$506,MATCH(ROW()-5,'Formulación PDN 2027'!$AK$7:$AK$506,0))&amp;"","")</f>
        <v/>
      </c>
      <c r="R128" s="15" t="str">
        <f>IFERROR(INDEX('Formulación PDN 2027'!$AD$7:$AD$506,MATCH(ROW()-5,'Formulación PDN 2027'!$AK$7:$AK$506,0))&amp;"","")</f>
        <v/>
      </c>
      <c r="S128" s="15" t="str">
        <f>IFERROR(INDEX('Formulación PDN 2027'!$AE$7:$AE$506,MATCH(ROW()-5,'Formulación PDN 2027'!$AK$7:$AK$506,0))&amp;"","")</f>
        <v/>
      </c>
      <c r="T128" s="15" t="str">
        <f>IFERROR(INDEX('Formulación PDN 2027'!$C$7:$C$506,MATCH(ROW()-5,'Formulación PDN 2027'!$AK$7:$AK$506,0))&amp;"","")</f>
        <v/>
      </c>
      <c r="U128" s="15" t="str">
        <f>IFERROR(INDEX('Formulación PDN 2027'!$B$7:$B$506,MATCH(ROW()-5,'Formulación PDN 2027'!$AK$7:$AK$506,0))&amp;"","")</f>
        <v/>
      </c>
      <c r="V128" s="15" t="str">
        <f>IFERROR(LEFT(INDEX('Formulación PDN 2027'!$E$7:$E$506,MATCH(ROW()-5,'Formulación PDN 2027'!$AK$7:$AK$506,0)),7),"")</f>
        <v/>
      </c>
      <c r="W128" s="15" t="str">
        <f>IFERROR(INDEX('Formulación PDN 2027'!$H$7:$H$506,MATCH(ROW()-5,'Formulación PDN 2027'!$AK$7:$AK$506,0))&amp;"","")</f>
        <v/>
      </c>
      <c r="X128" s="15" t="str">
        <f>IFERROR(INDEX('Formulación PDN 2027'!$U$7:$U$506,MATCH(ROW()-5,'Formulación PDN 2027'!$AK$7:$AK$506,0))&amp;"","")</f>
        <v/>
      </c>
      <c r="Y128" s="15" t="str">
        <f>IFERROR(INDEX('Formulación PDN 2027'!$AH$7:$AH$506,MATCH(ROW()-5,'Formulación PDN 2027'!$AK$7:$AK$506,0))&amp;"","")</f>
        <v/>
      </c>
    </row>
    <row r="129" spans="1:25" x14ac:dyDescent="0.3">
      <c r="A129" s="15" t="str">
        <f>IFERROR(INDEX('Formulación PDN 2027'!$A$7:$A$506,MATCH(ROW()-5,'Formulación PDN 2027'!$AK$7:$AK$506,0))&amp;"","")</f>
        <v/>
      </c>
      <c r="B129" s="20" t="str">
        <f>IFERROR(INDEX('Formulación PDN 2027'!$M$7:$M$506,MATCH(ROW()-5,'Formulación PDN 2027'!$AK$7:$AK$506,0)),"")</f>
        <v/>
      </c>
      <c r="C129" s="15" t="str">
        <f>IFERROR(INDEX('Formulación PDN 2027'!$N$7:$N$506,MATCH(ROW()-5,'Formulación PDN 2027'!$AK$7:$AK$506,0))&amp;"","")</f>
        <v/>
      </c>
      <c r="D129" s="15" t="str">
        <f>IFERROR(INDEX('Formulación PDN 2027'!$L$7:$L$506,MATCH(ROW()-5,'Formulación PDN 2027'!$AK$7:$AK$506,0))&amp;"","")</f>
        <v/>
      </c>
      <c r="E129" s="15" t="str">
        <f>IFERROR(MATCH(INDEX('Formulación PDN 2027'!$O$7:$O$506,MATCH(ROW()-5,'Formulación PDN 2027'!$AK$7:$AK$506,0)),L_MESES,0),"")</f>
        <v/>
      </c>
      <c r="F129" s="15" t="str">
        <f>IFERROR(MATCH(INDEX('Formulación PDN 2027'!$P$7:$P$506,MATCH(ROW()-5,'Formulación PDN 2027'!$AK$7:$AK$506,0)),L_MESES,0),"")</f>
        <v/>
      </c>
      <c r="G129" s="15" t="str">
        <f>IFERROR(INDEX('Formulación PDN 2027'!$Q$7:$Q$506,MATCH(ROW()-5,'Formulación PDN 2027'!$AK$7:$AK$506,0)),"")</f>
        <v/>
      </c>
      <c r="H129" s="15" t="str">
        <f>IFERROR(INDEX('Formulación PDN 2027'!$R$7:$R$506,MATCH(ROW()-5,'Formulación PDN 2027'!$AK$7:$AK$506,0))&amp;"","")</f>
        <v/>
      </c>
      <c r="I129" s="15" t="str">
        <f>IFERROR(INDEX('Formulación PDN 2027'!$S$7:$S$506,MATCH(ROW()-5,'Formulación PDN 2027'!$AK$7:$AK$506,0))&amp;"","")</f>
        <v/>
      </c>
      <c r="J129" s="15" t="str">
        <f>IFERROR(INDEX('Formulación PDN 2027'!$T$7:$T$506,MATCH(ROW()-5,'Formulación PDN 2027'!$AK$7:$AK$506,0))&amp;"","")</f>
        <v/>
      </c>
      <c r="K129" s="43" t="str">
        <f>IFERROR(INDEX('Formulación PDN 2027'!$W$7:$W$506,MATCH(ROW()-5,'Formulación PDN 2027'!$AK$7:$AK$506,0)),"")</f>
        <v/>
      </c>
      <c r="L129" s="43" t="str">
        <f>IFERROR(INDEX('Formulación PDN 2027'!$X$7:$X$506,MATCH(ROW()-5,'Formulación PDN 2027'!$AK$7:$AK$506,0)),"")</f>
        <v/>
      </c>
      <c r="M129" s="15" t="str">
        <f>IFERROR(INDEX('Formulación PDN 2027'!$Y$7:$Y$506,MATCH(ROW()-5,'Formulación PDN 2027'!$AK$7:$AK$506,0))&amp;"","")</f>
        <v/>
      </c>
      <c r="N129" s="15" t="str">
        <f>IFERROR(INDEX('Formulación PDN 2027'!$Z$7:$Z$506,MATCH(ROW()-5,'Formulación PDN 2027'!$AK$7:$AK$506,0))&amp;"","")</f>
        <v/>
      </c>
      <c r="O129" s="15"/>
      <c r="P129" s="15" t="str">
        <f>IFERROR(INDEX('Formulación PDN 2027'!$AA$7:$AA$506,MATCH(ROW()-5,'Formulación PDN 2027'!$AK$7:$AK$506,0))&amp;"","")</f>
        <v/>
      </c>
      <c r="Q129" s="15" t="str">
        <f>IFERROR(INDEX('Formulación PDN 2027'!$AB$7:$AB$506,MATCH(ROW()-5,'Formulación PDN 2027'!$AK$7:$AK$506,0))&amp;"","")</f>
        <v/>
      </c>
      <c r="R129" s="15" t="str">
        <f>IFERROR(INDEX('Formulación PDN 2027'!$AD$7:$AD$506,MATCH(ROW()-5,'Formulación PDN 2027'!$AK$7:$AK$506,0))&amp;"","")</f>
        <v/>
      </c>
      <c r="S129" s="15" t="str">
        <f>IFERROR(INDEX('Formulación PDN 2027'!$AE$7:$AE$506,MATCH(ROW()-5,'Formulación PDN 2027'!$AK$7:$AK$506,0))&amp;"","")</f>
        <v/>
      </c>
      <c r="T129" s="15" t="str">
        <f>IFERROR(INDEX('Formulación PDN 2027'!$C$7:$C$506,MATCH(ROW()-5,'Formulación PDN 2027'!$AK$7:$AK$506,0))&amp;"","")</f>
        <v/>
      </c>
      <c r="U129" s="15" t="str">
        <f>IFERROR(INDEX('Formulación PDN 2027'!$B$7:$B$506,MATCH(ROW()-5,'Formulación PDN 2027'!$AK$7:$AK$506,0))&amp;"","")</f>
        <v/>
      </c>
      <c r="V129" s="15" t="str">
        <f>IFERROR(LEFT(INDEX('Formulación PDN 2027'!$E$7:$E$506,MATCH(ROW()-5,'Formulación PDN 2027'!$AK$7:$AK$506,0)),7),"")</f>
        <v/>
      </c>
      <c r="W129" s="15" t="str">
        <f>IFERROR(INDEX('Formulación PDN 2027'!$H$7:$H$506,MATCH(ROW()-5,'Formulación PDN 2027'!$AK$7:$AK$506,0))&amp;"","")</f>
        <v/>
      </c>
      <c r="X129" s="15" t="str">
        <f>IFERROR(INDEX('Formulación PDN 2027'!$U$7:$U$506,MATCH(ROW()-5,'Formulación PDN 2027'!$AK$7:$AK$506,0))&amp;"","")</f>
        <v/>
      </c>
      <c r="Y129" s="15" t="str">
        <f>IFERROR(INDEX('Formulación PDN 2027'!$AH$7:$AH$506,MATCH(ROW()-5,'Formulación PDN 2027'!$AK$7:$AK$506,0))&amp;"","")</f>
        <v/>
      </c>
    </row>
    <row r="130" spans="1:25" x14ac:dyDescent="0.3">
      <c r="A130" s="15" t="str">
        <f>IFERROR(INDEX('Formulación PDN 2027'!$A$7:$A$506,MATCH(ROW()-5,'Formulación PDN 2027'!$AK$7:$AK$506,0))&amp;"","")</f>
        <v/>
      </c>
      <c r="B130" s="20" t="str">
        <f>IFERROR(INDEX('Formulación PDN 2027'!$M$7:$M$506,MATCH(ROW()-5,'Formulación PDN 2027'!$AK$7:$AK$506,0)),"")</f>
        <v/>
      </c>
      <c r="C130" s="15" t="str">
        <f>IFERROR(INDEX('Formulación PDN 2027'!$N$7:$N$506,MATCH(ROW()-5,'Formulación PDN 2027'!$AK$7:$AK$506,0))&amp;"","")</f>
        <v/>
      </c>
      <c r="D130" s="15" t="str">
        <f>IFERROR(INDEX('Formulación PDN 2027'!$L$7:$L$506,MATCH(ROW()-5,'Formulación PDN 2027'!$AK$7:$AK$506,0))&amp;"","")</f>
        <v/>
      </c>
      <c r="E130" s="15" t="str">
        <f>IFERROR(MATCH(INDEX('Formulación PDN 2027'!$O$7:$O$506,MATCH(ROW()-5,'Formulación PDN 2027'!$AK$7:$AK$506,0)),L_MESES,0),"")</f>
        <v/>
      </c>
      <c r="F130" s="15" t="str">
        <f>IFERROR(MATCH(INDEX('Formulación PDN 2027'!$P$7:$P$506,MATCH(ROW()-5,'Formulación PDN 2027'!$AK$7:$AK$506,0)),L_MESES,0),"")</f>
        <v/>
      </c>
      <c r="G130" s="15" t="str">
        <f>IFERROR(INDEX('Formulación PDN 2027'!$Q$7:$Q$506,MATCH(ROW()-5,'Formulación PDN 2027'!$AK$7:$AK$506,0)),"")</f>
        <v/>
      </c>
      <c r="H130" s="15" t="str">
        <f>IFERROR(INDEX('Formulación PDN 2027'!$R$7:$R$506,MATCH(ROW()-5,'Formulación PDN 2027'!$AK$7:$AK$506,0))&amp;"","")</f>
        <v/>
      </c>
      <c r="I130" s="15" t="str">
        <f>IFERROR(INDEX('Formulación PDN 2027'!$S$7:$S$506,MATCH(ROW()-5,'Formulación PDN 2027'!$AK$7:$AK$506,0))&amp;"","")</f>
        <v/>
      </c>
      <c r="J130" s="15" t="str">
        <f>IFERROR(INDEX('Formulación PDN 2027'!$T$7:$T$506,MATCH(ROW()-5,'Formulación PDN 2027'!$AK$7:$AK$506,0))&amp;"","")</f>
        <v/>
      </c>
      <c r="K130" s="43" t="str">
        <f>IFERROR(INDEX('Formulación PDN 2027'!$W$7:$W$506,MATCH(ROW()-5,'Formulación PDN 2027'!$AK$7:$AK$506,0)),"")</f>
        <v/>
      </c>
      <c r="L130" s="43" t="str">
        <f>IFERROR(INDEX('Formulación PDN 2027'!$X$7:$X$506,MATCH(ROW()-5,'Formulación PDN 2027'!$AK$7:$AK$506,0)),"")</f>
        <v/>
      </c>
      <c r="M130" s="15" t="str">
        <f>IFERROR(INDEX('Formulación PDN 2027'!$Y$7:$Y$506,MATCH(ROW()-5,'Formulación PDN 2027'!$AK$7:$AK$506,0))&amp;"","")</f>
        <v/>
      </c>
      <c r="N130" s="15" t="str">
        <f>IFERROR(INDEX('Formulación PDN 2027'!$Z$7:$Z$506,MATCH(ROW()-5,'Formulación PDN 2027'!$AK$7:$AK$506,0))&amp;"","")</f>
        <v/>
      </c>
      <c r="O130" s="15"/>
      <c r="P130" s="15" t="str">
        <f>IFERROR(INDEX('Formulación PDN 2027'!$AA$7:$AA$506,MATCH(ROW()-5,'Formulación PDN 2027'!$AK$7:$AK$506,0))&amp;"","")</f>
        <v/>
      </c>
      <c r="Q130" s="15" t="str">
        <f>IFERROR(INDEX('Formulación PDN 2027'!$AB$7:$AB$506,MATCH(ROW()-5,'Formulación PDN 2027'!$AK$7:$AK$506,0))&amp;"","")</f>
        <v/>
      </c>
      <c r="R130" s="15" t="str">
        <f>IFERROR(INDEX('Formulación PDN 2027'!$AD$7:$AD$506,MATCH(ROW()-5,'Formulación PDN 2027'!$AK$7:$AK$506,0))&amp;"","")</f>
        <v/>
      </c>
      <c r="S130" s="15" t="str">
        <f>IFERROR(INDEX('Formulación PDN 2027'!$AE$7:$AE$506,MATCH(ROW()-5,'Formulación PDN 2027'!$AK$7:$AK$506,0))&amp;"","")</f>
        <v/>
      </c>
      <c r="T130" s="15" t="str">
        <f>IFERROR(INDEX('Formulación PDN 2027'!$C$7:$C$506,MATCH(ROW()-5,'Formulación PDN 2027'!$AK$7:$AK$506,0))&amp;"","")</f>
        <v/>
      </c>
      <c r="U130" s="15" t="str">
        <f>IFERROR(INDEX('Formulación PDN 2027'!$B$7:$B$506,MATCH(ROW()-5,'Formulación PDN 2027'!$AK$7:$AK$506,0))&amp;"","")</f>
        <v/>
      </c>
      <c r="V130" s="15" t="str">
        <f>IFERROR(LEFT(INDEX('Formulación PDN 2027'!$E$7:$E$506,MATCH(ROW()-5,'Formulación PDN 2027'!$AK$7:$AK$506,0)),7),"")</f>
        <v/>
      </c>
      <c r="W130" s="15" t="str">
        <f>IFERROR(INDEX('Formulación PDN 2027'!$H$7:$H$506,MATCH(ROW()-5,'Formulación PDN 2027'!$AK$7:$AK$506,0))&amp;"","")</f>
        <v/>
      </c>
      <c r="X130" s="15" t="str">
        <f>IFERROR(INDEX('Formulación PDN 2027'!$U$7:$U$506,MATCH(ROW()-5,'Formulación PDN 2027'!$AK$7:$AK$506,0))&amp;"","")</f>
        <v/>
      </c>
      <c r="Y130" s="15" t="str">
        <f>IFERROR(INDEX('Formulación PDN 2027'!$AH$7:$AH$506,MATCH(ROW()-5,'Formulación PDN 2027'!$AK$7:$AK$506,0))&amp;"","")</f>
        <v/>
      </c>
    </row>
    <row r="131" spans="1:25" x14ac:dyDescent="0.3">
      <c r="A131" s="15" t="str">
        <f>IFERROR(INDEX('Formulación PDN 2027'!$A$7:$A$506,MATCH(ROW()-5,'Formulación PDN 2027'!$AK$7:$AK$506,0))&amp;"","")</f>
        <v/>
      </c>
      <c r="B131" s="20" t="str">
        <f>IFERROR(INDEX('Formulación PDN 2027'!$M$7:$M$506,MATCH(ROW()-5,'Formulación PDN 2027'!$AK$7:$AK$506,0)),"")</f>
        <v/>
      </c>
      <c r="C131" s="15" t="str">
        <f>IFERROR(INDEX('Formulación PDN 2027'!$N$7:$N$506,MATCH(ROW()-5,'Formulación PDN 2027'!$AK$7:$AK$506,0))&amp;"","")</f>
        <v/>
      </c>
      <c r="D131" s="15" t="str">
        <f>IFERROR(INDEX('Formulación PDN 2027'!$L$7:$L$506,MATCH(ROW()-5,'Formulación PDN 2027'!$AK$7:$AK$506,0))&amp;"","")</f>
        <v/>
      </c>
      <c r="E131" s="15" t="str">
        <f>IFERROR(MATCH(INDEX('Formulación PDN 2027'!$O$7:$O$506,MATCH(ROW()-5,'Formulación PDN 2027'!$AK$7:$AK$506,0)),L_MESES,0),"")</f>
        <v/>
      </c>
      <c r="F131" s="15" t="str">
        <f>IFERROR(MATCH(INDEX('Formulación PDN 2027'!$P$7:$P$506,MATCH(ROW()-5,'Formulación PDN 2027'!$AK$7:$AK$506,0)),L_MESES,0),"")</f>
        <v/>
      </c>
      <c r="G131" s="15" t="str">
        <f>IFERROR(INDEX('Formulación PDN 2027'!$Q$7:$Q$506,MATCH(ROW()-5,'Formulación PDN 2027'!$AK$7:$AK$506,0)),"")</f>
        <v/>
      </c>
      <c r="H131" s="15" t="str">
        <f>IFERROR(INDEX('Formulación PDN 2027'!$R$7:$R$506,MATCH(ROW()-5,'Formulación PDN 2027'!$AK$7:$AK$506,0))&amp;"","")</f>
        <v/>
      </c>
      <c r="I131" s="15" t="str">
        <f>IFERROR(INDEX('Formulación PDN 2027'!$S$7:$S$506,MATCH(ROW()-5,'Formulación PDN 2027'!$AK$7:$AK$506,0))&amp;"","")</f>
        <v/>
      </c>
      <c r="J131" s="15" t="str">
        <f>IFERROR(INDEX('Formulación PDN 2027'!$T$7:$T$506,MATCH(ROW()-5,'Formulación PDN 2027'!$AK$7:$AK$506,0))&amp;"","")</f>
        <v/>
      </c>
      <c r="K131" s="43" t="str">
        <f>IFERROR(INDEX('Formulación PDN 2027'!$W$7:$W$506,MATCH(ROW()-5,'Formulación PDN 2027'!$AK$7:$AK$506,0)),"")</f>
        <v/>
      </c>
      <c r="L131" s="43" t="str">
        <f>IFERROR(INDEX('Formulación PDN 2027'!$X$7:$X$506,MATCH(ROW()-5,'Formulación PDN 2027'!$AK$7:$AK$506,0)),"")</f>
        <v/>
      </c>
      <c r="M131" s="15" t="str">
        <f>IFERROR(INDEX('Formulación PDN 2027'!$Y$7:$Y$506,MATCH(ROW()-5,'Formulación PDN 2027'!$AK$7:$AK$506,0))&amp;"","")</f>
        <v/>
      </c>
      <c r="N131" s="15" t="str">
        <f>IFERROR(INDEX('Formulación PDN 2027'!$Z$7:$Z$506,MATCH(ROW()-5,'Formulación PDN 2027'!$AK$7:$AK$506,0))&amp;"","")</f>
        <v/>
      </c>
      <c r="O131" s="15"/>
      <c r="P131" s="15" t="str">
        <f>IFERROR(INDEX('Formulación PDN 2027'!$AA$7:$AA$506,MATCH(ROW()-5,'Formulación PDN 2027'!$AK$7:$AK$506,0))&amp;"","")</f>
        <v/>
      </c>
      <c r="Q131" s="15" t="str">
        <f>IFERROR(INDEX('Formulación PDN 2027'!$AB$7:$AB$506,MATCH(ROW()-5,'Formulación PDN 2027'!$AK$7:$AK$506,0))&amp;"","")</f>
        <v/>
      </c>
      <c r="R131" s="15" t="str">
        <f>IFERROR(INDEX('Formulación PDN 2027'!$AD$7:$AD$506,MATCH(ROW()-5,'Formulación PDN 2027'!$AK$7:$AK$506,0))&amp;"","")</f>
        <v/>
      </c>
      <c r="S131" s="15" t="str">
        <f>IFERROR(INDEX('Formulación PDN 2027'!$AE$7:$AE$506,MATCH(ROW()-5,'Formulación PDN 2027'!$AK$7:$AK$506,0))&amp;"","")</f>
        <v/>
      </c>
      <c r="T131" s="15" t="str">
        <f>IFERROR(INDEX('Formulación PDN 2027'!$C$7:$C$506,MATCH(ROW()-5,'Formulación PDN 2027'!$AK$7:$AK$506,0))&amp;"","")</f>
        <v/>
      </c>
      <c r="U131" s="15" t="str">
        <f>IFERROR(INDEX('Formulación PDN 2027'!$B$7:$B$506,MATCH(ROW()-5,'Formulación PDN 2027'!$AK$7:$AK$506,0))&amp;"","")</f>
        <v/>
      </c>
      <c r="V131" s="15" t="str">
        <f>IFERROR(LEFT(INDEX('Formulación PDN 2027'!$E$7:$E$506,MATCH(ROW()-5,'Formulación PDN 2027'!$AK$7:$AK$506,0)),7),"")</f>
        <v/>
      </c>
      <c r="W131" s="15" t="str">
        <f>IFERROR(INDEX('Formulación PDN 2027'!$H$7:$H$506,MATCH(ROW()-5,'Formulación PDN 2027'!$AK$7:$AK$506,0))&amp;"","")</f>
        <v/>
      </c>
      <c r="X131" s="15" t="str">
        <f>IFERROR(INDEX('Formulación PDN 2027'!$U$7:$U$506,MATCH(ROW()-5,'Formulación PDN 2027'!$AK$7:$AK$506,0))&amp;"","")</f>
        <v/>
      </c>
      <c r="Y131" s="15" t="str">
        <f>IFERROR(INDEX('Formulación PDN 2027'!$AH$7:$AH$506,MATCH(ROW()-5,'Formulación PDN 2027'!$AK$7:$AK$506,0))&amp;"","")</f>
        <v/>
      </c>
    </row>
    <row r="132" spans="1:25" x14ac:dyDescent="0.3">
      <c r="A132" s="15" t="str">
        <f>IFERROR(INDEX('Formulación PDN 2027'!$A$7:$A$506,MATCH(ROW()-5,'Formulación PDN 2027'!$AK$7:$AK$506,0))&amp;"","")</f>
        <v/>
      </c>
      <c r="B132" s="20" t="str">
        <f>IFERROR(INDEX('Formulación PDN 2027'!$M$7:$M$506,MATCH(ROW()-5,'Formulación PDN 2027'!$AK$7:$AK$506,0)),"")</f>
        <v/>
      </c>
      <c r="C132" s="15" t="str">
        <f>IFERROR(INDEX('Formulación PDN 2027'!$N$7:$N$506,MATCH(ROW()-5,'Formulación PDN 2027'!$AK$7:$AK$506,0))&amp;"","")</f>
        <v/>
      </c>
      <c r="D132" s="15" t="str">
        <f>IFERROR(INDEX('Formulación PDN 2027'!$L$7:$L$506,MATCH(ROW()-5,'Formulación PDN 2027'!$AK$7:$AK$506,0))&amp;"","")</f>
        <v/>
      </c>
      <c r="E132" s="15" t="str">
        <f>IFERROR(MATCH(INDEX('Formulación PDN 2027'!$O$7:$O$506,MATCH(ROW()-5,'Formulación PDN 2027'!$AK$7:$AK$506,0)),L_MESES,0),"")</f>
        <v/>
      </c>
      <c r="F132" s="15" t="str">
        <f>IFERROR(MATCH(INDEX('Formulación PDN 2027'!$P$7:$P$506,MATCH(ROW()-5,'Formulación PDN 2027'!$AK$7:$AK$506,0)),L_MESES,0),"")</f>
        <v/>
      </c>
      <c r="G132" s="15" t="str">
        <f>IFERROR(INDEX('Formulación PDN 2027'!$Q$7:$Q$506,MATCH(ROW()-5,'Formulación PDN 2027'!$AK$7:$AK$506,0)),"")</f>
        <v/>
      </c>
      <c r="H132" s="15" t="str">
        <f>IFERROR(INDEX('Formulación PDN 2027'!$R$7:$R$506,MATCH(ROW()-5,'Formulación PDN 2027'!$AK$7:$AK$506,0))&amp;"","")</f>
        <v/>
      </c>
      <c r="I132" s="15" t="str">
        <f>IFERROR(INDEX('Formulación PDN 2027'!$S$7:$S$506,MATCH(ROW()-5,'Formulación PDN 2027'!$AK$7:$AK$506,0))&amp;"","")</f>
        <v/>
      </c>
      <c r="J132" s="15" t="str">
        <f>IFERROR(INDEX('Formulación PDN 2027'!$T$7:$T$506,MATCH(ROW()-5,'Formulación PDN 2027'!$AK$7:$AK$506,0))&amp;"","")</f>
        <v/>
      </c>
      <c r="K132" s="43" t="str">
        <f>IFERROR(INDEX('Formulación PDN 2027'!$W$7:$W$506,MATCH(ROW()-5,'Formulación PDN 2027'!$AK$7:$AK$506,0)),"")</f>
        <v/>
      </c>
      <c r="L132" s="43" t="str">
        <f>IFERROR(INDEX('Formulación PDN 2027'!$X$7:$X$506,MATCH(ROW()-5,'Formulación PDN 2027'!$AK$7:$AK$506,0)),"")</f>
        <v/>
      </c>
      <c r="M132" s="15" t="str">
        <f>IFERROR(INDEX('Formulación PDN 2027'!$Y$7:$Y$506,MATCH(ROW()-5,'Formulación PDN 2027'!$AK$7:$AK$506,0))&amp;"","")</f>
        <v/>
      </c>
      <c r="N132" s="15" t="str">
        <f>IFERROR(INDEX('Formulación PDN 2027'!$Z$7:$Z$506,MATCH(ROW()-5,'Formulación PDN 2027'!$AK$7:$AK$506,0))&amp;"","")</f>
        <v/>
      </c>
      <c r="O132" s="15"/>
      <c r="P132" s="15" t="str">
        <f>IFERROR(INDEX('Formulación PDN 2027'!$AA$7:$AA$506,MATCH(ROW()-5,'Formulación PDN 2027'!$AK$7:$AK$506,0))&amp;"","")</f>
        <v/>
      </c>
      <c r="Q132" s="15" t="str">
        <f>IFERROR(INDEX('Formulación PDN 2027'!$AB$7:$AB$506,MATCH(ROW()-5,'Formulación PDN 2027'!$AK$7:$AK$506,0))&amp;"","")</f>
        <v/>
      </c>
      <c r="R132" s="15" t="str">
        <f>IFERROR(INDEX('Formulación PDN 2027'!$AD$7:$AD$506,MATCH(ROW()-5,'Formulación PDN 2027'!$AK$7:$AK$506,0))&amp;"","")</f>
        <v/>
      </c>
      <c r="S132" s="15" t="str">
        <f>IFERROR(INDEX('Formulación PDN 2027'!$AE$7:$AE$506,MATCH(ROW()-5,'Formulación PDN 2027'!$AK$7:$AK$506,0))&amp;"","")</f>
        <v/>
      </c>
      <c r="T132" s="15" t="str">
        <f>IFERROR(INDEX('Formulación PDN 2027'!$C$7:$C$506,MATCH(ROW()-5,'Formulación PDN 2027'!$AK$7:$AK$506,0))&amp;"","")</f>
        <v/>
      </c>
      <c r="U132" s="15" t="str">
        <f>IFERROR(INDEX('Formulación PDN 2027'!$B$7:$B$506,MATCH(ROW()-5,'Formulación PDN 2027'!$AK$7:$AK$506,0))&amp;"","")</f>
        <v/>
      </c>
      <c r="V132" s="15" t="str">
        <f>IFERROR(LEFT(INDEX('Formulación PDN 2027'!$E$7:$E$506,MATCH(ROW()-5,'Formulación PDN 2027'!$AK$7:$AK$506,0)),7),"")</f>
        <v/>
      </c>
      <c r="W132" s="15" t="str">
        <f>IFERROR(INDEX('Formulación PDN 2027'!$H$7:$H$506,MATCH(ROW()-5,'Formulación PDN 2027'!$AK$7:$AK$506,0))&amp;"","")</f>
        <v/>
      </c>
      <c r="X132" s="15" t="str">
        <f>IFERROR(INDEX('Formulación PDN 2027'!$U$7:$U$506,MATCH(ROW()-5,'Formulación PDN 2027'!$AK$7:$AK$506,0))&amp;"","")</f>
        <v/>
      </c>
      <c r="Y132" s="15" t="str">
        <f>IFERROR(INDEX('Formulación PDN 2027'!$AH$7:$AH$506,MATCH(ROW()-5,'Formulación PDN 2027'!$AK$7:$AK$506,0))&amp;"","")</f>
        <v/>
      </c>
    </row>
    <row r="133" spans="1:25" x14ac:dyDescent="0.3">
      <c r="A133" s="15" t="str">
        <f>IFERROR(INDEX('Formulación PDN 2027'!$A$7:$A$506,MATCH(ROW()-5,'Formulación PDN 2027'!$AK$7:$AK$506,0))&amp;"","")</f>
        <v/>
      </c>
      <c r="B133" s="20" t="str">
        <f>IFERROR(INDEX('Formulación PDN 2027'!$M$7:$M$506,MATCH(ROW()-5,'Formulación PDN 2027'!$AK$7:$AK$506,0)),"")</f>
        <v/>
      </c>
      <c r="C133" s="15" t="str">
        <f>IFERROR(INDEX('Formulación PDN 2027'!$N$7:$N$506,MATCH(ROW()-5,'Formulación PDN 2027'!$AK$7:$AK$506,0))&amp;"","")</f>
        <v/>
      </c>
      <c r="D133" s="15" t="str">
        <f>IFERROR(INDEX('Formulación PDN 2027'!$L$7:$L$506,MATCH(ROW()-5,'Formulación PDN 2027'!$AK$7:$AK$506,0))&amp;"","")</f>
        <v/>
      </c>
      <c r="E133" s="15" t="str">
        <f>IFERROR(MATCH(INDEX('Formulación PDN 2027'!$O$7:$O$506,MATCH(ROW()-5,'Formulación PDN 2027'!$AK$7:$AK$506,0)),L_MESES,0),"")</f>
        <v/>
      </c>
      <c r="F133" s="15" t="str">
        <f>IFERROR(MATCH(INDEX('Formulación PDN 2027'!$P$7:$P$506,MATCH(ROW()-5,'Formulación PDN 2027'!$AK$7:$AK$506,0)),L_MESES,0),"")</f>
        <v/>
      </c>
      <c r="G133" s="15" t="str">
        <f>IFERROR(INDEX('Formulación PDN 2027'!$Q$7:$Q$506,MATCH(ROW()-5,'Formulación PDN 2027'!$AK$7:$AK$506,0)),"")</f>
        <v/>
      </c>
      <c r="H133" s="15" t="str">
        <f>IFERROR(INDEX('Formulación PDN 2027'!$R$7:$R$506,MATCH(ROW()-5,'Formulación PDN 2027'!$AK$7:$AK$506,0))&amp;"","")</f>
        <v/>
      </c>
      <c r="I133" s="15" t="str">
        <f>IFERROR(INDEX('Formulación PDN 2027'!$S$7:$S$506,MATCH(ROW()-5,'Formulación PDN 2027'!$AK$7:$AK$506,0))&amp;"","")</f>
        <v/>
      </c>
      <c r="J133" s="15" t="str">
        <f>IFERROR(INDEX('Formulación PDN 2027'!$T$7:$T$506,MATCH(ROW()-5,'Formulación PDN 2027'!$AK$7:$AK$506,0))&amp;"","")</f>
        <v/>
      </c>
      <c r="K133" s="43" t="str">
        <f>IFERROR(INDEX('Formulación PDN 2027'!$W$7:$W$506,MATCH(ROW()-5,'Formulación PDN 2027'!$AK$7:$AK$506,0)),"")</f>
        <v/>
      </c>
      <c r="L133" s="43" t="str">
        <f>IFERROR(INDEX('Formulación PDN 2027'!$X$7:$X$506,MATCH(ROW()-5,'Formulación PDN 2027'!$AK$7:$AK$506,0)),"")</f>
        <v/>
      </c>
      <c r="M133" s="15" t="str">
        <f>IFERROR(INDEX('Formulación PDN 2027'!$Y$7:$Y$506,MATCH(ROW()-5,'Formulación PDN 2027'!$AK$7:$AK$506,0))&amp;"","")</f>
        <v/>
      </c>
      <c r="N133" s="15" t="str">
        <f>IFERROR(INDEX('Formulación PDN 2027'!$Z$7:$Z$506,MATCH(ROW()-5,'Formulación PDN 2027'!$AK$7:$AK$506,0))&amp;"","")</f>
        <v/>
      </c>
      <c r="O133" s="15"/>
      <c r="P133" s="15" t="str">
        <f>IFERROR(INDEX('Formulación PDN 2027'!$AA$7:$AA$506,MATCH(ROW()-5,'Formulación PDN 2027'!$AK$7:$AK$506,0))&amp;"","")</f>
        <v/>
      </c>
      <c r="Q133" s="15" t="str">
        <f>IFERROR(INDEX('Formulación PDN 2027'!$AB$7:$AB$506,MATCH(ROW()-5,'Formulación PDN 2027'!$AK$7:$AK$506,0))&amp;"","")</f>
        <v/>
      </c>
      <c r="R133" s="15" t="str">
        <f>IFERROR(INDEX('Formulación PDN 2027'!$AD$7:$AD$506,MATCH(ROW()-5,'Formulación PDN 2027'!$AK$7:$AK$506,0))&amp;"","")</f>
        <v/>
      </c>
      <c r="S133" s="15" t="str">
        <f>IFERROR(INDEX('Formulación PDN 2027'!$AE$7:$AE$506,MATCH(ROW()-5,'Formulación PDN 2027'!$AK$7:$AK$506,0))&amp;"","")</f>
        <v/>
      </c>
      <c r="T133" s="15" t="str">
        <f>IFERROR(INDEX('Formulación PDN 2027'!$C$7:$C$506,MATCH(ROW()-5,'Formulación PDN 2027'!$AK$7:$AK$506,0))&amp;"","")</f>
        <v/>
      </c>
      <c r="U133" s="15" t="str">
        <f>IFERROR(INDEX('Formulación PDN 2027'!$B$7:$B$506,MATCH(ROW()-5,'Formulación PDN 2027'!$AK$7:$AK$506,0))&amp;"","")</f>
        <v/>
      </c>
      <c r="V133" s="15" t="str">
        <f>IFERROR(LEFT(INDEX('Formulación PDN 2027'!$E$7:$E$506,MATCH(ROW()-5,'Formulación PDN 2027'!$AK$7:$AK$506,0)),7),"")</f>
        <v/>
      </c>
      <c r="W133" s="15" t="str">
        <f>IFERROR(INDEX('Formulación PDN 2027'!$H$7:$H$506,MATCH(ROW()-5,'Formulación PDN 2027'!$AK$7:$AK$506,0))&amp;"","")</f>
        <v/>
      </c>
      <c r="X133" s="15" t="str">
        <f>IFERROR(INDEX('Formulación PDN 2027'!$U$7:$U$506,MATCH(ROW()-5,'Formulación PDN 2027'!$AK$7:$AK$506,0))&amp;"","")</f>
        <v/>
      </c>
      <c r="Y133" s="15" t="str">
        <f>IFERROR(INDEX('Formulación PDN 2027'!$AH$7:$AH$506,MATCH(ROW()-5,'Formulación PDN 2027'!$AK$7:$AK$506,0))&amp;"","")</f>
        <v/>
      </c>
    </row>
    <row r="134" spans="1:25" x14ac:dyDescent="0.3">
      <c r="A134" s="15" t="str">
        <f>IFERROR(INDEX('Formulación PDN 2027'!$A$7:$A$506,MATCH(ROW()-5,'Formulación PDN 2027'!$AK$7:$AK$506,0))&amp;"","")</f>
        <v/>
      </c>
      <c r="B134" s="20" t="str">
        <f>IFERROR(INDEX('Formulación PDN 2027'!$M$7:$M$506,MATCH(ROW()-5,'Formulación PDN 2027'!$AK$7:$AK$506,0)),"")</f>
        <v/>
      </c>
      <c r="C134" s="15" t="str">
        <f>IFERROR(INDEX('Formulación PDN 2027'!$N$7:$N$506,MATCH(ROW()-5,'Formulación PDN 2027'!$AK$7:$AK$506,0))&amp;"","")</f>
        <v/>
      </c>
      <c r="D134" s="15" t="str">
        <f>IFERROR(INDEX('Formulación PDN 2027'!$L$7:$L$506,MATCH(ROW()-5,'Formulación PDN 2027'!$AK$7:$AK$506,0))&amp;"","")</f>
        <v/>
      </c>
      <c r="E134" s="15" t="str">
        <f>IFERROR(MATCH(INDEX('Formulación PDN 2027'!$O$7:$O$506,MATCH(ROW()-5,'Formulación PDN 2027'!$AK$7:$AK$506,0)),L_MESES,0),"")</f>
        <v/>
      </c>
      <c r="F134" s="15" t="str">
        <f>IFERROR(MATCH(INDEX('Formulación PDN 2027'!$P$7:$P$506,MATCH(ROW()-5,'Formulación PDN 2027'!$AK$7:$AK$506,0)),L_MESES,0),"")</f>
        <v/>
      </c>
      <c r="G134" s="15" t="str">
        <f>IFERROR(INDEX('Formulación PDN 2027'!$Q$7:$Q$506,MATCH(ROW()-5,'Formulación PDN 2027'!$AK$7:$AK$506,0)),"")</f>
        <v/>
      </c>
      <c r="H134" s="15" t="str">
        <f>IFERROR(INDEX('Formulación PDN 2027'!$R$7:$R$506,MATCH(ROW()-5,'Formulación PDN 2027'!$AK$7:$AK$506,0))&amp;"","")</f>
        <v/>
      </c>
      <c r="I134" s="15" t="str">
        <f>IFERROR(INDEX('Formulación PDN 2027'!$S$7:$S$506,MATCH(ROW()-5,'Formulación PDN 2027'!$AK$7:$AK$506,0))&amp;"","")</f>
        <v/>
      </c>
      <c r="J134" s="15" t="str">
        <f>IFERROR(INDEX('Formulación PDN 2027'!$T$7:$T$506,MATCH(ROW()-5,'Formulación PDN 2027'!$AK$7:$AK$506,0))&amp;"","")</f>
        <v/>
      </c>
      <c r="K134" s="43" t="str">
        <f>IFERROR(INDEX('Formulación PDN 2027'!$W$7:$W$506,MATCH(ROW()-5,'Formulación PDN 2027'!$AK$7:$AK$506,0)),"")</f>
        <v/>
      </c>
      <c r="L134" s="43" t="str">
        <f>IFERROR(INDEX('Formulación PDN 2027'!$X$7:$X$506,MATCH(ROW()-5,'Formulación PDN 2027'!$AK$7:$AK$506,0)),"")</f>
        <v/>
      </c>
      <c r="M134" s="15" t="str">
        <f>IFERROR(INDEX('Formulación PDN 2027'!$Y$7:$Y$506,MATCH(ROW()-5,'Formulación PDN 2027'!$AK$7:$AK$506,0))&amp;"","")</f>
        <v/>
      </c>
      <c r="N134" s="15" t="str">
        <f>IFERROR(INDEX('Formulación PDN 2027'!$Z$7:$Z$506,MATCH(ROW()-5,'Formulación PDN 2027'!$AK$7:$AK$506,0))&amp;"","")</f>
        <v/>
      </c>
      <c r="O134" s="15"/>
      <c r="P134" s="15" t="str">
        <f>IFERROR(INDEX('Formulación PDN 2027'!$AA$7:$AA$506,MATCH(ROW()-5,'Formulación PDN 2027'!$AK$7:$AK$506,0))&amp;"","")</f>
        <v/>
      </c>
      <c r="Q134" s="15" t="str">
        <f>IFERROR(INDEX('Formulación PDN 2027'!$AB$7:$AB$506,MATCH(ROW()-5,'Formulación PDN 2027'!$AK$7:$AK$506,0))&amp;"","")</f>
        <v/>
      </c>
      <c r="R134" s="15" t="str">
        <f>IFERROR(INDEX('Formulación PDN 2027'!$AD$7:$AD$506,MATCH(ROW()-5,'Formulación PDN 2027'!$AK$7:$AK$506,0))&amp;"","")</f>
        <v/>
      </c>
      <c r="S134" s="15" t="str">
        <f>IFERROR(INDEX('Formulación PDN 2027'!$AE$7:$AE$506,MATCH(ROW()-5,'Formulación PDN 2027'!$AK$7:$AK$506,0))&amp;"","")</f>
        <v/>
      </c>
      <c r="T134" s="15" t="str">
        <f>IFERROR(INDEX('Formulación PDN 2027'!$C$7:$C$506,MATCH(ROW()-5,'Formulación PDN 2027'!$AK$7:$AK$506,0))&amp;"","")</f>
        <v/>
      </c>
      <c r="U134" s="15" t="str">
        <f>IFERROR(INDEX('Formulación PDN 2027'!$B$7:$B$506,MATCH(ROW()-5,'Formulación PDN 2027'!$AK$7:$AK$506,0))&amp;"","")</f>
        <v/>
      </c>
      <c r="V134" s="15" t="str">
        <f>IFERROR(LEFT(INDEX('Formulación PDN 2027'!$E$7:$E$506,MATCH(ROW()-5,'Formulación PDN 2027'!$AK$7:$AK$506,0)),7),"")</f>
        <v/>
      </c>
      <c r="W134" s="15" t="str">
        <f>IFERROR(INDEX('Formulación PDN 2027'!$H$7:$H$506,MATCH(ROW()-5,'Formulación PDN 2027'!$AK$7:$AK$506,0))&amp;"","")</f>
        <v/>
      </c>
      <c r="X134" s="15" t="str">
        <f>IFERROR(INDEX('Formulación PDN 2027'!$U$7:$U$506,MATCH(ROW()-5,'Formulación PDN 2027'!$AK$7:$AK$506,0))&amp;"","")</f>
        <v/>
      </c>
      <c r="Y134" s="15" t="str">
        <f>IFERROR(INDEX('Formulación PDN 2027'!$AH$7:$AH$506,MATCH(ROW()-5,'Formulación PDN 2027'!$AK$7:$AK$506,0))&amp;"","")</f>
        <v/>
      </c>
    </row>
    <row r="135" spans="1:25" x14ac:dyDescent="0.3">
      <c r="A135" s="15" t="str">
        <f>IFERROR(INDEX('Formulación PDN 2027'!$A$7:$A$506,MATCH(ROW()-5,'Formulación PDN 2027'!$AK$7:$AK$506,0))&amp;"","")</f>
        <v/>
      </c>
      <c r="B135" s="20" t="str">
        <f>IFERROR(INDEX('Formulación PDN 2027'!$M$7:$M$506,MATCH(ROW()-5,'Formulación PDN 2027'!$AK$7:$AK$506,0)),"")</f>
        <v/>
      </c>
      <c r="C135" s="15" t="str">
        <f>IFERROR(INDEX('Formulación PDN 2027'!$N$7:$N$506,MATCH(ROW()-5,'Formulación PDN 2027'!$AK$7:$AK$506,0))&amp;"","")</f>
        <v/>
      </c>
      <c r="D135" s="15" t="str">
        <f>IFERROR(INDEX('Formulación PDN 2027'!$L$7:$L$506,MATCH(ROW()-5,'Formulación PDN 2027'!$AK$7:$AK$506,0))&amp;"","")</f>
        <v/>
      </c>
      <c r="E135" s="15" t="str">
        <f>IFERROR(MATCH(INDEX('Formulación PDN 2027'!$O$7:$O$506,MATCH(ROW()-5,'Formulación PDN 2027'!$AK$7:$AK$506,0)),L_MESES,0),"")</f>
        <v/>
      </c>
      <c r="F135" s="15" t="str">
        <f>IFERROR(MATCH(INDEX('Formulación PDN 2027'!$P$7:$P$506,MATCH(ROW()-5,'Formulación PDN 2027'!$AK$7:$AK$506,0)),L_MESES,0),"")</f>
        <v/>
      </c>
      <c r="G135" s="15" t="str">
        <f>IFERROR(INDEX('Formulación PDN 2027'!$Q$7:$Q$506,MATCH(ROW()-5,'Formulación PDN 2027'!$AK$7:$AK$506,0)),"")</f>
        <v/>
      </c>
      <c r="H135" s="15" t="str">
        <f>IFERROR(INDEX('Formulación PDN 2027'!$R$7:$R$506,MATCH(ROW()-5,'Formulación PDN 2027'!$AK$7:$AK$506,0))&amp;"","")</f>
        <v/>
      </c>
      <c r="I135" s="15" t="str">
        <f>IFERROR(INDEX('Formulación PDN 2027'!$S$7:$S$506,MATCH(ROW()-5,'Formulación PDN 2027'!$AK$7:$AK$506,0))&amp;"","")</f>
        <v/>
      </c>
      <c r="J135" s="15" t="str">
        <f>IFERROR(INDEX('Formulación PDN 2027'!$T$7:$T$506,MATCH(ROW()-5,'Formulación PDN 2027'!$AK$7:$AK$506,0))&amp;"","")</f>
        <v/>
      </c>
      <c r="K135" s="43" t="str">
        <f>IFERROR(INDEX('Formulación PDN 2027'!$W$7:$W$506,MATCH(ROW()-5,'Formulación PDN 2027'!$AK$7:$AK$506,0)),"")</f>
        <v/>
      </c>
      <c r="L135" s="43" t="str">
        <f>IFERROR(INDEX('Formulación PDN 2027'!$X$7:$X$506,MATCH(ROW()-5,'Formulación PDN 2027'!$AK$7:$AK$506,0)),"")</f>
        <v/>
      </c>
      <c r="M135" s="15" t="str">
        <f>IFERROR(INDEX('Formulación PDN 2027'!$Y$7:$Y$506,MATCH(ROW()-5,'Formulación PDN 2027'!$AK$7:$AK$506,0))&amp;"","")</f>
        <v/>
      </c>
      <c r="N135" s="15" t="str">
        <f>IFERROR(INDEX('Formulación PDN 2027'!$Z$7:$Z$506,MATCH(ROW()-5,'Formulación PDN 2027'!$AK$7:$AK$506,0))&amp;"","")</f>
        <v/>
      </c>
      <c r="O135" s="15"/>
      <c r="P135" s="15" t="str">
        <f>IFERROR(INDEX('Formulación PDN 2027'!$AA$7:$AA$506,MATCH(ROW()-5,'Formulación PDN 2027'!$AK$7:$AK$506,0))&amp;"","")</f>
        <v/>
      </c>
      <c r="Q135" s="15" t="str">
        <f>IFERROR(INDEX('Formulación PDN 2027'!$AB$7:$AB$506,MATCH(ROW()-5,'Formulación PDN 2027'!$AK$7:$AK$506,0))&amp;"","")</f>
        <v/>
      </c>
      <c r="R135" s="15" t="str">
        <f>IFERROR(INDEX('Formulación PDN 2027'!$AD$7:$AD$506,MATCH(ROW()-5,'Formulación PDN 2027'!$AK$7:$AK$506,0))&amp;"","")</f>
        <v/>
      </c>
      <c r="S135" s="15" t="str">
        <f>IFERROR(INDEX('Formulación PDN 2027'!$AE$7:$AE$506,MATCH(ROW()-5,'Formulación PDN 2027'!$AK$7:$AK$506,0))&amp;"","")</f>
        <v/>
      </c>
      <c r="T135" s="15" t="str">
        <f>IFERROR(INDEX('Formulación PDN 2027'!$C$7:$C$506,MATCH(ROW()-5,'Formulación PDN 2027'!$AK$7:$AK$506,0))&amp;"","")</f>
        <v/>
      </c>
      <c r="U135" s="15" t="str">
        <f>IFERROR(INDEX('Formulación PDN 2027'!$B$7:$B$506,MATCH(ROW()-5,'Formulación PDN 2027'!$AK$7:$AK$506,0))&amp;"","")</f>
        <v/>
      </c>
      <c r="V135" s="15" t="str">
        <f>IFERROR(LEFT(INDEX('Formulación PDN 2027'!$E$7:$E$506,MATCH(ROW()-5,'Formulación PDN 2027'!$AK$7:$AK$506,0)),7),"")</f>
        <v/>
      </c>
      <c r="W135" s="15" t="str">
        <f>IFERROR(INDEX('Formulación PDN 2027'!$H$7:$H$506,MATCH(ROW()-5,'Formulación PDN 2027'!$AK$7:$AK$506,0))&amp;"","")</f>
        <v/>
      </c>
      <c r="X135" s="15" t="str">
        <f>IFERROR(INDEX('Formulación PDN 2027'!$U$7:$U$506,MATCH(ROW()-5,'Formulación PDN 2027'!$AK$7:$AK$506,0))&amp;"","")</f>
        <v/>
      </c>
      <c r="Y135" s="15" t="str">
        <f>IFERROR(INDEX('Formulación PDN 2027'!$AH$7:$AH$506,MATCH(ROW()-5,'Formulación PDN 2027'!$AK$7:$AK$506,0))&amp;"","")</f>
        <v/>
      </c>
    </row>
    <row r="136" spans="1:25" x14ac:dyDescent="0.3">
      <c r="A136" s="15" t="str">
        <f>IFERROR(INDEX('Formulación PDN 2027'!$A$7:$A$506,MATCH(ROW()-5,'Formulación PDN 2027'!$AK$7:$AK$506,0))&amp;"","")</f>
        <v/>
      </c>
      <c r="B136" s="20" t="str">
        <f>IFERROR(INDEX('Formulación PDN 2027'!$M$7:$M$506,MATCH(ROW()-5,'Formulación PDN 2027'!$AK$7:$AK$506,0)),"")</f>
        <v/>
      </c>
      <c r="C136" s="15" t="str">
        <f>IFERROR(INDEX('Formulación PDN 2027'!$N$7:$N$506,MATCH(ROW()-5,'Formulación PDN 2027'!$AK$7:$AK$506,0))&amp;"","")</f>
        <v/>
      </c>
      <c r="D136" s="15" t="str">
        <f>IFERROR(INDEX('Formulación PDN 2027'!$L$7:$L$506,MATCH(ROW()-5,'Formulación PDN 2027'!$AK$7:$AK$506,0))&amp;"","")</f>
        <v/>
      </c>
      <c r="E136" s="15" t="str">
        <f>IFERROR(MATCH(INDEX('Formulación PDN 2027'!$O$7:$O$506,MATCH(ROW()-5,'Formulación PDN 2027'!$AK$7:$AK$506,0)),L_MESES,0),"")</f>
        <v/>
      </c>
      <c r="F136" s="15" t="str">
        <f>IFERROR(MATCH(INDEX('Formulación PDN 2027'!$P$7:$P$506,MATCH(ROW()-5,'Formulación PDN 2027'!$AK$7:$AK$506,0)),L_MESES,0),"")</f>
        <v/>
      </c>
      <c r="G136" s="15" t="str">
        <f>IFERROR(INDEX('Formulación PDN 2027'!$Q$7:$Q$506,MATCH(ROW()-5,'Formulación PDN 2027'!$AK$7:$AK$506,0)),"")</f>
        <v/>
      </c>
      <c r="H136" s="15" t="str">
        <f>IFERROR(INDEX('Formulación PDN 2027'!$R$7:$R$506,MATCH(ROW()-5,'Formulación PDN 2027'!$AK$7:$AK$506,0))&amp;"","")</f>
        <v/>
      </c>
      <c r="I136" s="15" t="str">
        <f>IFERROR(INDEX('Formulación PDN 2027'!$S$7:$S$506,MATCH(ROW()-5,'Formulación PDN 2027'!$AK$7:$AK$506,0))&amp;"","")</f>
        <v/>
      </c>
      <c r="J136" s="15" t="str">
        <f>IFERROR(INDEX('Formulación PDN 2027'!$T$7:$T$506,MATCH(ROW()-5,'Formulación PDN 2027'!$AK$7:$AK$506,0))&amp;"","")</f>
        <v/>
      </c>
      <c r="K136" s="43" t="str">
        <f>IFERROR(INDEX('Formulación PDN 2027'!$W$7:$W$506,MATCH(ROW()-5,'Formulación PDN 2027'!$AK$7:$AK$506,0)),"")</f>
        <v/>
      </c>
      <c r="L136" s="43" t="str">
        <f>IFERROR(INDEX('Formulación PDN 2027'!$X$7:$X$506,MATCH(ROW()-5,'Formulación PDN 2027'!$AK$7:$AK$506,0)),"")</f>
        <v/>
      </c>
      <c r="M136" s="15" t="str">
        <f>IFERROR(INDEX('Formulación PDN 2027'!$Y$7:$Y$506,MATCH(ROW()-5,'Formulación PDN 2027'!$AK$7:$AK$506,0))&amp;"","")</f>
        <v/>
      </c>
      <c r="N136" s="15" t="str">
        <f>IFERROR(INDEX('Formulación PDN 2027'!$Z$7:$Z$506,MATCH(ROW()-5,'Formulación PDN 2027'!$AK$7:$AK$506,0))&amp;"","")</f>
        <v/>
      </c>
      <c r="O136" s="15"/>
      <c r="P136" s="15" t="str">
        <f>IFERROR(INDEX('Formulación PDN 2027'!$AA$7:$AA$506,MATCH(ROW()-5,'Formulación PDN 2027'!$AK$7:$AK$506,0))&amp;"","")</f>
        <v/>
      </c>
      <c r="Q136" s="15" t="str">
        <f>IFERROR(INDEX('Formulación PDN 2027'!$AB$7:$AB$506,MATCH(ROW()-5,'Formulación PDN 2027'!$AK$7:$AK$506,0))&amp;"","")</f>
        <v/>
      </c>
      <c r="R136" s="15" t="str">
        <f>IFERROR(INDEX('Formulación PDN 2027'!$AD$7:$AD$506,MATCH(ROW()-5,'Formulación PDN 2027'!$AK$7:$AK$506,0))&amp;"","")</f>
        <v/>
      </c>
      <c r="S136" s="15" t="str">
        <f>IFERROR(INDEX('Formulación PDN 2027'!$AE$7:$AE$506,MATCH(ROW()-5,'Formulación PDN 2027'!$AK$7:$AK$506,0))&amp;"","")</f>
        <v/>
      </c>
      <c r="T136" s="15" t="str">
        <f>IFERROR(INDEX('Formulación PDN 2027'!$C$7:$C$506,MATCH(ROW()-5,'Formulación PDN 2027'!$AK$7:$AK$506,0))&amp;"","")</f>
        <v/>
      </c>
      <c r="U136" s="15" t="str">
        <f>IFERROR(INDEX('Formulación PDN 2027'!$B$7:$B$506,MATCH(ROW()-5,'Formulación PDN 2027'!$AK$7:$AK$506,0))&amp;"","")</f>
        <v/>
      </c>
      <c r="V136" s="15" t="str">
        <f>IFERROR(LEFT(INDEX('Formulación PDN 2027'!$E$7:$E$506,MATCH(ROW()-5,'Formulación PDN 2027'!$AK$7:$AK$506,0)),7),"")</f>
        <v/>
      </c>
      <c r="W136" s="15" t="str">
        <f>IFERROR(INDEX('Formulación PDN 2027'!$H$7:$H$506,MATCH(ROW()-5,'Formulación PDN 2027'!$AK$7:$AK$506,0))&amp;"","")</f>
        <v/>
      </c>
      <c r="X136" s="15" t="str">
        <f>IFERROR(INDEX('Formulación PDN 2027'!$U$7:$U$506,MATCH(ROW()-5,'Formulación PDN 2027'!$AK$7:$AK$506,0))&amp;"","")</f>
        <v/>
      </c>
      <c r="Y136" s="15" t="str">
        <f>IFERROR(INDEX('Formulación PDN 2027'!$AH$7:$AH$506,MATCH(ROW()-5,'Formulación PDN 2027'!$AK$7:$AK$506,0))&amp;"","")</f>
        <v/>
      </c>
    </row>
    <row r="137" spans="1:25" x14ac:dyDescent="0.3">
      <c r="A137" s="15" t="str">
        <f>IFERROR(INDEX('Formulación PDN 2027'!$A$7:$A$506,MATCH(ROW()-5,'Formulación PDN 2027'!$AK$7:$AK$506,0))&amp;"","")</f>
        <v/>
      </c>
      <c r="B137" s="20" t="str">
        <f>IFERROR(INDEX('Formulación PDN 2027'!$M$7:$M$506,MATCH(ROW()-5,'Formulación PDN 2027'!$AK$7:$AK$506,0)),"")</f>
        <v/>
      </c>
      <c r="C137" s="15" t="str">
        <f>IFERROR(INDEX('Formulación PDN 2027'!$N$7:$N$506,MATCH(ROW()-5,'Formulación PDN 2027'!$AK$7:$AK$506,0))&amp;"","")</f>
        <v/>
      </c>
      <c r="D137" s="15" t="str">
        <f>IFERROR(INDEX('Formulación PDN 2027'!$L$7:$L$506,MATCH(ROW()-5,'Formulación PDN 2027'!$AK$7:$AK$506,0))&amp;"","")</f>
        <v/>
      </c>
      <c r="E137" s="15" t="str">
        <f>IFERROR(MATCH(INDEX('Formulación PDN 2027'!$O$7:$O$506,MATCH(ROW()-5,'Formulación PDN 2027'!$AK$7:$AK$506,0)),L_MESES,0),"")</f>
        <v/>
      </c>
      <c r="F137" s="15" t="str">
        <f>IFERROR(MATCH(INDEX('Formulación PDN 2027'!$P$7:$P$506,MATCH(ROW()-5,'Formulación PDN 2027'!$AK$7:$AK$506,0)),L_MESES,0),"")</f>
        <v/>
      </c>
      <c r="G137" s="15" t="str">
        <f>IFERROR(INDEX('Formulación PDN 2027'!$Q$7:$Q$506,MATCH(ROW()-5,'Formulación PDN 2027'!$AK$7:$AK$506,0)),"")</f>
        <v/>
      </c>
      <c r="H137" s="15" t="str">
        <f>IFERROR(INDEX('Formulación PDN 2027'!$R$7:$R$506,MATCH(ROW()-5,'Formulación PDN 2027'!$AK$7:$AK$506,0))&amp;"","")</f>
        <v/>
      </c>
      <c r="I137" s="15" t="str">
        <f>IFERROR(INDEX('Formulación PDN 2027'!$S$7:$S$506,MATCH(ROW()-5,'Formulación PDN 2027'!$AK$7:$AK$506,0))&amp;"","")</f>
        <v/>
      </c>
      <c r="J137" s="15" t="str">
        <f>IFERROR(INDEX('Formulación PDN 2027'!$T$7:$T$506,MATCH(ROW()-5,'Formulación PDN 2027'!$AK$7:$AK$506,0))&amp;"","")</f>
        <v/>
      </c>
      <c r="K137" s="43" t="str">
        <f>IFERROR(INDEX('Formulación PDN 2027'!$W$7:$W$506,MATCH(ROW()-5,'Formulación PDN 2027'!$AK$7:$AK$506,0)),"")</f>
        <v/>
      </c>
      <c r="L137" s="43" t="str">
        <f>IFERROR(INDEX('Formulación PDN 2027'!$X$7:$X$506,MATCH(ROW()-5,'Formulación PDN 2027'!$AK$7:$AK$506,0)),"")</f>
        <v/>
      </c>
      <c r="M137" s="15" t="str">
        <f>IFERROR(INDEX('Formulación PDN 2027'!$Y$7:$Y$506,MATCH(ROW()-5,'Formulación PDN 2027'!$AK$7:$AK$506,0))&amp;"","")</f>
        <v/>
      </c>
      <c r="N137" s="15" t="str">
        <f>IFERROR(INDEX('Formulación PDN 2027'!$Z$7:$Z$506,MATCH(ROW()-5,'Formulación PDN 2027'!$AK$7:$AK$506,0))&amp;"","")</f>
        <v/>
      </c>
      <c r="O137" s="15"/>
      <c r="P137" s="15" t="str">
        <f>IFERROR(INDEX('Formulación PDN 2027'!$AA$7:$AA$506,MATCH(ROW()-5,'Formulación PDN 2027'!$AK$7:$AK$506,0))&amp;"","")</f>
        <v/>
      </c>
      <c r="Q137" s="15" t="str">
        <f>IFERROR(INDEX('Formulación PDN 2027'!$AB$7:$AB$506,MATCH(ROW()-5,'Formulación PDN 2027'!$AK$7:$AK$506,0))&amp;"","")</f>
        <v/>
      </c>
      <c r="R137" s="15" t="str">
        <f>IFERROR(INDEX('Formulación PDN 2027'!$AD$7:$AD$506,MATCH(ROW()-5,'Formulación PDN 2027'!$AK$7:$AK$506,0))&amp;"","")</f>
        <v/>
      </c>
      <c r="S137" s="15" t="str">
        <f>IFERROR(INDEX('Formulación PDN 2027'!$AE$7:$AE$506,MATCH(ROW()-5,'Formulación PDN 2027'!$AK$7:$AK$506,0))&amp;"","")</f>
        <v/>
      </c>
      <c r="T137" s="15" t="str">
        <f>IFERROR(INDEX('Formulación PDN 2027'!$C$7:$C$506,MATCH(ROW()-5,'Formulación PDN 2027'!$AK$7:$AK$506,0))&amp;"","")</f>
        <v/>
      </c>
      <c r="U137" s="15" t="str">
        <f>IFERROR(INDEX('Formulación PDN 2027'!$B$7:$B$506,MATCH(ROW()-5,'Formulación PDN 2027'!$AK$7:$AK$506,0))&amp;"","")</f>
        <v/>
      </c>
      <c r="V137" s="15" t="str">
        <f>IFERROR(LEFT(INDEX('Formulación PDN 2027'!$E$7:$E$506,MATCH(ROW()-5,'Formulación PDN 2027'!$AK$7:$AK$506,0)),7),"")</f>
        <v/>
      </c>
      <c r="W137" s="15" t="str">
        <f>IFERROR(INDEX('Formulación PDN 2027'!$H$7:$H$506,MATCH(ROW()-5,'Formulación PDN 2027'!$AK$7:$AK$506,0))&amp;"","")</f>
        <v/>
      </c>
      <c r="X137" s="15" t="str">
        <f>IFERROR(INDEX('Formulación PDN 2027'!$U$7:$U$506,MATCH(ROW()-5,'Formulación PDN 2027'!$AK$7:$AK$506,0))&amp;"","")</f>
        <v/>
      </c>
      <c r="Y137" s="15" t="str">
        <f>IFERROR(INDEX('Formulación PDN 2027'!$AH$7:$AH$506,MATCH(ROW()-5,'Formulación PDN 2027'!$AK$7:$AK$506,0))&amp;"","")</f>
        <v/>
      </c>
    </row>
    <row r="138" spans="1:25" x14ac:dyDescent="0.3">
      <c r="A138" s="15" t="str">
        <f>IFERROR(INDEX('Formulación PDN 2027'!$A$7:$A$506,MATCH(ROW()-5,'Formulación PDN 2027'!$AK$7:$AK$506,0))&amp;"","")</f>
        <v/>
      </c>
      <c r="B138" s="20" t="str">
        <f>IFERROR(INDEX('Formulación PDN 2027'!$M$7:$M$506,MATCH(ROW()-5,'Formulación PDN 2027'!$AK$7:$AK$506,0)),"")</f>
        <v/>
      </c>
      <c r="C138" s="15" t="str">
        <f>IFERROR(INDEX('Formulación PDN 2027'!$N$7:$N$506,MATCH(ROW()-5,'Formulación PDN 2027'!$AK$7:$AK$506,0))&amp;"","")</f>
        <v/>
      </c>
      <c r="D138" s="15" t="str">
        <f>IFERROR(INDEX('Formulación PDN 2027'!$L$7:$L$506,MATCH(ROW()-5,'Formulación PDN 2027'!$AK$7:$AK$506,0))&amp;"","")</f>
        <v/>
      </c>
      <c r="E138" s="15" t="str">
        <f>IFERROR(MATCH(INDEX('Formulación PDN 2027'!$O$7:$O$506,MATCH(ROW()-5,'Formulación PDN 2027'!$AK$7:$AK$506,0)),L_MESES,0),"")</f>
        <v/>
      </c>
      <c r="F138" s="15" t="str">
        <f>IFERROR(MATCH(INDEX('Formulación PDN 2027'!$P$7:$P$506,MATCH(ROW()-5,'Formulación PDN 2027'!$AK$7:$AK$506,0)),L_MESES,0),"")</f>
        <v/>
      </c>
      <c r="G138" s="15" t="str">
        <f>IFERROR(INDEX('Formulación PDN 2027'!$Q$7:$Q$506,MATCH(ROW()-5,'Formulación PDN 2027'!$AK$7:$AK$506,0)),"")</f>
        <v/>
      </c>
      <c r="H138" s="15" t="str">
        <f>IFERROR(INDEX('Formulación PDN 2027'!$R$7:$R$506,MATCH(ROW()-5,'Formulación PDN 2027'!$AK$7:$AK$506,0))&amp;"","")</f>
        <v/>
      </c>
      <c r="I138" s="15" t="str">
        <f>IFERROR(INDEX('Formulación PDN 2027'!$S$7:$S$506,MATCH(ROW()-5,'Formulación PDN 2027'!$AK$7:$AK$506,0))&amp;"","")</f>
        <v/>
      </c>
      <c r="J138" s="15" t="str">
        <f>IFERROR(INDEX('Formulación PDN 2027'!$T$7:$T$506,MATCH(ROW()-5,'Formulación PDN 2027'!$AK$7:$AK$506,0))&amp;"","")</f>
        <v/>
      </c>
      <c r="K138" s="43" t="str">
        <f>IFERROR(INDEX('Formulación PDN 2027'!$W$7:$W$506,MATCH(ROW()-5,'Formulación PDN 2027'!$AK$7:$AK$506,0)),"")</f>
        <v/>
      </c>
      <c r="L138" s="43" t="str">
        <f>IFERROR(INDEX('Formulación PDN 2027'!$X$7:$X$506,MATCH(ROW()-5,'Formulación PDN 2027'!$AK$7:$AK$506,0)),"")</f>
        <v/>
      </c>
      <c r="M138" s="15" t="str">
        <f>IFERROR(INDEX('Formulación PDN 2027'!$Y$7:$Y$506,MATCH(ROW()-5,'Formulación PDN 2027'!$AK$7:$AK$506,0))&amp;"","")</f>
        <v/>
      </c>
      <c r="N138" s="15" t="str">
        <f>IFERROR(INDEX('Formulación PDN 2027'!$Z$7:$Z$506,MATCH(ROW()-5,'Formulación PDN 2027'!$AK$7:$AK$506,0))&amp;"","")</f>
        <v/>
      </c>
      <c r="O138" s="15"/>
      <c r="P138" s="15" t="str">
        <f>IFERROR(INDEX('Formulación PDN 2027'!$AA$7:$AA$506,MATCH(ROW()-5,'Formulación PDN 2027'!$AK$7:$AK$506,0))&amp;"","")</f>
        <v/>
      </c>
      <c r="Q138" s="15" t="str">
        <f>IFERROR(INDEX('Formulación PDN 2027'!$AB$7:$AB$506,MATCH(ROW()-5,'Formulación PDN 2027'!$AK$7:$AK$506,0))&amp;"","")</f>
        <v/>
      </c>
      <c r="R138" s="15" t="str">
        <f>IFERROR(INDEX('Formulación PDN 2027'!$AD$7:$AD$506,MATCH(ROW()-5,'Formulación PDN 2027'!$AK$7:$AK$506,0))&amp;"","")</f>
        <v/>
      </c>
      <c r="S138" s="15" t="str">
        <f>IFERROR(INDEX('Formulación PDN 2027'!$AE$7:$AE$506,MATCH(ROW()-5,'Formulación PDN 2027'!$AK$7:$AK$506,0))&amp;"","")</f>
        <v/>
      </c>
      <c r="T138" s="15" t="str">
        <f>IFERROR(INDEX('Formulación PDN 2027'!$C$7:$C$506,MATCH(ROW()-5,'Formulación PDN 2027'!$AK$7:$AK$506,0))&amp;"","")</f>
        <v/>
      </c>
      <c r="U138" s="15" t="str">
        <f>IFERROR(INDEX('Formulación PDN 2027'!$B$7:$B$506,MATCH(ROW()-5,'Formulación PDN 2027'!$AK$7:$AK$506,0))&amp;"","")</f>
        <v/>
      </c>
      <c r="V138" s="15" t="str">
        <f>IFERROR(LEFT(INDEX('Formulación PDN 2027'!$E$7:$E$506,MATCH(ROW()-5,'Formulación PDN 2027'!$AK$7:$AK$506,0)),7),"")</f>
        <v/>
      </c>
      <c r="W138" s="15" t="str">
        <f>IFERROR(INDEX('Formulación PDN 2027'!$H$7:$H$506,MATCH(ROW()-5,'Formulación PDN 2027'!$AK$7:$AK$506,0))&amp;"","")</f>
        <v/>
      </c>
      <c r="X138" s="15" t="str">
        <f>IFERROR(INDEX('Formulación PDN 2027'!$U$7:$U$506,MATCH(ROW()-5,'Formulación PDN 2027'!$AK$7:$AK$506,0))&amp;"","")</f>
        <v/>
      </c>
      <c r="Y138" s="15" t="str">
        <f>IFERROR(INDEX('Formulación PDN 2027'!$AH$7:$AH$506,MATCH(ROW()-5,'Formulación PDN 2027'!$AK$7:$AK$506,0))&amp;"","")</f>
        <v/>
      </c>
    </row>
    <row r="139" spans="1:25" x14ac:dyDescent="0.3">
      <c r="A139" s="15" t="str">
        <f>IFERROR(INDEX('Formulación PDN 2027'!$A$7:$A$506,MATCH(ROW()-5,'Formulación PDN 2027'!$AK$7:$AK$506,0))&amp;"","")</f>
        <v/>
      </c>
      <c r="B139" s="20" t="str">
        <f>IFERROR(INDEX('Formulación PDN 2027'!$M$7:$M$506,MATCH(ROW()-5,'Formulación PDN 2027'!$AK$7:$AK$506,0)),"")</f>
        <v/>
      </c>
      <c r="C139" s="15" t="str">
        <f>IFERROR(INDEX('Formulación PDN 2027'!$N$7:$N$506,MATCH(ROW()-5,'Formulación PDN 2027'!$AK$7:$AK$506,0))&amp;"","")</f>
        <v/>
      </c>
      <c r="D139" s="15" t="str">
        <f>IFERROR(INDEX('Formulación PDN 2027'!$L$7:$L$506,MATCH(ROW()-5,'Formulación PDN 2027'!$AK$7:$AK$506,0))&amp;"","")</f>
        <v/>
      </c>
      <c r="E139" s="15" t="str">
        <f>IFERROR(MATCH(INDEX('Formulación PDN 2027'!$O$7:$O$506,MATCH(ROW()-5,'Formulación PDN 2027'!$AK$7:$AK$506,0)),L_MESES,0),"")</f>
        <v/>
      </c>
      <c r="F139" s="15" t="str">
        <f>IFERROR(MATCH(INDEX('Formulación PDN 2027'!$P$7:$P$506,MATCH(ROW()-5,'Formulación PDN 2027'!$AK$7:$AK$506,0)),L_MESES,0),"")</f>
        <v/>
      </c>
      <c r="G139" s="15" t="str">
        <f>IFERROR(INDEX('Formulación PDN 2027'!$Q$7:$Q$506,MATCH(ROW()-5,'Formulación PDN 2027'!$AK$7:$AK$506,0)),"")</f>
        <v/>
      </c>
      <c r="H139" s="15" t="str">
        <f>IFERROR(INDEX('Formulación PDN 2027'!$R$7:$R$506,MATCH(ROW()-5,'Formulación PDN 2027'!$AK$7:$AK$506,0))&amp;"","")</f>
        <v/>
      </c>
      <c r="I139" s="15" t="str">
        <f>IFERROR(INDEX('Formulación PDN 2027'!$S$7:$S$506,MATCH(ROW()-5,'Formulación PDN 2027'!$AK$7:$AK$506,0))&amp;"","")</f>
        <v/>
      </c>
      <c r="J139" s="15" t="str">
        <f>IFERROR(INDEX('Formulación PDN 2027'!$T$7:$T$506,MATCH(ROW()-5,'Formulación PDN 2027'!$AK$7:$AK$506,0))&amp;"","")</f>
        <v/>
      </c>
      <c r="K139" s="43" t="str">
        <f>IFERROR(INDEX('Formulación PDN 2027'!$W$7:$W$506,MATCH(ROW()-5,'Formulación PDN 2027'!$AK$7:$AK$506,0)),"")</f>
        <v/>
      </c>
      <c r="L139" s="43" t="str">
        <f>IFERROR(INDEX('Formulación PDN 2027'!$X$7:$X$506,MATCH(ROW()-5,'Formulación PDN 2027'!$AK$7:$AK$506,0)),"")</f>
        <v/>
      </c>
      <c r="M139" s="15" t="str">
        <f>IFERROR(INDEX('Formulación PDN 2027'!$Y$7:$Y$506,MATCH(ROW()-5,'Formulación PDN 2027'!$AK$7:$AK$506,0))&amp;"","")</f>
        <v/>
      </c>
      <c r="N139" s="15" t="str">
        <f>IFERROR(INDEX('Formulación PDN 2027'!$Z$7:$Z$506,MATCH(ROW()-5,'Formulación PDN 2027'!$AK$7:$AK$506,0))&amp;"","")</f>
        <v/>
      </c>
      <c r="O139" s="15"/>
      <c r="P139" s="15" t="str">
        <f>IFERROR(INDEX('Formulación PDN 2027'!$AA$7:$AA$506,MATCH(ROW()-5,'Formulación PDN 2027'!$AK$7:$AK$506,0))&amp;"","")</f>
        <v/>
      </c>
      <c r="Q139" s="15" t="str">
        <f>IFERROR(INDEX('Formulación PDN 2027'!$AB$7:$AB$506,MATCH(ROW()-5,'Formulación PDN 2027'!$AK$7:$AK$506,0))&amp;"","")</f>
        <v/>
      </c>
      <c r="R139" s="15" t="str">
        <f>IFERROR(INDEX('Formulación PDN 2027'!$AD$7:$AD$506,MATCH(ROW()-5,'Formulación PDN 2027'!$AK$7:$AK$506,0))&amp;"","")</f>
        <v/>
      </c>
      <c r="S139" s="15" t="str">
        <f>IFERROR(INDEX('Formulación PDN 2027'!$AE$7:$AE$506,MATCH(ROW()-5,'Formulación PDN 2027'!$AK$7:$AK$506,0))&amp;"","")</f>
        <v/>
      </c>
      <c r="T139" s="15" t="str">
        <f>IFERROR(INDEX('Formulación PDN 2027'!$C$7:$C$506,MATCH(ROW()-5,'Formulación PDN 2027'!$AK$7:$AK$506,0))&amp;"","")</f>
        <v/>
      </c>
      <c r="U139" s="15" t="str">
        <f>IFERROR(INDEX('Formulación PDN 2027'!$B$7:$B$506,MATCH(ROW()-5,'Formulación PDN 2027'!$AK$7:$AK$506,0))&amp;"","")</f>
        <v/>
      </c>
      <c r="V139" s="15" t="str">
        <f>IFERROR(LEFT(INDEX('Formulación PDN 2027'!$E$7:$E$506,MATCH(ROW()-5,'Formulación PDN 2027'!$AK$7:$AK$506,0)),7),"")</f>
        <v/>
      </c>
      <c r="W139" s="15" t="str">
        <f>IFERROR(INDEX('Formulación PDN 2027'!$H$7:$H$506,MATCH(ROW()-5,'Formulación PDN 2027'!$AK$7:$AK$506,0))&amp;"","")</f>
        <v/>
      </c>
      <c r="X139" s="15" t="str">
        <f>IFERROR(INDEX('Formulación PDN 2027'!$U$7:$U$506,MATCH(ROW()-5,'Formulación PDN 2027'!$AK$7:$AK$506,0))&amp;"","")</f>
        <v/>
      </c>
      <c r="Y139" s="15" t="str">
        <f>IFERROR(INDEX('Formulación PDN 2027'!$AH$7:$AH$506,MATCH(ROW()-5,'Formulación PDN 2027'!$AK$7:$AK$506,0))&amp;"","")</f>
        <v/>
      </c>
    </row>
    <row r="140" spans="1:25" x14ac:dyDescent="0.3">
      <c r="A140" s="15" t="str">
        <f>IFERROR(INDEX('Formulación PDN 2027'!$A$7:$A$506,MATCH(ROW()-5,'Formulación PDN 2027'!$AK$7:$AK$506,0))&amp;"","")</f>
        <v/>
      </c>
      <c r="B140" s="20" t="str">
        <f>IFERROR(INDEX('Formulación PDN 2027'!$M$7:$M$506,MATCH(ROW()-5,'Formulación PDN 2027'!$AK$7:$AK$506,0)),"")</f>
        <v/>
      </c>
      <c r="C140" s="15" t="str">
        <f>IFERROR(INDEX('Formulación PDN 2027'!$N$7:$N$506,MATCH(ROW()-5,'Formulación PDN 2027'!$AK$7:$AK$506,0))&amp;"","")</f>
        <v/>
      </c>
      <c r="D140" s="15" t="str">
        <f>IFERROR(INDEX('Formulación PDN 2027'!$L$7:$L$506,MATCH(ROW()-5,'Formulación PDN 2027'!$AK$7:$AK$506,0))&amp;"","")</f>
        <v/>
      </c>
      <c r="E140" s="15" t="str">
        <f>IFERROR(MATCH(INDEX('Formulación PDN 2027'!$O$7:$O$506,MATCH(ROW()-5,'Formulación PDN 2027'!$AK$7:$AK$506,0)),L_MESES,0),"")</f>
        <v/>
      </c>
      <c r="F140" s="15" t="str">
        <f>IFERROR(MATCH(INDEX('Formulación PDN 2027'!$P$7:$P$506,MATCH(ROW()-5,'Formulación PDN 2027'!$AK$7:$AK$506,0)),L_MESES,0),"")</f>
        <v/>
      </c>
      <c r="G140" s="15" t="str">
        <f>IFERROR(INDEX('Formulación PDN 2027'!$Q$7:$Q$506,MATCH(ROW()-5,'Formulación PDN 2027'!$AK$7:$AK$506,0)),"")</f>
        <v/>
      </c>
      <c r="H140" s="15" t="str">
        <f>IFERROR(INDEX('Formulación PDN 2027'!$R$7:$R$506,MATCH(ROW()-5,'Formulación PDN 2027'!$AK$7:$AK$506,0))&amp;"","")</f>
        <v/>
      </c>
      <c r="I140" s="15" t="str">
        <f>IFERROR(INDEX('Formulación PDN 2027'!$S$7:$S$506,MATCH(ROW()-5,'Formulación PDN 2027'!$AK$7:$AK$506,0))&amp;"","")</f>
        <v/>
      </c>
      <c r="J140" s="15" t="str">
        <f>IFERROR(INDEX('Formulación PDN 2027'!$T$7:$T$506,MATCH(ROW()-5,'Formulación PDN 2027'!$AK$7:$AK$506,0))&amp;"","")</f>
        <v/>
      </c>
      <c r="K140" s="43" t="str">
        <f>IFERROR(INDEX('Formulación PDN 2027'!$W$7:$W$506,MATCH(ROW()-5,'Formulación PDN 2027'!$AK$7:$AK$506,0)),"")</f>
        <v/>
      </c>
      <c r="L140" s="43" t="str">
        <f>IFERROR(INDEX('Formulación PDN 2027'!$X$7:$X$506,MATCH(ROW()-5,'Formulación PDN 2027'!$AK$7:$AK$506,0)),"")</f>
        <v/>
      </c>
      <c r="M140" s="15" t="str">
        <f>IFERROR(INDEX('Formulación PDN 2027'!$Y$7:$Y$506,MATCH(ROW()-5,'Formulación PDN 2027'!$AK$7:$AK$506,0))&amp;"","")</f>
        <v/>
      </c>
      <c r="N140" s="15" t="str">
        <f>IFERROR(INDEX('Formulación PDN 2027'!$Z$7:$Z$506,MATCH(ROW()-5,'Formulación PDN 2027'!$AK$7:$AK$506,0))&amp;"","")</f>
        <v/>
      </c>
      <c r="O140" s="15"/>
      <c r="P140" s="15" t="str">
        <f>IFERROR(INDEX('Formulación PDN 2027'!$AA$7:$AA$506,MATCH(ROW()-5,'Formulación PDN 2027'!$AK$7:$AK$506,0))&amp;"","")</f>
        <v/>
      </c>
      <c r="Q140" s="15" t="str">
        <f>IFERROR(INDEX('Formulación PDN 2027'!$AB$7:$AB$506,MATCH(ROW()-5,'Formulación PDN 2027'!$AK$7:$AK$506,0))&amp;"","")</f>
        <v/>
      </c>
      <c r="R140" s="15" t="str">
        <f>IFERROR(INDEX('Formulación PDN 2027'!$AD$7:$AD$506,MATCH(ROW()-5,'Formulación PDN 2027'!$AK$7:$AK$506,0))&amp;"","")</f>
        <v/>
      </c>
      <c r="S140" s="15" t="str">
        <f>IFERROR(INDEX('Formulación PDN 2027'!$AE$7:$AE$506,MATCH(ROW()-5,'Formulación PDN 2027'!$AK$7:$AK$506,0))&amp;"","")</f>
        <v/>
      </c>
      <c r="T140" s="15" t="str">
        <f>IFERROR(INDEX('Formulación PDN 2027'!$C$7:$C$506,MATCH(ROW()-5,'Formulación PDN 2027'!$AK$7:$AK$506,0))&amp;"","")</f>
        <v/>
      </c>
      <c r="U140" s="15" t="str">
        <f>IFERROR(INDEX('Formulación PDN 2027'!$B$7:$B$506,MATCH(ROW()-5,'Formulación PDN 2027'!$AK$7:$AK$506,0))&amp;"","")</f>
        <v/>
      </c>
      <c r="V140" s="15" t="str">
        <f>IFERROR(LEFT(INDEX('Formulación PDN 2027'!$E$7:$E$506,MATCH(ROW()-5,'Formulación PDN 2027'!$AK$7:$AK$506,0)),7),"")</f>
        <v/>
      </c>
      <c r="W140" s="15" t="str">
        <f>IFERROR(INDEX('Formulación PDN 2027'!$H$7:$H$506,MATCH(ROW()-5,'Formulación PDN 2027'!$AK$7:$AK$506,0))&amp;"","")</f>
        <v/>
      </c>
      <c r="X140" s="15" t="str">
        <f>IFERROR(INDEX('Formulación PDN 2027'!$U$7:$U$506,MATCH(ROW()-5,'Formulación PDN 2027'!$AK$7:$AK$506,0))&amp;"","")</f>
        <v/>
      </c>
      <c r="Y140" s="15" t="str">
        <f>IFERROR(INDEX('Formulación PDN 2027'!$AH$7:$AH$506,MATCH(ROW()-5,'Formulación PDN 2027'!$AK$7:$AK$506,0))&amp;"","")</f>
        <v/>
      </c>
    </row>
    <row r="141" spans="1:25" x14ac:dyDescent="0.3">
      <c r="A141" s="15" t="str">
        <f>IFERROR(INDEX('Formulación PDN 2027'!$A$7:$A$506,MATCH(ROW()-5,'Formulación PDN 2027'!$AK$7:$AK$506,0))&amp;"","")</f>
        <v/>
      </c>
      <c r="B141" s="20" t="str">
        <f>IFERROR(INDEX('Formulación PDN 2027'!$M$7:$M$506,MATCH(ROW()-5,'Formulación PDN 2027'!$AK$7:$AK$506,0)),"")</f>
        <v/>
      </c>
      <c r="C141" s="15" t="str">
        <f>IFERROR(INDEX('Formulación PDN 2027'!$N$7:$N$506,MATCH(ROW()-5,'Formulación PDN 2027'!$AK$7:$AK$506,0))&amp;"","")</f>
        <v/>
      </c>
      <c r="D141" s="15" t="str">
        <f>IFERROR(INDEX('Formulación PDN 2027'!$L$7:$L$506,MATCH(ROW()-5,'Formulación PDN 2027'!$AK$7:$AK$506,0))&amp;"","")</f>
        <v/>
      </c>
      <c r="E141" s="15" t="str">
        <f>IFERROR(MATCH(INDEX('Formulación PDN 2027'!$O$7:$O$506,MATCH(ROW()-5,'Formulación PDN 2027'!$AK$7:$AK$506,0)),L_MESES,0),"")</f>
        <v/>
      </c>
      <c r="F141" s="15" t="str">
        <f>IFERROR(MATCH(INDEX('Formulación PDN 2027'!$P$7:$P$506,MATCH(ROW()-5,'Formulación PDN 2027'!$AK$7:$AK$506,0)),L_MESES,0),"")</f>
        <v/>
      </c>
      <c r="G141" s="15" t="str">
        <f>IFERROR(INDEX('Formulación PDN 2027'!$Q$7:$Q$506,MATCH(ROW()-5,'Formulación PDN 2027'!$AK$7:$AK$506,0)),"")</f>
        <v/>
      </c>
      <c r="H141" s="15" t="str">
        <f>IFERROR(INDEX('Formulación PDN 2027'!$R$7:$R$506,MATCH(ROW()-5,'Formulación PDN 2027'!$AK$7:$AK$506,0))&amp;"","")</f>
        <v/>
      </c>
      <c r="I141" s="15" t="str">
        <f>IFERROR(INDEX('Formulación PDN 2027'!$S$7:$S$506,MATCH(ROW()-5,'Formulación PDN 2027'!$AK$7:$AK$506,0))&amp;"","")</f>
        <v/>
      </c>
      <c r="J141" s="15" t="str">
        <f>IFERROR(INDEX('Formulación PDN 2027'!$T$7:$T$506,MATCH(ROW()-5,'Formulación PDN 2027'!$AK$7:$AK$506,0))&amp;"","")</f>
        <v/>
      </c>
      <c r="K141" s="43" t="str">
        <f>IFERROR(INDEX('Formulación PDN 2027'!$W$7:$W$506,MATCH(ROW()-5,'Formulación PDN 2027'!$AK$7:$AK$506,0)),"")</f>
        <v/>
      </c>
      <c r="L141" s="43" t="str">
        <f>IFERROR(INDEX('Formulación PDN 2027'!$X$7:$X$506,MATCH(ROW()-5,'Formulación PDN 2027'!$AK$7:$AK$506,0)),"")</f>
        <v/>
      </c>
      <c r="M141" s="15" t="str">
        <f>IFERROR(INDEX('Formulación PDN 2027'!$Y$7:$Y$506,MATCH(ROW()-5,'Formulación PDN 2027'!$AK$7:$AK$506,0))&amp;"","")</f>
        <v/>
      </c>
      <c r="N141" s="15" t="str">
        <f>IFERROR(INDEX('Formulación PDN 2027'!$Z$7:$Z$506,MATCH(ROW()-5,'Formulación PDN 2027'!$AK$7:$AK$506,0))&amp;"","")</f>
        <v/>
      </c>
      <c r="O141" s="15"/>
      <c r="P141" s="15" t="str">
        <f>IFERROR(INDEX('Formulación PDN 2027'!$AA$7:$AA$506,MATCH(ROW()-5,'Formulación PDN 2027'!$AK$7:$AK$506,0))&amp;"","")</f>
        <v/>
      </c>
      <c r="Q141" s="15" t="str">
        <f>IFERROR(INDEX('Formulación PDN 2027'!$AB$7:$AB$506,MATCH(ROW()-5,'Formulación PDN 2027'!$AK$7:$AK$506,0))&amp;"","")</f>
        <v/>
      </c>
      <c r="R141" s="15" t="str">
        <f>IFERROR(INDEX('Formulación PDN 2027'!$AD$7:$AD$506,MATCH(ROW()-5,'Formulación PDN 2027'!$AK$7:$AK$506,0))&amp;"","")</f>
        <v/>
      </c>
      <c r="S141" s="15" t="str">
        <f>IFERROR(INDEX('Formulación PDN 2027'!$AE$7:$AE$506,MATCH(ROW()-5,'Formulación PDN 2027'!$AK$7:$AK$506,0))&amp;"","")</f>
        <v/>
      </c>
      <c r="T141" s="15" t="str">
        <f>IFERROR(INDEX('Formulación PDN 2027'!$C$7:$C$506,MATCH(ROW()-5,'Formulación PDN 2027'!$AK$7:$AK$506,0))&amp;"","")</f>
        <v/>
      </c>
      <c r="U141" s="15" t="str">
        <f>IFERROR(INDEX('Formulación PDN 2027'!$B$7:$B$506,MATCH(ROW()-5,'Formulación PDN 2027'!$AK$7:$AK$506,0))&amp;"","")</f>
        <v/>
      </c>
      <c r="V141" s="15" t="str">
        <f>IFERROR(LEFT(INDEX('Formulación PDN 2027'!$E$7:$E$506,MATCH(ROW()-5,'Formulación PDN 2027'!$AK$7:$AK$506,0)),7),"")</f>
        <v/>
      </c>
      <c r="W141" s="15" t="str">
        <f>IFERROR(INDEX('Formulación PDN 2027'!$H$7:$H$506,MATCH(ROW()-5,'Formulación PDN 2027'!$AK$7:$AK$506,0))&amp;"","")</f>
        <v/>
      </c>
      <c r="X141" s="15" t="str">
        <f>IFERROR(INDEX('Formulación PDN 2027'!$U$7:$U$506,MATCH(ROW()-5,'Formulación PDN 2027'!$AK$7:$AK$506,0))&amp;"","")</f>
        <v/>
      </c>
      <c r="Y141" s="15" t="str">
        <f>IFERROR(INDEX('Formulación PDN 2027'!$AH$7:$AH$506,MATCH(ROW()-5,'Formulación PDN 2027'!$AK$7:$AK$506,0))&amp;"","")</f>
        <v/>
      </c>
    </row>
    <row r="142" spans="1:25" x14ac:dyDescent="0.3">
      <c r="A142" s="15" t="str">
        <f>IFERROR(INDEX('Formulación PDN 2027'!$A$7:$A$506,MATCH(ROW()-5,'Formulación PDN 2027'!$AK$7:$AK$506,0))&amp;"","")</f>
        <v/>
      </c>
      <c r="B142" s="20" t="str">
        <f>IFERROR(INDEX('Formulación PDN 2027'!$M$7:$M$506,MATCH(ROW()-5,'Formulación PDN 2027'!$AK$7:$AK$506,0)),"")</f>
        <v/>
      </c>
      <c r="C142" s="15" t="str">
        <f>IFERROR(INDEX('Formulación PDN 2027'!$N$7:$N$506,MATCH(ROW()-5,'Formulación PDN 2027'!$AK$7:$AK$506,0))&amp;"","")</f>
        <v/>
      </c>
      <c r="D142" s="15" t="str">
        <f>IFERROR(INDEX('Formulación PDN 2027'!$L$7:$L$506,MATCH(ROW()-5,'Formulación PDN 2027'!$AK$7:$AK$506,0))&amp;"","")</f>
        <v/>
      </c>
      <c r="E142" s="15" t="str">
        <f>IFERROR(MATCH(INDEX('Formulación PDN 2027'!$O$7:$O$506,MATCH(ROW()-5,'Formulación PDN 2027'!$AK$7:$AK$506,0)),L_MESES,0),"")</f>
        <v/>
      </c>
      <c r="F142" s="15" t="str">
        <f>IFERROR(MATCH(INDEX('Formulación PDN 2027'!$P$7:$P$506,MATCH(ROW()-5,'Formulación PDN 2027'!$AK$7:$AK$506,0)),L_MESES,0),"")</f>
        <v/>
      </c>
      <c r="G142" s="15" t="str">
        <f>IFERROR(INDEX('Formulación PDN 2027'!$Q$7:$Q$506,MATCH(ROW()-5,'Formulación PDN 2027'!$AK$7:$AK$506,0)),"")</f>
        <v/>
      </c>
      <c r="H142" s="15" t="str">
        <f>IFERROR(INDEX('Formulación PDN 2027'!$R$7:$R$506,MATCH(ROW()-5,'Formulación PDN 2027'!$AK$7:$AK$506,0))&amp;"","")</f>
        <v/>
      </c>
      <c r="I142" s="15" t="str">
        <f>IFERROR(INDEX('Formulación PDN 2027'!$S$7:$S$506,MATCH(ROW()-5,'Formulación PDN 2027'!$AK$7:$AK$506,0))&amp;"","")</f>
        <v/>
      </c>
      <c r="J142" s="15" t="str">
        <f>IFERROR(INDEX('Formulación PDN 2027'!$T$7:$T$506,MATCH(ROW()-5,'Formulación PDN 2027'!$AK$7:$AK$506,0))&amp;"","")</f>
        <v/>
      </c>
      <c r="K142" s="43" t="str">
        <f>IFERROR(INDEX('Formulación PDN 2027'!$W$7:$W$506,MATCH(ROW()-5,'Formulación PDN 2027'!$AK$7:$AK$506,0)),"")</f>
        <v/>
      </c>
      <c r="L142" s="43" t="str">
        <f>IFERROR(INDEX('Formulación PDN 2027'!$X$7:$X$506,MATCH(ROW()-5,'Formulación PDN 2027'!$AK$7:$AK$506,0)),"")</f>
        <v/>
      </c>
      <c r="M142" s="15" t="str">
        <f>IFERROR(INDEX('Formulación PDN 2027'!$Y$7:$Y$506,MATCH(ROW()-5,'Formulación PDN 2027'!$AK$7:$AK$506,0))&amp;"","")</f>
        <v/>
      </c>
      <c r="N142" s="15" t="str">
        <f>IFERROR(INDEX('Formulación PDN 2027'!$Z$7:$Z$506,MATCH(ROW()-5,'Formulación PDN 2027'!$AK$7:$AK$506,0))&amp;"","")</f>
        <v/>
      </c>
      <c r="O142" s="15"/>
      <c r="P142" s="15" t="str">
        <f>IFERROR(INDEX('Formulación PDN 2027'!$AA$7:$AA$506,MATCH(ROW()-5,'Formulación PDN 2027'!$AK$7:$AK$506,0))&amp;"","")</f>
        <v/>
      </c>
      <c r="Q142" s="15" t="str">
        <f>IFERROR(INDEX('Formulación PDN 2027'!$AB$7:$AB$506,MATCH(ROW()-5,'Formulación PDN 2027'!$AK$7:$AK$506,0))&amp;"","")</f>
        <v/>
      </c>
      <c r="R142" s="15" t="str">
        <f>IFERROR(INDEX('Formulación PDN 2027'!$AD$7:$AD$506,MATCH(ROW()-5,'Formulación PDN 2027'!$AK$7:$AK$506,0))&amp;"","")</f>
        <v/>
      </c>
      <c r="S142" s="15" t="str">
        <f>IFERROR(INDEX('Formulación PDN 2027'!$AE$7:$AE$506,MATCH(ROW()-5,'Formulación PDN 2027'!$AK$7:$AK$506,0))&amp;"","")</f>
        <v/>
      </c>
      <c r="T142" s="15" t="str">
        <f>IFERROR(INDEX('Formulación PDN 2027'!$C$7:$C$506,MATCH(ROW()-5,'Formulación PDN 2027'!$AK$7:$AK$506,0))&amp;"","")</f>
        <v/>
      </c>
      <c r="U142" s="15" t="str">
        <f>IFERROR(INDEX('Formulación PDN 2027'!$B$7:$B$506,MATCH(ROW()-5,'Formulación PDN 2027'!$AK$7:$AK$506,0))&amp;"","")</f>
        <v/>
      </c>
      <c r="V142" s="15" t="str">
        <f>IFERROR(LEFT(INDEX('Formulación PDN 2027'!$E$7:$E$506,MATCH(ROW()-5,'Formulación PDN 2027'!$AK$7:$AK$506,0)),7),"")</f>
        <v/>
      </c>
      <c r="W142" s="15" t="str">
        <f>IFERROR(INDEX('Formulación PDN 2027'!$H$7:$H$506,MATCH(ROW()-5,'Formulación PDN 2027'!$AK$7:$AK$506,0))&amp;"","")</f>
        <v/>
      </c>
      <c r="X142" s="15" t="str">
        <f>IFERROR(INDEX('Formulación PDN 2027'!$U$7:$U$506,MATCH(ROW()-5,'Formulación PDN 2027'!$AK$7:$AK$506,0))&amp;"","")</f>
        <v/>
      </c>
      <c r="Y142" s="15" t="str">
        <f>IFERROR(INDEX('Formulación PDN 2027'!$AH$7:$AH$506,MATCH(ROW()-5,'Formulación PDN 2027'!$AK$7:$AK$506,0))&amp;"","")</f>
        <v/>
      </c>
    </row>
    <row r="143" spans="1:25" x14ac:dyDescent="0.3">
      <c r="A143" s="15" t="str">
        <f>IFERROR(INDEX('Formulación PDN 2027'!$A$7:$A$506,MATCH(ROW()-5,'Formulación PDN 2027'!$AK$7:$AK$506,0))&amp;"","")</f>
        <v/>
      </c>
      <c r="B143" s="20" t="str">
        <f>IFERROR(INDEX('Formulación PDN 2027'!$M$7:$M$506,MATCH(ROW()-5,'Formulación PDN 2027'!$AK$7:$AK$506,0)),"")</f>
        <v/>
      </c>
      <c r="C143" s="15" t="str">
        <f>IFERROR(INDEX('Formulación PDN 2027'!$N$7:$N$506,MATCH(ROW()-5,'Formulación PDN 2027'!$AK$7:$AK$506,0))&amp;"","")</f>
        <v/>
      </c>
      <c r="D143" s="15" t="str">
        <f>IFERROR(INDEX('Formulación PDN 2027'!$L$7:$L$506,MATCH(ROW()-5,'Formulación PDN 2027'!$AK$7:$AK$506,0))&amp;"","")</f>
        <v/>
      </c>
      <c r="E143" s="15" t="str">
        <f>IFERROR(MATCH(INDEX('Formulación PDN 2027'!$O$7:$O$506,MATCH(ROW()-5,'Formulación PDN 2027'!$AK$7:$AK$506,0)),L_MESES,0),"")</f>
        <v/>
      </c>
      <c r="F143" s="15" t="str">
        <f>IFERROR(MATCH(INDEX('Formulación PDN 2027'!$P$7:$P$506,MATCH(ROW()-5,'Formulación PDN 2027'!$AK$7:$AK$506,0)),L_MESES,0),"")</f>
        <v/>
      </c>
      <c r="G143" s="15" t="str">
        <f>IFERROR(INDEX('Formulación PDN 2027'!$Q$7:$Q$506,MATCH(ROW()-5,'Formulación PDN 2027'!$AK$7:$AK$506,0)),"")</f>
        <v/>
      </c>
      <c r="H143" s="15" t="str">
        <f>IFERROR(INDEX('Formulación PDN 2027'!$R$7:$R$506,MATCH(ROW()-5,'Formulación PDN 2027'!$AK$7:$AK$506,0))&amp;"","")</f>
        <v/>
      </c>
      <c r="I143" s="15" t="str">
        <f>IFERROR(INDEX('Formulación PDN 2027'!$S$7:$S$506,MATCH(ROW()-5,'Formulación PDN 2027'!$AK$7:$AK$506,0))&amp;"","")</f>
        <v/>
      </c>
      <c r="J143" s="15" t="str">
        <f>IFERROR(INDEX('Formulación PDN 2027'!$T$7:$T$506,MATCH(ROW()-5,'Formulación PDN 2027'!$AK$7:$AK$506,0))&amp;"","")</f>
        <v/>
      </c>
      <c r="K143" s="43" t="str">
        <f>IFERROR(INDEX('Formulación PDN 2027'!$W$7:$W$506,MATCH(ROW()-5,'Formulación PDN 2027'!$AK$7:$AK$506,0)),"")</f>
        <v/>
      </c>
      <c r="L143" s="43" t="str">
        <f>IFERROR(INDEX('Formulación PDN 2027'!$X$7:$X$506,MATCH(ROW()-5,'Formulación PDN 2027'!$AK$7:$AK$506,0)),"")</f>
        <v/>
      </c>
      <c r="M143" s="15" t="str">
        <f>IFERROR(INDEX('Formulación PDN 2027'!$Y$7:$Y$506,MATCH(ROW()-5,'Formulación PDN 2027'!$AK$7:$AK$506,0))&amp;"","")</f>
        <v/>
      </c>
      <c r="N143" s="15" t="str">
        <f>IFERROR(INDEX('Formulación PDN 2027'!$Z$7:$Z$506,MATCH(ROW()-5,'Formulación PDN 2027'!$AK$7:$AK$506,0))&amp;"","")</f>
        <v/>
      </c>
      <c r="O143" s="15"/>
      <c r="P143" s="15" t="str">
        <f>IFERROR(INDEX('Formulación PDN 2027'!$AA$7:$AA$506,MATCH(ROW()-5,'Formulación PDN 2027'!$AK$7:$AK$506,0))&amp;"","")</f>
        <v/>
      </c>
      <c r="Q143" s="15" t="str">
        <f>IFERROR(INDEX('Formulación PDN 2027'!$AB$7:$AB$506,MATCH(ROW()-5,'Formulación PDN 2027'!$AK$7:$AK$506,0))&amp;"","")</f>
        <v/>
      </c>
      <c r="R143" s="15" t="str">
        <f>IFERROR(INDEX('Formulación PDN 2027'!$AD$7:$AD$506,MATCH(ROW()-5,'Formulación PDN 2027'!$AK$7:$AK$506,0))&amp;"","")</f>
        <v/>
      </c>
      <c r="S143" s="15" t="str">
        <f>IFERROR(INDEX('Formulación PDN 2027'!$AE$7:$AE$506,MATCH(ROW()-5,'Formulación PDN 2027'!$AK$7:$AK$506,0))&amp;"","")</f>
        <v/>
      </c>
      <c r="T143" s="15" t="str">
        <f>IFERROR(INDEX('Formulación PDN 2027'!$C$7:$C$506,MATCH(ROW()-5,'Formulación PDN 2027'!$AK$7:$AK$506,0))&amp;"","")</f>
        <v/>
      </c>
      <c r="U143" s="15" t="str">
        <f>IFERROR(INDEX('Formulación PDN 2027'!$B$7:$B$506,MATCH(ROW()-5,'Formulación PDN 2027'!$AK$7:$AK$506,0))&amp;"","")</f>
        <v/>
      </c>
      <c r="V143" s="15" t="str">
        <f>IFERROR(LEFT(INDEX('Formulación PDN 2027'!$E$7:$E$506,MATCH(ROW()-5,'Formulación PDN 2027'!$AK$7:$AK$506,0)),7),"")</f>
        <v/>
      </c>
      <c r="W143" s="15" t="str">
        <f>IFERROR(INDEX('Formulación PDN 2027'!$H$7:$H$506,MATCH(ROW()-5,'Formulación PDN 2027'!$AK$7:$AK$506,0))&amp;"","")</f>
        <v/>
      </c>
      <c r="X143" s="15" t="str">
        <f>IFERROR(INDEX('Formulación PDN 2027'!$U$7:$U$506,MATCH(ROW()-5,'Formulación PDN 2027'!$AK$7:$AK$506,0))&amp;"","")</f>
        <v/>
      </c>
      <c r="Y143" s="15" t="str">
        <f>IFERROR(INDEX('Formulación PDN 2027'!$AH$7:$AH$506,MATCH(ROW()-5,'Formulación PDN 2027'!$AK$7:$AK$506,0))&amp;"","")</f>
        <v/>
      </c>
    </row>
    <row r="144" spans="1:25" x14ac:dyDescent="0.3">
      <c r="A144" s="15" t="str">
        <f>IFERROR(INDEX('Formulación PDN 2027'!$A$7:$A$506,MATCH(ROW()-5,'Formulación PDN 2027'!$AK$7:$AK$506,0))&amp;"","")</f>
        <v/>
      </c>
      <c r="B144" s="20" t="str">
        <f>IFERROR(INDEX('Formulación PDN 2027'!$M$7:$M$506,MATCH(ROW()-5,'Formulación PDN 2027'!$AK$7:$AK$506,0)),"")</f>
        <v/>
      </c>
      <c r="C144" s="15" t="str">
        <f>IFERROR(INDEX('Formulación PDN 2027'!$N$7:$N$506,MATCH(ROW()-5,'Formulación PDN 2027'!$AK$7:$AK$506,0))&amp;"","")</f>
        <v/>
      </c>
      <c r="D144" s="15" t="str">
        <f>IFERROR(INDEX('Formulación PDN 2027'!$L$7:$L$506,MATCH(ROW()-5,'Formulación PDN 2027'!$AK$7:$AK$506,0))&amp;"","")</f>
        <v/>
      </c>
      <c r="E144" s="15" t="str">
        <f>IFERROR(MATCH(INDEX('Formulación PDN 2027'!$O$7:$O$506,MATCH(ROW()-5,'Formulación PDN 2027'!$AK$7:$AK$506,0)),L_MESES,0),"")</f>
        <v/>
      </c>
      <c r="F144" s="15" t="str">
        <f>IFERROR(MATCH(INDEX('Formulación PDN 2027'!$P$7:$P$506,MATCH(ROW()-5,'Formulación PDN 2027'!$AK$7:$AK$506,0)),L_MESES,0),"")</f>
        <v/>
      </c>
      <c r="G144" s="15" t="str">
        <f>IFERROR(INDEX('Formulación PDN 2027'!$Q$7:$Q$506,MATCH(ROW()-5,'Formulación PDN 2027'!$AK$7:$AK$506,0)),"")</f>
        <v/>
      </c>
      <c r="H144" s="15" t="str">
        <f>IFERROR(INDEX('Formulación PDN 2027'!$R$7:$R$506,MATCH(ROW()-5,'Formulación PDN 2027'!$AK$7:$AK$506,0))&amp;"","")</f>
        <v/>
      </c>
      <c r="I144" s="15" t="str">
        <f>IFERROR(INDEX('Formulación PDN 2027'!$S$7:$S$506,MATCH(ROW()-5,'Formulación PDN 2027'!$AK$7:$AK$506,0))&amp;"","")</f>
        <v/>
      </c>
      <c r="J144" s="15" t="str">
        <f>IFERROR(INDEX('Formulación PDN 2027'!$T$7:$T$506,MATCH(ROW()-5,'Formulación PDN 2027'!$AK$7:$AK$506,0))&amp;"","")</f>
        <v/>
      </c>
      <c r="K144" s="43" t="str">
        <f>IFERROR(INDEX('Formulación PDN 2027'!$W$7:$W$506,MATCH(ROW()-5,'Formulación PDN 2027'!$AK$7:$AK$506,0)),"")</f>
        <v/>
      </c>
      <c r="L144" s="43" t="str">
        <f>IFERROR(INDEX('Formulación PDN 2027'!$X$7:$X$506,MATCH(ROW()-5,'Formulación PDN 2027'!$AK$7:$AK$506,0)),"")</f>
        <v/>
      </c>
      <c r="M144" s="15" t="str">
        <f>IFERROR(INDEX('Formulación PDN 2027'!$Y$7:$Y$506,MATCH(ROW()-5,'Formulación PDN 2027'!$AK$7:$AK$506,0))&amp;"","")</f>
        <v/>
      </c>
      <c r="N144" s="15" t="str">
        <f>IFERROR(INDEX('Formulación PDN 2027'!$Z$7:$Z$506,MATCH(ROW()-5,'Formulación PDN 2027'!$AK$7:$AK$506,0))&amp;"","")</f>
        <v/>
      </c>
      <c r="O144" s="15"/>
      <c r="P144" s="15" t="str">
        <f>IFERROR(INDEX('Formulación PDN 2027'!$AA$7:$AA$506,MATCH(ROW()-5,'Formulación PDN 2027'!$AK$7:$AK$506,0))&amp;"","")</f>
        <v/>
      </c>
      <c r="Q144" s="15" t="str">
        <f>IFERROR(INDEX('Formulación PDN 2027'!$AB$7:$AB$506,MATCH(ROW()-5,'Formulación PDN 2027'!$AK$7:$AK$506,0))&amp;"","")</f>
        <v/>
      </c>
      <c r="R144" s="15" t="str">
        <f>IFERROR(INDEX('Formulación PDN 2027'!$AD$7:$AD$506,MATCH(ROW()-5,'Formulación PDN 2027'!$AK$7:$AK$506,0))&amp;"","")</f>
        <v/>
      </c>
      <c r="S144" s="15" t="str">
        <f>IFERROR(INDEX('Formulación PDN 2027'!$AE$7:$AE$506,MATCH(ROW()-5,'Formulación PDN 2027'!$AK$7:$AK$506,0))&amp;"","")</f>
        <v/>
      </c>
      <c r="T144" s="15" t="str">
        <f>IFERROR(INDEX('Formulación PDN 2027'!$C$7:$C$506,MATCH(ROW()-5,'Formulación PDN 2027'!$AK$7:$AK$506,0))&amp;"","")</f>
        <v/>
      </c>
      <c r="U144" s="15" t="str">
        <f>IFERROR(INDEX('Formulación PDN 2027'!$B$7:$B$506,MATCH(ROW()-5,'Formulación PDN 2027'!$AK$7:$AK$506,0))&amp;"","")</f>
        <v/>
      </c>
      <c r="V144" s="15" t="str">
        <f>IFERROR(LEFT(INDEX('Formulación PDN 2027'!$E$7:$E$506,MATCH(ROW()-5,'Formulación PDN 2027'!$AK$7:$AK$506,0)),7),"")</f>
        <v/>
      </c>
      <c r="W144" s="15" t="str">
        <f>IFERROR(INDEX('Formulación PDN 2027'!$H$7:$H$506,MATCH(ROW()-5,'Formulación PDN 2027'!$AK$7:$AK$506,0))&amp;"","")</f>
        <v/>
      </c>
      <c r="X144" s="15" t="str">
        <f>IFERROR(INDEX('Formulación PDN 2027'!$U$7:$U$506,MATCH(ROW()-5,'Formulación PDN 2027'!$AK$7:$AK$506,0))&amp;"","")</f>
        <v/>
      </c>
      <c r="Y144" s="15" t="str">
        <f>IFERROR(INDEX('Formulación PDN 2027'!$AH$7:$AH$506,MATCH(ROW()-5,'Formulación PDN 2027'!$AK$7:$AK$506,0))&amp;"","")</f>
        <v/>
      </c>
    </row>
    <row r="145" spans="1:25" x14ac:dyDescent="0.3">
      <c r="A145" s="15" t="str">
        <f>IFERROR(INDEX('Formulación PDN 2027'!$A$7:$A$506,MATCH(ROW()-5,'Formulación PDN 2027'!$AK$7:$AK$506,0))&amp;"","")</f>
        <v/>
      </c>
      <c r="B145" s="20" t="str">
        <f>IFERROR(INDEX('Formulación PDN 2027'!$M$7:$M$506,MATCH(ROW()-5,'Formulación PDN 2027'!$AK$7:$AK$506,0)),"")</f>
        <v/>
      </c>
      <c r="C145" s="15" t="str">
        <f>IFERROR(INDEX('Formulación PDN 2027'!$N$7:$N$506,MATCH(ROW()-5,'Formulación PDN 2027'!$AK$7:$AK$506,0))&amp;"","")</f>
        <v/>
      </c>
      <c r="D145" s="15" t="str">
        <f>IFERROR(INDEX('Formulación PDN 2027'!$L$7:$L$506,MATCH(ROW()-5,'Formulación PDN 2027'!$AK$7:$AK$506,0))&amp;"","")</f>
        <v/>
      </c>
      <c r="E145" s="15" t="str">
        <f>IFERROR(MATCH(INDEX('Formulación PDN 2027'!$O$7:$O$506,MATCH(ROW()-5,'Formulación PDN 2027'!$AK$7:$AK$506,0)),L_MESES,0),"")</f>
        <v/>
      </c>
      <c r="F145" s="15" t="str">
        <f>IFERROR(MATCH(INDEX('Formulación PDN 2027'!$P$7:$P$506,MATCH(ROW()-5,'Formulación PDN 2027'!$AK$7:$AK$506,0)),L_MESES,0),"")</f>
        <v/>
      </c>
      <c r="G145" s="15" t="str">
        <f>IFERROR(INDEX('Formulación PDN 2027'!$Q$7:$Q$506,MATCH(ROW()-5,'Formulación PDN 2027'!$AK$7:$AK$506,0)),"")</f>
        <v/>
      </c>
      <c r="H145" s="15" t="str">
        <f>IFERROR(INDEX('Formulación PDN 2027'!$R$7:$R$506,MATCH(ROW()-5,'Formulación PDN 2027'!$AK$7:$AK$506,0))&amp;"","")</f>
        <v/>
      </c>
      <c r="I145" s="15" t="str">
        <f>IFERROR(INDEX('Formulación PDN 2027'!$S$7:$S$506,MATCH(ROW()-5,'Formulación PDN 2027'!$AK$7:$AK$506,0))&amp;"","")</f>
        <v/>
      </c>
      <c r="J145" s="15" t="str">
        <f>IFERROR(INDEX('Formulación PDN 2027'!$T$7:$T$506,MATCH(ROW()-5,'Formulación PDN 2027'!$AK$7:$AK$506,0))&amp;"","")</f>
        <v/>
      </c>
      <c r="K145" s="43" t="str">
        <f>IFERROR(INDEX('Formulación PDN 2027'!$W$7:$W$506,MATCH(ROW()-5,'Formulación PDN 2027'!$AK$7:$AK$506,0)),"")</f>
        <v/>
      </c>
      <c r="L145" s="43" t="str">
        <f>IFERROR(INDEX('Formulación PDN 2027'!$X$7:$X$506,MATCH(ROW()-5,'Formulación PDN 2027'!$AK$7:$AK$506,0)),"")</f>
        <v/>
      </c>
      <c r="M145" s="15" t="str">
        <f>IFERROR(INDEX('Formulación PDN 2027'!$Y$7:$Y$506,MATCH(ROW()-5,'Formulación PDN 2027'!$AK$7:$AK$506,0))&amp;"","")</f>
        <v/>
      </c>
      <c r="N145" s="15" t="str">
        <f>IFERROR(INDEX('Formulación PDN 2027'!$Z$7:$Z$506,MATCH(ROW()-5,'Formulación PDN 2027'!$AK$7:$AK$506,0))&amp;"","")</f>
        <v/>
      </c>
      <c r="O145" s="15"/>
      <c r="P145" s="15" t="str">
        <f>IFERROR(INDEX('Formulación PDN 2027'!$AA$7:$AA$506,MATCH(ROW()-5,'Formulación PDN 2027'!$AK$7:$AK$506,0))&amp;"","")</f>
        <v/>
      </c>
      <c r="Q145" s="15" t="str">
        <f>IFERROR(INDEX('Formulación PDN 2027'!$AB$7:$AB$506,MATCH(ROW()-5,'Formulación PDN 2027'!$AK$7:$AK$506,0))&amp;"","")</f>
        <v/>
      </c>
      <c r="R145" s="15" t="str">
        <f>IFERROR(INDEX('Formulación PDN 2027'!$AD$7:$AD$506,MATCH(ROW()-5,'Formulación PDN 2027'!$AK$7:$AK$506,0))&amp;"","")</f>
        <v/>
      </c>
      <c r="S145" s="15" t="str">
        <f>IFERROR(INDEX('Formulación PDN 2027'!$AE$7:$AE$506,MATCH(ROW()-5,'Formulación PDN 2027'!$AK$7:$AK$506,0))&amp;"","")</f>
        <v/>
      </c>
      <c r="T145" s="15" t="str">
        <f>IFERROR(INDEX('Formulación PDN 2027'!$C$7:$C$506,MATCH(ROW()-5,'Formulación PDN 2027'!$AK$7:$AK$506,0))&amp;"","")</f>
        <v/>
      </c>
      <c r="U145" s="15" t="str">
        <f>IFERROR(INDEX('Formulación PDN 2027'!$B$7:$B$506,MATCH(ROW()-5,'Formulación PDN 2027'!$AK$7:$AK$506,0))&amp;"","")</f>
        <v/>
      </c>
      <c r="V145" s="15" t="str">
        <f>IFERROR(LEFT(INDEX('Formulación PDN 2027'!$E$7:$E$506,MATCH(ROW()-5,'Formulación PDN 2027'!$AK$7:$AK$506,0)),7),"")</f>
        <v/>
      </c>
      <c r="W145" s="15" t="str">
        <f>IFERROR(INDEX('Formulación PDN 2027'!$H$7:$H$506,MATCH(ROW()-5,'Formulación PDN 2027'!$AK$7:$AK$506,0))&amp;"","")</f>
        <v/>
      </c>
      <c r="X145" s="15" t="str">
        <f>IFERROR(INDEX('Formulación PDN 2027'!$U$7:$U$506,MATCH(ROW()-5,'Formulación PDN 2027'!$AK$7:$AK$506,0))&amp;"","")</f>
        <v/>
      </c>
      <c r="Y145" s="15" t="str">
        <f>IFERROR(INDEX('Formulación PDN 2027'!$AH$7:$AH$506,MATCH(ROW()-5,'Formulación PDN 2027'!$AK$7:$AK$506,0))&amp;"","")</f>
        <v/>
      </c>
    </row>
    <row r="146" spans="1:25" x14ac:dyDescent="0.3">
      <c r="A146" s="15" t="str">
        <f>IFERROR(INDEX('Formulación PDN 2027'!$A$7:$A$506,MATCH(ROW()-5,'Formulación PDN 2027'!$AK$7:$AK$506,0))&amp;"","")</f>
        <v/>
      </c>
      <c r="B146" s="20" t="str">
        <f>IFERROR(INDEX('Formulación PDN 2027'!$M$7:$M$506,MATCH(ROW()-5,'Formulación PDN 2027'!$AK$7:$AK$506,0)),"")</f>
        <v/>
      </c>
      <c r="C146" s="15" t="str">
        <f>IFERROR(INDEX('Formulación PDN 2027'!$N$7:$N$506,MATCH(ROW()-5,'Formulación PDN 2027'!$AK$7:$AK$506,0))&amp;"","")</f>
        <v/>
      </c>
      <c r="D146" s="15" t="str">
        <f>IFERROR(INDEX('Formulación PDN 2027'!$L$7:$L$506,MATCH(ROW()-5,'Formulación PDN 2027'!$AK$7:$AK$506,0))&amp;"","")</f>
        <v/>
      </c>
      <c r="E146" s="15" t="str">
        <f>IFERROR(MATCH(INDEX('Formulación PDN 2027'!$O$7:$O$506,MATCH(ROW()-5,'Formulación PDN 2027'!$AK$7:$AK$506,0)),L_MESES,0),"")</f>
        <v/>
      </c>
      <c r="F146" s="15" t="str">
        <f>IFERROR(MATCH(INDEX('Formulación PDN 2027'!$P$7:$P$506,MATCH(ROW()-5,'Formulación PDN 2027'!$AK$7:$AK$506,0)),L_MESES,0),"")</f>
        <v/>
      </c>
      <c r="G146" s="15" t="str">
        <f>IFERROR(INDEX('Formulación PDN 2027'!$Q$7:$Q$506,MATCH(ROW()-5,'Formulación PDN 2027'!$AK$7:$AK$506,0)),"")</f>
        <v/>
      </c>
      <c r="H146" s="15" t="str">
        <f>IFERROR(INDEX('Formulación PDN 2027'!$R$7:$R$506,MATCH(ROW()-5,'Formulación PDN 2027'!$AK$7:$AK$506,0))&amp;"","")</f>
        <v/>
      </c>
      <c r="I146" s="15" t="str">
        <f>IFERROR(INDEX('Formulación PDN 2027'!$S$7:$S$506,MATCH(ROW()-5,'Formulación PDN 2027'!$AK$7:$AK$506,0))&amp;"","")</f>
        <v/>
      </c>
      <c r="J146" s="15" t="str">
        <f>IFERROR(INDEX('Formulación PDN 2027'!$T$7:$T$506,MATCH(ROW()-5,'Formulación PDN 2027'!$AK$7:$AK$506,0))&amp;"","")</f>
        <v/>
      </c>
      <c r="K146" s="43" t="str">
        <f>IFERROR(INDEX('Formulación PDN 2027'!$W$7:$W$506,MATCH(ROW()-5,'Formulación PDN 2027'!$AK$7:$AK$506,0)),"")</f>
        <v/>
      </c>
      <c r="L146" s="43" t="str">
        <f>IFERROR(INDEX('Formulación PDN 2027'!$X$7:$X$506,MATCH(ROW()-5,'Formulación PDN 2027'!$AK$7:$AK$506,0)),"")</f>
        <v/>
      </c>
      <c r="M146" s="15" t="str">
        <f>IFERROR(INDEX('Formulación PDN 2027'!$Y$7:$Y$506,MATCH(ROW()-5,'Formulación PDN 2027'!$AK$7:$AK$506,0))&amp;"","")</f>
        <v/>
      </c>
      <c r="N146" s="15" t="str">
        <f>IFERROR(INDEX('Formulación PDN 2027'!$Z$7:$Z$506,MATCH(ROW()-5,'Formulación PDN 2027'!$AK$7:$AK$506,0))&amp;"","")</f>
        <v/>
      </c>
      <c r="O146" s="15"/>
      <c r="P146" s="15" t="str">
        <f>IFERROR(INDEX('Formulación PDN 2027'!$AA$7:$AA$506,MATCH(ROW()-5,'Formulación PDN 2027'!$AK$7:$AK$506,0))&amp;"","")</f>
        <v/>
      </c>
      <c r="Q146" s="15" t="str">
        <f>IFERROR(INDEX('Formulación PDN 2027'!$AB$7:$AB$506,MATCH(ROW()-5,'Formulación PDN 2027'!$AK$7:$AK$506,0))&amp;"","")</f>
        <v/>
      </c>
      <c r="R146" s="15" t="str">
        <f>IFERROR(INDEX('Formulación PDN 2027'!$AD$7:$AD$506,MATCH(ROW()-5,'Formulación PDN 2027'!$AK$7:$AK$506,0))&amp;"","")</f>
        <v/>
      </c>
      <c r="S146" s="15" t="str">
        <f>IFERROR(INDEX('Formulación PDN 2027'!$AE$7:$AE$506,MATCH(ROW()-5,'Formulación PDN 2027'!$AK$7:$AK$506,0))&amp;"","")</f>
        <v/>
      </c>
      <c r="T146" s="15" t="str">
        <f>IFERROR(INDEX('Formulación PDN 2027'!$C$7:$C$506,MATCH(ROW()-5,'Formulación PDN 2027'!$AK$7:$AK$506,0))&amp;"","")</f>
        <v/>
      </c>
      <c r="U146" s="15" t="str">
        <f>IFERROR(INDEX('Formulación PDN 2027'!$B$7:$B$506,MATCH(ROW()-5,'Formulación PDN 2027'!$AK$7:$AK$506,0))&amp;"","")</f>
        <v/>
      </c>
      <c r="V146" s="15" t="str">
        <f>IFERROR(LEFT(INDEX('Formulación PDN 2027'!$E$7:$E$506,MATCH(ROW()-5,'Formulación PDN 2027'!$AK$7:$AK$506,0)),7),"")</f>
        <v/>
      </c>
      <c r="W146" s="15" t="str">
        <f>IFERROR(INDEX('Formulación PDN 2027'!$H$7:$H$506,MATCH(ROW()-5,'Formulación PDN 2027'!$AK$7:$AK$506,0))&amp;"","")</f>
        <v/>
      </c>
      <c r="X146" s="15" t="str">
        <f>IFERROR(INDEX('Formulación PDN 2027'!$U$7:$U$506,MATCH(ROW()-5,'Formulación PDN 2027'!$AK$7:$AK$506,0))&amp;"","")</f>
        <v/>
      </c>
      <c r="Y146" s="15" t="str">
        <f>IFERROR(INDEX('Formulación PDN 2027'!$AH$7:$AH$506,MATCH(ROW()-5,'Formulación PDN 2027'!$AK$7:$AK$506,0))&amp;"","")</f>
        <v/>
      </c>
    </row>
    <row r="147" spans="1:25" x14ac:dyDescent="0.3">
      <c r="A147" s="15" t="str">
        <f>IFERROR(INDEX('Formulación PDN 2027'!$A$7:$A$506,MATCH(ROW()-5,'Formulación PDN 2027'!$AK$7:$AK$506,0))&amp;"","")</f>
        <v/>
      </c>
      <c r="B147" s="20" t="str">
        <f>IFERROR(INDEX('Formulación PDN 2027'!$M$7:$M$506,MATCH(ROW()-5,'Formulación PDN 2027'!$AK$7:$AK$506,0)),"")</f>
        <v/>
      </c>
      <c r="C147" s="15" t="str">
        <f>IFERROR(INDEX('Formulación PDN 2027'!$N$7:$N$506,MATCH(ROW()-5,'Formulación PDN 2027'!$AK$7:$AK$506,0))&amp;"","")</f>
        <v/>
      </c>
      <c r="D147" s="15" t="str">
        <f>IFERROR(INDEX('Formulación PDN 2027'!$L$7:$L$506,MATCH(ROW()-5,'Formulación PDN 2027'!$AK$7:$AK$506,0))&amp;"","")</f>
        <v/>
      </c>
      <c r="E147" s="15" t="str">
        <f>IFERROR(MATCH(INDEX('Formulación PDN 2027'!$O$7:$O$506,MATCH(ROW()-5,'Formulación PDN 2027'!$AK$7:$AK$506,0)),L_MESES,0),"")</f>
        <v/>
      </c>
      <c r="F147" s="15" t="str">
        <f>IFERROR(MATCH(INDEX('Formulación PDN 2027'!$P$7:$P$506,MATCH(ROW()-5,'Formulación PDN 2027'!$AK$7:$AK$506,0)),L_MESES,0),"")</f>
        <v/>
      </c>
      <c r="G147" s="15" t="str">
        <f>IFERROR(INDEX('Formulación PDN 2027'!$Q$7:$Q$506,MATCH(ROW()-5,'Formulación PDN 2027'!$AK$7:$AK$506,0)),"")</f>
        <v/>
      </c>
      <c r="H147" s="15" t="str">
        <f>IFERROR(INDEX('Formulación PDN 2027'!$R$7:$R$506,MATCH(ROW()-5,'Formulación PDN 2027'!$AK$7:$AK$506,0))&amp;"","")</f>
        <v/>
      </c>
      <c r="I147" s="15" t="str">
        <f>IFERROR(INDEX('Formulación PDN 2027'!$S$7:$S$506,MATCH(ROW()-5,'Formulación PDN 2027'!$AK$7:$AK$506,0))&amp;"","")</f>
        <v/>
      </c>
      <c r="J147" s="15" t="str">
        <f>IFERROR(INDEX('Formulación PDN 2027'!$T$7:$T$506,MATCH(ROW()-5,'Formulación PDN 2027'!$AK$7:$AK$506,0))&amp;"","")</f>
        <v/>
      </c>
      <c r="K147" s="43" t="str">
        <f>IFERROR(INDEX('Formulación PDN 2027'!$W$7:$W$506,MATCH(ROW()-5,'Formulación PDN 2027'!$AK$7:$AK$506,0)),"")</f>
        <v/>
      </c>
      <c r="L147" s="43" t="str">
        <f>IFERROR(INDEX('Formulación PDN 2027'!$X$7:$X$506,MATCH(ROW()-5,'Formulación PDN 2027'!$AK$7:$AK$506,0)),"")</f>
        <v/>
      </c>
      <c r="M147" s="15" t="str">
        <f>IFERROR(INDEX('Formulación PDN 2027'!$Y$7:$Y$506,MATCH(ROW()-5,'Formulación PDN 2027'!$AK$7:$AK$506,0))&amp;"","")</f>
        <v/>
      </c>
      <c r="N147" s="15" t="str">
        <f>IFERROR(INDEX('Formulación PDN 2027'!$Z$7:$Z$506,MATCH(ROW()-5,'Formulación PDN 2027'!$AK$7:$AK$506,0))&amp;"","")</f>
        <v/>
      </c>
      <c r="O147" s="15"/>
      <c r="P147" s="15" t="str">
        <f>IFERROR(INDEX('Formulación PDN 2027'!$AA$7:$AA$506,MATCH(ROW()-5,'Formulación PDN 2027'!$AK$7:$AK$506,0))&amp;"","")</f>
        <v/>
      </c>
      <c r="Q147" s="15" t="str">
        <f>IFERROR(INDEX('Formulación PDN 2027'!$AB$7:$AB$506,MATCH(ROW()-5,'Formulación PDN 2027'!$AK$7:$AK$506,0))&amp;"","")</f>
        <v/>
      </c>
      <c r="R147" s="15" t="str">
        <f>IFERROR(INDEX('Formulación PDN 2027'!$AD$7:$AD$506,MATCH(ROW()-5,'Formulación PDN 2027'!$AK$7:$AK$506,0))&amp;"","")</f>
        <v/>
      </c>
      <c r="S147" s="15" t="str">
        <f>IFERROR(INDEX('Formulación PDN 2027'!$AE$7:$AE$506,MATCH(ROW()-5,'Formulación PDN 2027'!$AK$7:$AK$506,0))&amp;"","")</f>
        <v/>
      </c>
      <c r="T147" s="15" t="str">
        <f>IFERROR(INDEX('Formulación PDN 2027'!$C$7:$C$506,MATCH(ROW()-5,'Formulación PDN 2027'!$AK$7:$AK$506,0))&amp;"","")</f>
        <v/>
      </c>
      <c r="U147" s="15" t="str">
        <f>IFERROR(INDEX('Formulación PDN 2027'!$B$7:$B$506,MATCH(ROW()-5,'Formulación PDN 2027'!$AK$7:$AK$506,0))&amp;"","")</f>
        <v/>
      </c>
      <c r="V147" s="15" t="str">
        <f>IFERROR(LEFT(INDEX('Formulación PDN 2027'!$E$7:$E$506,MATCH(ROW()-5,'Formulación PDN 2027'!$AK$7:$AK$506,0)),7),"")</f>
        <v/>
      </c>
      <c r="W147" s="15" t="str">
        <f>IFERROR(INDEX('Formulación PDN 2027'!$H$7:$H$506,MATCH(ROW()-5,'Formulación PDN 2027'!$AK$7:$AK$506,0))&amp;"","")</f>
        <v/>
      </c>
      <c r="X147" s="15" t="str">
        <f>IFERROR(INDEX('Formulación PDN 2027'!$U$7:$U$506,MATCH(ROW()-5,'Formulación PDN 2027'!$AK$7:$AK$506,0))&amp;"","")</f>
        <v/>
      </c>
      <c r="Y147" s="15" t="str">
        <f>IFERROR(INDEX('Formulación PDN 2027'!$AH$7:$AH$506,MATCH(ROW()-5,'Formulación PDN 2027'!$AK$7:$AK$506,0))&amp;"","")</f>
        <v/>
      </c>
    </row>
    <row r="148" spans="1:25" x14ac:dyDescent="0.3">
      <c r="A148" s="15" t="str">
        <f>IFERROR(INDEX('Formulación PDN 2027'!$A$7:$A$506,MATCH(ROW()-5,'Formulación PDN 2027'!$AK$7:$AK$506,0))&amp;"","")</f>
        <v/>
      </c>
      <c r="B148" s="20" t="str">
        <f>IFERROR(INDEX('Formulación PDN 2027'!$M$7:$M$506,MATCH(ROW()-5,'Formulación PDN 2027'!$AK$7:$AK$506,0)),"")</f>
        <v/>
      </c>
      <c r="C148" s="15" t="str">
        <f>IFERROR(INDEX('Formulación PDN 2027'!$N$7:$N$506,MATCH(ROW()-5,'Formulación PDN 2027'!$AK$7:$AK$506,0))&amp;"","")</f>
        <v/>
      </c>
      <c r="D148" s="15" t="str">
        <f>IFERROR(INDEX('Formulación PDN 2027'!$L$7:$L$506,MATCH(ROW()-5,'Formulación PDN 2027'!$AK$7:$AK$506,0))&amp;"","")</f>
        <v/>
      </c>
      <c r="E148" s="15" t="str">
        <f>IFERROR(MATCH(INDEX('Formulación PDN 2027'!$O$7:$O$506,MATCH(ROW()-5,'Formulación PDN 2027'!$AK$7:$AK$506,0)),L_MESES,0),"")</f>
        <v/>
      </c>
      <c r="F148" s="15" t="str">
        <f>IFERROR(MATCH(INDEX('Formulación PDN 2027'!$P$7:$P$506,MATCH(ROW()-5,'Formulación PDN 2027'!$AK$7:$AK$506,0)),L_MESES,0),"")</f>
        <v/>
      </c>
      <c r="G148" s="15" t="str">
        <f>IFERROR(INDEX('Formulación PDN 2027'!$Q$7:$Q$506,MATCH(ROW()-5,'Formulación PDN 2027'!$AK$7:$AK$506,0)),"")</f>
        <v/>
      </c>
      <c r="H148" s="15" t="str">
        <f>IFERROR(INDEX('Formulación PDN 2027'!$R$7:$R$506,MATCH(ROW()-5,'Formulación PDN 2027'!$AK$7:$AK$506,0))&amp;"","")</f>
        <v/>
      </c>
      <c r="I148" s="15" t="str">
        <f>IFERROR(INDEX('Formulación PDN 2027'!$S$7:$S$506,MATCH(ROW()-5,'Formulación PDN 2027'!$AK$7:$AK$506,0))&amp;"","")</f>
        <v/>
      </c>
      <c r="J148" s="15" t="str">
        <f>IFERROR(INDEX('Formulación PDN 2027'!$T$7:$T$506,MATCH(ROW()-5,'Formulación PDN 2027'!$AK$7:$AK$506,0))&amp;"","")</f>
        <v/>
      </c>
      <c r="K148" s="43" t="str">
        <f>IFERROR(INDEX('Formulación PDN 2027'!$W$7:$W$506,MATCH(ROW()-5,'Formulación PDN 2027'!$AK$7:$AK$506,0)),"")</f>
        <v/>
      </c>
      <c r="L148" s="43" t="str">
        <f>IFERROR(INDEX('Formulación PDN 2027'!$X$7:$X$506,MATCH(ROW()-5,'Formulación PDN 2027'!$AK$7:$AK$506,0)),"")</f>
        <v/>
      </c>
      <c r="M148" s="15" t="str">
        <f>IFERROR(INDEX('Formulación PDN 2027'!$Y$7:$Y$506,MATCH(ROW()-5,'Formulación PDN 2027'!$AK$7:$AK$506,0))&amp;"","")</f>
        <v/>
      </c>
      <c r="N148" s="15" t="str">
        <f>IFERROR(INDEX('Formulación PDN 2027'!$Z$7:$Z$506,MATCH(ROW()-5,'Formulación PDN 2027'!$AK$7:$AK$506,0))&amp;"","")</f>
        <v/>
      </c>
      <c r="O148" s="15"/>
      <c r="P148" s="15" t="str">
        <f>IFERROR(INDEX('Formulación PDN 2027'!$AA$7:$AA$506,MATCH(ROW()-5,'Formulación PDN 2027'!$AK$7:$AK$506,0))&amp;"","")</f>
        <v/>
      </c>
      <c r="Q148" s="15" t="str">
        <f>IFERROR(INDEX('Formulación PDN 2027'!$AB$7:$AB$506,MATCH(ROW()-5,'Formulación PDN 2027'!$AK$7:$AK$506,0))&amp;"","")</f>
        <v/>
      </c>
      <c r="R148" s="15" t="str">
        <f>IFERROR(INDEX('Formulación PDN 2027'!$AD$7:$AD$506,MATCH(ROW()-5,'Formulación PDN 2027'!$AK$7:$AK$506,0))&amp;"","")</f>
        <v/>
      </c>
      <c r="S148" s="15" t="str">
        <f>IFERROR(INDEX('Formulación PDN 2027'!$AE$7:$AE$506,MATCH(ROW()-5,'Formulación PDN 2027'!$AK$7:$AK$506,0))&amp;"","")</f>
        <v/>
      </c>
      <c r="T148" s="15" t="str">
        <f>IFERROR(INDEX('Formulación PDN 2027'!$C$7:$C$506,MATCH(ROW()-5,'Formulación PDN 2027'!$AK$7:$AK$506,0))&amp;"","")</f>
        <v/>
      </c>
      <c r="U148" s="15" t="str">
        <f>IFERROR(INDEX('Formulación PDN 2027'!$B$7:$B$506,MATCH(ROW()-5,'Formulación PDN 2027'!$AK$7:$AK$506,0))&amp;"","")</f>
        <v/>
      </c>
      <c r="V148" s="15" t="str">
        <f>IFERROR(LEFT(INDEX('Formulación PDN 2027'!$E$7:$E$506,MATCH(ROW()-5,'Formulación PDN 2027'!$AK$7:$AK$506,0)),7),"")</f>
        <v/>
      </c>
      <c r="W148" s="15" t="str">
        <f>IFERROR(INDEX('Formulación PDN 2027'!$H$7:$H$506,MATCH(ROW()-5,'Formulación PDN 2027'!$AK$7:$AK$506,0))&amp;"","")</f>
        <v/>
      </c>
      <c r="X148" s="15" t="str">
        <f>IFERROR(INDEX('Formulación PDN 2027'!$U$7:$U$506,MATCH(ROW()-5,'Formulación PDN 2027'!$AK$7:$AK$506,0))&amp;"","")</f>
        <v/>
      </c>
      <c r="Y148" s="15" t="str">
        <f>IFERROR(INDEX('Formulación PDN 2027'!$AH$7:$AH$506,MATCH(ROW()-5,'Formulación PDN 2027'!$AK$7:$AK$506,0))&amp;"","")</f>
        <v/>
      </c>
    </row>
    <row r="149" spans="1:25" x14ac:dyDescent="0.3">
      <c r="A149" s="15" t="str">
        <f>IFERROR(INDEX('Formulación PDN 2027'!$A$7:$A$506,MATCH(ROW()-5,'Formulación PDN 2027'!$AK$7:$AK$506,0))&amp;"","")</f>
        <v/>
      </c>
      <c r="B149" s="20" t="str">
        <f>IFERROR(INDEX('Formulación PDN 2027'!$M$7:$M$506,MATCH(ROW()-5,'Formulación PDN 2027'!$AK$7:$AK$506,0)),"")</f>
        <v/>
      </c>
      <c r="C149" s="15" t="str">
        <f>IFERROR(INDEX('Formulación PDN 2027'!$N$7:$N$506,MATCH(ROW()-5,'Formulación PDN 2027'!$AK$7:$AK$506,0))&amp;"","")</f>
        <v/>
      </c>
      <c r="D149" s="15" t="str">
        <f>IFERROR(INDEX('Formulación PDN 2027'!$L$7:$L$506,MATCH(ROW()-5,'Formulación PDN 2027'!$AK$7:$AK$506,0))&amp;"","")</f>
        <v/>
      </c>
      <c r="E149" s="15" t="str">
        <f>IFERROR(MATCH(INDEX('Formulación PDN 2027'!$O$7:$O$506,MATCH(ROW()-5,'Formulación PDN 2027'!$AK$7:$AK$506,0)),L_MESES,0),"")</f>
        <v/>
      </c>
      <c r="F149" s="15" t="str">
        <f>IFERROR(MATCH(INDEX('Formulación PDN 2027'!$P$7:$P$506,MATCH(ROW()-5,'Formulación PDN 2027'!$AK$7:$AK$506,0)),L_MESES,0),"")</f>
        <v/>
      </c>
      <c r="G149" s="15" t="str">
        <f>IFERROR(INDEX('Formulación PDN 2027'!$Q$7:$Q$506,MATCH(ROW()-5,'Formulación PDN 2027'!$AK$7:$AK$506,0)),"")</f>
        <v/>
      </c>
      <c r="H149" s="15" t="str">
        <f>IFERROR(INDEX('Formulación PDN 2027'!$R$7:$R$506,MATCH(ROW()-5,'Formulación PDN 2027'!$AK$7:$AK$506,0))&amp;"","")</f>
        <v/>
      </c>
      <c r="I149" s="15" t="str">
        <f>IFERROR(INDEX('Formulación PDN 2027'!$S$7:$S$506,MATCH(ROW()-5,'Formulación PDN 2027'!$AK$7:$AK$506,0))&amp;"","")</f>
        <v/>
      </c>
      <c r="J149" s="15" t="str">
        <f>IFERROR(INDEX('Formulación PDN 2027'!$T$7:$T$506,MATCH(ROW()-5,'Formulación PDN 2027'!$AK$7:$AK$506,0))&amp;"","")</f>
        <v/>
      </c>
      <c r="K149" s="43" t="str">
        <f>IFERROR(INDEX('Formulación PDN 2027'!$W$7:$W$506,MATCH(ROW()-5,'Formulación PDN 2027'!$AK$7:$AK$506,0)),"")</f>
        <v/>
      </c>
      <c r="L149" s="43" t="str">
        <f>IFERROR(INDEX('Formulación PDN 2027'!$X$7:$X$506,MATCH(ROW()-5,'Formulación PDN 2027'!$AK$7:$AK$506,0)),"")</f>
        <v/>
      </c>
      <c r="M149" s="15" t="str">
        <f>IFERROR(INDEX('Formulación PDN 2027'!$Y$7:$Y$506,MATCH(ROW()-5,'Formulación PDN 2027'!$AK$7:$AK$506,0))&amp;"","")</f>
        <v/>
      </c>
      <c r="N149" s="15" t="str">
        <f>IFERROR(INDEX('Formulación PDN 2027'!$Z$7:$Z$506,MATCH(ROW()-5,'Formulación PDN 2027'!$AK$7:$AK$506,0))&amp;"","")</f>
        <v/>
      </c>
      <c r="O149" s="15"/>
      <c r="P149" s="15" t="str">
        <f>IFERROR(INDEX('Formulación PDN 2027'!$AA$7:$AA$506,MATCH(ROW()-5,'Formulación PDN 2027'!$AK$7:$AK$506,0))&amp;"","")</f>
        <v/>
      </c>
      <c r="Q149" s="15" t="str">
        <f>IFERROR(INDEX('Formulación PDN 2027'!$AB$7:$AB$506,MATCH(ROW()-5,'Formulación PDN 2027'!$AK$7:$AK$506,0))&amp;"","")</f>
        <v/>
      </c>
      <c r="R149" s="15" t="str">
        <f>IFERROR(INDEX('Formulación PDN 2027'!$AD$7:$AD$506,MATCH(ROW()-5,'Formulación PDN 2027'!$AK$7:$AK$506,0))&amp;"","")</f>
        <v/>
      </c>
      <c r="S149" s="15" t="str">
        <f>IFERROR(INDEX('Formulación PDN 2027'!$AE$7:$AE$506,MATCH(ROW()-5,'Formulación PDN 2027'!$AK$7:$AK$506,0))&amp;"","")</f>
        <v/>
      </c>
      <c r="T149" s="15" t="str">
        <f>IFERROR(INDEX('Formulación PDN 2027'!$C$7:$C$506,MATCH(ROW()-5,'Formulación PDN 2027'!$AK$7:$AK$506,0))&amp;"","")</f>
        <v/>
      </c>
      <c r="U149" s="15" t="str">
        <f>IFERROR(INDEX('Formulación PDN 2027'!$B$7:$B$506,MATCH(ROW()-5,'Formulación PDN 2027'!$AK$7:$AK$506,0))&amp;"","")</f>
        <v/>
      </c>
      <c r="V149" s="15" t="str">
        <f>IFERROR(LEFT(INDEX('Formulación PDN 2027'!$E$7:$E$506,MATCH(ROW()-5,'Formulación PDN 2027'!$AK$7:$AK$506,0)),7),"")</f>
        <v/>
      </c>
      <c r="W149" s="15" t="str">
        <f>IFERROR(INDEX('Formulación PDN 2027'!$H$7:$H$506,MATCH(ROW()-5,'Formulación PDN 2027'!$AK$7:$AK$506,0))&amp;"","")</f>
        <v/>
      </c>
      <c r="X149" s="15" t="str">
        <f>IFERROR(INDEX('Formulación PDN 2027'!$U$7:$U$506,MATCH(ROW()-5,'Formulación PDN 2027'!$AK$7:$AK$506,0))&amp;"","")</f>
        <v/>
      </c>
      <c r="Y149" s="15" t="str">
        <f>IFERROR(INDEX('Formulación PDN 2027'!$AH$7:$AH$506,MATCH(ROW()-5,'Formulación PDN 2027'!$AK$7:$AK$506,0))&amp;"","")</f>
        <v/>
      </c>
    </row>
    <row r="150" spans="1:25" x14ac:dyDescent="0.3">
      <c r="A150" s="15" t="str">
        <f>IFERROR(INDEX('Formulación PDN 2027'!$A$7:$A$506,MATCH(ROW()-5,'Formulación PDN 2027'!$AK$7:$AK$506,0))&amp;"","")</f>
        <v/>
      </c>
      <c r="B150" s="20" t="str">
        <f>IFERROR(INDEX('Formulación PDN 2027'!$M$7:$M$506,MATCH(ROW()-5,'Formulación PDN 2027'!$AK$7:$AK$506,0)),"")</f>
        <v/>
      </c>
      <c r="C150" s="15" t="str">
        <f>IFERROR(INDEX('Formulación PDN 2027'!$N$7:$N$506,MATCH(ROW()-5,'Formulación PDN 2027'!$AK$7:$AK$506,0))&amp;"","")</f>
        <v/>
      </c>
      <c r="D150" s="15" t="str">
        <f>IFERROR(INDEX('Formulación PDN 2027'!$L$7:$L$506,MATCH(ROW()-5,'Formulación PDN 2027'!$AK$7:$AK$506,0))&amp;"","")</f>
        <v/>
      </c>
      <c r="E150" s="15" t="str">
        <f>IFERROR(MATCH(INDEX('Formulación PDN 2027'!$O$7:$O$506,MATCH(ROW()-5,'Formulación PDN 2027'!$AK$7:$AK$506,0)),L_MESES,0),"")</f>
        <v/>
      </c>
      <c r="F150" s="15" t="str">
        <f>IFERROR(MATCH(INDEX('Formulación PDN 2027'!$P$7:$P$506,MATCH(ROW()-5,'Formulación PDN 2027'!$AK$7:$AK$506,0)),L_MESES,0),"")</f>
        <v/>
      </c>
      <c r="G150" s="15" t="str">
        <f>IFERROR(INDEX('Formulación PDN 2027'!$Q$7:$Q$506,MATCH(ROW()-5,'Formulación PDN 2027'!$AK$7:$AK$506,0)),"")</f>
        <v/>
      </c>
      <c r="H150" s="15" t="str">
        <f>IFERROR(INDEX('Formulación PDN 2027'!$R$7:$R$506,MATCH(ROW()-5,'Formulación PDN 2027'!$AK$7:$AK$506,0))&amp;"","")</f>
        <v/>
      </c>
      <c r="I150" s="15" t="str">
        <f>IFERROR(INDEX('Formulación PDN 2027'!$S$7:$S$506,MATCH(ROW()-5,'Formulación PDN 2027'!$AK$7:$AK$506,0))&amp;"","")</f>
        <v/>
      </c>
      <c r="J150" s="15" t="str">
        <f>IFERROR(INDEX('Formulación PDN 2027'!$T$7:$T$506,MATCH(ROW()-5,'Formulación PDN 2027'!$AK$7:$AK$506,0))&amp;"","")</f>
        <v/>
      </c>
      <c r="K150" s="43" t="str">
        <f>IFERROR(INDEX('Formulación PDN 2027'!$W$7:$W$506,MATCH(ROW()-5,'Formulación PDN 2027'!$AK$7:$AK$506,0)),"")</f>
        <v/>
      </c>
      <c r="L150" s="43" t="str">
        <f>IFERROR(INDEX('Formulación PDN 2027'!$X$7:$X$506,MATCH(ROW()-5,'Formulación PDN 2027'!$AK$7:$AK$506,0)),"")</f>
        <v/>
      </c>
      <c r="M150" s="15" t="str">
        <f>IFERROR(INDEX('Formulación PDN 2027'!$Y$7:$Y$506,MATCH(ROW()-5,'Formulación PDN 2027'!$AK$7:$AK$506,0))&amp;"","")</f>
        <v/>
      </c>
      <c r="N150" s="15" t="str">
        <f>IFERROR(INDEX('Formulación PDN 2027'!$Z$7:$Z$506,MATCH(ROW()-5,'Formulación PDN 2027'!$AK$7:$AK$506,0))&amp;"","")</f>
        <v/>
      </c>
      <c r="O150" s="15"/>
      <c r="P150" s="15" t="str">
        <f>IFERROR(INDEX('Formulación PDN 2027'!$AA$7:$AA$506,MATCH(ROW()-5,'Formulación PDN 2027'!$AK$7:$AK$506,0))&amp;"","")</f>
        <v/>
      </c>
      <c r="Q150" s="15" t="str">
        <f>IFERROR(INDEX('Formulación PDN 2027'!$AB$7:$AB$506,MATCH(ROW()-5,'Formulación PDN 2027'!$AK$7:$AK$506,0))&amp;"","")</f>
        <v/>
      </c>
      <c r="R150" s="15" t="str">
        <f>IFERROR(INDEX('Formulación PDN 2027'!$AD$7:$AD$506,MATCH(ROW()-5,'Formulación PDN 2027'!$AK$7:$AK$506,0))&amp;"","")</f>
        <v/>
      </c>
      <c r="S150" s="15" t="str">
        <f>IFERROR(INDEX('Formulación PDN 2027'!$AE$7:$AE$506,MATCH(ROW()-5,'Formulación PDN 2027'!$AK$7:$AK$506,0))&amp;"","")</f>
        <v/>
      </c>
      <c r="T150" s="15" t="str">
        <f>IFERROR(INDEX('Formulación PDN 2027'!$C$7:$C$506,MATCH(ROW()-5,'Formulación PDN 2027'!$AK$7:$AK$506,0))&amp;"","")</f>
        <v/>
      </c>
      <c r="U150" s="15" t="str">
        <f>IFERROR(INDEX('Formulación PDN 2027'!$B$7:$B$506,MATCH(ROW()-5,'Formulación PDN 2027'!$AK$7:$AK$506,0))&amp;"","")</f>
        <v/>
      </c>
      <c r="V150" s="15" t="str">
        <f>IFERROR(LEFT(INDEX('Formulación PDN 2027'!$E$7:$E$506,MATCH(ROW()-5,'Formulación PDN 2027'!$AK$7:$AK$506,0)),7),"")</f>
        <v/>
      </c>
      <c r="W150" s="15" t="str">
        <f>IFERROR(INDEX('Formulación PDN 2027'!$H$7:$H$506,MATCH(ROW()-5,'Formulación PDN 2027'!$AK$7:$AK$506,0))&amp;"","")</f>
        <v/>
      </c>
      <c r="X150" s="15" t="str">
        <f>IFERROR(INDEX('Formulación PDN 2027'!$U$7:$U$506,MATCH(ROW()-5,'Formulación PDN 2027'!$AK$7:$AK$506,0))&amp;"","")</f>
        <v/>
      </c>
      <c r="Y150" s="15" t="str">
        <f>IFERROR(INDEX('Formulación PDN 2027'!$AH$7:$AH$506,MATCH(ROW()-5,'Formulación PDN 2027'!$AK$7:$AK$506,0))&amp;"","")</f>
        <v/>
      </c>
    </row>
    <row r="151" spans="1:25" x14ac:dyDescent="0.3">
      <c r="A151" s="15" t="str">
        <f>IFERROR(INDEX('Formulación PDN 2027'!$A$7:$A$506,MATCH(ROW()-5,'Formulación PDN 2027'!$AK$7:$AK$506,0))&amp;"","")</f>
        <v/>
      </c>
      <c r="B151" s="20" t="str">
        <f>IFERROR(INDEX('Formulación PDN 2027'!$M$7:$M$506,MATCH(ROW()-5,'Formulación PDN 2027'!$AK$7:$AK$506,0)),"")</f>
        <v/>
      </c>
      <c r="C151" s="15" t="str">
        <f>IFERROR(INDEX('Formulación PDN 2027'!$N$7:$N$506,MATCH(ROW()-5,'Formulación PDN 2027'!$AK$7:$AK$506,0))&amp;"","")</f>
        <v/>
      </c>
      <c r="D151" s="15" t="str">
        <f>IFERROR(INDEX('Formulación PDN 2027'!$L$7:$L$506,MATCH(ROW()-5,'Formulación PDN 2027'!$AK$7:$AK$506,0))&amp;"","")</f>
        <v/>
      </c>
      <c r="E151" s="15" t="str">
        <f>IFERROR(MATCH(INDEX('Formulación PDN 2027'!$O$7:$O$506,MATCH(ROW()-5,'Formulación PDN 2027'!$AK$7:$AK$506,0)),L_MESES,0),"")</f>
        <v/>
      </c>
      <c r="F151" s="15" t="str">
        <f>IFERROR(MATCH(INDEX('Formulación PDN 2027'!$P$7:$P$506,MATCH(ROW()-5,'Formulación PDN 2027'!$AK$7:$AK$506,0)),L_MESES,0),"")</f>
        <v/>
      </c>
      <c r="G151" s="15" t="str">
        <f>IFERROR(INDEX('Formulación PDN 2027'!$Q$7:$Q$506,MATCH(ROW()-5,'Formulación PDN 2027'!$AK$7:$AK$506,0)),"")</f>
        <v/>
      </c>
      <c r="H151" s="15" t="str">
        <f>IFERROR(INDEX('Formulación PDN 2027'!$R$7:$R$506,MATCH(ROW()-5,'Formulación PDN 2027'!$AK$7:$AK$506,0))&amp;"","")</f>
        <v/>
      </c>
      <c r="I151" s="15" t="str">
        <f>IFERROR(INDEX('Formulación PDN 2027'!$S$7:$S$506,MATCH(ROW()-5,'Formulación PDN 2027'!$AK$7:$AK$506,0))&amp;"","")</f>
        <v/>
      </c>
      <c r="J151" s="15" t="str">
        <f>IFERROR(INDEX('Formulación PDN 2027'!$T$7:$T$506,MATCH(ROW()-5,'Formulación PDN 2027'!$AK$7:$AK$506,0))&amp;"","")</f>
        <v/>
      </c>
      <c r="K151" s="43" t="str">
        <f>IFERROR(INDEX('Formulación PDN 2027'!$W$7:$W$506,MATCH(ROW()-5,'Formulación PDN 2027'!$AK$7:$AK$506,0)),"")</f>
        <v/>
      </c>
      <c r="L151" s="43" t="str">
        <f>IFERROR(INDEX('Formulación PDN 2027'!$X$7:$X$506,MATCH(ROW()-5,'Formulación PDN 2027'!$AK$7:$AK$506,0)),"")</f>
        <v/>
      </c>
      <c r="M151" s="15" t="str">
        <f>IFERROR(INDEX('Formulación PDN 2027'!$Y$7:$Y$506,MATCH(ROW()-5,'Formulación PDN 2027'!$AK$7:$AK$506,0))&amp;"","")</f>
        <v/>
      </c>
      <c r="N151" s="15" t="str">
        <f>IFERROR(INDEX('Formulación PDN 2027'!$Z$7:$Z$506,MATCH(ROW()-5,'Formulación PDN 2027'!$AK$7:$AK$506,0))&amp;"","")</f>
        <v/>
      </c>
      <c r="O151" s="15"/>
      <c r="P151" s="15" t="str">
        <f>IFERROR(INDEX('Formulación PDN 2027'!$AA$7:$AA$506,MATCH(ROW()-5,'Formulación PDN 2027'!$AK$7:$AK$506,0))&amp;"","")</f>
        <v/>
      </c>
      <c r="Q151" s="15" t="str">
        <f>IFERROR(INDEX('Formulación PDN 2027'!$AB$7:$AB$506,MATCH(ROW()-5,'Formulación PDN 2027'!$AK$7:$AK$506,0))&amp;"","")</f>
        <v/>
      </c>
      <c r="R151" s="15" t="str">
        <f>IFERROR(INDEX('Formulación PDN 2027'!$AD$7:$AD$506,MATCH(ROW()-5,'Formulación PDN 2027'!$AK$7:$AK$506,0))&amp;"","")</f>
        <v/>
      </c>
      <c r="S151" s="15" t="str">
        <f>IFERROR(INDEX('Formulación PDN 2027'!$AE$7:$AE$506,MATCH(ROW()-5,'Formulación PDN 2027'!$AK$7:$AK$506,0))&amp;"","")</f>
        <v/>
      </c>
      <c r="T151" s="15" t="str">
        <f>IFERROR(INDEX('Formulación PDN 2027'!$C$7:$C$506,MATCH(ROW()-5,'Formulación PDN 2027'!$AK$7:$AK$506,0))&amp;"","")</f>
        <v/>
      </c>
      <c r="U151" s="15" t="str">
        <f>IFERROR(INDEX('Formulación PDN 2027'!$B$7:$B$506,MATCH(ROW()-5,'Formulación PDN 2027'!$AK$7:$AK$506,0))&amp;"","")</f>
        <v/>
      </c>
      <c r="V151" s="15" t="str">
        <f>IFERROR(LEFT(INDEX('Formulación PDN 2027'!$E$7:$E$506,MATCH(ROW()-5,'Formulación PDN 2027'!$AK$7:$AK$506,0)),7),"")</f>
        <v/>
      </c>
      <c r="W151" s="15" t="str">
        <f>IFERROR(INDEX('Formulación PDN 2027'!$H$7:$H$506,MATCH(ROW()-5,'Formulación PDN 2027'!$AK$7:$AK$506,0))&amp;"","")</f>
        <v/>
      </c>
      <c r="X151" s="15" t="str">
        <f>IFERROR(INDEX('Formulación PDN 2027'!$U$7:$U$506,MATCH(ROW()-5,'Formulación PDN 2027'!$AK$7:$AK$506,0))&amp;"","")</f>
        <v/>
      </c>
      <c r="Y151" s="15" t="str">
        <f>IFERROR(INDEX('Formulación PDN 2027'!$AH$7:$AH$506,MATCH(ROW()-5,'Formulación PDN 2027'!$AK$7:$AK$506,0))&amp;"","")</f>
        <v/>
      </c>
    </row>
    <row r="152" spans="1:25" x14ac:dyDescent="0.3">
      <c r="A152" s="15" t="str">
        <f>IFERROR(INDEX('Formulación PDN 2027'!$A$7:$A$506,MATCH(ROW()-5,'Formulación PDN 2027'!$AK$7:$AK$506,0))&amp;"","")</f>
        <v/>
      </c>
      <c r="B152" s="20" t="str">
        <f>IFERROR(INDEX('Formulación PDN 2027'!$M$7:$M$506,MATCH(ROW()-5,'Formulación PDN 2027'!$AK$7:$AK$506,0)),"")</f>
        <v/>
      </c>
      <c r="C152" s="15" t="str">
        <f>IFERROR(INDEX('Formulación PDN 2027'!$N$7:$N$506,MATCH(ROW()-5,'Formulación PDN 2027'!$AK$7:$AK$506,0))&amp;"","")</f>
        <v/>
      </c>
      <c r="D152" s="15" t="str">
        <f>IFERROR(INDEX('Formulación PDN 2027'!$L$7:$L$506,MATCH(ROW()-5,'Formulación PDN 2027'!$AK$7:$AK$506,0))&amp;"","")</f>
        <v/>
      </c>
      <c r="E152" s="15" t="str">
        <f>IFERROR(MATCH(INDEX('Formulación PDN 2027'!$O$7:$O$506,MATCH(ROW()-5,'Formulación PDN 2027'!$AK$7:$AK$506,0)),L_MESES,0),"")</f>
        <v/>
      </c>
      <c r="F152" s="15" t="str">
        <f>IFERROR(MATCH(INDEX('Formulación PDN 2027'!$P$7:$P$506,MATCH(ROW()-5,'Formulación PDN 2027'!$AK$7:$AK$506,0)),L_MESES,0),"")</f>
        <v/>
      </c>
      <c r="G152" s="15" t="str">
        <f>IFERROR(INDEX('Formulación PDN 2027'!$Q$7:$Q$506,MATCH(ROW()-5,'Formulación PDN 2027'!$AK$7:$AK$506,0)),"")</f>
        <v/>
      </c>
      <c r="H152" s="15" t="str">
        <f>IFERROR(INDEX('Formulación PDN 2027'!$R$7:$R$506,MATCH(ROW()-5,'Formulación PDN 2027'!$AK$7:$AK$506,0))&amp;"","")</f>
        <v/>
      </c>
      <c r="I152" s="15" t="str">
        <f>IFERROR(INDEX('Formulación PDN 2027'!$S$7:$S$506,MATCH(ROW()-5,'Formulación PDN 2027'!$AK$7:$AK$506,0))&amp;"","")</f>
        <v/>
      </c>
      <c r="J152" s="15" t="str">
        <f>IFERROR(INDEX('Formulación PDN 2027'!$T$7:$T$506,MATCH(ROW()-5,'Formulación PDN 2027'!$AK$7:$AK$506,0))&amp;"","")</f>
        <v/>
      </c>
      <c r="K152" s="43" t="str">
        <f>IFERROR(INDEX('Formulación PDN 2027'!$W$7:$W$506,MATCH(ROW()-5,'Formulación PDN 2027'!$AK$7:$AK$506,0)),"")</f>
        <v/>
      </c>
      <c r="L152" s="43" t="str">
        <f>IFERROR(INDEX('Formulación PDN 2027'!$X$7:$X$506,MATCH(ROW()-5,'Formulación PDN 2027'!$AK$7:$AK$506,0)),"")</f>
        <v/>
      </c>
      <c r="M152" s="15" t="str">
        <f>IFERROR(INDEX('Formulación PDN 2027'!$Y$7:$Y$506,MATCH(ROW()-5,'Formulación PDN 2027'!$AK$7:$AK$506,0))&amp;"","")</f>
        <v/>
      </c>
      <c r="N152" s="15" t="str">
        <f>IFERROR(INDEX('Formulación PDN 2027'!$Z$7:$Z$506,MATCH(ROW()-5,'Formulación PDN 2027'!$AK$7:$AK$506,0))&amp;"","")</f>
        <v/>
      </c>
      <c r="O152" s="15"/>
      <c r="P152" s="15" t="str">
        <f>IFERROR(INDEX('Formulación PDN 2027'!$AA$7:$AA$506,MATCH(ROW()-5,'Formulación PDN 2027'!$AK$7:$AK$506,0))&amp;"","")</f>
        <v/>
      </c>
      <c r="Q152" s="15" t="str">
        <f>IFERROR(INDEX('Formulación PDN 2027'!$AB$7:$AB$506,MATCH(ROW()-5,'Formulación PDN 2027'!$AK$7:$AK$506,0))&amp;"","")</f>
        <v/>
      </c>
      <c r="R152" s="15" t="str">
        <f>IFERROR(INDEX('Formulación PDN 2027'!$AD$7:$AD$506,MATCH(ROW()-5,'Formulación PDN 2027'!$AK$7:$AK$506,0))&amp;"","")</f>
        <v/>
      </c>
      <c r="S152" s="15" t="str">
        <f>IFERROR(INDEX('Formulación PDN 2027'!$AE$7:$AE$506,MATCH(ROW()-5,'Formulación PDN 2027'!$AK$7:$AK$506,0))&amp;"","")</f>
        <v/>
      </c>
      <c r="T152" s="15" t="str">
        <f>IFERROR(INDEX('Formulación PDN 2027'!$C$7:$C$506,MATCH(ROW()-5,'Formulación PDN 2027'!$AK$7:$AK$506,0))&amp;"","")</f>
        <v/>
      </c>
      <c r="U152" s="15" t="str">
        <f>IFERROR(INDEX('Formulación PDN 2027'!$B$7:$B$506,MATCH(ROW()-5,'Formulación PDN 2027'!$AK$7:$AK$506,0))&amp;"","")</f>
        <v/>
      </c>
      <c r="V152" s="15" t="str">
        <f>IFERROR(LEFT(INDEX('Formulación PDN 2027'!$E$7:$E$506,MATCH(ROW()-5,'Formulación PDN 2027'!$AK$7:$AK$506,0)),7),"")</f>
        <v/>
      </c>
      <c r="W152" s="15" t="str">
        <f>IFERROR(INDEX('Formulación PDN 2027'!$H$7:$H$506,MATCH(ROW()-5,'Formulación PDN 2027'!$AK$7:$AK$506,0))&amp;"","")</f>
        <v/>
      </c>
      <c r="X152" s="15" t="str">
        <f>IFERROR(INDEX('Formulación PDN 2027'!$U$7:$U$506,MATCH(ROW()-5,'Formulación PDN 2027'!$AK$7:$AK$506,0))&amp;"","")</f>
        <v/>
      </c>
      <c r="Y152" s="15" t="str">
        <f>IFERROR(INDEX('Formulación PDN 2027'!$AH$7:$AH$506,MATCH(ROW()-5,'Formulación PDN 2027'!$AK$7:$AK$506,0))&amp;"","")</f>
        <v/>
      </c>
    </row>
    <row r="153" spans="1:25" x14ac:dyDescent="0.3">
      <c r="A153" s="15" t="str">
        <f>IFERROR(INDEX('Formulación PDN 2027'!$A$7:$A$506,MATCH(ROW()-5,'Formulación PDN 2027'!$AK$7:$AK$506,0))&amp;"","")</f>
        <v/>
      </c>
      <c r="B153" s="20" t="str">
        <f>IFERROR(INDEX('Formulación PDN 2027'!$M$7:$M$506,MATCH(ROW()-5,'Formulación PDN 2027'!$AK$7:$AK$506,0)),"")</f>
        <v/>
      </c>
      <c r="C153" s="15" t="str">
        <f>IFERROR(INDEX('Formulación PDN 2027'!$N$7:$N$506,MATCH(ROW()-5,'Formulación PDN 2027'!$AK$7:$AK$506,0))&amp;"","")</f>
        <v/>
      </c>
      <c r="D153" s="15" t="str">
        <f>IFERROR(INDEX('Formulación PDN 2027'!$L$7:$L$506,MATCH(ROW()-5,'Formulación PDN 2027'!$AK$7:$AK$506,0))&amp;"","")</f>
        <v/>
      </c>
      <c r="E153" s="15" t="str">
        <f>IFERROR(MATCH(INDEX('Formulación PDN 2027'!$O$7:$O$506,MATCH(ROW()-5,'Formulación PDN 2027'!$AK$7:$AK$506,0)),L_MESES,0),"")</f>
        <v/>
      </c>
      <c r="F153" s="15" t="str">
        <f>IFERROR(MATCH(INDEX('Formulación PDN 2027'!$P$7:$P$506,MATCH(ROW()-5,'Formulación PDN 2027'!$AK$7:$AK$506,0)),L_MESES,0),"")</f>
        <v/>
      </c>
      <c r="G153" s="15" t="str">
        <f>IFERROR(INDEX('Formulación PDN 2027'!$Q$7:$Q$506,MATCH(ROW()-5,'Formulación PDN 2027'!$AK$7:$AK$506,0)),"")</f>
        <v/>
      </c>
      <c r="H153" s="15" t="str">
        <f>IFERROR(INDEX('Formulación PDN 2027'!$R$7:$R$506,MATCH(ROW()-5,'Formulación PDN 2027'!$AK$7:$AK$506,0))&amp;"","")</f>
        <v/>
      </c>
      <c r="I153" s="15" t="str">
        <f>IFERROR(INDEX('Formulación PDN 2027'!$S$7:$S$506,MATCH(ROW()-5,'Formulación PDN 2027'!$AK$7:$AK$506,0))&amp;"","")</f>
        <v/>
      </c>
      <c r="J153" s="15" t="str">
        <f>IFERROR(INDEX('Formulación PDN 2027'!$T$7:$T$506,MATCH(ROW()-5,'Formulación PDN 2027'!$AK$7:$AK$506,0))&amp;"","")</f>
        <v/>
      </c>
      <c r="K153" s="43" t="str">
        <f>IFERROR(INDEX('Formulación PDN 2027'!$W$7:$W$506,MATCH(ROW()-5,'Formulación PDN 2027'!$AK$7:$AK$506,0)),"")</f>
        <v/>
      </c>
      <c r="L153" s="43" t="str">
        <f>IFERROR(INDEX('Formulación PDN 2027'!$X$7:$X$506,MATCH(ROW()-5,'Formulación PDN 2027'!$AK$7:$AK$506,0)),"")</f>
        <v/>
      </c>
      <c r="M153" s="15" t="str">
        <f>IFERROR(INDEX('Formulación PDN 2027'!$Y$7:$Y$506,MATCH(ROW()-5,'Formulación PDN 2027'!$AK$7:$AK$506,0))&amp;"","")</f>
        <v/>
      </c>
      <c r="N153" s="15" t="str">
        <f>IFERROR(INDEX('Formulación PDN 2027'!$Z$7:$Z$506,MATCH(ROW()-5,'Formulación PDN 2027'!$AK$7:$AK$506,0))&amp;"","")</f>
        <v/>
      </c>
      <c r="O153" s="15"/>
      <c r="P153" s="15" t="str">
        <f>IFERROR(INDEX('Formulación PDN 2027'!$AA$7:$AA$506,MATCH(ROW()-5,'Formulación PDN 2027'!$AK$7:$AK$506,0))&amp;"","")</f>
        <v/>
      </c>
      <c r="Q153" s="15" t="str">
        <f>IFERROR(INDEX('Formulación PDN 2027'!$AB$7:$AB$506,MATCH(ROW()-5,'Formulación PDN 2027'!$AK$7:$AK$506,0))&amp;"","")</f>
        <v/>
      </c>
      <c r="R153" s="15" t="str">
        <f>IFERROR(INDEX('Formulación PDN 2027'!$AD$7:$AD$506,MATCH(ROW()-5,'Formulación PDN 2027'!$AK$7:$AK$506,0))&amp;"","")</f>
        <v/>
      </c>
      <c r="S153" s="15" t="str">
        <f>IFERROR(INDEX('Formulación PDN 2027'!$AE$7:$AE$506,MATCH(ROW()-5,'Formulación PDN 2027'!$AK$7:$AK$506,0))&amp;"","")</f>
        <v/>
      </c>
      <c r="T153" s="15" t="str">
        <f>IFERROR(INDEX('Formulación PDN 2027'!$C$7:$C$506,MATCH(ROW()-5,'Formulación PDN 2027'!$AK$7:$AK$506,0))&amp;"","")</f>
        <v/>
      </c>
      <c r="U153" s="15" t="str">
        <f>IFERROR(INDEX('Formulación PDN 2027'!$B$7:$B$506,MATCH(ROW()-5,'Formulación PDN 2027'!$AK$7:$AK$506,0))&amp;"","")</f>
        <v/>
      </c>
      <c r="V153" s="15" t="str">
        <f>IFERROR(LEFT(INDEX('Formulación PDN 2027'!$E$7:$E$506,MATCH(ROW()-5,'Formulación PDN 2027'!$AK$7:$AK$506,0)),7),"")</f>
        <v/>
      </c>
      <c r="W153" s="15" t="str">
        <f>IFERROR(INDEX('Formulación PDN 2027'!$H$7:$H$506,MATCH(ROW()-5,'Formulación PDN 2027'!$AK$7:$AK$506,0))&amp;"","")</f>
        <v/>
      </c>
      <c r="X153" s="15" t="str">
        <f>IFERROR(INDEX('Formulación PDN 2027'!$U$7:$U$506,MATCH(ROW()-5,'Formulación PDN 2027'!$AK$7:$AK$506,0))&amp;"","")</f>
        <v/>
      </c>
      <c r="Y153" s="15" t="str">
        <f>IFERROR(INDEX('Formulación PDN 2027'!$AH$7:$AH$506,MATCH(ROW()-5,'Formulación PDN 2027'!$AK$7:$AK$506,0))&amp;"","")</f>
        <v/>
      </c>
    </row>
    <row r="154" spans="1:25" x14ac:dyDescent="0.3">
      <c r="A154" s="15" t="str">
        <f>IFERROR(INDEX('Formulación PDN 2027'!$A$7:$A$506,MATCH(ROW()-5,'Formulación PDN 2027'!$AK$7:$AK$506,0))&amp;"","")</f>
        <v/>
      </c>
      <c r="B154" s="20" t="str">
        <f>IFERROR(INDEX('Formulación PDN 2027'!$M$7:$M$506,MATCH(ROW()-5,'Formulación PDN 2027'!$AK$7:$AK$506,0)),"")</f>
        <v/>
      </c>
      <c r="C154" s="15" t="str">
        <f>IFERROR(INDEX('Formulación PDN 2027'!$N$7:$N$506,MATCH(ROW()-5,'Formulación PDN 2027'!$AK$7:$AK$506,0))&amp;"","")</f>
        <v/>
      </c>
      <c r="D154" s="15" t="str">
        <f>IFERROR(INDEX('Formulación PDN 2027'!$L$7:$L$506,MATCH(ROW()-5,'Formulación PDN 2027'!$AK$7:$AK$506,0))&amp;"","")</f>
        <v/>
      </c>
      <c r="E154" s="15" t="str">
        <f>IFERROR(MATCH(INDEX('Formulación PDN 2027'!$O$7:$O$506,MATCH(ROW()-5,'Formulación PDN 2027'!$AK$7:$AK$506,0)),L_MESES,0),"")</f>
        <v/>
      </c>
      <c r="F154" s="15" t="str">
        <f>IFERROR(MATCH(INDEX('Formulación PDN 2027'!$P$7:$P$506,MATCH(ROW()-5,'Formulación PDN 2027'!$AK$7:$AK$506,0)),L_MESES,0),"")</f>
        <v/>
      </c>
      <c r="G154" s="15" t="str">
        <f>IFERROR(INDEX('Formulación PDN 2027'!$Q$7:$Q$506,MATCH(ROW()-5,'Formulación PDN 2027'!$AK$7:$AK$506,0)),"")</f>
        <v/>
      </c>
      <c r="H154" s="15" t="str">
        <f>IFERROR(INDEX('Formulación PDN 2027'!$R$7:$R$506,MATCH(ROW()-5,'Formulación PDN 2027'!$AK$7:$AK$506,0))&amp;"","")</f>
        <v/>
      </c>
      <c r="I154" s="15" t="str">
        <f>IFERROR(INDEX('Formulación PDN 2027'!$S$7:$S$506,MATCH(ROW()-5,'Formulación PDN 2027'!$AK$7:$AK$506,0))&amp;"","")</f>
        <v/>
      </c>
      <c r="J154" s="15" t="str">
        <f>IFERROR(INDEX('Formulación PDN 2027'!$T$7:$T$506,MATCH(ROW()-5,'Formulación PDN 2027'!$AK$7:$AK$506,0))&amp;"","")</f>
        <v/>
      </c>
      <c r="K154" s="43" t="str">
        <f>IFERROR(INDEX('Formulación PDN 2027'!$W$7:$W$506,MATCH(ROW()-5,'Formulación PDN 2027'!$AK$7:$AK$506,0)),"")</f>
        <v/>
      </c>
      <c r="L154" s="43" t="str">
        <f>IFERROR(INDEX('Formulación PDN 2027'!$X$7:$X$506,MATCH(ROW()-5,'Formulación PDN 2027'!$AK$7:$AK$506,0)),"")</f>
        <v/>
      </c>
      <c r="M154" s="15" t="str">
        <f>IFERROR(INDEX('Formulación PDN 2027'!$Y$7:$Y$506,MATCH(ROW()-5,'Formulación PDN 2027'!$AK$7:$AK$506,0))&amp;"","")</f>
        <v/>
      </c>
      <c r="N154" s="15" t="str">
        <f>IFERROR(INDEX('Formulación PDN 2027'!$Z$7:$Z$506,MATCH(ROW()-5,'Formulación PDN 2027'!$AK$7:$AK$506,0))&amp;"","")</f>
        <v/>
      </c>
      <c r="O154" s="15"/>
      <c r="P154" s="15" t="str">
        <f>IFERROR(INDEX('Formulación PDN 2027'!$AA$7:$AA$506,MATCH(ROW()-5,'Formulación PDN 2027'!$AK$7:$AK$506,0))&amp;"","")</f>
        <v/>
      </c>
      <c r="Q154" s="15" t="str">
        <f>IFERROR(INDEX('Formulación PDN 2027'!$AB$7:$AB$506,MATCH(ROW()-5,'Formulación PDN 2027'!$AK$7:$AK$506,0))&amp;"","")</f>
        <v/>
      </c>
      <c r="R154" s="15" t="str">
        <f>IFERROR(INDEX('Formulación PDN 2027'!$AD$7:$AD$506,MATCH(ROW()-5,'Formulación PDN 2027'!$AK$7:$AK$506,0))&amp;"","")</f>
        <v/>
      </c>
      <c r="S154" s="15" t="str">
        <f>IFERROR(INDEX('Formulación PDN 2027'!$AE$7:$AE$506,MATCH(ROW()-5,'Formulación PDN 2027'!$AK$7:$AK$506,0))&amp;"","")</f>
        <v/>
      </c>
      <c r="T154" s="15" t="str">
        <f>IFERROR(INDEX('Formulación PDN 2027'!$C$7:$C$506,MATCH(ROW()-5,'Formulación PDN 2027'!$AK$7:$AK$506,0))&amp;"","")</f>
        <v/>
      </c>
      <c r="U154" s="15" t="str">
        <f>IFERROR(INDEX('Formulación PDN 2027'!$B$7:$B$506,MATCH(ROW()-5,'Formulación PDN 2027'!$AK$7:$AK$506,0))&amp;"","")</f>
        <v/>
      </c>
      <c r="V154" s="15" t="str">
        <f>IFERROR(LEFT(INDEX('Formulación PDN 2027'!$E$7:$E$506,MATCH(ROW()-5,'Formulación PDN 2027'!$AK$7:$AK$506,0)),7),"")</f>
        <v/>
      </c>
      <c r="W154" s="15" t="str">
        <f>IFERROR(INDEX('Formulación PDN 2027'!$H$7:$H$506,MATCH(ROW()-5,'Formulación PDN 2027'!$AK$7:$AK$506,0))&amp;"","")</f>
        <v/>
      </c>
      <c r="X154" s="15" t="str">
        <f>IFERROR(INDEX('Formulación PDN 2027'!$U$7:$U$506,MATCH(ROW()-5,'Formulación PDN 2027'!$AK$7:$AK$506,0))&amp;"","")</f>
        <v/>
      </c>
      <c r="Y154" s="15" t="str">
        <f>IFERROR(INDEX('Formulación PDN 2027'!$AH$7:$AH$506,MATCH(ROW()-5,'Formulación PDN 2027'!$AK$7:$AK$506,0))&amp;"","")</f>
        <v/>
      </c>
    </row>
    <row r="155" spans="1:25" x14ac:dyDescent="0.3">
      <c r="A155" s="15" t="str">
        <f>IFERROR(INDEX('Formulación PDN 2027'!$A$7:$A$506,MATCH(ROW()-5,'Formulación PDN 2027'!$AK$7:$AK$506,0))&amp;"","")</f>
        <v/>
      </c>
      <c r="B155" s="20" t="str">
        <f>IFERROR(INDEX('Formulación PDN 2027'!$M$7:$M$506,MATCH(ROW()-5,'Formulación PDN 2027'!$AK$7:$AK$506,0)),"")</f>
        <v/>
      </c>
      <c r="C155" s="15" t="str">
        <f>IFERROR(INDEX('Formulación PDN 2027'!$N$7:$N$506,MATCH(ROW()-5,'Formulación PDN 2027'!$AK$7:$AK$506,0))&amp;"","")</f>
        <v/>
      </c>
      <c r="D155" s="15" t="str">
        <f>IFERROR(INDEX('Formulación PDN 2027'!$L$7:$L$506,MATCH(ROW()-5,'Formulación PDN 2027'!$AK$7:$AK$506,0))&amp;"","")</f>
        <v/>
      </c>
      <c r="E155" s="15" t="str">
        <f>IFERROR(MATCH(INDEX('Formulación PDN 2027'!$O$7:$O$506,MATCH(ROW()-5,'Formulación PDN 2027'!$AK$7:$AK$506,0)),L_MESES,0),"")</f>
        <v/>
      </c>
      <c r="F155" s="15" t="str">
        <f>IFERROR(MATCH(INDEX('Formulación PDN 2027'!$P$7:$P$506,MATCH(ROW()-5,'Formulación PDN 2027'!$AK$7:$AK$506,0)),L_MESES,0),"")</f>
        <v/>
      </c>
      <c r="G155" s="15" t="str">
        <f>IFERROR(INDEX('Formulación PDN 2027'!$Q$7:$Q$506,MATCH(ROW()-5,'Formulación PDN 2027'!$AK$7:$AK$506,0)),"")</f>
        <v/>
      </c>
      <c r="H155" s="15" t="str">
        <f>IFERROR(INDEX('Formulación PDN 2027'!$R$7:$R$506,MATCH(ROW()-5,'Formulación PDN 2027'!$AK$7:$AK$506,0))&amp;"","")</f>
        <v/>
      </c>
      <c r="I155" s="15" t="str">
        <f>IFERROR(INDEX('Formulación PDN 2027'!$S$7:$S$506,MATCH(ROW()-5,'Formulación PDN 2027'!$AK$7:$AK$506,0))&amp;"","")</f>
        <v/>
      </c>
      <c r="J155" s="15" t="str">
        <f>IFERROR(INDEX('Formulación PDN 2027'!$T$7:$T$506,MATCH(ROW()-5,'Formulación PDN 2027'!$AK$7:$AK$506,0))&amp;"","")</f>
        <v/>
      </c>
      <c r="K155" s="43" t="str">
        <f>IFERROR(INDEX('Formulación PDN 2027'!$W$7:$W$506,MATCH(ROW()-5,'Formulación PDN 2027'!$AK$7:$AK$506,0)),"")</f>
        <v/>
      </c>
      <c r="L155" s="43" t="str">
        <f>IFERROR(INDEX('Formulación PDN 2027'!$X$7:$X$506,MATCH(ROW()-5,'Formulación PDN 2027'!$AK$7:$AK$506,0)),"")</f>
        <v/>
      </c>
      <c r="M155" s="15" t="str">
        <f>IFERROR(INDEX('Formulación PDN 2027'!$Y$7:$Y$506,MATCH(ROW()-5,'Formulación PDN 2027'!$AK$7:$AK$506,0))&amp;"","")</f>
        <v/>
      </c>
      <c r="N155" s="15" t="str">
        <f>IFERROR(INDEX('Formulación PDN 2027'!$Z$7:$Z$506,MATCH(ROW()-5,'Formulación PDN 2027'!$AK$7:$AK$506,0))&amp;"","")</f>
        <v/>
      </c>
      <c r="O155" s="15"/>
      <c r="P155" s="15" t="str">
        <f>IFERROR(INDEX('Formulación PDN 2027'!$AA$7:$AA$506,MATCH(ROW()-5,'Formulación PDN 2027'!$AK$7:$AK$506,0))&amp;"","")</f>
        <v/>
      </c>
      <c r="Q155" s="15" t="str">
        <f>IFERROR(INDEX('Formulación PDN 2027'!$AB$7:$AB$506,MATCH(ROW()-5,'Formulación PDN 2027'!$AK$7:$AK$506,0))&amp;"","")</f>
        <v/>
      </c>
      <c r="R155" s="15" t="str">
        <f>IFERROR(INDEX('Formulación PDN 2027'!$AD$7:$AD$506,MATCH(ROW()-5,'Formulación PDN 2027'!$AK$7:$AK$506,0))&amp;"","")</f>
        <v/>
      </c>
      <c r="S155" s="15" t="str">
        <f>IFERROR(INDEX('Formulación PDN 2027'!$AE$7:$AE$506,MATCH(ROW()-5,'Formulación PDN 2027'!$AK$7:$AK$506,0))&amp;"","")</f>
        <v/>
      </c>
      <c r="T155" s="15" t="str">
        <f>IFERROR(INDEX('Formulación PDN 2027'!$C$7:$C$506,MATCH(ROW()-5,'Formulación PDN 2027'!$AK$7:$AK$506,0))&amp;"","")</f>
        <v/>
      </c>
      <c r="U155" s="15" t="str">
        <f>IFERROR(INDEX('Formulación PDN 2027'!$B$7:$B$506,MATCH(ROW()-5,'Formulación PDN 2027'!$AK$7:$AK$506,0))&amp;"","")</f>
        <v/>
      </c>
      <c r="V155" s="15" t="str">
        <f>IFERROR(LEFT(INDEX('Formulación PDN 2027'!$E$7:$E$506,MATCH(ROW()-5,'Formulación PDN 2027'!$AK$7:$AK$506,0)),7),"")</f>
        <v/>
      </c>
      <c r="W155" s="15" t="str">
        <f>IFERROR(INDEX('Formulación PDN 2027'!$H$7:$H$506,MATCH(ROW()-5,'Formulación PDN 2027'!$AK$7:$AK$506,0))&amp;"","")</f>
        <v/>
      </c>
      <c r="X155" s="15" t="str">
        <f>IFERROR(INDEX('Formulación PDN 2027'!$U$7:$U$506,MATCH(ROW()-5,'Formulación PDN 2027'!$AK$7:$AK$506,0))&amp;"","")</f>
        <v/>
      </c>
      <c r="Y155" s="15" t="str">
        <f>IFERROR(INDEX('Formulación PDN 2027'!$AH$7:$AH$506,MATCH(ROW()-5,'Formulación PDN 2027'!$AK$7:$AK$506,0))&amp;"","")</f>
        <v/>
      </c>
    </row>
    <row r="156" spans="1:25" x14ac:dyDescent="0.3">
      <c r="A156" s="15" t="str">
        <f>IFERROR(INDEX('Formulación PDN 2027'!$A$7:$A$506,MATCH(ROW()-5,'Formulación PDN 2027'!$AK$7:$AK$506,0))&amp;"","")</f>
        <v/>
      </c>
      <c r="B156" s="20" t="str">
        <f>IFERROR(INDEX('Formulación PDN 2027'!$M$7:$M$506,MATCH(ROW()-5,'Formulación PDN 2027'!$AK$7:$AK$506,0)),"")</f>
        <v/>
      </c>
      <c r="C156" s="15" t="str">
        <f>IFERROR(INDEX('Formulación PDN 2027'!$N$7:$N$506,MATCH(ROW()-5,'Formulación PDN 2027'!$AK$7:$AK$506,0))&amp;"","")</f>
        <v/>
      </c>
      <c r="D156" s="15" t="str">
        <f>IFERROR(INDEX('Formulación PDN 2027'!$L$7:$L$506,MATCH(ROW()-5,'Formulación PDN 2027'!$AK$7:$AK$506,0))&amp;"","")</f>
        <v/>
      </c>
      <c r="E156" s="15" t="str">
        <f>IFERROR(MATCH(INDEX('Formulación PDN 2027'!$O$7:$O$506,MATCH(ROW()-5,'Formulación PDN 2027'!$AK$7:$AK$506,0)),L_MESES,0),"")</f>
        <v/>
      </c>
      <c r="F156" s="15" t="str">
        <f>IFERROR(MATCH(INDEX('Formulación PDN 2027'!$P$7:$P$506,MATCH(ROW()-5,'Formulación PDN 2027'!$AK$7:$AK$506,0)),L_MESES,0),"")</f>
        <v/>
      </c>
      <c r="G156" s="15" t="str">
        <f>IFERROR(INDEX('Formulación PDN 2027'!$Q$7:$Q$506,MATCH(ROW()-5,'Formulación PDN 2027'!$AK$7:$AK$506,0)),"")</f>
        <v/>
      </c>
      <c r="H156" s="15" t="str">
        <f>IFERROR(INDEX('Formulación PDN 2027'!$R$7:$R$506,MATCH(ROW()-5,'Formulación PDN 2027'!$AK$7:$AK$506,0))&amp;"","")</f>
        <v/>
      </c>
      <c r="I156" s="15" t="str">
        <f>IFERROR(INDEX('Formulación PDN 2027'!$S$7:$S$506,MATCH(ROW()-5,'Formulación PDN 2027'!$AK$7:$AK$506,0))&amp;"","")</f>
        <v/>
      </c>
      <c r="J156" s="15" t="str">
        <f>IFERROR(INDEX('Formulación PDN 2027'!$T$7:$T$506,MATCH(ROW()-5,'Formulación PDN 2027'!$AK$7:$AK$506,0))&amp;"","")</f>
        <v/>
      </c>
      <c r="K156" s="43" t="str">
        <f>IFERROR(INDEX('Formulación PDN 2027'!$W$7:$W$506,MATCH(ROW()-5,'Formulación PDN 2027'!$AK$7:$AK$506,0)),"")</f>
        <v/>
      </c>
      <c r="L156" s="43" t="str">
        <f>IFERROR(INDEX('Formulación PDN 2027'!$X$7:$X$506,MATCH(ROW()-5,'Formulación PDN 2027'!$AK$7:$AK$506,0)),"")</f>
        <v/>
      </c>
      <c r="M156" s="15" t="str">
        <f>IFERROR(INDEX('Formulación PDN 2027'!$Y$7:$Y$506,MATCH(ROW()-5,'Formulación PDN 2027'!$AK$7:$AK$506,0))&amp;"","")</f>
        <v/>
      </c>
      <c r="N156" s="15" t="str">
        <f>IFERROR(INDEX('Formulación PDN 2027'!$Z$7:$Z$506,MATCH(ROW()-5,'Formulación PDN 2027'!$AK$7:$AK$506,0))&amp;"","")</f>
        <v/>
      </c>
      <c r="O156" s="15"/>
      <c r="P156" s="15" t="str">
        <f>IFERROR(INDEX('Formulación PDN 2027'!$AA$7:$AA$506,MATCH(ROW()-5,'Formulación PDN 2027'!$AK$7:$AK$506,0))&amp;"","")</f>
        <v/>
      </c>
      <c r="Q156" s="15" t="str">
        <f>IFERROR(INDEX('Formulación PDN 2027'!$AB$7:$AB$506,MATCH(ROW()-5,'Formulación PDN 2027'!$AK$7:$AK$506,0))&amp;"","")</f>
        <v/>
      </c>
      <c r="R156" s="15" t="str">
        <f>IFERROR(INDEX('Formulación PDN 2027'!$AD$7:$AD$506,MATCH(ROW()-5,'Formulación PDN 2027'!$AK$7:$AK$506,0))&amp;"","")</f>
        <v/>
      </c>
      <c r="S156" s="15" t="str">
        <f>IFERROR(INDEX('Formulación PDN 2027'!$AE$7:$AE$506,MATCH(ROW()-5,'Formulación PDN 2027'!$AK$7:$AK$506,0))&amp;"","")</f>
        <v/>
      </c>
      <c r="T156" s="15" t="str">
        <f>IFERROR(INDEX('Formulación PDN 2027'!$C$7:$C$506,MATCH(ROW()-5,'Formulación PDN 2027'!$AK$7:$AK$506,0))&amp;"","")</f>
        <v/>
      </c>
      <c r="U156" s="15" t="str">
        <f>IFERROR(INDEX('Formulación PDN 2027'!$B$7:$B$506,MATCH(ROW()-5,'Formulación PDN 2027'!$AK$7:$AK$506,0))&amp;"","")</f>
        <v/>
      </c>
      <c r="V156" s="15" t="str">
        <f>IFERROR(LEFT(INDEX('Formulación PDN 2027'!$E$7:$E$506,MATCH(ROW()-5,'Formulación PDN 2027'!$AK$7:$AK$506,0)),7),"")</f>
        <v/>
      </c>
      <c r="W156" s="15" t="str">
        <f>IFERROR(INDEX('Formulación PDN 2027'!$H$7:$H$506,MATCH(ROW()-5,'Formulación PDN 2027'!$AK$7:$AK$506,0))&amp;"","")</f>
        <v/>
      </c>
      <c r="X156" s="15" t="str">
        <f>IFERROR(INDEX('Formulación PDN 2027'!$U$7:$U$506,MATCH(ROW()-5,'Formulación PDN 2027'!$AK$7:$AK$506,0))&amp;"","")</f>
        <v/>
      </c>
      <c r="Y156" s="15" t="str">
        <f>IFERROR(INDEX('Formulación PDN 2027'!$AH$7:$AH$506,MATCH(ROW()-5,'Formulación PDN 2027'!$AK$7:$AK$506,0))&amp;"","")</f>
        <v/>
      </c>
    </row>
    <row r="157" spans="1:25" x14ac:dyDescent="0.3">
      <c r="A157" s="15" t="str">
        <f>IFERROR(INDEX('Formulación PDN 2027'!$A$7:$A$506,MATCH(ROW()-5,'Formulación PDN 2027'!$AK$7:$AK$506,0))&amp;"","")</f>
        <v/>
      </c>
      <c r="B157" s="20" t="str">
        <f>IFERROR(INDEX('Formulación PDN 2027'!$M$7:$M$506,MATCH(ROW()-5,'Formulación PDN 2027'!$AK$7:$AK$506,0)),"")</f>
        <v/>
      </c>
      <c r="C157" s="15" t="str">
        <f>IFERROR(INDEX('Formulación PDN 2027'!$N$7:$N$506,MATCH(ROW()-5,'Formulación PDN 2027'!$AK$7:$AK$506,0))&amp;"","")</f>
        <v/>
      </c>
      <c r="D157" s="15" t="str">
        <f>IFERROR(INDEX('Formulación PDN 2027'!$L$7:$L$506,MATCH(ROW()-5,'Formulación PDN 2027'!$AK$7:$AK$506,0))&amp;"","")</f>
        <v/>
      </c>
      <c r="E157" s="15" t="str">
        <f>IFERROR(MATCH(INDEX('Formulación PDN 2027'!$O$7:$O$506,MATCH(ROW()-5,'Formulación PDN 2027'!$AK$7:$AK$506,0)),L_MESES,0),"")</f>
        <v/>
      </c>
      <c r="F157" s="15" t="str">
        <f>IFERROR(MATCH(INDEX('Formulación PDN 2027'!$P$7:$P$506,MATCH(ROW()-5,'Formulación PDN 2027'!$AK$7:$AK$506,0)),L_MESES,0),"")</f>
        <v/>
      </c>
      <c r="G157" s="15" t="str">
        <f>IFERROR(INDEX('Formulación PDN 2027'!$Q$7:$Q$506,MATCH(ROW()-5,'Formulación PDN 2027'!$AK$7:$AK$506,0)),"")</f>
        <v/>
      </c>
      <c r="H157" s="15" t="str">
        <f>IFERROR(INDEX('Formulación PDN 2027'!$R$7:$R$506,MATCH(ROW()-5,'Formulación PDN 2027'!$AK$7:$AK$506,0))&amp;"","")</f>
        <v/>
      </c>
      <c r="I157" s="15" t="str">
        <f>IFERROR(INDEX('Formulación PDN 2027'!$S$7:$S$506,MATCH(ROW()-5,'Formulación PDN 2027'!$AK$7:$AK$506,0))&amp;"","")</f>
        <v/>
      </c>
      <c r="J157" s="15" t="str">
        <f>IFERROR(INDEX('Formulación PDN 2027'!$T$7:$T$506,MATCH(ROW()-5,'Formulación PDN 2027'!$AK$7:$AK$506,0))&amp;"","")</f>
        <v/>
      </c>
      <c r="K157" s="43" t="str">
        <f>IFERROR(INDEX('Formulación PDN 2027'!$W$7:$W$506,MATCH(ROW()-5,'Formulación PDN 2027'!$AK$7:$AK$506,0)),"")</f>
        <v/>
      </c>
      <c r="L157" s="43" t="str">
        <f>IFERROR(INDEX('Formulación PDN 2027'!$X$7:$X$506,MATCH(ROW()-5,'Formulación PDN 2027'!$AK$7:$AK$506,0)),"")</f>
        <v/>
      </c>
      <c r="M157" s="15" t="str">
        <f>IFERROR(INDEX('Formulación PDN 2027'!$Y$7:$Y$506,MATCH(ROW()-5,'Formulación PDN 2027'!$AK$7:$AK$506,0))&amp;"","")</f>
        <v/>
      </c>
      <c r="N157" s="15" t="str">
        <f>IFERROR(INDEX('Formulación PDN 2027'!$Z$7:$Z$506,MATCH(ROW()-5,'Formulación PDN 2027'!$AK$7:$AK$506,0))&amp;"","")</f>
        <v/>
      </c>
      <c r="O157" s="15"/>
      <c r="P157" s="15" t="str">
        <f>IFERROR(INDEX('Formulación PDN 2027'!$AA$7:$AA$506,MATCH(ROW()-5,'Formulación PDN 2027'!$AK$7:$AK$506,0))&amp;"","")</f>
        <v/>
      </c>
      <c r="Q157" s="15" t="str">
        <f>IFERROR(INDEX('Formulación PDN 2027'!$AB$7:$AB$506,MATCH(ROW()-5,'Formulación PDN 2027'!$AK$7:$AK$506,0))&amp;"","")</f>
        <v/>
      </c>
      <c r="R157" s="15" t="str">
        <f>IFERROR(INDEX('Formulación PDN 2027'!$AD$7:$AD$506,MATCH(ROW()-5,'Formulación PDN 2027'!$AK$7:$AK$506,0))&amp;"","")</f>
        <v/>
      </c>
      <c r="S157" s="15" t="str">
        <f>IFERROR(INDEX('Formulación PDN 2027'!$AE$7:$AE$506,MATCH(ROW()-5,'Formulación PDN 2027'!$AK$7:$AK$506,0))&amp;"","")</f>
        <v/>
      </c>
      <c r="T157" s="15" t="str">
        <f>IFERROR(INDEX('Formulación PDN 2027'!$C$7:$C$506,MATCH(ROW()-5,'Formulación PDN 2027'!$AK$7:$AK$506,0))&amp;"","")</f>
        <v/>
      </c>
      <c r="U157" s="15" t="str">
        <f>IFERROR(INDEX('Formulación PDN 2027'!$B$7:$B$506,MATCH(ROW()-5,'Formulación PDN 2027'!$AK$7:$AK$506,0))&amp;"","")</f>
        <v/>
      </c>
      <c r="V157" s="15" t="str">
        <f>IFERROR(LEFT(INDEX('Formulación PDN 2027'!$E$7:$E$506,MATCH(ROW()-5,'Formulación PDN 2027'!$AK$7:$AK$506,0)),7),"")</f>
        <v/>
      </c>
      <c r="W157" s="15" t="str">
        <f>IFERROR(INDEX('Formulación PDN 2027'!$H$7:$H$506,MATCH(ROW()-5,'Formulación PDN 2027'!$AK$7:$AK$506,0))&amp;"","")</f>
        <v/>
      </c>
      <c r="X157" s="15" t="str">
        <f>IFERROR(INDEX('Formulación PDN 2027'!$U$7:$U$506,MATCH(ROW()-5,'Formulación PDN 2027'!$AK$7:$AK$506,0))&amp;"","")</f>
        <v/>
      </c>
      <c r="Y157" s="15" t="str">
        <f>IFERROR(INDEX('Formulación PDN 2027'!$AH$7:$AH$506,MATCH(ROW()-5,'Formulación PDN 2027'!$AK$7:$AK$506,0))&amp;"","")</f>
        <v/>
      </c>
    </row>
    <row r="158" spans="1:25" x14ac:dyDescent="0.3">
      <c r="A158" s="15" t="str">
        <f>IFERROR(INDEX('Formulación PDN 2027'!$A$7:$A$506,MATCH(ROW()-5,'Formulación PDN 2027'!$AK$7:$AK$506,0))&amp;"","")</f>
        <v/>
      </c>
      <c r="B158" s="20" t="str">
        <f>IFERROR(INDEX('Formulación PDN 2027'!$M$7:$M$506,MATCH(ROW()-5,'Formulación PDN 2027'!$AK$7:$AK$506,0)),"")</f>
        <v/>
      </c>
      <c r="C158" s="15" t="str">
        <f>IFERROR(INDEX('Formulación PDN 2027'!$N$7:$N$506,MATCH(ROW()-5,'Formulación PDN 2027'!$AK$7:$AK$506,0))&amp;"","")</f>
        <v/>
      </c>
      <c r="D158" s="15" t="str">
        <f>IFERROR(INDEX('Formulación PDN 2027'!$L$7:$L$506,MATCH(ROW()-5,'Formulación PDN 2027'!$AK$7:$AK$506,0))&amp;"","")</f>
        <v/>
      </c>
      <c r="E158" s="15" t="str">
        <f>IFERROR(MATCH(INDEX('Formulación PDN 2027'!$O$7:$O$506,MATCH(ROW()-5,'Formulación PDN 2027'!$AK$7:$AK$506,0)),L_MESES,0),"")</f>
        <v/>
      </c>
      <c r="F158" s="15" t="str">
        <f>IFERROR(MATCH(INDEX('Formulación PDN 2027'!$P$7:$P$506,MATCH(ROW()-5,'Formulación PDN 2027'!$AK$7:$AK$506,0)),L_MESES,0),"")</f>
        <v/>
      </c>
      <c r="G158" s="15" t="str">
        <f>IFERROR(INDEX('Formulación PDN 2027'!$Q$7:$Q$506,MATCH(ROW()-5,'Formulación PDN 2027'!$AK$7:$AK$506,0)),"")</f>
        <v/>
      </c>
      <c r="H158" s="15" t="str">
        <f>IFERROR(INDEX('Formulación PDN 2027'!$R$7:$R$506,MATCH(ROW()-5,'Formulación PDN 2027'!$AK$7:$AK$506,0))&amp;"","")</f>
        <v/>
      </c>
      <c r="I158" s="15" t="str">
        <f>IFERROR(INDEX('Formulación PDN 2027'!$S$7:$S$506,MATCH(ROW()-5,'Formulación PDN 2027'!$AK$7:$AK$506,0))&amp;"","")</f>
        <v/>
      </c>
      <c r="J158" s="15" t="str">
        <f>IFERROR(INDEX('Formulación PDN 2027'!$T$7:$T$506,MATCH(ROW()-5,'Formulación PDN 2027'!$AK$7:$AK$506,0))&amp;"","")</f>
        <v/>
      </c>
      <c r="K158" s="43" t="str">
        <f>IFERROR(INDEX('Formulación PDN 2027'!$W$7:$W$506,MATCH(ROW()-5,'Formulación PDN 2027'!$AK$7:$AK$506,0)),"")</f>
        <v/>
      </c>
      <c r="L158" s="43" t="str">
        <f>IFERROR(INDEX('Formulación PDN 2027'!$X$7:$X$506,MATCH(ROW()-5,'Formulación PDN 2027'!$AK$7:$AK$506,0)),"")</f>
        <v/>
      </c>
      <c r="M158" s="15" t="str">
        <f>IFERROR(INDEX('Formulación PDN 2027'!$Y$7:$Y$506,MATCH(ROW()-5,'Formulación PDN 2027'!$AK$7:$AK$506,0))&amp;"","")</f>
        <v/>
      </c>
      <c r="N158" s="15" t="str">
        <f>IFERROR(INDEX('Formulación PDN 2027'!$Z$7:$Z$506,MATCH(ROW()-5,'Formulación PDN 2027'!$AK$7:$AK$506,0))&amp;"","")</f>
        <v/>
      </c>
      <c r="O158" s="15"/>
      <c r="P158" s="15" t="str">
        <f>IFERROR(INDEX('Formulación PDN 2027'!$AA$7:$AA$506,MATCH(ROW()-5,'Formulación PDN 2027'!$AK$7:$AK$506,0))&amp;"","")</f>
        <v/>
      </c>
      <c r="Q158" s="15" t="str">
        <f>IFERROR(INDEX('Formulación PDN 2027'!$AB$7:$AB$506,MATCH(ROW()-5,'Formulación PDN 2027'!$AK$7:$AK$506,0))&amp;"","")</f>
        <v/>
      </c>
      <c r="R158" s="15" t="str">
        <f>IFERROR(INDEX('Formulación PDN 2027'!$AD$7:$AD$506,MATCH(ROW()-5,'Formulación PDN 2027'!$AK$7:$AK$506,0))&amp;"","")</f>
        <v/>
      </c>
      <c r="S158" s="15" t="str">
        <f>IFERROR(INDEX('Formulación PDN 2027'!$AE$7:$AE$506,MATCH(ROW()-5,'Formulación PDN 2027'!$AK$7:$AK$506,0))&amp;"","")</f>
        <v/>
      </c>
      <c r="T158" s="15" t="str">
        <f>IFERROR(INDEX('Formulación PDN 2027'!$C$7:$C$506,MATCH(ROW()-5,'Formulación PDN 2027'!$AK$7:$AK$506,0))&amp;"","")</f>
        <v/>
      </c>
      <c r="U158" s="15" t="str">
        <f>IFERROR(INDEX('Formulación PDN 2027'!$B$7:$B$506,MATCH(ROW()-5,'Formulación PDN 2027'!$AK$7:$AK$506,0))&amp;"","")</f>
        <v/>
      </c>
      <c r="V158" s="15" t="str">
        <f>IFERROR(LEFT(INDEX('Formulación PDN 2027'!$E$7:$E$506,MATCH(ROW()-5,'Formulación PDN 2027'!$AK$7:$AK$506,0)),7),"")</f>
        <v/>
      </c>
      <c r="W158" s="15" t="str">
        <f>IFERROR(INDEX('Formulación PDN 2027'!$H$7:$H$506,MATCH(ROW()-5,'Formulación PDN 2027'!$AK$7:$AK$506,0))&amp;"","")</f>
        <v/>
      </c>
      <c r="X158" s="15" t="str">
        <f>IFERROR(INDEX('Formulación PDN 2027'!$U$7:$U$506,MATCH(ROW()-5,'Formulación PDN 2027'!$AK$7:$AK$506,0))&amp;"","")</f>
        <v/>
      </c>
      <c r="Y158" s="15" t="str">
        <f>IFERROR(INDEX('Formulación PDN 2027'!$AH$7:$AH$506,MATCH(ROW()-5,'Formulación PDN 2027'!$AK$7:$AK$506,0))&amp;"","")</f>
        <v/>
      </c>
    </row>
    <row r="159" spans="1:25" x14ac:dyDescent="0.3">
      <c r="A159" s="15" t="str">
        <f>IFERROR(INDEX('Formulación PDN 2027'!$A$7:$A$506,MATCH(ROW()-5,'Formulación PDN 2027'!$AK$7:$AK$506,0))&amp;"","")</f>
        <v/>
      </c>
      <c r="B159" s="20" t="str">
        <f>IFERROR(INDEX('Formulación PDN 2027'!$M$7:$M$506,MATCH(ROW()-5,'Formulación PDN 2027'!$AK$7:$AK$506,0)),"")</f>
        <v/>
      </c>
      <c r="C159" s="15" t="str">
        <f>IFERROR(INDEX('Formulación PDN 2027'!$N$7:$N$506,MATCH(ROW()-5,'Formulación PDN 2027'!$AK$7:$AK$506,0))&amp;"","")</f>
        <v/>
      </c>
      <c r="D159" s="15" t="str">
        <f>IFERROR(INDEX('Formulación PDN 2027'!$L$7:$L$506,MATCH(ROW()-5,'Formulación PDN 2027'!$AK$7:$AK$506,0))&amp;"","")</f>
        <v/>
      </c>
      <c r="E159" s="15" t="str">
        <f>IFERROR(MATCH(INDEX('Formulación PDN 2027'!$O$7:$O$506,MATCH(ROW()-5,'Formulación PDN 2027'!$AK$7:$AK$506,0)),L_MESES,0),"")</f>
        <v/>
      </c>
      <c r="F159" s="15" t="str">
        <f>IFERROR(MATCH(INDEX('Formulación PDN 2027'!$P$7:$P$506,MATCH(ROW()-5,'Formulación PDN 2027'!$AK$7:$AK$506,0)),L_MESES,0),"")</f>
        <v/>
      </c>
      <c r="G159" s="15" t="str">
        <f>IFERROR(INDEX('Formulación PDN 2027'!$Q$7:$Q$506,MATCH(ROW()-5,'Formulación PDN 2027'!$AK$7:$AK$506,0)),"")</f>
        <v/>
      </c>
      <c r="H159" s="15" t="str">
        <f>IFERROR(INDEX('Formulación PDN 2027'!$R$7:$R$506,MATCH(ROW()-5,'Formulación PDN 2027'!$AK$7:$AK$506,0))&amp;"","")</f>
        <v/>
      </c>
      <c r="I159" s="15" t="str">
        <f>IFERROR(INDEX('Formulación PDN 2027'!$S$7:$S$506,MATCH(ROW()-5,'Formulación PDN 2027'!$AK$7:$AK$506,0))&amp;"","")</f>
        <v/>
      </c>
      <c r="J159" s="15" t="str">
        <f>IFERROR(INDEX('Formulación PDN 2027'!$T$7:$T$506,MATCH(ROW()-5,'Formulación PDN 2027'!$AK$7:$AK$506,0))&amp;"","")</f>
        <v/>
      </c>
      <c r="K159" s="43" t="str">
        <f>IFERROR(INDEX('Formulación PDN 2027'!$W$7:$W$506,MATCH(ROW()-5,'Formulación PDN 2027'!$AK$7:$AK$506,0)),"")</f>
        <v/>
      </c>
      <c r="L159" s="43" t="str">
        <f>IFERROR(INDEX('Formulación PDN 2027'!$X$7:$X$506,MATCH(ROW()-5,'Formulación PDN 2027'!$AK$7:$AK$506,0)),"")</f>
        <v/>
      </c>
      <c r="M159" s="15" t="str">
        <f>IFERROR(INDEX('Formulación PDN 2027'!$Y$7:$Y$506,MATCH(ROW()-5,'Formulación PDN 2027'!$AK$7:$AK$506,0))&amp;"","")</f>
        <v/>
      </c>
      <c r="N159" s="15" t="str">
        <f>IFERROR(INDEX('Formulación PDN 2027'!$Z$7:$Z$506,MATCH(ROW()-5,'Formulación PDN 2027'!$AK$7:$AK$506,0))&amp;"","")</f>
        <v/>
      </c>
      <c r="O159" s="15"/>
      <c r="P159" s="15" t="str">
        <f>IFERROR(INDEX('Formulación PDN 2027'!$AA$7:$AA$506,MATCH(ROW()-5,'Formulación PDN 2027'!$AK$7:$AK$506,0))&amp;"","")</f>
        <v/>
      </c>
      <c r="Q159" s="15" t="str">
        <f>IFERROR(INDEX('Formulación PDN 2027'!$AB$7:$AB$506,MATCH(ROW()-5,'Formulación PDN 2027'!$AK$7:$AK$506,0))&amp;"","")</f>
        <v/>
      </c>
      <c r="R159" s="15" t="str">
        <f>IFERROR(INDEX('Formulación PDN 2027'!$AD$7:$AD$506,MATCH(ROW()-5,'Formulación PDN 2027'!$AK$7:$AK$506,0))&amp;"","")</f>
        <v/>
      </c>
      <c r="S159" s="15" t="str">
        <f>IFERROR(INDEX('Formulación PDN 2027'!$AE$7:$AE$506,MATCH(ROW()-5,'Formulación PDN 2027'!$AK$7:$AK$506,0))&amp;"","")</f>
        <v/>
      </c>
      <c r="T159" s="15" t="str">
        <f>IFERROR(INDEX('Formulación PDN 2027'!$C$7:$C$506,MATCH(ROW()-5,'Formulación PDN 2027'!$AK$7:$AK$506,0))&amp;"","")</f>
        <v/>
      </c>
      <c r="U159" s="15" t="str">
        <f>IFERROR(INDEX('Formulación PDN 2027'!$B$7:$B$506,MATCH(ROW()-5,'Formulación PDN 2027'!$AK$7:$AK$506,0))&amp;"","")</f>
        <v/>
      </c>
      <c r="V159" s="15" t="str">
        <f>IFERROR(LEFT(INDEX('Formulación PDN 2027'!$E$7:$E$506,MATCH(ROW()-5,'Formulación PDN 2027'!$AK$7:$AK$506,0)),7),"")</f>
        <v/>
      </c>
      <c r="W159" s="15" t="str">
        <f>IFERROR(INDEX('Formulación PDN 2027'!$H$7:$H$506,MATCH(ROW()-5,'Formulación PDN 2027'!$AK$7:$AK$506,0))&amp;"","")</f>
        <v/>
      </c>
      <c r="X159" s="15" t="str">
        <f>IFERROR(INDEX('Formulación PDN 2027'!$U$7:$U$506,MATCH(ROW()-5,'Formulación PDN 2027'!$AK$7:$AK$506,0))&amp;"","")</f>
        <v/>
      </c>
      <c r="Y159" s="15" t="str">
        <f>IFERROR(INDEX('Formulación PDN 2027'!$AH$7:$AH$506,MATCH(ROW()-5,'Formulación PDN 2027'!$AK$7:$AK$506,0))&amp;"","")</f>
        <v/>
      </c>
    </row>
    <row r="160" spans="1:25" x14ac:dyDescent="0.3">
      <c r="A160" s="15" t="str">
        <f>IFERROR(INDEX('Formulación PDN 2027'!$A$7:$A$506,MATCH(ROW()-5,'Formulación PDN 2027'!$AK$7:$AK$506,0))&amp;"","")</f>
        <v/>
      </c>
      <c r="B160" s="20" t="str">
        <f>IFERROR(INDEX('Formulación PDN 2027'!$M$7:$M$506,MATCH(ROW()-5,'Formulación PDN 2027'!$AK$7:$AK$506,0)),"")</f>
        <v/>
      </c>
      <c r="C160" s="15" t="str">
        <f>IFERROR(INDEX('Formulación PDN 2027'!$N$7:$N$506,MATCH(ROW()-5,'Formulación PDN 2027'!$AK$7:$AK$506,0))&amp;"","")</f>
        <v/>
      </c>
      <c r="D160" s="15" t="str">
        <f>IFERROR(INDEX('Formulación PDN 2027'!$L$7:$L$506,MATCH(ROW()-5,'Formulación PDN 2027'!$AK$7:$AK$506,0))&amp;"","")</f>
        <v/>
      </c>
      <c r="E160" s="15" t="str">
        <f>IFERROR(MATCH(INDEX('Formulación PDN 2027'!$O$7:$O$506,MATCH(ROW()-5,'Formulación PDN 2027'!$AK$7:$AK$506,0)),L_MESES,0),"")</f>
        <v/>
      </c>
      <c r="F160" s="15" t="str">
        <f>IFERROR(MATCH(INDEX('Formulación PDN 2027'!$P$7:$P$506,MATCH(ROW()-5,'Formulación PDN 2027'!$AK$7:$AK$506,0)),L_MESES,0),"")</f>
        <v/>
      </c>
      <c r="G160" s="15" t="str">
        <f>IFERROR(INDEX('Formulación PDN 2027'!$Q$7:$Q$506,MATCH(ROW()-5,'Formulación PDN 2027'!$AK$7:$AK$506,0)),"")</f>
        <v/>
      </c>
      <c r="H160" s="15" t="str">
        <f>IFERROR(INDEX('Formulación PDN 2027'!$R$7:$R$506,MATCH(ROW()-5,'Formulación PDN 2027'!$AK$7:$AK$506,0))&amp;"","")</f>
        <v/>
      </c>
      <c r="I160" s="15" t="str">
        <f>IFERROR(INDEX('Formulación PDN 2027'!$S$7:$S$506,MATCH(ROW()-5,'Formulación PDN 2027'!$AK$7:$AK$506,0))&amp;"","")</f>
        <v/>
      </c>
      <c r="J160" s="15" t="str">
        <f>IFERROR(INDEX('Formulación PDN 2027'!$T$7:$T$506,MATCH(ROW()-5,'Formulación PDN 2027'!$AK$7:$AK$506,0))&amp;"","")</f>
        <v/>
      </c>
      <c r="K160" s="43" t="str">
        <f>IFERROR(INDEX('Formulación PDN 2027'!$W$7:$W$506,MATCH(ROW()-5,'Formulación PDN 2027'!$AK$7:$AK$506,0)),"")</f>
        <v/>
      </c>
      <c r="L160" s="43" t="str">
        <f>IFERROR(INDEX('Formulación PDN 2027'!$X$7:$X$506,MATCH(ROW()-5,'Formulación PDN 2027'!$AK$7:$AK$506,0)),"")</f>
        <v/>
      </c>
      <c r="M160" s="15" t="str">
        <f>IFERROR(INDEX('Formulación PDN 2027'!$Y$7:$Y$506,MATCH(ROW()-5,'Formulación PDN 2027'!$AK$7:$AK$506,0))&amp;"","")</f>
        <v/>
      </c>
      <c r="N160" s="15" t="str">
        <f>IFERROR(INDEX('Formulación PDN 2027'!$Z$7:$Z$506,MATCH(ROW()-5,'Formulación PDN 2027'!$AK$7:$AK$506,0))&amp;"","")</f>
        <v/>
      </c>
      <c r="O160" s="15"/>
      <c r="P160" s="15" t="str">
        <f>IFERROR(INDEX('Formulación PDN 2027'!$AA$7:$AA$506,MATCH(ROW()-5,'Formulación PDN 2027'!$AK$7:$AK$506,0))&amp;"","")</f>
        <v/>
      </c>
      <c r="Q160" s="15" t="str">
        <f>IFERROR(INDEX('Formulación PDN 2027'!$AB$7:$AB$506,MATCH(ROW()-5,'Formulación PDN 2027'!$AK$7:$AK$506,0))&amp;"","")</f>
        <v/>
      </c>
      <c r="R160" s="15" t="str">
        <f>IFERROR(INDEX('Formulación PDN 2027'!$AD$7:$AD$506,MATCH(ROW()-5,'Formulación PDN 2027'!$AK$7:$AK$506,0))&amp;"","")</f>
        <v/>
      </c>
      <c r="S160" s="15" t="str">
        <f>IFERROR(INDEX('Formulación PDN 2027'!$AE$7:$AE$506,MATCH(ROW()-5,'Formulación PDN 2027'!$AK$7:$AK$506,0))&amp;"","")</f>
        <v/>
      </c>
      <c r="T160" s="15" t="str">
        <f>IFERROR(INDEX('Formulación PDN 2027'!$C$7:$C$506,MATCH(ROW()-5,'Formulación PDN 2027'!$AK$7:$AK$506,0))&amp;"","")</f>
        <v/>
      </c>
      <c r="U160" s="15" t="str">
        <f>IFERROR(INDEX('Formulación PDN 2027'!$B$7:$B$506,MATCH(ROW()-5,'Formulación PDN 2027'!$AK$7:$AK$506,0))&amp;"","")</f>
        <v/>
      </c>
      <c r="V160" s="15" t="str">
        <f>IFERROR(LEFT(INDEX('Formulación PDN 2027'!$E$7:$E$506,MATCH(ROW()-5,'Formulación PDN 2027'!$AK$7:$AK$506,0)),7),"")</f>
        <v/>
      </c>
      <c r="W160" s="15" t="str">
        <f>IFERROR(INDEX('Formulación PDN 2027'!$H$7:$H$506,MATCH(ROW()-5,'Formulación PDN 2027'!$AK$7:$AK$506,0))&amp;"","")</f>
        <v/>
      </c>
      <c r="X160" s="15" t="str">
        <f>IFERROR(INDEX('Formulación PDN 2027'!$U$7:$U$506,MATCH(ROW()-5,'Formulación PDN 2027'!$AK$7:$AK$506,0))&amp;"","")</f>
        <v/>
      </c>
      <c r="Y160" s="15" t="str">
        <f>IFERROR(INDEX('Formulación PDN 2027'!$AH$7:$AH$506,MATCH(ROW()-5,'Formulación PDN 2027'!$AK$7:$AK$506,0))&amp;"","")</f>
        <v/>
      </c>
    </row>
    <row r="161" spans="1:25" x14ac:dyDescent="0.3">
      <c r="A161" s="15" t="str">
        <f>IFERROR(INDEX('Formulación PDN 2027'!$A$7:$A$506,MATCH(ROW()-5,'Formulación PDN 2027'!$AK$7:$AK$506,0))&amp;"","")</f>
        <v/>
      </c>
      <c r="B161" s="20" t="str">
        <f>IFERROR(INDEX('Formulación PDN 2027'!$M$7:$M$506,MATCH(ROW()-5,'Formulación PDN 2027'!$AK$7:$AK$506,0)),"")</f>
        <v/>
      </c>
      <c r="C161" s="15" t="str">
        <f>IFERROR(INDEX('Formulación PDN 2027'!$N$7:$N$506,MATCH(ROW()-5,'Formulación PDN 2027'!$AK$7:$AK$506,0))&amp;"","")</f>
        <v/>
      </c>
      <c r="D161" s="15" t="str">
        <f>IFERROR(INDEX('Formulación PDN 2027'!$L$7:$L$506,MATCH(ROW()-5,'Formulación PDN 2027'!$AK$7:$AK$506,0))&amp;"","")</f>
        <v/>
      </c>
      <c r="E161" s="15" t="str">
        <f>IFERROR(MATCH(INDEX('Formulación PDN 2027'!$O$7:$O$506,MATCH(ROW()-5,'Formulación PDN 2027'!$AK$7:$AK$506,0)),L_MESES,0),"")</f>
        <v/>
      </c>
      <c r="F161" s="15" t="str">
        <f>IFERROR(MATCH(INDEX('Formulación PDN 2027'!$P$7:$P$506,MATCH(ROW()-5,'Formulación PDN 2027'!$AK$7:$AK$506,0)),L_MESES,0),"")</f>
        <v/>
      </c>
      <c r="G161" s="15" t="str">
        <f>IFERROR(INDEX('Formulación PDN 2027'!$Q$7:$Q$506,MATCH(ROW()-5,'Formulación PDN 2027'!$AK$7:$AK$506,0)),"")</f>
        <v/>
      </c>
      <c r="H161" s="15" t="str">
        <f>IFERROR(INDEX('Formulación PDN 2027'!$R$7:$R$506,MATCH(ROW()-5,'Formulación PDN 2027'!$AK$7:$AK$506,0))&amp;"","")</f>
        <v/>
      </c>
      <c r="I161" s="15" t="str">
        <f>IFERROR(INDEX('Formulación PDN 2027'!$S$7:$S$506,MATCH(ROW()-5,'Formulación PDN 2027'!$AK$7:$AK$506,0))&amp;"","")</f>
        <v/>
      </c>
      <c r="J161" s="15" t="str">
        <f>IFERROR(INDEX('Formulación PDN 2027'!$T$7:$T$506,MATCH(ROW()-5,'Formulación PDN 2027'!$AK$7:$AK$506,0))&amp;"","")</f>
        <v/>
      </c>
      <c r="K161" s="43" t="str">
        <f>IFERROR(INDEX('Formulación PDN 2027'!$W$7:$W$506,MATCH(ROW()-5,'Formulación PDN 2027'!$AK$7:$AK$506,0)),"")</f>
        <v/>
      </c>
      <c r="L161" s="43" t="str">
        <f>IFERROR(INDEX('Formulación PDN 2027'!$X$7:$X$506,MATCH(ROW()-5,'Formulación PDN 2027'!$AK$7:$AK$506,0)),"")</f>
        <v/>
      </c>
      <c r="M161" s="15" t="str">
        <f>IFERROR(INDEX('Formulación PDN 2027'!$Y$7:$Y$506,MATCH(ROW()-5,'Formulación PDN 2027'!$AK$7:$AK$506,0))&amp;"","")</f>
        <v/>
      </c>
      <c r="N161" s="15" t="str">
        <f>IFERROR(INDEX('Formulación PDN 2027'!$Z$7:$Z$506,MATCH(ROW()-5,'Formulación PDN 2027'!$AK$7:$AK$506,0))&amp;"","")</f>
        <v/>
      </c>
      <c r="O161" s="15"/>
      <c r="P161" s="15" t="str">
        <f>IFERROR(INDEX('Formulación PDN 2027'!$AA$7:$AA$506,MATCH(ROW()-5,'Formulación PDN 2027'!$AK$7:$AK$506,0))&amp;"","")</f>
        <v/>
      </c>
      <c r="Q161" s="15" t="str">
        <f>IFERROR(INDEX('Formulación PDN 2027'!$AB$7:$AB$506,MATCH(ROW()-5,'Formulación PDN 2027'!$AK$7:$AK$506,0))&amp;"","")</f>
        <v/>
      </c>
      <c r="R161" s="15" t="str">
        <f>IFERROR(INDEX('Formulación PDN 2027'!$AD$7:$AD$506,MATCH(ROW()-5,'Formulación PDN 2027'!$AK$7:$AK$506,0))&amp;"","")</f>
        <v/>
      </c>
      <c r="S161" s="15" t="str">
        <f>IFERROR(INDEX('Formulación PDN 2027'!$AE$7:$AE$506,MATCH(ROW()-5,'Formulación PDN 2027'!$AK$7:$AK$506,0))&amp;"","")</f>
        <v/>
      </c>
      <c r="T161" s="15" t="str">
        <f>IFERROR(INDEX('Formulación PDN 2027'!$C$7:$C$506,MATCH(ROW()-5,'Formulación PDN 2027'!$AK$7:$AK$506,0))&amp;"","")</f>
        <v/>
      </c>
      <c r="U161" s="15" t="str">
        <f>IFERROR(INDEX('Formulación PDN 2027'!$B$7:$B$506,MATCH(ROW()-5,'Formulación PDN 2027'!$AK$7:$AK$506,0))&amp;"","")</f>
        <v/>
      </c>
      <c r="V161" s="15" t="str">
        <f>IFERROR(LEFT(INDEX('Formulación PDN 2027'!$E$7:$E$506,MATCH(ROW()-5,'Formulación PDN 2027'!$AK$7:$AK$506,0)),7),"")</f>
        <v/>
      </c>
      <c r="W161" s="15" t="str">
        <f>IFERROR(INDEX('Formulación PDN 2027'!$H$7:$H$506,MATCH(ROW()-5,'Formulación PDN 2027'!$AK$7:$AK$506,0))&amp;"","")</f>
        <v/>
      </c>
      <c r="X161" s="15" t="str">
        <f>IFERROR(INDEX('Formulación PDN 2027'!$U$7:$U$506,MATCH(ROW()-5,'Formulación PDN 2027'!$AK$7:$AK$506,0))&amp;"","")</f>
        <v/>
      </c>
      <c r="Y161" s="15" t="str">
        <f>IFERROR(INDEX('Formulación PDN 2027'!$AH$7:$AH$506,MATCH(ROW()-5,'Formulación PDN 2027'!$AK$7:$AK$506,0))&amp;"","")</f>
        <v/>
      </c>
    </row>
    <row r="162" spans="1:25" x14ac:dyDescent="0.3">
      <c r="A162" s="15" t="str">
        <f>IFERROR(INDEX('Formulación PDN 2027'!$A$7:$A$506,MATCH(ROW()-5,'Formulación PDN 2027'!$AK$7:$AK$506,0))&amp;"","")</f>
        <v/>
      </c>
      <c r="B162" s="20" t="str">
        <f>IFERROR(INDEX('Formulación PDN 2027'!$M$7:$M$506,MATCH(ROW()-5,'Formulación PDN 2027'!$AK$7:$AK$506,0)),"")</f>
        <v/>
      </c>
      <c r="C162" s="15" t="str">
        <f>IFERROR(INDEX('Formulación PDN 2027'!$N$7:$N$506,MATCH(ROW()-5,'Formulación PDN 2027'!$AK$7:$AK$506,0))&amp;"","")</f>
        <v/>
      </c>
      <c r="D162" s="15" t="str">
        <f>IFERROR(INDEX('Formulación PDN 2027'!$L$7:$L$506,MATCH(ROW()-5,'Formulación PDN 2027'!$AK$7:$AK$506,0))&amp;"","")</f>
        <v/>
      </c>
      <c r="E162" s="15" t="str">
        <f>IFERROR(MATCH(INDEX('Formulación PDN 2027'!$O$7:$O$506,MATCH(ROW()-5,'Formulación PDN 2027'!$AK$7:$AK$506,0)),L_MESES,0),"")</f>
        <v/>
      </c>
      <c r="F162" s="15" t="str">
        <f>IFERROR(MATCH(INDEX('Formulación PDN 2027'!$P$7:$P$506,MATCH(ROW()-5,'Formulación PDN 2027'!$AK$7:$AK$506,0)),L_MESES,0),"")</f>
        <v/>
      </c>
      <c r="G162" s="15" t="str">
        <f>IFERROR(INDEX('Formulación PDN 2027'!$Q$7:$Q$506,MATCH(ROW()-5,'Formulación PDN 2027'!$AK$7:$AK$506,0)),"")</f>
        <v/>
      </c>
      <c r="H162" s="15" t="str">
        <f>IFERROR(INDEX('Formulación PDN 2027'!$R$7:$R$506,MATCH(ROW()-5,'Formulación PDN 2027'!$AK$7:$AK$506,0))&amp;"","")</f>
        <v/>
      </c>
      <c r="I162" s="15" t="str">
        <f>IFERROR(INDEX('Formulación PDN 2027'!$S$7:$S$506,MATCH(ROW()-5,'Formulación PDN 2027'!$AK$7:$AK$506,0))&amp;"","")</f>
        <v/>
      </c>
      <c r="J162" s="15" t="str">
        <f>IFERROR(INDEX('Formulación PDN 2027'!$T$7:$T$506,MATCH(ROW()-5,'Formulación PDN 2027'!$AK$7:$AK$506,0))&amp;"","")</f>
        <v/>
      </c>
      <c r="K162" s="43" t="str">
        <f>IFERROR(INDEX('Formulación PDN 2027'!$W$7:$W$506,MATCH(ROW()-5,'Formulación PDN 2027'!$AK$7:$AK$506,0)),"")</f>
        <v/>
      </c>
      <c r="L162" s="43" t="str">
        <f>IFERROR(INDEX('Formulación PDN 2027'!$X$7:$X$506,MATCH(ROW()-5,'Formulación PDN 2027'!$AK$7:$AK$506,0)),"")</f>
        <v/>
      </c>
      <c r="M162" s="15" t="str">
        <f>IFERROR(INDEX('Formulación PDN 2027'!$Y$7:$Y$506,MATCH(ROW()-5,'Formulación PDN 2027'!$AK$7:$AK$506,0))&amp;"","")</f>
        <v/>
      </c>
      <c r="N162" s="15" t="str">
        <f>IFERROR(INDEX('Formulación PDN 2027'!$Z$7:$Z$506,MATCH(ROW()-5,'Formulación PDN 2027'!$AK$7:$AK$506,0))&amp;"","")</f>
        <v/>
      </c>
      <c r="O162" s="15"/>
      <c r="P162" s="15" t="str">
        <f>IFERROR(INDEX('Formulación PDN 2027'!$AA$7:$AA$506,MATCH(ROW()-5,'Formulación PDN 2027'!$AK$7:$AK$506,0))&amp;"","")</f>
        <v/>
      </c>
      <c r="Q162" s="15" t="str">
        <f>IFERROR(INDEX('Formulación PDN 2027'!$AB$7:$AB$506,MATCH(ROW()-5,'Formulación PDN 2027'!$AK$7:$AK$506,0))&amp;"","")</f>
        <v/>
      </c>
      <c r="R162" s="15" t="str">
        <f>IFERROR(INDEX('Formulación PDN 2027'!$AD$7:$AD$506,MATCH(ROW()-5,'Formulación PDN 2027'!$AK$7:$AK$506,0))&amp;"","")</f>
        <v/>
      </c>
      <c r="S162" s="15" t="str">
        <f>IFERROR(INDEX('Formulación PDN 2027'!$AE$7:$AE$506,MATCH(ROW()-5,'Formulación PDN 2027'!$AK$7:$AK$506,0))&amp;"","")</f>
        <v/>
      </c>
      <c r="T162" s="15" t="str">
        <f>IFERROR(INDEX('Formulación PDN 2027'!$C$7:$C$506,MATCH(ROW()-5,'Formulación PDN 2027'!$AK$7:$AK$506,0))&amp;"","")</f>
        <v/>
      </c>
      <c r="U162" s="15" t="str">
        <f>IFERROR(INDEX('Formulación PDN 2027'!$B$7:$B$506,MATCH(ROW()-5,'Formulación PDN 2027'!$AK$7:$AK$506,0))&amp;"","")</f>
        <v/>
      </c>
      <c r="V162" s="15" t="str">
        <f>IFERROR(LEFT(INDEX('Formulación PDN 2027'!$E$7:$E$506,MATCH(ROW()-5,'Formulación PDN 2027'!$AK$7:$AK$506,0)),7),"")</f>
        <v/>
      </c>
      <c r="W162" s="15" t="str">
        <f>IFERROR(INDEX('Formulación PDN 2027'!$H$7:$H$506,MATCH(ROW()-5,'Formulación PDN 2027'!$AK$7:$AK$506,0))&amp;"","")</f>
        <v/>
      </c>
      <c r="X162" s="15" t="str">
        <f>IFERROR(INDEX('Formulación PDN 2027'!$U$7:$U$506,MATCH(ROW()-5,'Formulación PDN 2027'!$AK$7:$AK$506,0))&amp;"","")</f>
        <v/>
      </c>
      <c r="Y162" s="15" t="str">
        <f>IFERROR(INDEX('Formulación PDN 2027'!$AH$7:$AH$506,MATCH(ROW()-5,'Formulación PDN 2027'!$AK$7:$AK$506,0))&amp;"","")</f>
        <v/>
      </c>
    </row>
    <row r="163" spans="1:25" x14ac:dyDescent="0.3">
      <c r="A163" s="15" t="str">
        <f>IFERROR(INDEX('Formulación PDN 2027'!$A$7:$A$506,MATCH(ROW()-5,'Formulación PDN 2027'!$AK$7:$AK$506,0))&amp;"","")</f>
        <v/>
      </c>
      <c r="B163" s="20" t="str">
        <f>IFERROR(INDEX('Formulación PDN 2027'!$M$7:$M$506,MATCH(ROW()-5,'Formulación PDN 2027'!$AK$7:$AK$506,0)),"")</f>
        <v/>
      </c>
      <c r="C163" s="15" t="str">
        <f>IFERROR(INDEX('Formulación PDN 2027'!$N$7:$N$506,MATCH(ROW()-5,'Formulación PDN 2027'!$AK$7:$AK$506,0))&amp;"","")</f>
        <v/>
      </c>
      <c r="D163" s="15" t="str">
        <f>IFERROR(INDEX('Formulación PDN 2027'!$L$7:$L$506,MATCH(ROW()-5,'Formulación PDN 2027'!$AK$7:$AK$506,0))&amp;"","")</f>
        <v/>
      </c>
      <c r="E163" s="15" t="str">
        <f>IFERROR(MATCH(INDEX('Formulación PDN 2027'!$O$7:$O$506,MATCH(ROW()-5,'Formulación PDN 2027'!$AK$7:$AK$506,0)),L_MESES,0),"")</f>
        <v/>
      </c>
      <c r="F163" s="15" t="str">
        <f>IFERROR(MATCH(INDEX('Formulación PDN 2027'!$P$7:$P$506,MATCH(ROW()-5,'Formulación PDN 2027'!$AK$7:$AK$506,0)),L_MESES,0),"")</f>
        <v/>
      </c>
      <c r="G163" s="15" t="str">
        <f>IFERROR(INDEX('Formulación PDN 2027'!$Q$7:$Q$506,MATCH(ROW()-5,'Formulación PDN 2027'!$AK$7:$AK$506,0)),"")</f>
        <v/>
      </c>
      <c r="H163" s="15" t="str">
        <f>IFERROR(INDEX('Formulación PDN 2027'!$R$7:$R$506,MATCH(ROW()-5,'Formulación PDN 2027'!$AK$7:$AK$506,0))&amp;"","")</f>
        <v/>
      </c>
      <c r="I163" s="15" t="str">
        <f>IFERROR(INDEX('Formulación PDN 2027'!$S$7:$S$506,MATCH(ROW()-5,'Formulación PDN 2027'!$AK$7:$AK$506,0))&amp;"","")</f>
        <v/>
      </c>
      <c r="J163" s="15" t="str">
        <f>IFERROR(INDEX('Formulación PDN 2027'!$T$7:$T$506,MATCH(ROW()-5,'Formulación PDN 2027'!$AK$7:$AK$506,0))&amp;"","")</f>
        <v/>
      </c>
      <c r="K163" s="43" t="str">
        <f>IFERROR(INDEX('Formulación PDN 2027'!$W$7:$W$506,MATCH(ROW()-5,'Formulación PDN 2027'!$AK$7:$AK$506,0)),"")</f>
        <v/>
      </c>
      <c r="L163" s="43" t="str">
        <f>IFERROR(INDEX('Formulación PDN 2027'!$X$7:$X$506,MATCH(ROW()-5,'Formulación PDN 2027'!$AK$7:$AK$506,0)),"")</f>
        <v/>
      </c>
      <c r="M163" s="15" t="str">
        <f>IFERROR(INDEX('Formulación PDN 2027'!$Y$7:$Y$506,MATCH(ROW()-5,'Formulación PDN 2027'!$AK$7:$AK$506,0))&amp;"","")</f>
        <v/>
      </c>
      <c r="N163" s="15" t="str">
        <f>IFERROR(INDEX('Formulación PDN 2027'!$Z$7:$Z$506,MATCH(ROW()-5,'Formulación PDN 2027'!$AK$7:$AK$506,0))&amp;"","")</f>
        <v/>
      </c>
      <c r="O163" s="15"/>
      <c r="P163" s="15" t="str">
        <f>IFERROR(INDEX('Formulación PDN 2027'!$AA$7:$AA$506,MATCH(ROW()-5,'Formulación PDN 2027'!$AK$7:$AK$506,0))&amp;"","")</f>
        <v/>
      </c>
      <c r="Q163" s="15" t="str">
        <f>IFERROR(INDEX('Formulación PDN 2027'!$AB$7:$AB$506,MATCH(ROW()-5,'Formulación PDN 2027'!$AK$7:$AK$506,0))&amp;"","")</f>
        <v/>
      </c>
      <c r="R163" s="15" t="str">
        <f>IFERROR(INDEX('Formulación PDN 2027'!$AD$7:$AD$506,MATCH(ROW()-5,'Formulación PDN 2027'!$AK$7:$AK$506,0))&amp;"","")</f>
        <v/>
      </c>
      <c r="S163" s="15" t="str">
        <f>IFERROR(INDEX('Formulación PDN 2027'!$AE$7:$AE$506,MATCH(ROW()-5,'Formulación PDN 2027'!$AK$7:$AK$506,0))&amp;"","")</f>
        <v/>
      </c>
      <c r="T163" s="15" t="str">
        <f>IFERROR(INDEX('Formulación PDN 2027'!$C$7:$C$506,MATCH(ROW()-5,'Formulación PDN 2027'!$AK$7:$AK$506,0))&amp;"","")</f>
        <v/>
      </c>
      <c r="U163" s="15" t="str">
        <f>IFERROR(INDEX('Formulación PDN 2027'!$B$7:$B$506,MATCH(ROW()-5,'Formulación PDN 2027'!$AK$7:$AK$506,0))&amp;"","")</f>
        <v/>
      </c>
      <c r="V163" s="15" t="str">
        <f>IFERROR(LEFT(INDEX('Formulación PDN 2027'!$E$7:$E$506,MATCH(ROW()-5,'Formulación PDN 2027'!$AK$7:$AK$506,0)),7),"")</f>
        <v/>
      </c>
      <c r="W163" s="15" t="str">
        <f>IFERROR(INDEX('Formulación PDN 2027'!$H$7:$H$506,MATCH(ROW()-5,'Formulación PDN 2027'!$AK$7:$AK$506,0))&amp;"","")</f>
        <v/>
      </c>
      <c r="X163" s="15" t="str">
        <f>IFERROR(INDEX('Formulación PDN 2027'!$U$7:$U$506,MATCH(ROW()-5,'Formulación PDN 2027'!$AK$7:$AK$506,0))&amp;"","")</f>
        <v/>
      </c>
      <c r="Y163" s="15" t="str">
        <f>IFERROR(INDEX('Formulación PDN 2027'!$AH$7:$AH$506,MATCH(ROW()-5,'Formulación PDN 2027'!$AK$7:$AK$506,0))&amp;"","")</f>
        <v/>
      </c>
    </row>
    <row r="164" spans="1:25" x14ac:dyDescent="0.3">
      <c r="A164" s="15" t="str">
        <f>IFERROR(INDEX('Formulación PDN 2027'!$A$7:$A$506,MATCH(ROW()-5,'Formulación PDN 2027'!$AK$7:$AK$506,0))&amp;"","")</f>
        <v/>
      </c>
      <c r="B164" s="20" t="str">
        <f>IFERROR(INDEX('Formulación PDN 2027'!$M$7:$M$506,MATCH(ROW()-5,'Formulación PDN 2027'!$AK$7:$AK$506,0)),"")</f>
        <v/>
      </c>
      <c r="C164" s="15" t="str">
        <f>IFERROR(INDEX('Formulación PDN 2027'!$N$7:$N$506,MATCH(ROW()-5,'Formulación PDN 2027'!$AK$7:$AK$506,0))&amp;"","")</f>
        <v/>
      </c>
      <c r="D164" s="15" t="str">
        <f>IFERROR(INDEX('Formulación PDN 2027'!$L$7:$L$506,MATCH(ROW()-5,'Formulación PDN 2027'!$AK$7:$AK$506,0))&amp;"","")</f>
        <v/>
      </c>
      <c r="E164" s="15" t="str">
        <f>IFERROR(MATCH(INDEX('Formulación PDN 2027'!$O$7:$O$506,MATCH(ROW()-5,'Formulación PDN 2027'!$AK$7:$AK$506,0)),L_MESES,0),"")</f>
        <v/>
      </c>
      <c r="F164" s="15" t="str">
        <f>IFERROR(MATCH(INDEX('Formulación PDN 2027'!$P$7:$P$506,MATCH(ROW()-5,'Formulación PDN 2027'!$AK$7:$AK$506,0)),L_MESES,0),"")</f>
        <v/>
      </c>
      <c r="G164" s="15" t="str">
        <f>IFERROR(INDEX('Formulación PDN 2027'!$Q$7:$Q$506,MATCH(ROW()-5,'Formulación PDN 2027'!$AK$7:$AK$506,0)),"")</f>
        <v/>
      </c>
      <c r="H164" s="15" t="str">
        <f>IFERROR(INDEX('Formulación PDN 2027'!$R$7:$R$506,MATCH(ROW()-5,'Formulación PDN 2027'!$AK$7:$AK$506,0))&amp;"","")</f>
        <v/>
      </c>
      <c r="I164" s="15" t="str">
        <f>IFERROR(INDEX('Formulación PDN 2027'!$S$7:$S$506,MATCH(ROW()-5,'Formulación PDN 2027'!$AK$7:$AK$506,0))&amp;"","")</f>
        <v/>
      </c>
      <c r="J164" s="15" t="str">
        <f>IFERROR(INDEX('Formulación PDN 2027'!$T$7:$T$506,MATCH(ROW()-5,'Formulación PDN 2027'!$AK$7:$AK$506,0))&amp;"","")</f>
        <v/>
      </c>
      <c r="K164" s="43" t="str">
        <f>IFERROR(INDEX('Formulación PDN 2027'!$W$7:$W$506,MATCH(ROW()-5,'Formulación PDN 2027'!$AK$7:$AK$506,0)),"")</f>
        <v/>
      </c>
      <c r="L164" s="43" t="str">
        <f>IFERROR(INDEX('Formulación PDN 2027'!$X$7:$X$506,MATCH(ROW()-5,'Formulación PDN 2027'!$AK$7:$AK$506,0)),"")</f>
        <v/>
      </c>
      <c r="M164" s="15" t="str">
        <f>IFERROR(INDEX('Formulación PDN 2027'!$Y$7:$Y$506,MATCH(ROW()-5,'Formulación PDN 2027'!$AK$7:$AK$506,0))&amp;"","")</f>
        <v/>
      </c>
      <c r="N164" s="15" t="str">
        <f>IFERROR(INDEX('Formulación PDN 2027'!$Z$7:$Z$506,MATCH(ROW()-5,'Formulación PDN 2027'!$AK$7:$AK$506,0))&amp;"","")</f>
        <v/>
      </c>
      <c r="O164" s="15"/>
      <c r="P164" s="15" t="str">
        <f>IFERROR(INDEX('Formulación PDN 2027'!$AA$7:$AA$506,MATCH(ROW()-5,'Formulación PDN 2027'!$AK$7:$AK$506,0))&amp;"","")</f>
        <v/>
      </c>
      <c r="Q164" s="15" t="str">
        <f>IFERROR(INDEX('Formulación PDN 2027'!$AB$7:$AB$506,MATCH(ROW()-5,'Formulación PDN 2027'!$AK$7:$AK$506,0))&amp;"","")</f>
        <v/>
      </c>
      <c r="R164" s="15" t="str">
        <f>IFERROR(INDEX('Formulación PDN 2027'!$AD$7:$AD$506,MATCH(ROW()-5,'Formulación PDN 2027'!$AK$7:$AK$506,0))&amp;"","")</f>
        <v/>
      </c>
      <c r="S164" s="15" t="str">
        <f>IFERROR(INDEX('Formulación PDN 2027'!$AE$7:$AE$506,MATCH(ROW()-5,'Formulación PDN 2027'!$AK$7:$AK$506,0))&amp;"","")</f>
        <v/>
      </c>
      <c r="T164" s="15" t="str">
        <f>IFERROR(INDEX('Formulación PDN 2027'!$C$7:$C$506,MATCH(ROW()-5,'Formulación PDN 2027'!$AK$7:$AK$506,0))&amp;"","")</f>
        <v/>
      </c>
      <c r="U164" s="15" t="str">
        <f>IFERROR(INDEX('Formulación PDN 2027'!$B$7:$B$506,MATCH(ROW()-5,'Formulación PDN 2027'!$AK$7:$AK$506,0))&amp;"","")</f>
        <v/>
      </c>
      <c r="V164" s="15" t="str">
        <f>IFERROR(LEFT(INDEX('Formulación PDN 2027'!$E$7:$E$506,MATCH(ROW()-5,'Formulación PDN 2027'!$AK$7:$AK$506,0)),7),"")</f>
        <v/>
      </c>
      <c r="W164" s="15" t="str">
        <f>IFERROR(INDEX('Formulación PDN 2027'!$H$7:$H$506,MATCH(ROW()-5,'Formulación PDN 2027'!$AK$7:$AK$506,0))&amp;"","")</f>
        <v/>
      </c>
      <c r="X164" s="15" t="str">
        <f>IFERROR(INDEX('Formulación PDN 2027'!$U$7:$U$506,MATCH(ROW()-5,'Formulación PDN 2027'!$AK$7:$AK$506,0))&amp;"","")</f>
        <v/>
      </c>
      <c r="Y164" s="15" t="str">
        <f>IFERROR(INDEX('Formulación PDN 2027'!$AH$7:$AH$506,MATCH(ROW()-5,'Formulación PDN 2027'!$AK$7:$AK$506,0))&amp;"","")</f>
        <v/>
      </c>
    </row>
    <row r="165" spans="1:25" x14ac:dyDescent="0.3">
      <c r="A165" s="15" t="str">
        <f>IFERROR(INDEX('Formulación PDN 2027'!$A$7:$A$506,MATCH(ROW()-5,'Formulación PDN 2027'!$AK$7:$AK$506,0))&amp;"","")</f>
        <v/>
      </c>
      <c r="B165" s="20" t="str">
        <f>IFERROR(INDEX('Formulación PDN 2027'!$M$7:$M$506,MATCH(ROW()-5,'Formulación PDN 2027'!$AK$7:$AK$506,0)),"")</f>
        <v/>
      </c>
      <c r="C165" s="15" t="str">
        <f>IFERROR(INDEX('Formulación PDN 2027'!$N$7:$N$506,MATCH(ROW()-5,'Formulación PDN 2027'!$AK$7:$AK$506,0))&amp;"","")</f>
        <v/>
      </c>
      <c r="D165" s="15" t="str">
        <f>IFERROR(INDEX('Formulación PDN 2027'!$L$7:$L$506,MATCH(ROW()-5,'Formulación PDN 2027'!$AK$7:$AK$506,0))&amp;"","")</f>
        <v/>
      </c>
      <c r="E165" s="15" t="str">
        <f>IFERROR(MATCH(INDEX('Formulación PDN 2027'!$O$7:$O$506,MATCH(ROW()-5,'Formulación PDN 2027'!$AK$7:$AK$506,0)),L_MESES,0),"")</f>
        <v/>
      </c>
      <c r="F165" s="15" t="str">
        <f>IFERROR(MATCH(INDEX('Formulación PDN 2027'!$P$7:$P$506,MATCH(ROW()-5,'Formulación PDN 2027'!$AK$7:$AK$506,0)),L_MESES,0),"")</f>
        <v/>
      </c>
      <c r="G165" s="15" t="str">
        <f>IFERROR(INDEX('Formulación PDN 2027'!$Q$7:$Q$506,MATCH(ROW()-5,'Formulación PDN 2027'!$AK$7:$AK$506,0)),"")</f>
        <v/>
      </c>
      <c r="H165" s="15" t="str">
        <f>IFERROR(INDEX('Formulación PDN 2027'!$R$7:$R$506,MATCH(ROW()-5,'Formulación PDN 2027'!$AK$7:$AK$506,0))&amp;"","")</f>
        <v/>
      </c>
      <c r="I165" s="15" t="str">
        <f>IFERROR(INDEX('Formulación PDN 2027'!$S$7:$S$506,MATCH(ROW()-5,'Formulación PDN 2027'!$AK$7:$AK$506,0))&amp;"","")</f>
        <v/>
      </c>
      <c r="J165" s="15" t="str">
        <f>IFERROR(INDEX('Formulación PDN 2027'!$T$7:$T$506,MATCH(ROW()-5,'Formulación PDN 2027'!$AK$7:$AK$506,0))&amp;"","")</f>
        <v/>
      </c>
      <c r="K165" s="43" t="str">
        <f>IFERROR(INDEX('Formulación PDN 2027'!$W$7:$W$506,MATCH(ROW()-5,'Formulación PDN 2027'!$AK$7:$AK$506,0)),"")</f>
        <v/>
      </c>
      <c r="L165" s="43" t="str">
        <f>IFERROR(INDEX('Formulación PDN 2027'!$X$7:$X$506,MATCH(ROW()-5,'Formulación PDN 2027'!$AK$7:$AK$506,0)),"")</f>
        <v/>
      </c>
      <c r="M165" s="15" t="str">
        <f>IFERROR(INDEX('Formulación PDN 2027'!$Y$7:$Y$506,MATCH(ROW()-5,'Formulación PDN 2027'!$AK$7:$AK$506,0))&amp;"","")</f>
        <v/>
      </c>
      <c r="N165" s="15" t="str">
        <f>IFERROR(INDEX('Formulación PDN 2027'!$Z$7:$Z$506,MATCH(ROW()-5,'Formulación PDN 2027'!$AK$7:$AK$506,0))&amp;"","")</f>
        <v/>
      </c>
      <c r="O165" s="15"/>
      <c r="P165" s="15" t="str">
        <f>IFERROR(INDEX('Formulación PDN 2027'!$AA$7:$AA$506,MATCH(ROW()-5,'Formulación PDN 2027'!$AK$7:$AK$506,0))&amp;"","")</f>
        <v/>
      </c>
      <c r="Q165" s="15" t="str">
        <f>IFERROR(INDEX('Formulación PDN 2027'!$AB$7:$AB$506,MATCH(ROW()-5,'Formulación PDN 2027'!$AK$7:$AK$506,0))&amp;"","")</f>
        <v/>
      </c>
      <c r="R165" s="15" t="str">
        <f>IFERROR(INDEX('Formulación PDN 2027'!$AD$7:$AD$506,MATCH(ROW()-5,'Formulación PDN 2027'!$AK$7:$AK$506,0))&amp;"","")</f>
        <v/>
      </c>
      <c r="S165" s="15" t="str">
        <f>IFERROR(INDEX('Formulación PDN 2027'!$AE$7:$AE$506,MATCH(ROW()-5,'Formulación PDN 2027'!$AK$7:$AK$506,0))&amp;"","")</f>
        <v/>
      </c>
      <c r="T165" s="15" t="str">
        <f>IFERROR(INDEX('Formulación PDN 2027'!$C$7:$C$506,MATCH(ROW()-5,'Formulación PDN 2027'!$AK$7:$AK$506,0))&amp;"","")</f>
        <v/>
      </c>
      <c r="U165" s="15" t="str">
        <f>IFERROR(INDEX('Formulación PDN 2027'!$B$7:$B$506,MATCH(ROW()-5,'Formulación PDN 2027'!$AK$7:$AK$506,0))&amp;"","")</f>
        <v/>
      </c>
      <c r="V165" s="15" t="str">
        <f>IFERROR(LEFT(INDEX('Formulación PDN 2027'!$E$7:$E$506,MATCH(ROW()-5,'Formulación PDN 2027'!$AK$7:$AK$506,0)),7),"")</f>
        <v/>
      </c>
      <c r="W165" s="15" t="str">
        <f>IFERROR(INDEX('Formulación PDN 2027'!$H$7:$H$506,MATCH(ROW()-5,'Formulación PDN 2027'!$AK$7:$AK$506,0))&amp;"","")</f>
        <v/>
      </c>
      <c r="X165" s="15" t="str">
        <f>IFERROR(INDEX('Formulación PDN 2027'!$U$7:$U$506,MATCH(ROW()-5,'Formulación PDN 2027'!$AK$7:$AK$506,0))&amp;"","")</f>
        <v/>
      </c>
      <c r="Y165" s="15" t="str">
        <f>IFERROR(INDEX('Formulación PDN 2027'!$AH$7:$AH$506,MATCH(ROW()-5,'Formulación PDN 2027'!$AK$7:$AK$506,0))&amp;"","")</f>
        <v/>
      </c>
    </row>
    <row r="166" spans="1:25" x14ac:dyDescent="0.3">
      <c r="A166" s="15" t="str">
        <f>IFERROR(INDEX('Formulación PDN 2027'!$A$7:$A$506,MATCH(ROW()-5,'Formulación PDN 2027'!$AK$7:$AK$506,0))&amp;"","")</f>
        <v/>
      </c>
      <c r="B166" s="20" t="str">
        <f>IFERROR(INDEX('Formulación PDN 2027'!$M$7:$M$506,MATCH(ROW()-5,'Formulación PDN 2027'!$AK$7:$AK$506,0)),"")</f>
        <v/>
      </c>
      <c r="C166" s="15" t="str">
        <f>IFERROR(INDEX('Formulación PDN 2027'!$N$7:$N$506,MATCH(ROW()-5,'Formulación PDN 2027'!$AK$7:$AK$506,0))&amp;"","")</f>
        <v/>
      </c>
      <c r="D166" s="15" t="str">
        <f>IFERROR(INDEX('Formulación PDN 2027'!$L$7:$L$506,MATCH(ROW()-5,'Formulación PDN 2027'!$AK$7:$AK$506,0))&amp;"","")</f>
        <v/>
      </c>
      <c r="E166" s="15" t="str">
        <f>IFERROR(MATCH(INDEX('Formulación PDN 2027'!$O$7:$O$506,MATCH(ROW()-5,'Formulación PDN 2027'!$AK$7:$AK$506,0)),L_MESES,0),"")</f>
        <v/>
      </c>
      <c r="F166" s="15" t="str">
        <f>IFERROR(MATCH(INDEX('Formulación PDN 2027'!$P$7:$P$506,MATCH(ROW()-5,'Formulación PDN 2027'!$AK$7:$AK$506,0)),L_MESES,0),"")</f>
        <v/>
      </c>
      <c r="G166" s="15" t="str">
        <f>IFERROR(INDEX('Formulación PDN 2027'!$Q$7:$Q$506,MATCH(ROW()-5,'Formulación PDN 2027'!$AK$7:$AK$506,0)),"")</f>
        <v/>
      </c>
      <c r="H166" s="15" t="str">
        <f>IFERROR(INDEX('Formulación PDN 2027'!$R$7:$R$506,MATCH(ROW()-5,'Formulación PDN 2027'!$AK$7:$AK$506,0))&amp;"","")</f>
        <v/>
      </c>
      <c r="I166" s="15" t="str">
        <f>IFERROR(INDEX('Formulación PDN 2027'!$S$7:$S$506,MATCH(ROW()-5,'Formulación PDN 2027'!$AK$7:$AK$506,0))&amp;"","")</f>
        <v/>
      </c>
      <c r="J166" s="15" t="str">
        <f>IFERROR(INDEX('Formulación PDN 2027'!$T$7:$T$506,MATCH(ROW()-5,'Formulación PDN 2027'!$AK$7:$AK$506,0))&amp;"","")</f>
        <v/>
      </c>
      <c r="K166" s="43" t="str">
        <f>IFERROR(INDEX('Formulación PDN 2027'!$W$7:$W$506,MATCH(ROW()-5,'Formulación PDN 2027'!$AK$7:$AK$506,0)),"")</f>
        <v/>
      </c>
      <c r="L166" s="43" t="str">
        <f>IFERROR(INDEX('Formulación PDN 2027'!$X$7:$X$506,MATCH(ROW()-5,'Formulación PDN 2027'!$AK$7:$AK$506,0)),"")</f>
        <v/>
      </c>
      <c r="M166" s="15" t="str">
        <f>IFERROR(INDEX('Formulación PDN 2027'!$Y$7:$Y$506,MATCH(ROW()-5,'Formulación PDN 2027'!$AK$7:$AK$506,0))&amp;"","")</f>
        <v/>
      </c>
      <c r="N166" s="15" t="str">
        <f>IFERROR(INDEX('Formulación PDN 2027'!$Z$7:$Z$506,MATCH(ROW()-5,'Formulación PDN 2027'!$AK$7:$AK$506,0))&amp;"","")</f>
        <v/>
      </c>
      <c r="O166" s="15"/>
      <c r="P166" s="15" t="str">
        <f>IFERROR(INDEX('Formulación PDN 2027'!$AA$7:$AA$506,MATCH(ROW()-5,'Formulación PDN 2027'!$AK$7:$AK$506,0))&amp;"","")</f>
        <v/>
      </c>
      <c r="Q166" s="15" t="str">
        <f>IFERROR(INDEX('Formulación PDN 2027'!$AB$7:$AB$506,MATCH(ROW()-5,'Formulación PDN 2027'!$AK$7:$AK$506,0))&amp;"","")</f>
        <v/>
      </c>
      <c r="R166" s="15" t="str">
        <f>IFERROR(INDEX('Formulación PDN 2027'!$AD$7:$AD$506,MATCH(ROW()-5,'Formulación PDN 2027'!$AK$7:$AK$506,0))&amp;"","")</f>
        <v/>
      </c>
      <c r="S166" s="15" t="str">
        <f>IFERROR(INDEX('Formulación PDN 2027'!$AE$7:$AE$506,MATCH(ROW()-5,'Formulación PDN 2027'!$AK$7:$AK$506,0))&amp;"","")</f>
        <v/>
      </c>
      <c r="T166" s="15" t="str">
        <f>IFERROR(INDEX('Formulación PDN 2027'!$C$7:$C$506,MATCH(ROW()-5,'Formulación PDN 2027'!$AK$7:$AK$506,0))&amp;"","")</f>
        <v/>
      </c>
      <c r="U166" s="15" t="str">
        <f>IFERROR(INDEX('Formulación PDN 2027'!$B$7:$B$506,MATCH(ROW()-5,'Formulación PDN 2027'!$AK$7:$AK$506,0))&amp;"","")</f>
        <v/>
      </c>
      <c r="V166" s="15" t="str">
        <f>IFERROR(LEFT(INDEX('Formulación PDN 2027'!$E$7:$E$506,MATCH(ROW()-5,'Formulación PDN 2027'!$AK$7:$AK$506,0)),7),"")</f>
        <v/>
      </c>
      <c r="W166" s="15" t="str">
        <f>IFERROR(INDEX('Formulación PDN 2027'!$H$7:$H$506,MATCH(ROW()-5,'Formulación PDN 2027'!$AK$7:$AK$506,0))&amp;"","")</f>
        <v/>
      </c>
      <c r="X166" s="15" t="str">
        <f>IFERROR(INDEX('Formulación PDN 2027'!$U$7:$U$506,MATCH(ROW()-5,'Formulación PDN 2027'!$AK$7:$AK$506,0))&amp;"","")</f>
        <v/>
      </c>
      <c r="Y166" s="15" t="str">
        <f>IFERROR(INDEX('Formulación PDN 2027'!$AH$7:$AH$506,MATCH(ROW()-5,'Formulación PDN 2027'!$AK$7:$AK$506,0))&amp;"","")</f>
        <v/>
      </c>
    </row>
    <row r="167" spans="1:25" x14ac:dyDescent="0.3">
      <c r="A167" s="15" t="str">
        <f>IFERROR(INDEX('Formulación PDN 2027'!$A$7:$A$506,MATCH(ROW()-5,'Formulación PDN 2027'!$AK$7:$AK$506,0))&amp;"","")</f>
        <v/>
      </c>
      <c r="B167" s="20" t="str">
        <f>IFERROR(INDEX('Formulación PDN 2027'!$M$7:$M$506,MATCH(ROW()-5,'Formulación PDN 2027'!$AK$7:$AK$506,0)),"")</f>
        <v/>
      </c>
      <c r="C167" s="15" t="str">
        <f>IFERROR(INDEX('Formulación PDN 2027'!$N$7:$N$506,MATCH(ROW()-5,'Formulación PDN 2027'!$AK$7:$AK$506,0))&amp;"","")</f>
        <v/>
      </c>
      <c r="D167" s="15" t="str">
        <f>IFERROR(INDEX('Formulación PDN 2027'!$L$7:$L$506,MATCH(ROW()-5,'Formulación PDN 2027'!$AK$7:$AK$506,0))&amp;"","")</f>
        <v/>
      </c>
      <c r="E167" s="15" t="str">
        <f>IFERROR(MATCH(INDEX('Formulación PDN 2027'!$O$7:$O$506,MATCH(ROW()-5,'Formulación PDN 2027'!$AK$7:$AK$506,0)),L_MESES,0),"")</f>
        <v/>
      </c>
      <c r="F167" s="15" t="str">
        <f>IFERROR(MATCH(INDEX('Formulación PDN 2027'!$P$7:$P$506,MATCH(ROW()-5,'Formulación PDN 2027'!$AK$7:$AK$506,0)),L_MESES,0),"")</f>
        <v/>
      </c>
      <c r="G167" s="15" t="str">
        <f>IFERROR(INDEX('Formulación PDN 2027'!$Q$7:$Q$506,MATCH(ROW()-5,'Formulación PDN 2027'!$AK$7:$AK$506,0)),"")</f>
        <v/>
      </c>
      <c r="H167" s="15" t="str">
        <f>IFERROR(INDEX('Formulación PDN 2027'!$R$7:$R$506,MATCH(ROW()-5,'Formulación PDN 2027'!$AK$7:$AK$506,0))&amp;"","")</f>
        <v/>
      </c>
      <c r="I167" s="15" t="str">
        <f>IFERROR(INDEX('Formulación PDN 2027'!$S$7:$S$506,MATCH(ROW()-5,'Formulación PDN 2027'!$AK$7:$AK$506,0))&amp;"","")</f>
        <v/>
      </c>
      <c r="J167" s="15" t="str">
        <f>IFERROR(INDEX('Formulación PDN 2027'!$T$7:$T$506,MATCH(ROW()-5,'Formulación PDN 2027'!$AK$7:$AK$506,0))&amp;"","")</f>
        <v/>
      </c>
      <c r="K167" s="43" t="str">
        <f>IFERROR(INDEX('Formulación PDN 2027'!$W$7:$W$506,MATCH(ROW()-5,'Formulación PDN 2027'!$AK$7:$AK$506,0)),"")</f>
        <v/>
      </c>
      <c r="L167" s="43" t="str">
        <f>IFERROR(INDEX('Formulación PDN 2027'!$X$7:$X$506,MATCH(ROW()-5,'Formulación PDN 2027'!$AK$7:$AK$506,0)),"")</f>
        <v/>
      </c>
      <c r="M167" s="15" t="str">
        <f>IFERROR(INDEX('Formulación PDN 2027'!$Y$7:$Y$506,MATCH(ROW()-5,'Formulación PDN 2027'!$AK$7:$AK$506,0))&amp;"","")</f>
        <v/>
      </c>
      <c r="N167" s="15" t="str">
        <f>IFERROR(INDEX('Formulación PDN 2027'!$Z$7:$Z$506,MATCH(ROW()-5,'Formulación PDN 2027'!$AK$7:$AK$506,0))&amp;"","")</f>
        <v/>
      </c>
      <c r="O167" s="15"/>
      <c r="P167" s="15" t="str">
        <f>IFERROR(INDEX('Formulación PDN 2027'!$AA$7:$AA$506,MATCH(ROW()-5,'Formulación PDN 2027'!$AK$7:$AK$506,0))&amp;"","")</f>
        <v/>
      </c>
      <c r="Q167" s="15" t="str">
        <f>IFERROR(INDEX('Formulación PDN 2027'!$AB$7:$AB$506,MATCH(ROW()-5,'Formulación PDN 2027'!$AK$7:$AK$506,0))&amp;"","")</f>
        <v/>
      </c>
      <c r="R167" s="15" t="str">
        <f>IFERROR(INDEX('Formulación PDN 2027'!$AD$7:$AD$506,MATCH(ROW()-5,'Formulación PDN 2027'!$AK$7:$AK$506,0))&amp;"","")</f>
        <v/>
      </c>
      <c r="S167" s="15" t="str">
        <f>IFERROR(INDEX('Formulación PDN 2027'!$AE$7:$AE$506,MATCH(ROW()-5,'Formulación PDN 2027'!$AK$7:$AK$506,0))&amp;"","")</f>
        <v/>
      </c>
      <c r="T167" s="15" t="str">
        <f>IFERROR(INDEX('Formulación PDN 2027'!$C$7:$C$506,MATCH(ROW()-5,'Formulación PDN 2027'!$AK$7:$AK$506,0))&amp;"","")</f>
        <v/>
      </c>
      <c r="U167" s="15" t="str">
        <f>IFERROR(INDEX('Formulación PDN 2027'!$B$7:$B$506,MATCH(ROW()-5,'Formulación PDN 2027'!$AK$7:$AK$506,0))&amp;"","")</f>
        <v/>
      </c>
      <c r="V167" s="15" t="str">
        <f>IFERROR(LEFT(INDEX('Formulación PDN 2027'!$E$7:$E$506,MATCH(ROW()-5,'Formulación PDN 2027'!$AK$7:$AK$506,0)),7),"")</f>
        <v/>
      </c>
      <c r="W167" s="15" t="str">
        <f>IFERROR(INDEX('Formulación PDN 2027'!$H$7:$H$506,MATCH(ROW()-5,'Formulación PDN 2027'!$AK$7:$AK$506,0))&amp;"","")</f>
        <v/>
      </c>
      <c r="X167" s="15" t="str">
        <f>IFERROR(INDEX('Formulación PDN 2027'!$U$7:$U$506,MATCH(ROW()-5,'Formulación PDN 2027'!$AK$7:$AK$506,0))&amp;"","")</f>
        <v/>
      </c>
      <c r="Y167" s="15" t="str">
        <f>IFERROR(INDEX('Formulación PDN 2027'!$AH$7:$AH$506,MATCH(ROW()-5,'Formulación PDN 2027'!$AK$7:$AK$506,0))&amp;"","")</f>
        <v/>
      </c>
    </row>
    <row r="168" spans="1:25" x14ac:dyDescent="0.3">
      <c r="A168" s="15" t="str">
        <f>IFERROR(INDEX('Formulación PDN 2027'!$A$7:$A$506,MATCH(ROW()-5,'Formulación PDN 2027'!$AK$7:$AK$506,0))&amp;"","")</f>
        <v/>
      </c>
      <c r="B168" s="20" t="str">
        <f>IFERROR(INDEX('Formulación PDN 2027'!$M$7:$M$506,MATCH(ROW()-5,'Formulación PDN 2027'!$AK$7:$AK$506,0)),"")</f>
        <v/>
      </c>
      <c r="C168" s="15" t="str">
        <f>IFERROR(INDEX('Formulación PDN 2027'!$N$7:$N$506,MATCH(ROW()-5,'Formulación PDN 2027'!$AK$7:$AK$506,0))&amp;"","")</f>
        <v/>
      </c>
      <c r="D168" s="15" t="str">
        <f>IFERROR(INDEX('Formulación PDN 2027'!$L$7:$L$506,MATCH(ROW()-5,'Formulación PDN 2027'!$AK$7:$AK$506,0))&amp;"","")</f>
        <v/>
      </c>
      <c r="E168" s="15" t="str">
        <f>IFERROR(MATCH(INDEX('Formulación PDN 2027'!$O$7:$O$506,MATCH(ROW()-5,'Formulación PDN 2027'!$AK$7:$AK$506,0)),L_MESES,0),"")</f>
        <v/>
      </c>
      <c r="F168" s="15" t="str">
        <f>IFERROR(MATCH(INDEX('Formulación PDN 2027'!$P$7:$P$506,MATCH(ROW()-5,'Formulación PDN 2027'!$AK$7:$AK$506,0)),L_MESES,0),"")</f>
        <v/>
      </c>
      <c r="G168" s="15" t="str">
        <f>IFERROR(INDEX('Formulación PDN 2027'!$Q$7:$Q$506,MATCH(ROW()-5,'Formulación PDN 2027'!$AK$7:$AK$506,0)),"")</f>
        <v/>
      </c>
      <c r="H168" s="15" t="str">
        <f>IFERROR(INDEX('Formulación PDN 2027'!$R$7:$R$506,MATCH(ROW()-5,'Formulación PDN 2027'!$AK$7:$AK$506,0))&amp;"","")</f>
        <v/>
      </c>
      <c r="I168" s="15" t="str">
        <f>IFERROR(INDEX('Formulación PDN 2027'!$S$7:$S$506,MATCH(ROW()-5,'Formulación PDN 2027'!$AK$7:$AK$506,0))&amp;"","")</f>
        <v/>
      </c>
      <c r="J168" s="15" t="str">
        <f>IFERROR(INDEX('Formulación PDN 2027'!$T$7:$T$506,MATCH(ROW()-5,'Formulación PDN 2027'!$AK$7:$AK$506,0))&amp;"","")</f>
        <v/>
      </c>
      <c r="K168" s="43" t="str">
        <f>IFERROR(INDEX('Formulación PDN 2027'!$W$7:$W$506,MATCH(ROW()-5,'Formulación PDN 2027'!$AK$7:$AK$506,0)),"")</f>
        <v/>
      </c>
      <c r="L168" s="43" t="str">
        <f>IFERROR(INDEX('Formulación PDN 2027'!$X$7:$X$506,MATCH(ROW()-5,'Formulación PDN 2027'!$AK$7:$AK$506,0)),"")</f>
        <v/>
      </c>
      <c r="M168" s="15" t="str">
        <f>IFERROR(INDEX('Formulación PDN 2027'!$Y$7:$Y$506,MATCH(ROW()-5,'Formulación PDN 2027'!$AK$7:$AK$506,0))&amp;"","")</f>
        <v/>
      </c>
      <c r="N168" s="15" t="str">
        <f>IFERROR(INDEX('Formulación PDN 2027'!$Z$7:$Z$506,MATCH(ROW()-5,'Formulación PDN 2027'!$AK$7:$AK$506,0))&amp;"","")</f>
        <v/>
      </c>
      <c r="O168" s="15"/>
      <c r="P168" s="15" t="str">
        <f>IFERROR(INDEX('Formulación PDN 2027'!$AA$7:$AA$506,MATCH(ROW()-5,'Formulación PDN 2027'!$AK$7:$AK$506,0))&amp;"","")</f>
        <v/>
      </c>
      <c r="Q168" s="15" t="str">
        <f>IFERROR(INDEX('Formulación PDN 2027'!$AB$7:$AB$506,MATCH(ROW()-5,'Formulación PDN 2027'!$AK$7:$AK$506,0))&amp;"","")</f>
        <v/>
      </c>
      <c r="R168" s="15" t="str">
        <f>IFERROR(INDEX('Formulación PDN 2027'!$AD$7:$AD$506,MATCH(ROW()-5,'Formulación PDN 2027'!$AK$7:$AK$506,0))&amp;"","")</f>
        <v/>
      </c>
      <c r="S168" s="15" t="str">
        <f>IFERROR(INDEX('Formulación PDN 2027'!$AE$7:$AE$506,MATCH(ROW()-5,'Formulación PDN 2027'!$AK$7:$AK$506,0))&amp;"","")</f>
        <v/>
      </c>
      <c r="T168" s="15" t="str">
        <f>IFERROR(INDEX('Formulación PDN 2027'!$C$7:$C$506,MATCH(ROW()-5,'Formulación PDN 2027'!$AK$7:$AK$506,0))&amp;"","")</f>
        <v/>
      </c>
      <c r="U168" s="15" t="str">
        <f>IFERROR(INDEX('Formulación PDN 2027'!$B$7:$B$506,MATCH(ROW()-5,'Formulación PDN 2027'!$AK$7:$AK$506,0))&amp;"","")</f>
        <v/>
      </c>
      <c r="V168" s="15" t="str">
        <f>IFERROR(LEFT(INDEX('Formulación PDN 2027'!$E$7:$E$506,MATCH(ROW()-5,'Formulación PDN 2027'!$AK$7:$AK$506,0)),7),"")</f>
        <v/>
      </c>
      <c r="W168" s="15" t="str">
        <f>IFERROR(INDEX('Formulación PDN 2027'!$H$7:$H$506,MATCH(ROW()-5,'Formulación PDN 2027'!$AK$7:$AK$506,0))&amp;"","")</f>
        <v/>
      </c>
      <c r="X168" s="15" t="str">
        <f>IFERROR(INDEX('Formulación PDN 2027'!$U$7:$U$506,MATCH(ROW()-5,'Formulación PDN 2027'!$AK$7:$AK$506,0))&amp;"","")</f>
        <v/>
      </c>
      <c r="Y168" s="15" t="str">
        <f>IFERROR(INDEX('Formulación PDN 2027'!$AH$7:$AH$506,MATCH(ROW()-5,'Formulación PDN 2027'!$AK$7:$AK$506,0))&amp;"","")</f>
        <v/>
      </c>
    </row>
    <row r="169" spans="1:25" x14ac:dyDescent="0.3">
      <c r="A169" s="15" t="str">
        <f>IFERROR(INDEX('Formulación PDN 2027'!$A$7:$A$506,MATCH(ROW()-5,'Formulación PDN 2027'!$AK$7:$AK$506,0))&amp;"","")</f>
        <v/>
      </c>
      <c r="B169" s="20" t="str">
        <f>IFERROR(INDEX('Formulación PDN 2027'!$M$7:$M$506,MATCH(ROW()-5,'Formulación PDN 2027'!$AK$7:$AK$506,0)),"")</f>
        <v/>
      </c>
      <c r="C169" s="15" t="str">
        <f>IFERROR(INDEX('Formulación PDN 2027'!$N$7:$N$506,MATCH(ROW()-5,'Formulación PDN 2027'!$AK$7:$AK$506,0))&amp;"","")</f>
        <v/>
      </c>
      <c r="D169" s="15" t="str">
        <f>IFERROR(INDEX('Formulación PDN 2027'!$L$7:$L$506,MATCH(ROW()-5,'Formulación PDN 2027'!$AK$7:$AK$506,0))&amp;"","")</f>
        <v/>
      </c>
      <c r="E169" s="15" t="str">
        <f>IFERROR(MATCH(INDEX('Formulación PDN 2027'!$O$7:$O$506,MATCH(ROW()-5,'Formulación PDN 2027'!$AK$7:$AK$506,0)),L_MESES,0),"")</f>
        <v/>
      </c>
      <c r="F169" s="15" t="str">
        <f>IFERROR(MATCH(INDEX('Formulación PDN 2027'!$P$7:$P$506,MATCH(ROW()-5,'Formulación PDN 2027'!$AK$7:$AK$506,0)),L_MESES,0),"")</f>
        <v/>
      </c>
      <c r="G169" s="15" t="str">
        <f>IFERROR(INDEX('Formulación PDN 2027'!$Q$7:$Q$506,MATCH(ROW()-5,'Formulación PDN 2027'!$AK$7:$AK$506,0)),"")</f>
        <v/>
      </c>
      <c r="H169" s="15" t="str">
        <f>IFERROR(INDEX('Formulación PDN 2027'!$R$7:$R$506,MATCH(ROW()-5,'Formulación PDN 2027'!$AK$7:$AK$506,0))&amp;"","")</f>
        <v/>
      </c>
      <c r="I169" s="15" t="str">
        <f>IFERROR(INDEX('Formulación PDN 2027'!$S$7:$S$506,MATCH(ROW()-5,'Formulación PDN 2027'!$AK$7:$AK$506,0))&amp;"","")</f>
        <v/>
      </c>
      <c r="J169" s="15" t="str">
        <f>IFERROR(INDEX('Formulación PDN 2027'!$T$7:$T$506,MATCH(ROW()-5,'Formulación PDN 2027'!$AK$7:$AK$506,0))&amp;"","")</f>
        <v/>
      </c>
      <c r="K169" s="43" t="str">
        <f>IFERROR(INDEX('Formulación PDN 2027'!$W$7:$W$506,MATCH(ROW()-5,'Formulación PDN 2027'!$AK$7:$AK$506,0)),"")</f>
        <v/>
      </c>
      <c r="L169" s="43" t="str">
        <f>IFERROR(INDEX('Formulación PDN 2027'!$X$7:$X$506,MATCH(ROW()-5,'Formulación PDN 2027'!$AK$7:$AK$506,0)),"")</f>
        <v/>
      </c>
      <c r="M169" s="15" t="str">
        <f>IFERROR(INDEX('Formulación PDN 2027'!$Y$7:$Y$506,MATCH(ROW()-5,'Formulación PDN 2027'!$AK$7:$AK$506,0))&amp;"","")</f>
        <v/>
      </c>
      <c r="N169" s="15" t="str">
        <f>IFERROR(INDEX('Formulación PDN 2027'!$Z$7:$Z$506,MATCH(ROW()-5,'Formulación PDN 2027'!$AK$7:$AK$506,0))&amp;"","")</f>
        <v/>
      </c>
      <c r="O169" s="15"/>
      <c r="P169" s="15" t="str">
        <f>IFERROR(INDEX('Formulación PDN 2027'!$AA$7:$AA$506,MATCH(ROW()-5,'Formulación PDN 2027'!$AK$7:$AK$506,0))&amp;"","")</f>
        <v/>
      </c>
      <c r="Q169" s="15" t="str">
        <f>IFERROR(INDEX('Formulación PDN 2027'!$AB$7:$AB$506,MATCH(ROW()-5,'Formulación PDN 2027'!$AK$7:$AK$506,0))&amp;"","")</f>
        <v/>
      </c>
      <c r="R169" s="15" t="str">
        <f>IFERROR(INDEX('Formulación PDN 2027'!$AD$7:$AD$506,MATCH(ROW()-5,'Formulación PDN 2027'!$AK$7:$AK$506,0))&amp;"","")</f>
        <v/>
      </c>
      <c r="S169" s="15" t="str">
        <f>IFERROR(INDEX('Formulación PDN 2027'!$AE$7:$AE$506,MATCH(ROW()-5,'Formulación PDN 2027'!$AK$7:$AK$506,0))&amp;"","")</f>
        <v/>
      </c>
      <c r="T169" s="15" t="str">
        <f>IFERROR(INDEX('Formulación PDN 2027'!$C$7:$C$506,MATCH(ROW()-5,'Formulación PDN 2027'!$AK$7:$AK$506,0))&amp;"","")</f>
        <v/>
      </c>
      <c r="U169" s="15" t="str">
        <f>IFERROR(INDEX('Formulación PDN 2027'!$B$7:$B$506,MATCH(ROW()-5,'Formulación PDN 2027'!$AK$7:$AK$506,0))&amp;"","")</f>
        <v/>
      </c>
      <c r="V169" s="15" t="str">
        <f>IFERROR(LEFT(INDEX('Formulación PDN 2027'!$E$7:$E$506,MATCH(ROW()-5,'Formulación PDN 2027'!$AK$7:$AK$506,0)),7),"")</f>
        <v/>
      </c>
      <c r="W169" s="15" t="str">
        <f>IFERROR(INDEX('Formulación PDN 2027'!$H$7:$H$506,MATCH(ROW()-5,'Formulación PDN 2027'!$AK$7:$AK$506,0))&amp;"","")</f>
        <v/>
      </c>
      <c r="X169" s="15" t="str">
        <f>IFERROR(INDEX('Formulación PDN 2027'!$U$7:$U$506,MATCH(ROW()-5,'Formulación PDN 2027'!$AK$7:$AK$506,0))&amp;"","")</f>
        <v/>
      </c>
      <c r="Y169" s="15" t="str">
        <f>IFERROR(INDEX('Formulación PDN 2027'!$AH$7:$AH$506,MATCH(ROW()-5,'Formulación PDN 2027'!$AK$7:$AK$506,0))&amp;"","")</f>
        <v/>
      </c>
    </row>
    <row r="170" spans="1:25" x14ac:dyDescent="0.3">
      <c r="A170" s="15" t="str">
        <f>IFERROR(INDEX('Formulación PDN 2027'!$A$7:$A$506,MATCH(ROW()-5,'Formulación PDN 2027'!$AK$7:$AK$506,0))&amp;"","")</f>
        <v/>
      </c>
      <c r="B170" s="20" t="str">
        <f>IFERROR(INDEX('Formulación PDN 2027'!$M$7:$M$506,MATCH(ROW()-5,'Formulación PDN 2027'!$AK$7:$AK$506,0)),"")</f>
        <v/>
      </c>
      <c r="C170" s="15" t="str">
        <f>IFERROR(INDEX('Formulación PDN 2027'!$N$7:$N$506,MATCH(ROW()-5,'Formulación PDN 2027'!$AK$7:$AK$506,0))&amp;"","")</f>
        <v/>
      </c>
      <c r="D170" s="15" t="str">
        <f>IFERROR(INDEX('Formulación PDN 2027'!$L$7:$L$506,MATCH(ROW()-5,'Formulación PDN 2027'!$AK$7:$AK$506,0))&amp;"","")</f>
        <v/>
      </c>
      <c r="E170" s="15" t="str">
        <f>IFERROR(MATCH(INDEX('Formulación PDN 2027'!$O$7:$O$506,MATCH(ROW()-5,'Formulación PDN 2027'!$AK$7:$AK$506,0)),L_MESES,0),"")</f>
        <v/>
      </c>
      <c r="F170" s="15" t="str">
        <f>IFERROR(MATCH(INDEX('Formulación PDN 2027'!$P$7:$P$506,MATCH(ROW()-5,'Formulación PDN 2027'!$AK$7:$AK$506,0)),L_MESES,0),"")</f>
        <v/>
      </c>
      <c r="G170" s="15" t="str">
        <f>IFERROR(INDEX('Formulación PDN 2027'!$Q$7:$Q$506,MATCH(ROW()-5,'Formulación PDN 2027'!$AK$7:$AK$506,0)),"")</f>
        <v/>
      </c>
      <c r="H170" s="15" t="str">
        <f>IFERROR(INDEX('Formulación PDN 2027'!$R$7:$R$506,MATCH(ROW()-5,'Formulación PDN 2027'!$AK$7:$AK$506,0))&amp;"","")</f>
        <v/>
      </c>
      <c r="I170" s="15" t="str">
        <f>IFERROR(INDEX('Formulación PDN 2027'!$S$7:$S$506,MATCH(ROW()-5,'Formulación PDN 2027'!$AK$7:$AK$506,0))&amp;"","")</f>
        <v/>
      </c>
      <c r="J170" s="15" t="str">
        <f>IFERROR(INDEX('Formulación PDN 2027'!$T$7:$T$506,MATCH(ROW()-5,'Formulación PDN 2027'!$AK$7:$AK$506,0))&amp;"","")</f>
        <v/>
      </c>
      <c r="K170" s="43" t="str">
        <f>IFERROR(INDEX('Formulación PDN 2027'!$W$7:$W$506,MATCH(ROW()-5,'Formulación PDN 2027'!$AK$7:$AK$506,0)),"")</f>
        <v/>
      </c>
      <c r="L170" s="43" t="str">
        <f>IFERROR(INDEX('Formulación PDN 2027'!$X$7:$X$506,MATCH(ROW()-5,'Formulación PDN 2027'!$AK$7:$AK$506,0)),"")</f>
        <v/>
      </c>
      <c r="M170" s="15" t="str">
        <f>IFERROR(INDEX('Formulación PDN 2027'!$Y$7:$Y$506,MATCH(ROW()-5,'Formulación PDN 2027'!$AK$7:$AK$506,0))&amp;"","")</f>
        <v/>
      </c>
      <c r="N170" s="15" t="str">
        <f>IFERROR(INDEX('Formulación PDN 2027'!$Z$7:$Z$506,MATCH(ROW()-5,'Formulación PDN 2027'!$AK$7:$AK$506,0))&amp;"","")</f>
        <v/>
      </c>
      <c r="O170" s="15"/>
      <c r="P170" s="15" t="str">
        <f>IFERROR(INDEX('Formulación PDN 2027'!$AA$7:$AA$506,MATCH(ROW()-5,'Formulación PDN 2027'!$AK$7:$AK$506,0))&amp;"","")</f>
        <v/>
      </c>
      <c r="Q170" s="15" t="str">
        <f>IFERROR(INDEX('Formulación PDN 2027'!$AB$7:$AB$506,MATCH(ROW()-5,'Formulación PDN 2027'!$AK$7:$AK$506,0))&amp;"","")</f>
        <v/>
      </c>
      <c r="R170" s="15" t="str">
        <f>IFERROR(INDEX('Formulación PDN 2027'!$AD$7:$AD$506,MATCH(ROW()-5,'Formulación PDN 2027'!$AK$7:$AK$506,0))&amp;"","")</f>
        <v/>
      </c>
      <c r="S170" s="15" t="str">
        <f>IFERROR(INDEX('Formulación PDN 2027'!$AE$7:$AE$506,MATCH(ROW()-5,'Formulación PDN 2027'!$AK$7:$AK$506,0))&amp;"","")</f>
        <v/>
      </c>
      <c r="T170" s="15" t="str">
        <f>IFERROR(INDEX('Formulación PDN 2027'!$C$7:$C$506,MATCH(ROW()-5,'Formulación PDN 2027'!$AK$7:$AK$506,0))&amp;"","")</f>
        <v/>
      </c>
      <c r="U170" s="15" t="str">
        <f>IFERROR(INDEX('Formulación PDN 2027'!$B$7:$B$506,MATCH(ROW()-5,'Formulación PDN 2027'!$AK$7:$AK$506,0))&amp;"","")</f>
        <v/>
      </c>
      <c r="V170" s="15" t="str">
        <f>IFERROR(LEFT(INDEX('Formulación PDN 2027'!$E$7:$E$506,MATCH(ROW()-5,'Formulación PDN 2027'!$AK$7:$AK$506,0)),7),"")</f>
        <v/>
      </c>
      <c r="W170" s="15" t="str">
        <f>IFERROR(INDEX('Formulación PDN 2027'!$H$7:$H$506,MATCH(ROW()-5,'Formulación PDN 2027'!$AK$7:$AK$506,0))&amp;"","")</f>
        <v/>
      </c>
      <c r="X170" s="15" t="str">
        <f>IFERROR(INDEX('Formulación PDN 2027'!$U$7:$U$506,MATCH(ROW()-5,'Formulación PDN 2027'!$AK$7:$AK$506,0))&amp;"","")</f>
        <v/>
      </c>
      <c r="Y170" s="15" t="str">
        <f>IFERROR(INDEX('Formulación PDN 2027'!$AH$7:$AH$506,MATCH(ROW()-5,'Formulación PDN 2027'!$AK$7:$AK$506,0))&amp;"","")</f>
        <v/>
      </c>
    </row>
    <row r="171" spans="1:25" x14ac:dyDescent="0.3">
      <c r="A171" s="15" t="str">
        <f>IFERROR(INDEX('Formulación PDN 2027'!$A$7:$A$506,MATCH(ROW()-5,'Formulación PDN 2027'!$AK$7:$AK$506,0))&amp;"","")</f>
        <v/>
      </c>
      <c r="B171" s="20" t="str">
        <f>IFERROR(INDEX('Formulación PDN 2027'!$M$7:$M$506,MATCH(ROW()-5,'Formulación PDN 2027'!$AK$7:$AK$506,0)),"")</f>
        <v/>
      </c>
      <c r="C171" s="15" t="str">
        <f>IFERROR(INDEX('Formulación PDN 2027'!$N$7:$N$506,MATCH(ROW()-5,'Formulación PDN 2027'!$AK$7:$AK$506,0))&amp;"","")</f>
        <v/>
      </c>
      <c r="D171" s="15" t="str">
        <f>IFERROR(INDEX('Formulación PDN 2027'!$L$7:$L$506,MATCH(ROW()-5,'Formulación PDN 2027'!$AK$7:$AK$506,0))&amp;"","")</f>
        <v/>
      </c>
      <c r="E171" s="15" t="str">
        <f>IFERROR(MATCH(INDEX('Formulación PDN 2027'!$O$7:$O$506,MATCH(ROW()-5,'Formulación PDN 2027'!$AK$7:$AK$506,0)),L_MESES,0),"")</f>
        <v/>
      </c>
      <c r="F171" s="15" t="str">
        <f>IFERROR(MATCH(INDEX('Formulación PDN 2027'!$P$7:$P$506,MATCH(ROW()-5,'Formulación PDN 2027'!$AK$7:$AK$506,0)),L_MESES,0),"")</f>
        <v/>
      </c>
      <c r="G171" s="15" t="str">
        <f>IFERROR(INDEX('Formulación PDN 2027'!$Q$7:$Q$506,MATCH(ROW()-5,'Formulación PDN 2027'!$AK$7:$AK$506,0)),"")</f>
        <v/>
      </c>
      <c r="H171" s="15" t="str">
        <f>IFERROR(INDEX('Formulación PDN 2027'!$R$7:$R$506,MATCH(ROW()-5,'Formulación PDN 2027'!$AK$7:$AK$506,0))&amp;"","")</f>
        <v/>
      </c>
      <c r="I171" s="15" t="str">
        <f>IFERROR(INDEX('Formulación PDN 2027'!$S$7:$S$506,MATCH(ROW()-5,'Formulación PDN 2027'!$AK$7:$AK$506,0))&amp;"","")</f>
        <v/>
      </c>
      <c r="J171" s="15" t="str">
        <f>IFERROR(INDEX('Formulación PDN 2027'!$T$7:$T$506,MATCH(ROW()-5,'Formulación PDN 2027'!$AK$7:$AK$506,0))&amp;"","")</f>
        <v/>
      </c>
      <c r="K171" s="43" t="str">
        <f>IFERROR(INDEX('Formulación PDN 2027'!$W$7:$W$506,MATCH(ROW()-5,'Formulación PDN 2027'!$AK$7:$AK$506,0)),"")</f>
        <v/>
      </c>
      <c r="L171" s="43" t="str">
        <f>IFERROR(INDEX('Formulación PDN 2027'!$X$7:$X$506,MATCH(ROW()-5,'Formulación PDN 2027'!$AK$7:$AK$506,0)),"")</f>
        <v/>
      </c>
      <c r="M171" s="15" t="str">
        <f>IFERROR(INDEX('Formulación PDN 2027'!$Y$7:$Y$506,MATCH(ROW()-5,'Formulación PDN 2027'!$AK$7:$AK$506,0))&amp;"","")</f>
        <v/>
      </c>
      <c r="N171" s="15" t="str">
        <f>IFERROR(INDEX('Formulación PDN 2027'!$Z$7:$Z$506,MATCH(ROW()-5,'Formulación PDN 2027'!$AK$7:$AK$506,0))&amp;"","")</f>
        <v/>
      </c>
      <c r="O171" s="15"/>
      <c r="P171" s="15" t="str">
        <f>IFERROR(INDEX('Formulación PDN 2027'!$AA$7:$AA$506,MATCH(ROW()-5,'Formulación PDN 2027'!$AK$7:$AK$506,0))&amp;"","")</f>
        <v/>
      </c>
      <c r="Q171" s="15" t="str">
        <f>IFERROR(INDEX('Formulación PDN 2027'!$AB$7:$AB$506,MATCH(ROW()-5,'Formulación PDN 2027'!$AK$7:$AK$506,0))&amp;"","")</f>
        <v/>
      </c>
      <c r="R171" s="15" t="str">
        <f>IFERROR(INDEX('Formulación PDN 2027'!$AD$7:$AD$506,MATCH(ROW()-5,'Formulación PDN 2027'!$AK$7:$AK$506,0))&amp;"","")</f>
        <v/>
      </c>
      <c r="S171" s="15" t="str">
        <f>IFERROR(INDEX('Formulación PDN 2027'!$AE$7:$AE$506,MATCH(ROW()-5,'Formulación PDN 2027'!$AK$7:$AK$506,0))&amp;"","")</f>
        <v/>
      </c>
      <c r="T171" s="15" t="str">
        <f>IFERROR(INDEX('Formulación PDN 2027'!$C$7:$C$506,MATCH(ROW()-5,'Formulación PDN 2027'!$AK$7:$AK$506,0))&amp;"","")</f>
        <v/>
      </c>
      <c r="U171" s="15" t="str">
        <f>IFERROR(INDEX('Formulación PDN 2027'!$B$7:$B$506,MATCH(ROW()-5,'Formulación PDN 2027'!$AK$7:$AK$506,0))&amp;"","")</f>
        <v/>
      </c>
      <c r="V171" s="15" t="str">
        <f>IFERROR(LEFT(INDEX('Formulación PDN 2027'!$E$7:$E$506,MATCH(ROW()-5,'Formulación PDN 2027'!$AK$7:$AK$506,0)),7),"")</f>
        <v/>
      </c>
      <c r="W171" s="15" t="str">
        <f>IFERROR(INDEX('Formulación PDN 2027'!$H$7:$H$506,MATCH(ROW()-5,'Formulación PDN 2027'!$AK$7:$AK$506,0))&amp;"","")</f>
        <v/>
      </c>
      <c r="X171" s="15" t="str">
        <f>IFERROR(INDEX('Formulación PDN 2027'!$U$7:$U$506,MATCH(ROW()-5,'Formulación PDN 2027'!$AK$7:$AK$506,0))&amp;"","")</f>
        <v/>
      </c>
      <c r="Y171" s="15" t="str">
        <f>IFERROR(INDEX('Formulación PDN 2027'!$AH$7:$AH$506,MATCH(ROW()-5,'Formulación PDN 2027'!$AK$7:$AK$506,0))&amp;"","")</f>
        <v/>
      </c>
    </row>
    <row r="172" spans="1:25" x14ac:dyDescent="0.3">
      <c r="A172" s="15" t="str">
        <f>IFERROR(INDEX('Formulación PDN 2027'!$A$7:$A$506,MATCH(ROW()-5,'Formulación PDN 2027'!$AK$7:$AK$506,0))&amp;"","")</f>
        <v/>
      </c>
      <c r="B172" s="20" t="str">
        <f>IFERROR(INDEX('Formulación PDN 2027'!$M$7:$M$506,MATCH(ROW()-5,'Formulación PDN 2027'!$AK$7:$AK$506,0)),"")</f>
        <v/>
      </c>
      <c r="C172" s="15" t="str">
        <f>IFERROR(INDEX('Formulación PDN 2027'!$N$7:$N$506,MATCH(ROW()-5,'Formulación PDN 2027'!$AK$7:$AK$506,0))&amp;"","")</f>
        <v/>
      </c>
      <c r="D172" s="15" t="str">
        <f>IFERROR(INDEX('Formulación PDN 2027'!$L$7:$L$506,MATCH(ROW()-5,'Formulación PDN 2027'!$AK$7:$AK$506,0))&amp;"","")</f>
        <v/>
      </c>
      <c r="E172" s="15" t="str">
        <f>IFERROR(MATCH(INDEX('Formulación PDN 2027'!$O$7:$O$506,MATCH(ROW()-5,'Formulación PDN 2027'!$AK$7:$AK$506,0)),L_MESES,0),"")</f>
        <v/>
      </c>
      <c r="F172" s="15" t="str">
        <f>IFERROR(MATCH(INDEX('Formulación PDN 2027'!$P$7:$P$506,MATCH(ROW()-5,'Formulación PDN 2027'!$AK$7:$AK$506,0)),L_MESES,0),"")</f>
        <v/>
      </c>
      <c r="G172" s="15" t="str">
        <f>IFERROR(INDEX('Formulación PDN 2027'!$Q$7:$Q$506,MATCH(ROW()-5,'Formulación PDN 2027'!$AK$7:$AK$506,0)),"")</f>
        <v/>
      </c>
      <c r="H172" s="15" t="str">
        <f>IFERROR(INDEX('Formulación PDN 2027'!$R$7:$R$506,MATCH(ROW()-5,'Formulación PDN 2027'!$AK$7:$AK$506,0))&amp;"","")</f>
        <v/>
      </c>
      <c r="I172" s="15" t="str">
        <f>IFERROR(INDEX('Formulación PDN 2027'!$S$7:$S$506,MATCH(ROW()-5,'Formulación PDN 2027'!$AK$7:$AK$506,0))&amp;"","")</f>
        <v/>
      </c>
      <c r="J172" s="15" t="str">
        <f>IFERROR(INDEX('Formulación PDN 2027'!$T$7:$T$506,MATCH(ROW()-5,'Formulación PDN 2027'!$AK$7:$AK$506,0))&amp;"","")</f>
        <v/>
      </c>
      <c r="K172" s="43" t="str">
        <f>IFERROR(INDEX('Formulación PDN 2027'!$W$7:$W$506,MATCH(ROW()-5,'Formulación PDN 2027'!$AK$7:$AK$506,0)),"")</f>
        <v/>
      </c>
      <c r="L172" s="43" t="str">
        <f>IFERROR(INDEX('Formulación PDN 2027'!$X$7:$X$506,MATCH(ROW()-5,'Formulación PDN 2027'!$AK$7:$AK$506,0)),"")</f>
        <v/>
      </c>
      <c r="M172" s="15" t="str">
        <f>IFERROR(INDEX('Formulación PDN 2027'!$Y$7:$Y$506,MATCH(ROW()-5,'Formulación PDN 2027'!$AK$7:$AK$506,0))&amp;"","")</f>
        <v/>
      </c>
      <c r="N172" s="15" t="str">
        <f>IFERROR(INDEX('Formulación PDN 2027'!$Z$7:$Z$506,MATCH(ROW()-5,'Formulación PDN 2027'!$AK$7:$AK$506,0))&amp;"","")</f>
        <v/>
      </c>
      <c r="O172" s="15"/>
      <c r="P172" s="15" t="str">
        <f>IFERROR(INDEX('Formulación PDN 2027'!$AA$7:$AA$506,MATCH(ROW()-5,'Formulación PDN 2027'!$AK$7:$AK$506,0))&amp;"","")</f>
        <v/>
      </c>
      <c r="Q172" s="15" t="str">
        <f>IFERROR(INDEX('Formulación PDN 2027'!$AB$7:$AB$506,MATCH(ROW()-5,'Formulación PDN 2027'!$AK$7:$AK$506,0))&amp;"","")</f>
        <v/>
      </c>
      <c r="R172" s="15" t="str">
        <f>IFERROR(INDEX('Formulación PDN 2027'!$AD$7:$AD$506,MATCH(ROW()-5,'Formulación PDN 2027'!$AK$7:$AK$506,0))&amp;"","")</f>
        <v/>
      </c>
      <c r="S172" s="15" t="str">
        <f>IFERROR(INDEX('Formulación PDN 2027'!$AE$7:$AE$506,MATCH(ROW()-5,'Formulación PDN 2027'!$AK$7:$AK$506,0))&amp;"","")</f>
        <v/>
      </c>
      <c r="T172" s="15" t="str">
        <f>IFERROR(INDEX('Formulación PDN 2027'!$C$7:$C$506,MATCH(ROW()-5,'Formulación PDN 2027'!$AK$7:$AK$506,0))&amp;"","")</f>
        <v/>
      </c>
      <c r="U172" s="15" t="str">
        <f>IFERROR(INDEX('Formulación PDN 2027'!$B$7:$B$506,MATCH(ROW()-5,'Formulación PDN 2027'!$AK$7:$AK$506,0))&amp;"","")</f>
        <v/>
      </c>
      <c r="V172" s="15" t="str">
        <f>IFERROR(LEFT(INDEX('Formulación PDN 2027'!$E$7:$E$506,MATCH(ROW()-5,'Formulación PDN 2027'!$AK$7:$AK$506,0)),7),"")</f>
        <v/>
      </c>
      <c r="W172" s="15" t="str">
        <f>IFERROR(INDEX('Formulación PDN 2027'!$H$7:$H$506,MATCH(ROW()-5,'Formulación PDN 2027'!$AK$7:$AK$506,0))&amp;"","")</f>
        <v/>
      </c>
      <c r="X172" s="15" t="str">
        <f>IFERROR(INDEX('Formulación PDN 2027'!$U$7:$U$506,MATCH(ROW()-5,'Formulación PDN 2027'!$AK$7:$AK$506,0))&amp;"","")</f>
        <v/>
      </c>
      <c r="Y172" s="15" t="str">
        <f>IFERROR(INDEX('Formulación PDN 2027'!$AH$7:$AH$506,MATCH(ROW()-5,'Formulación PDN 2027'!$AK$7:$AK$506,0))&amp;"","")</f>
        <v/>
      </c>
    </row>
    <row r="173" spans="1:25" x14ac:dyDescent="0.3">
      <c r="A173" s="15" t="str">
        <f>IFERROR(INDEX('Formulación PDN 2027'!$A$7:$A$506,MATCH(ROW()-5,'Formulación PDN 2027'!$AK$7:$AK$506,0))&amp;"","")</f>
        <v/>
      </c>
      <c r="B173" s="20" t="str">
        <f>IFERROR(INDEX('Formulación PDN 2027'!$M$7:$M$506,MATCH(ROW()-5,'Formulación PDN 2027'!$AK$7:$AK$506,0)),"")</f>
        <v/>
      </c>
      <c r="C173" s="15" t="str">
        <f>IFERROR(INDEX('Formulación PDN 2027'!$N$7:$N$506,MATCH(ROW()-5,'Formulación PDN 2027'!$AK$7:$AK$506,0))&amp;"","")</f>
        <v/>
      </c>
      <c r="D173" s="15" t="str">
        <f>IFERROR(INDEX('Formulación PDN 2027'!$L$7:$L$506,MATCH(ROW()-5,'Formulación PDN 2027'!$AK$7:$AK$506,0))&amp;"","")</f>
        <v/>
      </c>
      <c r="E173" s="15" t="str">
        <f>IFERROR(MATCH(INDEX('Formulación PDN 2027'!$O$7:$O$506,MATCH(ROW()-5,'Formulación PDN 2027'!$AK$7:$AK$506,0)),L_MESES,0),"")</f>
        <v/>
      </c>
      <c r="F173" s="15" t="str">
        <f>IFERROR(MATCH(INDEX('Formulación PDN 2027'!$P$7:$P$506,MATCH(ROW()-5,'Formulación PDN 2027'!$AK$7:$AK$506,0)),L_MESES,0),"")</f>
        <v/>
      </c>
      <c r="G173" s="15" t="str">
        <f>IFERROR(INDEX('Formulación PDN 2027'!$Q$7:$Q$506,MATCH(ROW()-5,'Formulación PDN 2027'!$AK$7:$AK$506,0)),"")</f>
        <v/>
      </c>
      <c r="H173" s="15" t="str">
        <f>IFERROR(INDEX('Formulación PDN 2027'!$R$7:$R$506,MATCH(ROW()-5,'Formulación PDN 2027'!$AK$7:$AK$506,0))&amp;"","")</f>
        <v/>
      </c>
      <c r="I173" s="15" t="str">
        <f>IFERROR(INDEX('Formulación PDN 2027'!$S$7:$S$506,MATCH(ROW()-5,'Formulación PDN 2027'!$AK$7:$AK$506,0))&amp;"","")</f>
        <v/>
      </c>
      <c r="J173" s="15" t="str">
        <f>IFERROR(INDEX('Formulación PDN 2027'!$T$7:$T$506,MATCH(ROW()-5,'Formulación PDN 2027'!$AK$7:$AK$506,0))&amp;"","")</f>
        <v/>
      </c>
      <c r="K173" s="43" t="str">
        <f>IFERROR(INDEX('Formulación PDN 2027'!$W$7:$W$506,MATCH(ROW()-5,'Formulación PDN 2027'!$AK$7:$AK$506,0)),"")</f>
        <v/>
      </c>
      <c r="L173" s="43" t="str">
        <f>IFERROR(INDEX('Formulación PDN 2027'!$X$7:$X$506,MATCH(ROW()-5,'Formulación PDN 2027'!$AK$7:$AK$506,0)),"")</f>
        <v/>
      </c>
      <c r="M173" s="15" t="str">
        <f>IFERROR(INDEX('Formulación PDN 2027'!$Y$7:$Y$506,MATCH(ROW()-5,'Formulación PDN 2027'!$AK$7:$AK$506,0))&amp;"","")</f>
        <v/>
      </c>
      <c r="N173" s="15" t="str">
        <f>IFERROR(INDEX('Formulación PDN 2027'!$Z$7:$Z$506,MATCH(ROW()-5,'Formulación PDN 2027'!$AK$7:$AK$506,0))&amp;"","")</f>
        <v/>
      </c>
      <c r="O173" s="15"/>
      <c r="P173" s="15" t="str">
        <f>IFERROR(INDEX('Formulación PDN 2027'!$AA$7:$AA$506,MATCH(ROW()-5,'Formulación PDN 2027'!$AK$7:$AK$506,0))&amp;"","")</f>
        <v/>
      </c>
      <c r="Q173" s="15" t="str">
        <f>IFERROR(INDEX('Formulación PDN 2027'!$AB$7:$AB$506,MATCH(ROW()-5,'Formulación PDN 2027'!$AK$7:$AK$506,0))&amp;"","")</f>
        <v/>
      </c>
      <c r="R173" s="15" t="str">
        <f>IFERROR(INDEX('Formulación PDN 2027'!$AD$7:$AD$506,MATCH(ROW()-5,'Formulación PDN 2027'!$AK$7:$AK$506,0))&amp;"","")</f>
        <v/>
      </c>
      <c r="S173" s="15" t="str">
        <f>IFERROR(INDEX('Formulación PDN 2027'!$AE$7:$AE$506,MATCH(ROW()-5,'Formulación PDN 2027'!$AK$7:$AK$506,0))&amp;"","")</f>
        <v/>
      </c>
      <c r="T173" s="15" t="str">
        <f>IFERROR(INDEX('Formulación PDN 2027'!$C$7:$C$506,MATCH(ROW()-5,'Formulación PDN 2027'!$AK$7:$AK$506,0))&amp;"","")</f>
        <v/>
      </c>
      <c r="U173" s="15" t="str">
        <f>IFERROR(INDEX('Formulación PDN 2027'!$B$7:$B$506,MATCH(ROW()-5,'Formulación PDN 2027'!$AK$7:$AK$506,0))&amp;"","")</f>
        <v/>
      </c>
      <c r="V173" s="15" t="str">
        <f>IFERROR(LEFT(INDEX('Formulación PDN 2027'!$E$7:$E$506,MATCH(ROW()-5,'Formulación PDN 2027'!$AK$7:$AK$506,0)),7),"")</f>
        <v/>
      </c>
      <c r="W173" s="15" t="str">
        <f>IFERROR(INDEX('Formulación PDN 2027'!$H$7:$H$506,MATCH(ROW()-5,'Formulación PDN 2027'!$AK$7:$AK$506,0))&amp;"","")</f>
        <v/>
      </c>
      <c r="X173" s="15" t="str">
        <f>IFERROR(INDEX('Formulación PDN 2027'!$U$7:$U$506,MATCH(ROW()-5,'Formulación PDN 2027'!$AK$7:$AK$506,0))&amp;"","")</f>
        <v/>
      </c>
      <c r="Y173" s="15" t="str">
        <f>IFERROR(INDEX('Formulación PDN 2027'!$AH$7:$AH$506,MATCH(ROW()-5,'Formulación PDN 2027'!$AK$7:$AK$506,0))&amp;"","")</f>
        <v/>
      </c>
    </row>
    <row r="174" spans="1:25" x14ac:dyDescent="0.3">
      <c r="A174" s="15" t="str">
        <f>IFERROR(INDEX('Formulación PDN 2027'!$A$7:$A$506,MATCH(ROW()-5,'Formulación PDN 2027'!$AK$7:$AK$506,0))&amp;"","")</f>
        <v/>
      </c>
      <c r="B174" s="20" t="str">
        <f>IFERROR(INDEX('Formulación PDN 2027'!$M$7:$M$506,MATCH(ROW()-5,'Formulación PDN 2027'!$AK$7:$AK$506,0)),"")</f>
        <v/>
      </c>
      <c r="C174" s="15" t="str">
        <f>IFERROR(INDEX('Formulación PDN 2027'!$N$7:$N$506,MATCH(ROW()-5,'Formulación PDN 2027'!$AK$7:$AK$506,0))&amp;"","")</f>
        <v/>
      </c>
      <c r="D174" s="15" t="str">
        <f>IFERROR(INDEX('Formulación PDN 2027'!$L$7:$L$506,MATCH(ROW()-5,'Formulación PDN 2027'!$AK$7:$AK$506,0))&amp;"","")</f>
        <v/>
      </c>
      <c r="E174" s="15" t="str">
        <f>IFERROR(MATCH(INDEX('Formulación PDN 2027'!$O$7:$O$506,MATCH(ROW()-5,'Formulación PDN 2027'!$AK$7:$AK$506,0)),L_MESES,0),"")</f>
        <v/>
      </c>
      <c r="F174" s="15" t="str">
        <f>IFERROR(MATCH(INDEX('Formulación PDN 2027'!$P$7:$P$506,MATCH(ROW()-5,'Formulación PDN 2027'!$AK$7:$AK$506,0)),L_MESES,0),"")</f>
        <v/>
      </c>
      <c r="G174" s="15" t="str">
        <f>IFERROR(INDEX('Formulación PDN 2027'!$Q$7:$Q$506,MATCH(ROW()-5,'Formulación PDN 2027'!$AK$7:$AK$506,0)),"")</f>
        <v/>
      </c>
      <c r="H174" s="15" t="str">
        <f>IFERROR(INDEX('Formulación PDN 2027'!$R$7:$R$506,MATCH(ROW()-5,'Formulación PDN 2027'!$AK$7:$AK$506,0))&amp;"","")</f>
        <v/>
      </c>
      <c r="I174" s="15" t="str">
        <f>IFERROR(INDEX('Formulación PDN 2027'!$S$7:$S$506,MATCH(ROW()-5,'Formulación PDN 2027'!$AK$7:$AK$506,0))&amp;"","")</f>
        <v/>
      </c>
      <c r="J174" s="15" t="str">
        <f>IFERROR(INDEX('Formulación PDN 2027'!$T$7:$T$506,MATCH(ROW()-5,'Formulación PDN 2027'!$AK$7:$AK$506,0))&amp;"","")</f>
        <v/>
      </c>
      <c r="K174" s="43" t="str">
        <f>IFERROR(INDEX('Formulación PDN 2027'!$W$7:$W$506,MATCH(ROW()-5,'Formulación PDN 2027'!$AK$7:$AK$506,0)),"")</f>
        <v/>
      </c>
      <c r="L174" s="43" t="str">
        <f>IFERROR(INDEX('Formulación PDN 2027'!$X$7:$X$506,MATCH(ROW()-5,'Formulación PDN 2027'!$AK$7:$AK$506,0)),"")</f>
        <v/>
      </c>
      <c r="M174" s="15" t="str">
        <f>IFERROR(INDEX('Formulación PDN 2027'!$Y$7:$Y$506,MATCH(ROW()-5,'Formulación PDN 2027'!$AK$7:$AK$506,0))&amp;"","")</f>
        <v/>
      </c>
      <c r="N174" s="15" t="str">
        <f>IFERROR(INDEX('Formulación PDN 2027'!$Z$7:$Z$506,MATCH(ROW()-5,'Formulación PDN 2027'!$AK$7:$AK$506,0))&amp;"","")</f>
        <v/>
      </c>
      <c r="O174" s="15"/>
      <c r="P174" s="15" t="str">
        <f>IFERROR(INDEX('Formulación PDN 2027'!$AA$7:$AA$506,MATCH(ROW()-5,'Formulación PDN 2027'!$AK$7:$AK$506,0))&amp;"","")</f>
        <v/>
      </c>
      <c r="Q174" s="15" t="str">
        <f>IFERROR(INDEX('Formulación PDN 2027'!$AB$7:$AB$506,MATCH(ROW()-5,'Formulación PDN 2027'!$AK$7:$AK$506,0))&amp;"","")</f>
        <v/>
      </c>
      <c r="R174" s="15" t="str">
        <f>IFERROR(INDEX('Formulación PDN 2027'!$AD$7:$AD$506,MATCH(ROW()-5,'Formulación PDN 2027'!$AK$7:$AK$506,0))&amp;"","")</f>
        <v/>
      </c>
      <c r="S174" s="15" t="str">
        <f>IFERROR(INDEX('Formulación PDN 2027'!$AE$7:$AE$506,MATCH(ROW()-5,'Formulación PDN 2027'!$AK$7:$AK$506,0))&amp;"","")</f>
        <v/>
      </c>
      <c r="T174" s="15" t="str">
        <f>IFERROR(INDEX('Formulación PDN 2027'!$C$7:$C$506,MATCH(ROW()-5,'Formulación PDN 2027'!$AK$7:$AK$506,0))&amp;"","")</f>
        <v/>
      </c>
      <c r="U174" s="15" t="str">
        <f>IFERROR(INDEX('Formulación PDN 2027'!$B$7:$B$506,MATCH(ROW()-5,'Formulación PDN 2027'!$AK$7:$AK$506,0))&amp;"","")</f>
        <v/>
      </c>
      <c r="V174" s="15" t="str">
        <f>IFERROR(LEFT(INDEX('Formulación PDN 2027'!$E$7:$E$506,MATCH(ROW()-5,'Formulación PDN 2027'!$AK$7:$AK$506,0)),7),"")</f>
        <v/>
      </c>
      <c r="W174" s="15" t="str">
        <f>IFERROR(INDEX('Formulación PDN 2027'!$H$7:$H$506,MATCH(ROW()-5,'Formulación PDN 2027'!$AK$7:$AK$506,0))&amp;"","")</f>
        <v/>
      </c>
      <c r="X174" s="15" t="str">
        <f>IFERROR(INDEX('Formulación PDN 2027'!$U$7:$U$506,MATCH(ROW()-5,'Formulación PDN 2027'!$AK$7:$AK$506,0))&amp;"","")</f>
        <v/>
      </c>
      <c r="Y174" s="15" t="str">
        <f>IFERROR(INDEX('Formulación PDN 2027'!$AH$7:$AH$506,MATCH(ROW()-5,'Formulación PDN 2027'!$AK$7:$AK$506,0))&amp;"","")</f>
        <v/>
      </c>
    </row>
    <row r="175" spans="1:25" x14ac:dyDescent="0.3">
      <c r="A175" s="15" t="str">
        <f>IFERROR(INDEX('Formulación PDN 2027'!$A$7:$A$506,MATCH(ROW()-5,'Formulación PDN 2027'!$AK$7:$AK$506,0))&amp;"","")</f>
        <v/>
      </c>
      <c r="B175" s="20" t="str">
        <f>IFERROR(INDEX('Formulación PDN 2027'!$M$7:$M$506,MATCH(ROW()-5,'Formulación PDN 2027'!$AK$7:$AK$506,0)),"")</f>
        <v/>
      </c>
      <c r="C175" s="15" t="str">
        <f>IFERROR(INDEX('Formulación PDN 2027'!$N$7:$N$506,MATCH(ROW()-5,'Formulación PDN 2027'!$AK$7:$AK$506,0))&amp;"","")</f>
        <v/>
      </c>
      <c r="D175" s="15" t="str">
        <f>IFERROR(INDEX('Formulación PDN 2027'!$L$7:$L$506,MATCH(ROW()-5,'Formulación PDN 2027'!$AK$7:$AK$506,0))&amp;"","")</f>
        <v/>
      </c>
      <c r="E175" s="15" t="str">
        <f>IFERROR(MATCH(INDEX('Formulación PDN 2027'!$O$7:$O$506,MATCH(ROW()-5,'Formulación PDN 2027'!$AK$7:$AK$506,0)),L_MESES,0),"")</f>
        <v/>
      </c>
      <c r="F175" s="15" t="str">
        <f>IFERROR(MATCH(INDEX('Formulación PDN 2027'!$P$7:$P$506,MATCH(ROW()-5,'Formulación PDN 2027'!$AK$7:$AK$506,0)),L_MESES,0),"")</f>
        <v/>
      </c>
      <c r="G175" s="15" t="str">
        <f>IFERROR(INDEX('Formulación PDN 2027'!$Q$7:$Q$506,MATCH(ROW()-5,'Formulación PDN 2027'!$AK$7:$AK$506,0)),"")</f>
        <v/>
      </c>
      <c r="H175" s="15" t="str">
        <f>IFERROR(INDEX('Formulación PDN 2027'!$R$7:$R$506,MATCH(ROW()-5,'Formulación PDN 2027'!$AK$7:$AK$506,0))&amp;"","")</f>
        <v/>
      </c>
      <c r="I175" s="15" t="str">
        <f>IFERROR(INDEX('Formulación PDN 2027'!$S$7:$S$506,MATCH(ROW()-5,'Formulación PDN 2027'!$AK$7:$AK$506,0))&amp;"","")</f>
        <v/>
      </c>
      <c r="J175" s="15" t="str">
        <f>IFERROR(INDEX('Formulación PDN 2027'!$T$7:$T$506,MATCH(ROW()-5,'Formulación PDN 2027'!$AK$7:$AK$506,0))&amp;"","")</f>
        <v/>
      </c>
      <c r="K175" s="43" t="str">
        <f>IFERROR(INDEX('Formulación PDN 2027'!$W$7:$W$506,MATCH(ROW()-5,'Formulación PDN 2027'!$AK$7:$AK$506,0)),"")</f>
        <v/>
      </c>
      <c r="L175" s="43" t="str">
        <f>IFERROR(INDEX('Formulación PDN 2027'!$X$7:$X$506,MATCH(ROW()-5,'Formulación PDN 2027'!$AK$7:$AK$506,0)),"")</f>
        <v/>
      </c>
      <c r="M175" s="15" t="str">
        <f>IFERROR(INDEX('Formulación PDN 2027'!$Y$7:$Y$506,MATCH(ROW()-5,'Formulación PDN 2027'!$AK$7:$AK$506,0))&amp;"","")</f>
        <v/>
      </c>
      <c r="N175" s="15" t="str">
        <f>IFERROR(INDEX('Formulación PDN 2027'!$Z$7:$Z$506,MATCH(ROW()-5,'Formulación PDN 2027'!$AK$7:$AK$506,0))&amp;"","")</f>
        <v/>
      </c>
      <c r="O175" s="15"/>
      <c r="P175" s="15" t="str">
        <f>IFERROR(INDEX('Formulación PDN 2027'!$AA$7:$AA$506,MATCH(ROW()-5,'Formulación PDN 2027'!$AK$7:$AK$506,0))&amp;"","")</f>
        <v/>
      </c>
      <c r="Q175" s="15" t="str">
        <f>IFERROR(INDEX('Formulación PDN 2027'!$AB$7:$AB$506,MATCH(ROW()-5,'Formulación PDN 2027'!$AK$7:$AK$506,0))&amp;"","")</f>
        <v/>
      </c>
      <c r="R175" s="15" t="str">
        <f>IFERROR(INDEX('Formulación PDN 2027'!$AD$7:$AD$506,MATCH(ROW()-5,'Formulación PDN 2027'!$AK$7:$AK$506,0))&amp;"","")</f>
        <v/>
      </c>
      <c r="S175" s="15" t="str">
        <f>IFERROR(INDEX('Formulación PDN 2027'!$AE$7:$AE$506,MATCH(ROW()-5,'Formulación PDN 2027'!$AK$7:$AK$506,0))&amp;"","")</f>
        <v/>
      </c>
      <c r="T175" s="15" t="str">
        <f>IFERROR(INDEX('Formulación PDN 2027'!$C$7:$C$506,MATCH(ROW()-5,'Formulación PDN 2027'!$AK$7:$AK$506,0))&amp;"","")</f>
        <v/>
      </c>
      <c r="U175" s="15" t="str">
        <f>IFERROR(INDEX('Formulación PDN 2027'!$B$7:$B$506,MATCH(ROW()-5,'Formulación PDN 2027'!$AK$7:$AK$506,0))&amp;"","")</f>
        <v/>
      </c>
      <c r="V175" s="15" t="str">
        <f>IFERROR(LEFT(INDEX('Formulación PDN 2027'!$E$7:$E$506,MATCH(ROW()-5,'Formulación PDN 2027'!$AK$7:$AK$506,0)),7),"")</f>
        <v/>
      </c>
      <c r="W175" s="15" t="str">
        <f>IFERROR(INDEX('Formulación PDN 2027'!$H$7:$H$506,MATCH(ROW()-5,'Formulación PDN 2027'!$AK$7:$AK$506,0))&amp;"","")</f>
        <v/>
      </c>
      <c r="X175" s="15" t="str">
        <f>IFERROR(INDEX('Formulación PDN 2027'!$U$7:$U$506,MATCH(ROW()-5,'Formulación PDN 2027'!$AK$7:$AK$506,0))&amp;"","")</f>
        <v/>
      </c>
      <c r="Y175" s="15" t="str">
        <f>IFERROR(INDEX('Formulación PDN 2027'!$AH$7:$AH$506,MATCH(ROW()-5,'Formulación PDN 2027'!$AK$7:$AK$506,0))&amp;"","")</f>
        <v/>
      </c>
    </row>
    <row r="176" spans="1:25" x14ac:dyDescent="0.3">
      <c r="A176" s="15" t="str">
        <f>IFERROR(INDEX('Formulación PDN 2027'!$A$7:$A$506,MATCH(ROW()-5,'Formulación PDN 2027'!$AK$7:$AK$506,0))&amp;"","")</f>
        <v/>
      </c>
      <c r="B176" s="20" t="str">
        <f>IFERROR(INDEX('Formulación PDN 2027'!$M$7:$M$506,MATCH(ROW()-5,'Formulación PDN 2027'!$AK$7:$AK$506,0)),"")</f>
        <v/>
      </c>
      <c r="C176" s="15" t="str">
        <f>IFERROR(INDEX('Formulación PDN 2027'!$N$7:$N$506,MATCH(ROW()-5,'Formulación PDN 2027'!$AK$7:$AK$506,0))&amp;"","")</f>
        <v/>
      </c>
      <c r="D176" s="15" t="str">
        <f>IFERROR(INDEX('Formulación PDN 2027'!$L$7:$L$506,MATCH(ROW()-5,'Formulación PDN 2027'!$AK$7:$AK$506,0))&amp;"","")</f>
        <v/>
      </c>
      <c r="E176" s="15" t="str">
        <f>IFERROR(MATCH(INDEX('Formulación PDN 2027'!$O$7:$O$506,MATCH(ROW()-5,'Formulación PDN 2027'!$AK$7:$AK$506,0)),L_MESES,0),"")</f>
        <v/>
      </c>
      <c r="F176" s="15" t="str">
        <f>IFERROR(MATCH(INDEX('Formulación PDN 2027'!$P$7:$P$506,MATCH(ROW()-5,'Formulación PDN 2027'!$AK$7:$AK$506,0)),L_MESES,0),"")</f>
        <v/>
      </c>
      <c r="G176" s="15" t="str">
        <f>IFERROR(INDEX('Formulación PDN 2027'!$Q$7:$Q$506,MATCH(ROW()-5,'Formulación PDN 2027'!$AK$7:$AK$506,0)),"")</f>
        <v/>
      </c>
      <c r="H176" s="15" t="str">
        <f>IFERROR(INDEX('Formulación PDN 2027'!$R$7:$R$506,MATCH(ROW()-5,'Formulación PDN 2027'!$AK$7:$AK$506,0))&amp;"","")</f>
        <v/>
      </c>
      <c r="I176" s="15" t="str">
        <f>IFERROR(INDEX('Formulación PDN 2027'!$S$7:$S$506,MATCH(ROW()-5,'Formulación PDN 2027'!$AK$7:$AK$506,0))&amp;"","")</f>
        <v/>
      </c>
      <c r="J176" s="15" t="str">
        <f>IFERROR(INDEX('Formulación PDN 2027'!$T$7:$T$506,MATCH(ROW()-5,'Formulación PDN 2027'!$AK$7:$AK$506,0))&amp;"","")</f>
        <v/>
      </c>
      <c r="K176" s="43" t="str">
        <f>IFERROR(INDEX('Formulación PDN 2027'!$W$7:$W$506,MATCH(ROW()-5,'Formulación PDN 2027'!$AK$7:$AK$506,0)),"")</f>
        <v/>
      </c>
      <c r="L176" s="43" t="str">
        <f>IFERROR(INDEX('Formulación PDN 2027'!$X$7:$X$506,MATCH(ROW()-5,'Formulación PDN 2027'!$AK$7:$AK$506,0)),"")</f>
        <v/>
      </c>
      <c r="M176" s="15" t="str">
        <f>IFERROR(INDEX('Formulación PDN 2027'!$Y$7:$Y$506,MATCH(ROW()-5,'Formulación PDN 2027'!$AK$7:$AK$506,0))&amp;"","")</f>
        <v/>
      </c>
      <c r="N176" s="15" t="str">
        <f>IFERROR(INDEX('Formulación PDN 2027'!$Z$7:$Z$506,MATCH(ROW()-5,'Formulación PDN 2027'!$AK$7:$AK$506,0))&amp;"","")</f>
        <v/>
      </c>
      <c r="O176" s="15"/>
      <c r="P176" s="15" t="str">
        <f>IFERROR(INDEX('Formulación PDN 2027'!$AA$7:$AA$506,MATCH(ROW()-5,'Formulación PDN 2027'!$AK$7:$AK$506,0))&amp;"","")</f>
        <v/>
      </c>
      <c r="Q176" s="15" t="str">
        <f>IFERROR(INDEX('Formulación PDN 2027'!$AB$7:$AB$506,MATCH(ROW()-5,'Formulación PDN 2027'!$AK$7:$AK$506,0))&amp;"","")</f>
        <v/>
      </c>
      <c r="R176" s="15" t="str">
        <f>IFERROR(INDEX('Formulación PDN 2027'!$AD$7:$AD$506,MATCH(ROW()-5,'Formulación PDN 2027'!$AK$7:$AK$506,0))&amp;"","")</f>
        <v/>
      </c>
      <c r="S176" s="15" t="str">
        <f>IFERROR(INDEX('Formulación PDN 2027'!$AE$7:$AE$506,MATCH(ROW()-5,'Formulación PDN 2027'!$AK$7:$AK$506,0))&amp;"","")</f>
        <v/>
      </c>
      <c r="T176" s="15" t="str">
        <f>IFERROR(INDEX('Formulación PDN 2027'!$C$7:$C$506,MATCH(ROW()-5,'Formulación PDN 2027'!$AK$7:$AK$506,0))&amp;"","")</f>
        <v/>
      </c>
      <c r="U176" s="15" t="str">
        <f>IFERROR(INDEX('Formulación PDN 2027'!$B$7:$B$506,MATCH(ROW()-5,'Formulación PDN 2027'!$AK$7:$AK$506,0))&amp;"","")</f>
        <v/>
      </c>
      <c r="V176" s="15" t="str">
        <f>IFERROR(LEFT(INDEX('Formulación PDN 2027'!$E$7:$E$506,MATCH(ROW()-5,'Formulación PDN 2027'!$AK$7:$AK$506,0)),7),"")</f>
        <v/>
      </c>
      <c r="W176" s="15" t="str">
        <f>IFERROR(INDEX('Formulación PDN 2027'!$H$7:$H$506,MATCH(ROW()-5,'Formulación PDN 2027'!$AK$7:$AK$506,0))&amp;"","")</f>
        <v/>
      </c>
      <c r="X176" s="15" t="str">
        <f>IFERROR(INDEX('Formulación PDN 2027'!$U$7:$U$506,MATCH(ROW()-5,'Formulación PDN 2027'!$AK$7:$AK$506,0))&amp;"","")</f>
        <v/>
      </c>
      <c r="Y176" s="15" t="str">
        <f>IFERROR(INDEX('Formulación PDN 2027'!$AH$7:$AH$506,MATCH(ROW()-5,'Formulación PDN 2027'!$AK$7:$AK$506,0))&amp;"","")</f>
        <v/>
      </c>
    </row>
    <row r="177" spans="1:25" x14ac:dyDescent="0.3">
      <c r="A177" s="15" t="str">
        <f>IFERROR(INDEX('Formulación PDN 2027'!$A$7:$A$506,MATCH(ROW()-5,'Formulación PDN 2027'!$AK$7:$AK$506,0))&amp;"","")</f>
        <v/>
      </c>
      <c r="B177" s="20" t="str">
        <f>IFERROR(INDEX('Formulación PDN 2027'!$M$7:$M$506,MATCH(ROW()-5,'Formulación PDN 2027'!$AK$7:$AK$506,0)),"")</f>
        <v/>
      </c>
      <c r="C177" s="15" t="str">
        <f>IFERROR(INDEX('Formulación PDN 2027'!$N$7:$N$506,MATCH(ROW()-5,'Formulación PDN 2027'!$AK$7:$AK$506,0))&amp;"","")</f>
        <v/>
      </c>
      <c r="D177" s="15" t="str">
        <f>IFERROR(INDEX('Formulación PDN 2027'!$L$7:$L$506,MATCH(ROW()-5,'Formulación PDN 2027'!$AK$7:$AK$506,0))&amp;"","")</f>
        <v/>
      </c>
      <c r="E177" s="15" t="str">
        <f>IFERROR(MATCH(INDEX('Formulación PDN 2027'!$O$7:$O$506,MATCH(ROW()-5,'Formulación PDN 2027'!$AK$7:$AK$506,0)),L_MESES,0),"")</f>
        <v/>
      </c>
      <c r="F177" s="15" t="str">
        <f>IFERROR(MATCH(INDEX('Formulación PDN 2027'!$P$7:$P$506,MATCH(ROW()-5,'Formulación PDN 2027'!$AK$7:$AK$506,0)),L_MESES,0),"")</f>
        <v/>
      </c>
      <c r="G177" s="15" t="str">
        <f>IFERROR(INDEX('Formulación PDN 2027'!$Q$7:$Q$506,MATCH(ROW()-5,'Formulación PDN 2027'!$AK$7:$AK$506,0)),"")</f>
        <v/>
      </c>
      <c r="H177" s="15" t="str">
        <f>IFERROR(INDEX('Formulación PDN 2027'!$R$7:$R$506,MATCH(ROW()-5,'Formulación PDN 2027'!$AK$7:$AK$506,0))&amp;"","")</f>
        <v/>
      </c>
      <c r="I177" s="15" t="str">
        <f>IFERROR(INDEX('Formulación PDN 2027'!$S$7:$S$506,MATCH(ROW()-5,'Formulación PDN 2027'!$AK$7:$AK$506,0))&amp;"","")</f>
        <v/>
      </c>
      <c r="J177" s="15" t="str">
        <f>IFERROR(INDEX('Formulación PDN 2027'!$T$7:$T$506,MATCH(ROW()-5,'Formulación PDN 2027'!$AK$7:$AK$506,0))&amp;"","")</f>
        <v/>
      </c>
      <c r="K177" s="43" t="str">
        <f>IFERROR(INDEX('Formulación PDN 2027'!$W$7:$W$506,MATCH(ROW()-5,'Formulación PDN 2027'!$AK$7:$AK$506,0)),"")</f>
        <v/>
      </c>
      <c r="L177" s="43" t="str">
        <f>IFERROR(INDEX('Formulación PDN 2027'!$X$7:$X$506,MATCH(ROW()-5,'Formulación PDN 2027'!$AK$7:$AK$506,0)),"")</f>
        <v/>
      </c>
      <c r="M177" s="15" t="str">
        <f>IFERROR(INDEX('Formulación PDN 2027'!$Y$7:$Y$506,MATCH(ROW()-5,'Formulación PDN 2027'!$AK$7:$AK$506,0))&amp;"","")</f>
        <v/>
      </c>
      <c r="N177" s="15" t="str">
        <f>IFERROR(INDEX('Formulación PDN 2027'!$Z$7:$Z$506,MATCH(ROW()-5,'Formulación PDN 2027'!$AK$7:$AK$506,0))&amp;"","")</f>
        <v/>
      </c>
      <c r="O177" s="15"/>
      <c r="P177" s="15" t="str">
        <f>IFERROR(INDEX('Formulación PDN 2027'!$AA$7:$AA$506,MATCH(ROW()-5,'Formulación PDN 2027'!$AK$7:$AK$506,0))&amp;"","")</f>
        <v/>
      </c>
      <c r="Q177" s="15" t="str">
        <f>IFERROR(INDEX('Formulación PDN 2027'!$AB$7:$AB$506,MATCH(ROW()-5,'Formulación PDN 2027'!$AK$7:$AK$506,0))&amp;"","")</f>
        <v/>
      </c>
      <c r="R177" s="15" t="str">
        <f>IFERROR(INDEX('Formulación PDN 2027'!$AD$7:$AD$506,MATCH(ROW()-5,'Formulación PDN 2027'!$AK$7:$AK$506,0))&amp;"","")</f>
        <v/>
      </c>
      <c r="S177" s="15" t="str">
        <f>IFERROR(INDEX('Formulación PDN 2027'!$AE$7:$AE$506,MATCH(ROW()-5,'Formulación PDN 2027'!$AK$7:$AK$506,0))&amp;"","")</f>
        <v/>
      </c>
      <c r="T177" s="15" t="str">
        <f>IFERROR(INDEX('Formulación PDN 2027'!$C$7:$C$506,MATCH(ROW()-5,'Formulación PDN 2027'!$AK$7:$AK$506,0))&amp;"","")</f>
        <v/>
      </c>
      <c r="U177" s="15" t="str">
        <f>IFERROR(INDEX('Formulación PDN 2027'!$B$7:$B$506,MATCH(ROW()-5,'Formulación PDN 2027'!$AK$7:$AK$506,0))&amp;"","")</f>
        <v/>
      </c>
      <c r="V177" s="15" t="str">
        <f>IFERROR(LEFT(INDEX('Formulación PDN 2027'!$E$7:$E$506,MATCH(ROW()-5,'Formulación PDN 2027'!$AK$7:$AK$506,0)),7),"")</f>
        <v/>
      </c>
      <c r="W177" s="15" t="str">
        <f>IFERROR(INDEX('Formulación PDN 2027'!$H$7:$H$506,MATCH(ROW()-5,'Formulación PDN 2027'!$AK$7:$AK$506,0))&amp;"","")</f>
        <v/>
      </c>
      <c r="X177" s="15" t="str">
        <f>IFERROR(INDEX('Formulación PDN 2027'!$U$7:$U$506,MATCH(ROW()-5,'Formulación PDN 2027'!$AK$7:$AK$506,0))&amp;"","")</f>
        <v/>
      </c>
      <c r="Y177" s="15" t="str">
        <f>IFERROR(INDEX('Formulación PDN 2027'!$AH$7:$AH$506,MATCH(ROW()-5,'Formulación PDN 2027'!$AK$7:$AK$506,0))&amp;"","")</f>
        <v/>
      </c>
    </row>
    <row r="178" spans="1:25" x14ac:dyDescent="0.3">
      <c r="A178" s="15" t="str">
        <f>IFERROR(INDEX('Formulación PDN 2027'!$A$7:$A$506,MATCH(ROW()-5,'Formulación PDN 2027'!$AK$7:$AK$506,0))&amp;"","")</f>
        <v/>
      </c>
      <c r="B178" s="20" t="str">
        <f>IFERROR(INDEX('Formulación PDN 2027'!$M$7:$M$506,MATCH(ROW()-5,'Formulación PDN 2027'!$AK$7:$AK$506,0)),"")</f>
        <v/>
      </c>
      <c r="C178" s="15" t="str">
        <f>IFERROR(INDEX('Formulación PDN 2027'!$N$7:$N$506,MATCH(ROW()-5,'Formulación PDN 2027'!$AK$7:$AK$506,0))&amp;"","")</f>
        <v/>
      </c>
      <c r="D178" s="15" t="str">
        <f>IFERROR(INDEX('Formulación PDN 2027'!$L$7:$L$506,MATCH(ROW()-5,'Formulación PDN 2027'!$AK$7:$AK$506,0))&amp;"","")</f>
        <v/>
      </c>
      <c r="E178" s="15" t="str">
        <f>IFERROR(MATCH(INDEX('Formulación PDN 2027'!$O$7:$O$506,MATCH(ROW()-5,'Formulación PDN 2027'!$AK$7:$AK$506,0)),L_MESES,0),"")</f>
        <v/>
      </c>
      <c r="F178" s="15" t="str">
        <f>IFERROR(MATCH(INDEX('Formulación PDN 2027'!$P$7:$P$506,MATCH(ROW()-5,'Formulación PDN 2027'!$AK$7:$AK$506,0)),L_MESES,0),"")</f>
        <v/>
      </c>
      <c r="G178" s="15" t="str">
        <f>IFERROR(INDEX('Formulación PDN 2027'!$Q$7:$Q$506,MATCH(ROW()-5,'Formulación PDN 2027'!$AK$7:$AK$506,0)),"")</f>
        <v/>
      </c>
      <c r="H178" s="15" t="str">
        <f>IFERROR(INDEX('Formulación PDN 2027'!$R$7:$R$506,MATCH(ROW()-5,'Formulación PDN 2027'!$AK$7:$AK$506,0))&amp;"","")</f>
        <v/>
      </c>
      <c r="I178" s="15" t="str">
        <f>IFERROR(INDEX('Formulación PDN 2027'!$S$7:$S$506,MATCH(ROW()-5,'Formulación PDN 2027'!$AK$7:$AK$506,0))&amp;"","")</f>
        <v/>
      </c>
      <c r="J178" s="15" t="str">
        <f>IFERROR(INDEX('Formulación PDN 2027'!$T$7:$T$506,MATCH(ROW()-5,'Formulación PDN 2027'!$AK$7:$AK$506,0))&amp;"","")</f>
        <v/>
      </c>
      <c r="K178" s="43" t="str">
        <f>IFERROR(INDEX('Formulación PDN 2027'!$W$7:$W$506,MATCH(ROW()-5,'Formulación PDN 2027'!$AK$7:$AK$506,0)),"")</f>
        <v/>
      </c>
      <c r="L178" s="43" t="str">
        <f>IFERROR(INDEX('Formulación PDN 2027'!$X$7:$X$506,MATCH(ROW()-5,'Formulación PDN 2027'!$AK$7:$AK$506,0)),"")</f>
        <v/>
      </c>
      <c r="M178" s="15" t="str">
        <f>IFERROR(INDEX('Formulación PDN 2027'!$Y$7:$Y$506,MATCH(ROW()-5,'Formulación PDN 2027'!$AK$7:$AK$506,0))&amp;"","")</f>
        <v/>
      </c>
      <c r="N178" s="15" t="str">
        <f>IFERROR(INDEX('Formulación PDN 2027'!$Z$7:$Z$506,MATCH(ROW()-5,'Formulación PDN 2027'!$AK$7:$AK$506,0))&amp;"","")</f>
        <v/>
      </c>
      <c r="O178" s="15"/>
      <c r="P178" s="15" t="str">
        <f>IFERROR(INDEX('Formulación PDN 2027'!$AA$7:$AA$506,MATCH(ROW()-5,'Formulación PDN 2027'!$AK$7:$AK$506,0))&amp;"","")</f>
        <v/>
      </c>
      <c r="Q178" s="15" t="str">
        <f>IFERROR(INDEX('Formulación PDN 2027'!$AB$7:$AB$506,MATCH(ROW()-5,'Formulación PDN 2027'!$AK$7:$AK$506,0))&amp;"","")</f>
        <v/>
      </c>
      <c r="R178" s="15" t="str">
        <f>IFERROR(INDEX('Formulación PDN 2027'!$AD$7:$AD$506,MATCH(ROW()-5,'Formulación PDN 2027'!$AK$7:$AK$506,0))&amp;"","")</f>
        <v/>
      </c>
      <c r="S178" s="15" t="str">
        <f>IFERROR(INDEX('Formulación PDN 2027'!$AE$7:$AE$506,MATCH(ROW()-5,'Formulación PDN 2027'!$AK$7:$AK$506,0))&amp;"","")</f>
        <v/>
      </c>
      <c r="T178" s="15" t="str">
        <f>IFERROR(INDEX('Formulación PDN 2027'!$C$7:$C$506,MATCH(ROW()-5,'Formulación PDN 2027'!$AK$7:$AK$506,0))&amp;"","")</f>
        <v/>
      </c>
      <c r="U178" s="15" t="str">
        <f>IFERROR(INDEX('Formulación PDN 2027'!$B$7:$B$506,MATCH(ROW()-5,'Formulación PDN 2027'!$AK$7:$AK$506,0))&amp;"","")</f>
        <v/>
      </c>
      <c r="V178" s="15" t="str">
        <f>IFERROR(LEFT(INDEX('Formulación PDN 2027'!$E$7:$E$506,MATCH(ROW()-5,'Formulación PDN 2027'!$AK$7:$AK$506,0)),7),"")</f>
        <v/>
      </c>
      <c r="W178" s="15" t="str">
        <f>IFERROR(INDEX('Formulación PDN 2027'!$H$7:$H$506,MATCH(ROW()-5,'Formulación PDN 2027'!$AK$7:$AK$506,0))&amp;"","")</f>
        <v/>
      </c>
      <c r="X178" s="15" t="str">
        <f>IFERROR(INDEX('Formulación PDN 2027'!$U$7:$U$506,MATCH(ROW()-5,'Formulación PDN 2027'!$AK$7:$AK$506,0))&amp;"","")</f>
        <v/>
      </c>
      <c r="Y178" s="15" t="str">
        <f>IFERROR(INDEX('Formulación PDN 2027'!$AH$7:$AH$506,MATCH(ROW()-5,'Formulación PDN 2027'!$AK$7:$AK$506,0))&amp;"","")</f>
        <v/>
      </c>
    </row>
    <row r="179" spans="1:25" x14ac:dyDescent="0.3">
      <c r="A179" s="15" t="str">
        <f>IFERROR(INDEX('Formulación PDN 2027'!$A$7:$A$506,MATCH(ROW()-5,'Formulación PDN 2027'!$AK$7:$AK$506,0))&amp;"","")</f>
        <v/>
      </c>
      <c r="B179" s="20" t="str">
        <f>IFERROR(INDEX('Formulación PDN 2027'!$M$7:$M$506,MATCH(ROW()-5,'Formulación PDN 2027'!$AK$7:$AK$506,0)),"")</f>
        <v/>
      </c>
      <c r="C179" s="15" t="str">
        <f>IFERROR(INDEX('Formulación PDN 2027'!$N$7:$N$506,MATCH(ROW()-5,'Formulación PDN 2027'!$AK$7:$AK$506,0))&amp;"","")</f>
        <v/>
      </c>
      <c r="D179" s="15" t="str">
        <f>IFERROR(INDEX('Formulación PDN 2027'!$L$7:$L$506,MATCH(ROW()-5,'Formulación PDN 2027'!$AK$7:$AK$506,0))&amp;"","")</f>
        <v/>
      </c>
      <c r="E179" s="15" t="str">
        <f>IFERROR(MATCH(INDEX('Formulación PDN 2027'!$O$7:$O$506,MATCH(ROW()-5,'Formulación PDN 2027'!$AK$7:$AK$506,0)),L_MESES,0),"")</f>
        <v/>
      </c>
      <c r="F179" s="15" t="str">
        <f>IFERROR(MATCH(INDEX('Formulación PDN 2027'!$P$7:$P$506,MATCH(ROW()-5,'Formulación PDN 2027'!$AK$7:$AK$506,0)),L_MESES,0),"")</f>
        <v/>
      </c>
      <c r="G179" s="15" t="str">
        <f>IFERROR(INDEX('Formulación PDN 2027'!$Q$7:$Q$506,MATCH(ROW()-5,'Formulación PDN 2027'!$AK$7:$AK$506,0)),"")</f>
        <v/>
      </c>
      <c r="H179" s="15" t="str">
        <f>IFERROR(INDEX('Formulación PDN 2027'!$R$7:$R$506,MATCH(ROW()-5,'Formulación PDN 2027'!$AK$7:$AK$506,0))&amp;"","")</f>
        <v/>
      </c>
      <c r="I179" s="15" t="str">
        <f>IFERROR(INDEX('Formulación PDN 2027'!$S$7:$S$506,MATCH(ROW()-5,'Formulación PDN 2027'!$AK$7:$AK$506,0))&amp;"","")</f>
        <v/>
      </c>
      <c r="J179" s="15" t="str">
        <f>IFERROR(INDEX('Formulación PDN 2027'!$T$7:$T$506,MATCH(ROW()-5,'Formulación PDN 2027'!$AK$7:$AK$506,0))&amp;"","")</f>
        <v/>
      </c>
      <c r="K179" s="43" t="str">
        <f>IFERROR(INDEX('Formulación PDN 2027'!$W$7:$W$506,MATCH(ROW()-5,'Formulación PDN 2027'!$AK$7:$AK$506,0)),"")</f>
        <v/>
      </c>
      <c r="L179" s="43" t="str">
        <f>IFERROR(INDEX('Formulación PDN 2027'!$X$7:$X$506,MATCH(ROW()-5,'Formulación PDN 2027'!$AK$7:$AK$506,0)),"")</f>
        <v/>
      </c>
      <c r="M179" s="15" t="str">
        <f>IFERROR(INDEX('Formulación PDN 2027'!$Y$7:$Y$506,MATCH(ROW()-5,'Formulación PDN 2027'!$AK$7:$AK$506,0))&amp;"","")</f>
        <v/>
      </c>
      <c r="N179" s="15" t="str">
        <f>IFERROR(INDEX('Formulación PDN 2027'!$Z$7:$Z$506,MATCH(ROW()-5,'Formulación PDN 2027'!$AK$7:$AK$506,0))&amp;"","")</f>
        <v/>
      </c>
      <c r="O179" s="15"/>
      <c r="P179" s="15" t="str">
        <f>IFERROR(INDEX('Formulación PDN 2027'!$AA$7:$AA$506,MATCH(ROW()-5,'Formulación PDN 2027'!$AK$7:$AK$506,0))&amp;"","")</f>
        <v/>
      </c>
      <c r="Q179" s="15" t="str">
        <f>IFERROR(INDEX('Formulación PDN 2027'!$AB$7:$AB$506,MATCH(ROW()-5,'Formulación PDN 2027'!$AK$7:$AK$506,0))&amp;"","")</f>
        <v/>
      </c>
      <c r="R179" s="15" t="str">
        <f>IFERROR(INDEX('Formulación PDN 2027'!$AD$7:$AD$506,MATCH(ROW()-5,'Formulación PDN 2027'!$AK$7:$AK$506,0))&amp;"","")</f>
        <v/>
      </c>
      <c r="S179" s="15" t="str">
        <f>IFERROR(INDEX('Formulación PDN 2027'!$AE$7:$AE$506,MATCH(ROW()-5,'Formulación PDN 2027'!$AK$7:$AK$506,0))&amp;"","")</f>
        <v/>
      </c>
      <c r="T179" s="15" t="str">
        <f>IFERROR(INDEX('Formulación PDN 2027'!$C$7:$C$506,MATCH(ROW()-5,'Formulación PDN 2027'!$AK$7:$AK$506,0))&amp;"","")</f>
        <v/>
      </c>
      <c r="U179" s="15" t="str">
        <f>IFERROR(INDEX('Formulación PDN 2027'!$B$7:$B$506,MATCH(ROW()-5,'Formulación PDN 2027'!$AK$7:$AK$506,0))&amp;"","")</f>
        <v/>
      </c>
      <c r="V179" s="15" t="str">
        <f>IFERROR(LEFT(INDEX('Formulación PDN 2027'!$E$7:$E$506,MATCH(ROW()-5,'Formulación PDN 2027'!$AK$7:$AK$506,0)),7),"")</f>
        <v/>
      </c>
      <c r="W179" s="15" t="str">
        <f>IFERROR(INDEX('Formulación PDN 2027'!$H$7:$H$506,MATCH(ROW()-5,'Formulación PDN 2027'!$AK$7:$AK$506,0))&amp;"","")</f>
        <v/>
      </c>
      <c r="X179" s="15" t="str">
        <f>IFERROR(INDEX('Formulación PDN 2027'!$U$7:$U$506,MATCH(ROW()-5,'Formulación PDN 2027'!$AK$7:$AK$506,0))&amp;"","")</f>
        <v/>
      </c>
      <c r="Y179" s="15" t="str">
        <f>IFERROR(INDEX('Formulación PDN 2027'!$AH$7:$AH$506,MATCH(ROW()-5,'Formulación PDN 2027'!$AK$7:$AK$506,0))&amp;"","")</f>
        <v/>
      </c>
    </row>
    <row r="180" spans="1:25" x14ac:dyDescent="0.3">
      <c r="A180" s="15" t="str">
        <f>IFERROR(INDEX('Formulación PDN 2027'!$A$7:$A$506,MATCH(ROW()-5,'Formulación PDN 2027'!$AK$7:$AK$506,0))&amp;"","")</f>
        <v/>
      </c>
      <c r="B180" s="20" t="str">
        <f>IFERROR(INDEX('Formulación PDN 2027'!$M$7:$M$506,MATCH(ROW()-5,'Formulación PDN 2027'!$AK$7:$AK$506,0)),"")</f>
        <v/>
      </c>
      <c r="C180" s="15" t="str">
        <f>IFERROR(INDEX('Formulación PDN 2027'!$N$7:$N$506,MATCH(ROW()-5,'Formulación PDN 2027'!$AK$7:$AK$506,0))&amp;"","")</f>
        <v/>
      </c>
      <c r="D180" s="15" t="str">
        <f>IFERROR(INDEX('Formulación PDN 2027'!$L$7:$L$506,MATCH(ROW()-5,'Formulación PDN 2027'!$AK$7:$AK$506,0))&amp;"","")</f>
        <v/>
      </c>
      <c r="E180" s="15" t="str">
        <f>IFERROR(MATCH(INDEX('Formulación PDN 2027'!$O$7:$O$506,MATCH(ROW()-5,'Formulación PDN 2027'!$AK$7:$AK$506,0)),L_MESES,0),"")</f>
        <v/>
      </c>
      <c r="F180" s="15" t="str">
        <f>IFERROR(MATCH(INDEX('Formulación PDN 2027'!$P$7:$P$506,MATCH(ROW()-5,'Formulación PDN 2027'!$AK$7:$AK$506,0)),L_MESES,0),"")</f>
        <v/>
      </c>
      <c r="G180" s="15" t="str">
        <f>IFERROR(INDEX('Formulación PDN 2027'!$Q$7:$Q$506,MATCH(ROW()-5,'Formulación PDN 2027'!$AK$7:$AK$506,0)),"")</f>
        <v/>
      </c>
      <c r="H180" s="15" t="str">
        <f>IFERROR(INDEX('Formulación PDN 2027'!$R$7:$R$506,MATCH(ROW()-5,'Formulación PDN 2027'!$AK$7:$AK$506,0))&amp;"","")</f>
        <v/>
      </c>
      <c r="I180" s="15" t="str">
        <f>IFERROR(INDEX('Formulación PDN 2027'!$S$7:$S$506,MATCH(ROW()-5,'Formulación PDN 2027'!$AK$7:$AK$506,0))&amp;"","")</f>
        <v/>
      </c>
      <c r="J180" s="15" t="str">
        <f>IFERROR(INDEX('Formulación PDN 2027'!$T$7:$T$506,MATCH(ROW()-5,'Formulación PDN 2027'!$AK$7:$AK$506,0))&amp;"","")</f>
        <v/>
      </c>
      <c r="K180" s="43" t="str">
        <f>IFERROR(INDEX('Formulación PDN 2027'!$W$7:$W$506,MATCH(ROW()-5,'Formulación PDN 2027'!$AK$7:$AK$506,0)),"")</f>
        <v/>
      </c>
      <c r="L180" s="43" t="str">
        <f>IFERROR(INDEX('Formulación PDN 2027'!$X$7:$X$506,MATCH(ROW()-5,'Formulación PDN 2027'!$AK$7:$AK$506,0)),"")</f>
        <v/>
      </c>
      <c r="M180" s="15" t="str">
        <f>IFERROR(INDEX('Formulación PDN 2027'!$Y$7:$Y$506,MATCH(ROW()-5,'Formulación PDN 2027'!$AK$7:$AK$506,0))&amp;"","")</f>
        <v/>
      </c>
      <c r="N180" s="15" t="str">
        <f>IFERROR(INDEX('Formulación PDN 2027'!$Z$7:$Z$506,MATCH(ROW()-5,'Formulación PDN 2027'!$AK$7:$AK$506,0))&amp;"","")</f>
        <v/>
      </c>
      <c r="O180" s="15"/>
      <c r="P180" s="15" t="str">
        <f>IFERROR(INDEX('Formulación PDN 2027'!$AA$7:$AA$506,MATCH(ROW()-5,'Formulación PDN 2027'!$AK$7:$AK$506,0))&amp;"","")</f>
        <v/>
      </c>
      <c r="Q180" s="15" t="str">
        <f>IFERROR(INDEX('Formulación PDN 2027'!$AB$7:$AB$506,MATCH(ROW()-5,'Formulación PDN 2027'!$AK$7:$AK$506,0))&amp;"","")</f>
        <v/>
      </c>
      <c r="R180" s="15" t="str">
        <f>IFERROR(INDEX('Formulación PDN 2027'!$AD$7:$AD$506,MATCH(ROW()-5,'Formulación PDN 2027'!$AK$7:$AK$506,0))&amp;"","")</f>
        <v/>
      </c>
      <c r="S180" s="15" t="str">
        <f>IFERROR(INDEX('Formulación PDN 2027'!$AE$7:$AE$506,MATCH(ROW()-5,'Formulación PDN 2027'!$AK$7:$AK$506,0))&amp;"","")</f>
        <v/>
      </c>
      <c r="T180" s="15" t="str">
        <f>IFERROR(INDEX('Formulación PDN 2027'!$C$7:$C$506,MATCH(ROW()-5,'Formulación PDN 2027'!$AK$7:$AK$506,0))&amp;"","")</f>
        <v/>
      </c>
      <c r="U180" s="15" t="str">
        <f>IFERROR(INDEX('Formulación PDN 2027'!$B$7:$B$506,MATCH(ROW()-5,'Formulación PDN 2027'!$AK$7:$AK$506,0))&amp;"","")</f>
        <v/>
      </c>
      <c r="V180" s="15" t="str">
        <f>IFERROR(LEFT(INDEX('Formulación PDN 2027'!$E$7:$E$506,MATCH(ROW()-5,'Formulación PDN 2027'!$AK$7:$AK$506,0)),7),"")</f>
        <v/>
      </c>
      <c r="W180" s="15" t="str">
        <f>IFERROR(INDEX('Formulación PDN 2027'!$H$7:$H$506,MATCH(ROW()-5,'Formulación PDN 2027'!$AK$7:$AK$506,0))&amp;"","")</f>
        <v/>
      </c>
      <c r="X180" s="15" t="str">
        <f>IFERROR(INDEX('Formulación PDN 2027'!$U$7:$U$506,MATCH(ROW()-5,'Formulación PDN 2027'!$AK$7:$AK$506,0))&amp;"","")</f>
        <v/>
      </c>
      <c r="Y180" s="15" t="str">
        <f>IFERROR(INDEX('Formulación PDN 2027'!$AH$7:$AH$506,MATCH(ROW()-5,'Formulación PDN 2027'!$AK$7:$AK$506,0))&amp;"","")</f>
        <v/>
      </c>
    </row>
    <row r="181" spans="1:25" x14ac:dyDescent="0.3">
      <c r="A181" s="15" t="str">
        <f>IFERROR(INDEX('Formulación PDN 2027'!$A$7:$A$506,MATCH(ROW()-5,'Formulación PDN 2027'!$AK$7:$AK$506,0))&amp;"","")</f>
        <v/>
      </c>
      <c r="B181" s="20" t="str">
        <f>IFERROR(INDEX('Formulación PDN 2027'!$M$7:$M$506,MATCH(ROW()-5,'Formulación PDN 2027'!$AK$7:$AK$506,0)),"")</f>
        <v/>
      </c>
      <c r="C181" s="15" t="str">
        <f>IFERROR(INDEX('Formulación PDN 2027'!$N$7:$N$506,MATCH(ROW()-5,'Formulación PDN 2027'!$AK$7:$AK$506,0))&amp;"","")</f>
        <v/>
      </c>
      <c r="D181" s="15" t="str">
        <f>IFERROR(INDEX('Formulación PDN 2027'!$L$7:$L$506,MATCH(ROW()-5,'Formulación PDN 2027'!$AK$7:$AK$506,0))&amp;"","")</f>
        <v/>
      </c>
      <c r="E181" s="15" t="str">
        <f>IFERROR(MATCH(INDEX('Formulación PDN 2027'!$O$7:$O$506,MATCH(ROW()-5,'Formulación PDN 2027'!$AK$7:$AK$506,0)),L_MESES,0),"")</f>
        <v/>
      </c>
      <c r="F181" s="15" t="str">
        <f>IFERROR(MATCH(INDEX('Formulación PDN 2027'!$P$7:$P$506,MATCH(ROW()-5,'Formulación PDN 2027'!$AK$7:$AK$506,0)),L_MESES,0),"")</f>
        <v/>
      </c>
      <c r="G181" s="15" t="str">
        <f>IFERROR(INDEX('Formulación PDN 2027'!$Q$7:$Q$506,MATCH(ROW()-5,'Formulación PDN 2027'!$AK$7:$AK$506,0)),"")</f>
        <v/>
      </c>
      <c r="H181" s="15" t="str">
        <f>IFERROR(INDEX('Formulación PDN 2027'!$R$7:$R$506,MATCH(ROW()-5,'Formulación PDN 2027'!$AK$7:$AK$506,0))&amp;"","")</f>
        <v/>
      </c>
      <c r="I181" s="15" t="str">
        <f>IFERROR(INDEX('Formulación PDN 2027'!$S$7:$S$506,MATCH(ROW()-5,'Formulación PDN 2027'!$AK$7:$AK$506,0))&amp;"","")</f>
        <v/>
      </c>
      <c r="J181" s="15" t="str">
        <f>IFERROR(INDEX('Formulación PDN 2027'!$T$7:$T$506,MATCH(ROW()-5,'Formulación PDN 2027'!$AK$7:$AK$506,0))&amp;"","")</f>
        <v/>
      </c>
      <c r="K181" s="43" t="str">
        <f>IFERROR(INDEX('Formulación PDN 2027'!$W$7:$W$506,MATCH(ROW()-5,'Formulación PDN 2027'!$AK$7:$AK$506,0)),"")</f>
        <v/>
      </c>
      <c r="L181" s="43" t="str">
        <f>IFERROR(INDEX('Formulación PDN 2027'!$X$7:$X$506,MATCH(ROW()-5,'Formulación PDN 2027'!$AK$7:$AK$506,0)),"")</f>
        <v/>
      </c>
      <c r="M181" s="15" t="str">
        <f>IFERROR(INDEX('Formulación PDN 2027'!$Y$7:$Y$506,MATCH(ROW()-5,'Formulación PDN 2027'!$AK$7:$AK$506,0))&amp;"","")</f>
        <v/>
      </c>
      <c r="N181" s="15" t="str">
        <f>IFERROR(INDEX('Formulación PDN 2027'!$Z$7:$Z$506,MATCH(ROW()-5,'Formulación PDN 2027'!$AK$7:$AK$506,0))&amp;"","")</f>
        <v/>
      </c>
      <c r="O181" s="15"/>
      <c r="P181" s="15" t="str">
        <f>IFERROR(INDEX('Formulación PDN 2027'!$AA$7:$AA$506,MATCH(ROW()-5,'Formulación PDN 2027'!$AK$7:$AK$506,0))&amp;"","")</f>
        <v/>
      </c>
      <c r="Q181" s="15" t="str">
        <f>IFERROR(INDEX('Formulación PDN 2027'!$AB$7:$AB$506,MATCH(ROW()-5,'Formulación PDN 2027'!$AK$7:$AK$506,0))&amp;"","")</f>
        <v/>
      </c>
      <c r="R181" s="15" t="str">
        <f>IFERROR(INDEX('Formulación PDN 2027'!$AD$7:$AD$506,MATCH(ROW()-5,'Formulación PDN 2027'!$AK$7:$AK$506,0))&amp;"","")</f>
        <v/>
      </c>
      <c r="S181" s="15" t="str">
        <f>IFERROR(INDEX('Formulación PDN 2027'!$AE$7:$AE$506,MATCH(ROW()-5,'Formulación PDN 2027'!$AK$7:$AK$506,0))&amp;"","")</f>
        <v/>
      </c>
      <c r="T181" s="15" t="str">
        <f>IFERROR(INDEX('Formulación PDN 2027'!$C$7:$C$506,MATCH(ROW()-5,'Formulación PDN 2027'!$AK$7:$AK$506,0))&amp;"","")</f>
        <v/>
      </c>
      <c r="U181" s="15" t="str">
        <f>IFERROR(INDEX('Formulación PDN 2027'!$B$7:$B$506,MATCH(ROW()-5,'Formulación PDN 2027'!$AK$7:$AK$506,0))&amp;"","")</f>
        <v/>
      </c>
      <c r="V181" s="15" t="str">
        <f>IFERROR(LEFT(INDEX('Formulación PDN 2027'!$E$7:$E$506,MATCH(ROW()-5,'Formulación PDN 2027'!$AK$7:$AK$506,0)),7),"")</f>
        <v/>
      </c>
      <c r="W181" s="15" t="str">
        <f>IFERROR(INDEX('Formulación PDN 2027'!$H$7:$H$506,MATCH(ROW()-5,'Formulación PDN 2027'!$AK$7:$AK$506,0))&amp;"","")</f>
        <v/>
      </c>
      <c r="X181" s="15" t="str">
        <f>IFERROR(INDEX('Formulación PDN 2027'!$U$7:$U$506,MATCH(ROW()-5,'Formulación PDN 2027'!$AK$7:$AK$506,0))&amp;"","")</f>
        <v/>
      </c>
      <c r="Y181" s="15" t="str">
        <f>IFERROR(INDEX('Formulación PDN 2027'!$AH$7:$AH$506,MATCH(ROW()-5,'Formulación PDN 2027'!$AK$7:$AK$506,0))&amp;"","")</f>
        <v/>
      </c>
    </row>
    <row r="182" spans="1:25" x14ac:dyDescent="0.3">
      <c r="A182" s="15" t="str">
        <f>IFERROR(INDEX('Formulación PDN 2027'!$A$7:$A$506,MATCH(ROW()-5,'Formulación PDN 2027'!$AK$7:$AK$506,0))&amp;"","")</f>
        <v/>
      </c>
      <c r="B182" s="20" t="str">
        <f>IFERROR(INDEX('Formulación PDN 2027'!$M$7:$M$506,MATCH(ROW()-5,'Formulación PDN 2027'!$AK$7:$AK$506,0)),"")</f>
        <v/>
      </c>
      <c r="C182" s="15" t="str">
        <f>IFERROR(INDEX('Formulación PDN 2027'!$N$7:$N$506,MATCH(ROW()-5,'Formulación PDN 2027'!$AK$7:$AK$506,0))&amp;"","")</f>
        <v/>
      </c>
      <c r="D182" s="15" t="str">
        <f>IFERROR(INDEX('Formulación PDN 2027'!$L$7:$L$506,MATCH(ROW()-5,'Formulación PDN 2027'!$AK$7:$AK$506,0))&amp;"","")</f>
        <v/>
      </c>
      <c r="E182" s="15" t="str">
        <f>IFERROR(MATCH(INDEX('Formulación PDN 2027'!$O$7:$O$506,MATCH(ROW()-5,'Formulación PDN 2027'!$AK$7:$AK$506,0)),L_MESES,0),"")</f>
        <v/>
      </c>
      <c r="F182" s="15" t="str">
        <f>IFERROR(MATCH(INDEX('Formulación PDN 2027'!$P$7:$P$506,MATCH(ROW()-5,'Formulación PDN 2027'!$AK$7:$AK$506,0)),L_MESES,0),"")</f>
        <v/>
      </c>
      <c r="G182" s="15" t="str">
        <f>IFERROR(INDEX('Formulación PDN 2027'!$Q$7:$Q$506,MATCH(ROW()-5,'Formulación PDN 2027'!$AK$7:$AK$506,0)),"")</f>
        <v/>
      </c>
      <c r="H182" s="15" t="str">
        <f>IFERROR(INDEX('Formulación PDN 2027'!$R$7:$R$506,MATCH(ROW()-5,'Formulación PDN 2027'!$AK$7:$AK$506,0))&amp;"","")</f>
        <v/>
      </c>
      <c r="I182" s="15" t="str">
        <f>IFERROR(INDEX('Formulación PDN 2027'!$S$7:$S$506,MATCH(ROW()-5,'Formulación PDN 2027'!$AK$7:$AK$506,0))&amp;"","")</f>
        <v/>
      </c>
      <c r="J182" s="15" t="str">
        <f>IFERROR(INDEX('Formulación PDN 2027'!$T$7:$T$506,MATCH(ROW()-5,'Formulación PDN 2027'!$AK$7:$AK$506,0))&amp;"","")</f>
        <v/>
      </c>
      <c r="K182" s="43" t="str">
        <f>IFERROR(INDEX('Formulación PDN 2027'!$W$7:$W$506,MATCH(ROW()-5,'Formulación PDN 2027'!$AK$7:$AK$506,0)),"")</f>
        <v/>
      </c>
      <c r="L182" s="43" t="str">
        <f>IFERROR(INDEX('Formulación PDN 2027'!$X$7:$X$506,MATCH(ROW()-5,'Formulación PDN 2027'!$AK$7:$AK$506,0)),"")</f>
        <v/>
      </c>
      <c r="M182" s="15" t="str">
        <f>IFERROR(INDEX('Formulación PDN 2027'!$Y$7:$Y$506,MATCH(ROW()-5,'Formulación PDN 2027'!$AK$7:$AK$506,0))&amp;"","")</f>
        <v/>
      </c>
      <c r="N182" s="15" t="str">
        <f>IFERROR(INDEX('Formulación PDN 2027'!$Z$7:$Z$506,MATCH(ROW()-5,'Formulación PDN 2027'!$AK$7:$AK$506,0))&amp;"","")</f>
        <v/>
      </c>
      <c r="O182" s="15"/>
      <c r="P182" s="15" t="str">
        <f>IFERROR(INDEX('Formulación PDN 2027'!$AA$7:$AA$506,MATCH(ROW()-5,'Formulación PDN 2027'!$AK$7:$AK$506,0))&amp;"","")</f>
        <v/>
      </c>
      <c r="Q182" s="15" t="str">
        <f>IFERROR(INDEX('Formulación PDN 2027'!$AB$7:$AB$506,MATCH(ROW()-5,'Formulación PDN 2027'!$AK$7:$AK$506,0))&amp;"","")</f>
        <v/>
      </c>
      <c r="R182" s="15" t="str">
        <f>IFERROR(INDEX('Formulación PDN 2027'!$AD$7:$AD$506,MATCH(ROW()-5,'Formulación PDN 2027'!$AK$7:$AK$506,0))&amp;"","")</f>
        <v/>
      </c>
      <c r="S182" s="15" t="str">
        <f>IFERROR(INDEX('Formulación PDN 2027'!$AE$7:$AE$506,MATCH(ROW()-5,'Formulación PDN 2027'!$AK$7:$AK$506,0))&amp;"","")</f>
        <v/>
      </c>
      <c r="T182" s="15" t="str">
        <f>IFERROR(INDEX('Formulación PDN 2027'!$C$7:$C$506,MATCH(ROW()-5,'Formulación PDN 2027'!$AK$7:$AK$506,0))&amp;"","")</f>
        <v/>
      </c>
      <c r="U182" s="15" t="str">
        <f>IFERROR(INDEX('Formulación PDN 2027'!$B$7:$B$506,MATCH(ROW()-5,'Formulación PDN 2027'!$AK$7:$AK$506,0))&amp;"","")</f>
        <v/>
      </c>
      <c r="V182" s="15" t="str">
        <f>IFERROR(LEFT(INDEX('Formulación PDN 2027'!$E$7:$E$506,MATCH(ROW()-5,'Formulación PDN 2027'!$AK$7:$AK$506,0)),7),"")</f>
        <v/>
      </c>
      <c r="W182" s="15" t="str">
        <f>IFERROR(INDEX('Formulación PDN 2027'!$H$7:$H$506,MATCH(ROW()-5,'Formulación PDN 2027'!$AK$7:$AK$506,0))&amp;"","")</f>
        <v/>
      </c>
      <c r="X182" s="15" t="str">
        <f>IFERROR(INDEX('Formulación PDN 2027'!$U$7:$U$506,MATCH(ROW()-5,'Formulación PDN 2027'!$AK$7:$AK$506,0))&amp;"","")</f>
        <v/>
      </c>
      <c r="Y182" s="15" t="str">
        <f>IFERROR(INDEX('Formulación PDN 2027'!$AH$7:$AH$506,MATCH(ROW()-5,'Formulación PDN 2027'!$AK$7:$AK$506,0))&amp;"","")</f>
        <v/>
      </c>
    </row>
    <row r="183" spans="1:25" x14ac:dyDescent="0.3">
      <c r="A183" s="15" t="str">
        <f>IFERROR(INDEX('Formulación PDN 2027'!$A$7:$A$506,MATCH(ROW()-5,'Formulación PDN 2027'!$AK$7:$AK$506,0))&amp;"","")</f>
        <v/>
      </c>
      <c r="B183" s="20" t="str">
        <f>IFERROR(INDEX('Formulación PDN 2027'!$M$7:$M$506,MATCH(ROW()-5,'Formulación PDN 2027'!$AK$7:$AK$506,0)),"")</f>
        <v/>
      </c>
      <c r="C183" s="15" t="str">
        <f>IFERROR(INDEX('Formulación PDN 2027'!$N$7:$N$506,MATCH(ROW()-5,'Formulación PDN 2027'!$AK$7:$AK$506,0))&amp;"","")</f>
        <v/>
      </c>
      <c r="D183" s="15" t="str">
        <f>IFERROR(INDEX('Formulación PDN 2027'!$L$7:$L$506,MATCH(ROW()-5,'Formulación PDN 2027'!$AK$7:$AK$506,0))&amp;"","")</f>
        <v/>
      </c>
      <c r="E183" s="15" t="str">
        <f>IFERROR(MATCH(INDEX('Formulación PDN 2027'!$O$7:$O$506,MATCH(ROW()-5,'Formulación PDN 2027'!$AK$7:$AK$506,0)),L_MESES,0),"")</f>
        <v/>
      </c>
      <c r="F183" s="15" t="str">
        <f>IFERROR(MATCH(INDEX('Formulación PDN 2027'!$P$7:$P$506,MATCH(ROW()-5,'Formulación PDN 2027'!$AK$7:$AK$506,0)),L_MESES,0),"")</f>
        <v/>
      </c>
      <c r="G183" s="15" t="str">
        <f>IFERROR(INDEX('Formulación PDN 2027'!$Q$7:$Q$506,MATCH(ROW()-5,'Formulación PDN 2027'!$AK$7:$AK$506,0)),"")</f>
        <v/>
      </c>
      <c r="H183" s="15" t="str">
        <f>IFERROR(INDEX('Formulación PDN 2027'!$R$7:$R$506,MATCH(ROW()-5,'Formulación PDN 2027'!$AK$7:$AK$506,0))&amp;"","")</f>
        <v/>
      </c>
      <c r="I183" s="15" t="str">
        <f>IFERROR(INDEX('Formulación PDN 2027'!$S$7:$S$506,MATCH(ROW()-5,'Formulación PDN 2027'!$AK$7:$AK$506,0))&amp;"","")</f>
        <v/>
      </c>
      <c r="J183" s="15" t="str">
        <f>IFERROR(INDEX('Formulación PDN 2027'!$T$7:$T$506,MATCH(ROW()-5,'Formulación PDN 2027'!$AK$7:$AK$506,0))&amp;"","")</f>
        <v/>
      </c>
      <c r="K183" s="43" t="str">
        <f>IFERROR(INDEX('Formulación PDN 2027'!$W$7:$W$506,MATCH(ROW()-5,'Formulación PDN 2027'!$AK$7:$AK$506,0)),"")</f>
        <v/>
      </c>
      <c r="L183" s="43" t="str">
        <f>IFERROR(INDEX('Formulación PDN 2027'!$X$7:$X$506,MATCH(ROW()-5,'Formulación PDN 2027'!$AK$7:$AK$506,0)),"")</f>
        <v/>
      </c>
      <c r="M183" s="15" t="str">
        <f>IFERROR(INDEX('Formulación PDN 2027'!$Y$7:$Y$506,MATCH(ROW()-5,'Formulación PDN 2027'!$AK$7:$AK$506,0))&amp;"","")</f>
        <v/>
      </c>
      <c r="N183" s="15" t="str">
        <f>IFERROR(INDEX('Formulación PDN 2027'!$Z$7:$Z$506,MATCH(ROW()-5,'Formulación PDN 2027'!$AK$7:$AK$506,0))&amp;"","")</f>
        <v/>
      </c>
      <c r="O183" s="15"/>
      <c r="P183" s="15" t="str">
        <f>IFERROR(INDEX('Formulación PDN 2027'!$AA$7:$AA$506,MATCH(ROW()-5,'Formulación PDN 2027'!$AK$7:$AK$506,0))&amp;"","")</f>
        <v/>
      </c>
      <c r="Q183" s="15" t="str">
        <f>IFERROR(INDEX('Formulación PDN 2027'!$AB$7:$AB$506,MATCH(ROW()-5,'Formulación PDN 2027'!$AK$7:$AK$506,0))&amp;"","")</f>
        <v/>
      </c>
      <c r="R183" s="15" t="str">
        <f>IFERROR(INDEX('Formulación PDN 2027'!$AD$7:$AD$506,MATCH(ROW()-5,'Formulación PDN 2027'!$AK$7:$AK$506,0))&amp;"","")</f>
        <v/>
      </c>
      <c r="S183" s="15" t="str">
        <f>IFERROR(INDEX('Formulación PDN 2027'!$AE$7:$AE$506,MATCH(ROW()-5,'Formulación PDN 2027'!$AK$7:$AK$506,0))&amp;"","")</f>
        <v/>
      </c>
      <c r="T183" s="15" t="str">
        <f>IFERROR(INDEX('Formulación PDN 2027'!$C$7:$C$506,MATCH(ROW()-5,'Formulación PDN 2027'!$AK$7:$AK$506,0))&amp;"","")</f>
        <v/>
      </c>
      <c r="U183" s="15" t="str">
        <f>IFERROR(INDEX('Formulación PDN 2027'!$B$7:$B$506,MATCH(ROW()-5,'Formulación PDN 2027'!$AK$7:$AK$506,0))&amp;"","")</f>
        <v/>
      </c>
      <c r="V183" s="15" t="str">
        <f>IFERROR(LEFT(INDEX('Formulación PDN 2027'!$E$7:$E$506,MATCH(ROW()-5,'Formulación PDN 2027'!$AK$7:$AK$506,0)),7),"")</f>
        <v/>
      </c>
      <c r="W183" s="15" t="str">
        <f>IFERROR(INDEX('Formulación PDN 2027'!$H$7:$H$506,MATCH(ROW()-5,'Formulación PDN 2027'!$AK$7:$AK$506,0))&amp;"","")</f>
        <v/>
      </c>
      <c r="X183" s="15" t="str">
        <f>IFERROR(INDEX('Formulación PDN 2027'!$U$7:$U$506,MATCH(ROW()-5,'Formulación PDN 2027'!$AK$7:$AK$506,0))&amp;"","")</f>
        <v/>
      </c>
      <c r="Y183" s="15" t="str">
        <f>IFERROR(INDEX('Formulación PDN 2027'!$AH$7:$AH$506,MATCH(ROW()-5,'Formulación PDN 2027'!$AK$7:$AK$506,0))&amp;"","")</f>
        <v/>
      </c>
    </row>
    <row r="184" spans="1:25" x14ac:dyDescent="0.3">
      <c r="A184" s="15" t="str">
        <f>IFERROR(INDEX('Formulación PDN 2027'!$A$7:$A$506,MATCH(ROW()-5,'Formulación PDN 2027'!$AK$7:$AK$506,0))&amp;"","")</f>
        <v/>
      </c>
      <c r="B184" s="20" t="str">
        <f>IFERROR(INDEX('Formulación PDN 2027'!$M$7:$M$506,MATCH(ROW()-5,'Formulación PDN 2027'!$AK$7:$AK$506,0)),"")</f>
        <v/>
      </c>
      <c r="C184" s="15" t="str">
        <f>IFERROR(INDEX('Formulación PDN 2027'!$N$7:$N$506,MATCH(ROW()-5,'Formulación PDN 2027'!$AK$7:$AK$506,0))&amp;"","")</f>
        <v/>
      </c>
      <c r="D184" s="15" t="str">
        <f>IFERROR(INDEX('Formulación PDN 2027'!$L$7:$L$506,MATCH(ROW()-5,'Formulación PDN 2027'!$AK$7:$AK$506,0))&amp;"","")</f>
        <v/>
      </c>
      <c r="E184" s="15" t="str">
        <f>IFERROR(MATCH(INDEX('Formulación PDN 2027'!$O$7:$O$506,MATCH(ROW()-5,'Formulación PDN 2027'!$AK$7:$AK$506,0)),L_MESES,0),"")</f>
        <v/>
      </c>
      <c r="F184" s="15" t="str">
        <f>IFERROR(MATCH(INDEX('Formulación PDN 2027'!$P$7:$P$506,MATCH(ROW()-5,'Formulación PDN 2027'!$AK$7:$AK$506,0)),L_MESES,0),"")</f>
        <v/>
      </c>
      <c r="G184" s="15" t="str">
        <f>IFERROR(INDEX('Formulación PDN 2027'!$Q$7:$Q$506,MATCH(ROW()-5,'Formulación PDN 2027'!$AK$7:$AK$506,0)),"")</f>
        <v/>
      </c>
      <c r="H184" s="15" t="str">
        <f>IFERROR(INDEX('Formulación PDN 2027'!$R$7:$R$506,MATCH(ROW()-5,'Formulación PDN 2027'!$AK$7:$AK$506,0))&amp;"","")</f>
        <v/>
      </c>
      <c r="I184" s="15" t="str">
        <f>IFERROR(INDEX('Formulación PDN 2027'!$S$7:$S$506,MATCH(ROW()-5,'Formulación PDN 2027'!$AK$7:$AK$506,0))&amp;"","")</f>
        <v/>
      </c>
      <c r="J184" s="15" t="str">
        <f>IFERROR(INDEX('Formulación PDN 2027'!$T$7:$T$506,MATCH(ROW()-5,'Formulación PDN 2027'!$AK$7:$AK$506,0))&amp;"","")</f>
        <v/>
      </c>
      <c r="K184" s="43" t="str">
        <f>IFERROR(INDEX('Formulación PDN 2027'!$W$7:$W$506,MATCH(ROW()-5,'Formulación PDN 2027'!$AK$7:$AK$506,0)),"")</f>
        <v/>
      </c>
      <c r="L184" s="43" t="str">
        <f>IFERROR(INDEX('Formulación PDN 2027'!$X$7:$X$506,MATCH(ROW()-5,'Formulación PDN 2027'!$AK$7:$AK$506,0)),"")</f>
        <v/>
      </c>
      <c r="M184" s="15" t="str">
        <f>IFERROR(INDEX('Formulación PDN 2027'!$Y$7:$Y$506,MATCH(ROW()-5,'Formulación PDN 2027'!$AK$7:$AK$506,0))&amp;"","")</f>
        <v/>
      </c>
      <c r="N184" s="15" t="str">
        <f>IFERROR(INDEX('Formulación PDN 2027'!$Z$7:$Z$506,MATCH(ROW()-5,'Formulación PDN 2027'!$AK$7:$AK$506,0))&amp;"","")</f>
        <v/>
      </c>
      <c r="O184" s="15"/>
      <c r="P184" s="15" t="str">
        <f>IFERROR(INDEX('Formulación PDN 2027'!$AA$7:$AA$506,MATCH(ROW()-5,'Formulación PDN 2027'!$AK$7:$AK$506,0))&amp;"","")</f>
        <v/>
      </c>
      <c r="Q184" s="15" t="str">
        <f>IFERROR(INDEX('Formulación PDN 2027'!$AB$7:$AB$506,MATCH(ROW()-5,'Formulación PDN 2027'!$AK$7:$AK$506,0))&amp;"","")</f>
        <v/>
      </c>
      <c r="R184" s="15" t="str">
        <f>IFERROR(INDEX('Formulación PDN 2027'!$AD$7:$AD$506,MATCH(ROW()-5,'Formulación PDN 2027'!$AK$7:$AK$506,0))&amp;"","")</f>
        <v/>
      </c>
      <c r="S184" s="15" t="str">
        <f>IFERROR(INDEX('Formulación PDN 2027'!$AE$7:$AE$506,MATCH(ROW()-5,'Formulación PDN 2027'!$AK$7:$AK$506,0))&amp;"","")</f>
        <v/>
      </c>
      <c r="T184" s="15" t="str">
        <f>IFERROR(INDEX('Formulación PDN 2027'!$C$7:$C$506,MATCH(ROW()-5,'Formulación PDN 2027'!$AK$7:$AK$506,0))&amp;"","")</f>
        <v/>
      </c>
      <c r="U184" s="15" t="str">
        <f>IFERROR(INDEX('Formulación PDN 2027'!$B$7:$B$506,MATCH(ROW()-5,'Formulación PDN 2027'!$AK$7:$AK$506,0))&amp;"","")</f>
        <v/>
      </c>
      <c r="V184" s="15" t="str">
        <f>IFERROR(LEFT(INDEX('Formulación PDN 2027'!$E$7:$E$506,MATCH(ROW()-5,'Formulación PDN 2027'!$AK$7:$AK$506,0)),7),"")</f>
        <v/>
      </c>
      <c r="W184" s="15" t="str">
        <f>IFERROR(INDEX('Formulación PDN 2027'!$H$7:$H$506,MATCH(ROW()-5,'Formulación PDN 2027'!$AK$7:$AK$506,0))&amp;"","")</f>
        <v/>
      </c>
      <c r="X184" s="15" t="str">
        <f>IFERROR(INDEX('Formulación PDN 2027'!$U$7:$U$506,MATCH(ROW()-5,'Formulación PDN 2027'!$AK$7:$AK$506,0))&amp;"","")</f>
        <v/>
      </c>
      <c r="Y184" s="15" t="str">
        <f>IFERROR(INDEX('Formulación PDN 2027'!$AH$7:$AH$506,MATCH(ROW()-5,'Formulación PDN 2027'!$AK$7:$AK$506,0))&amp;"","")</f>
        <v/>
      </c>
    </row>
    <row r="185" spans="1:25" x14ac:dyDescent="0.3">
      <c r="A185" s="15" t="str">
        <f>IFERROR(INDEX('Formulación PDN 2027'!$A$7:$A$506,MATCH(ROW()-5,'Formulación PDN 2027'!$AK$7:$AK$506,0))&amp;"","")</f>
        <v/>
      </c>
      <c r="B185" s="20" t="str">
        <f>IFERROR(INDEX('Formulación PDN 2027'!$M$7:$M$506,MATCH(ROW()-5,'Formulación PDN 2027'!$AK$7:$AK$506,0)),"")</f>
        <v/>
      </c>
      <c r="C185" s="15" t="str">
        <f>IFERROR(INDEX('Formulación PDN 2027'!$N$7:$N$506,MATCH(ROW()-5,'Formulación PDN 2027'!$AK$7:$AK$506,0))&amp;"","")</f>
        <v/>
      </c>
      <c r="D185" s="15" t="str">
        <f>IFERROR(INDEX('Formulación PDN 2027'!$L$7:$L$506,MATCH(ROW()-5,'Formulación PDN 2027'!$AK$7:$AK$506,0))&amp;"","")</f>
        <v/>
      </c>
      <c r="E185" s="15" t="str">
        <f>IFERROR(MATCH(INDEX('Formulación PDN 2027'!$O$7:$O$506,MATCH(ROW()-5,'Formulación PDN 2027'!$AK$7:$AK$506,0)),L_MESES,0),"")</f>
        <v/>
      </c>
      <c r="F185" s="15" t="str">
        <f>IFERROR(MATCH(INDEX('Formulación PDN 2027'!$P$7:$P$506,MATCH(ROW()-5,'Formulación PDN 2027'!$AK$7:$AK$506,0)),L_MESES,0),"")</f>
        <v/>
      </c>
      <c r="G185" s="15" t="str">
        <f>IFERROR(INDEX('Formulación PDN 2027'!$Q$7:$Q$506,MATCH(ROW()-5,'Formulación PDN 2027'!$AK$7:$AK$506,0)),"")</f>
        <v/>
      </c>
      <c r="H185" s="15" t="str">
        <f>IFERROR(INDEX('Formulación PDN 2027'!$R$7:$R$506,MATCH(ROW()-5,'Formulación PDN 2027'!$AK$7:$AK$506,0))&amp;"","")</f>
        <v/>
      </c>
      <c r="I185" s="15" t="str">
        <f>IFERROR(INDEX('Formulación PDN 2027'!$S$7:$S$506,MATCH(ROW()-5,'Formulación PDN 2027'!$AK$7:$AK$506,0))&amp;"","")</f>
        <v/>
      </c>
      <c r="J185" s="15" t="str">
        <f>IFERROR(INDEX('Formulación PDN 2027'!$T$7:$T$506,MATCH(ROW()-5,'Formulación PDN 2027'!$AK$7:$AK$506,0))&amp;"","")</f>
        <v/>
      </c>
      <c r="K185" s="43" t="str">
        <f>IFERROR(INDEX('Formulación PDN 2027'!$W$7:$W$506,MATCH(ROW()-5,'Formulación PDN 2027'!$AK$7:$AK$506,0)),"")</f>
        <v/>
      </c>
      <c r="L185" s="43" t="str">
        <f>IFERROR(INDEX('Formulación PDN 2027'!$X$7:$X$506,MATCH(ROW()-5,'Formulación PDN 2027'!$AK$7:$AK$506,0)),"")</f>
        <v/>
      </c>
      <c r="M185" s="15" t="str">
        <f>IFERROR(INDEX('Formulación PDN 2027'!$Y$7:$Y$506,MATCH(ROW()-5,'Formulación PDN 2027'!$AK$7:$AK$506,0))&amp;"","")</f>
        <v/>
      </c>
      <c r="N185" s="15" t="str">
        <f>IFERROR(INDEX('Formulación PDN 2027'!$Z$7:$Z$506,MATCH(ROW()-5,'Formulación PDN 2027'!$AK$7:$AK$506,0))&amp;"","")</f>
        <v/>
      </c>
      <c r="O185" s="15"/>
      <c r="P185" s="15" t="str">
        <f>IFERROR(INDEX('Formulación PDN 2027'!$AA$7:$AA$506,MATCH(ROW()-5,'Formulación PDN 2027'!$AK$7:$AK$506,0))&amp;"","")</f>
        <v/>
      </c>
      <c r="Q185" s="15" t="str">
        <f>IFERROR(INDEX('Formulación PDN 2027'!$AB$7:$AB$506,MATCH(ROW()-5,'Formulación PDN 2027'!$AK$7:$AK$506,0))&amp;"","")</f>
        <v/>
      </c>
      <c r="R185" s="15" t="str">
        <f>IFERROR(INDEX('Formulación PDN 2027'!$AD$7:$AD$506,MATCH(ROW()-5,'Formulación PDN 2027'!$AK$7:$AK$506,0))&amp;"","")</f>
        <v/>
      </c>
      <c r="S185" s="15" t="str">
        <f>IFERROR(INDEX('Formulación PDN 2027'!$AE$7:$AE$506,MATCH(ROW()-5,'Formulación PDN 2027'!$AK$7:$AK$506,0))&amp;"","")</f>
        <v/>
      </c>
      <c r="T185" s="15" t="str">
        <f>IFERROR(INDEX('Formulación PDN 2027'!$C$7:$C$506,MATCH(ROW()-5,'Formulación PDN 2027'!$AK$7:$AK$506,0))&amp;"","")</f>
        <v/>
      </c>
      <c r="U185" s="15" t="str">
        <f>IFERROR(INDEX('Formulación PDN 2027'!$B$7:$B$506,MATCH(ROW()-5,'Formulación PDN 2027'!$AK$7:$AK$506,0))&amp;"","")</f>
        <v/>
      </c>
      <c r="V185" s="15" t="str">
        <f>IFERROR(LEFT(INDEX('Formulación PDN 2027'!$E$7:$E$506,MATCH(ROW()-5,'Formulación PDN 2027'!$AK$7:$AK$506,0)),7),"")</f>
        <v/>
      </c>
      <c r="W185" s="15" t="str">
        <f>IFERROR(INDEX('Formulación PDN 2027'!$H$7:$H$506,MATCH(ROW()-5,'Formulación PDN 2027'!$AK$7:$AK$506,0))&amp;"","")</f>
        <v/>
      </c>
      <c r="X185" s="15" t="str">
        <f>IFERROR(INDEX('Formulación PDN 2027'!$U$7:$U$506,MATCH(ROW()-5,'Formulación PDN 2027'!$AK$7:$AK$506,0))&amp;"","")</f>
        <v/>
      </c>
      <c r="Y185" s="15" t="str">
        <f>IFERROR(INDEX('Formulación PDN 2027'!$AH$7:$AH$506,MATCH(ROW()-5,'Formulación PDN 2027'!$AK$7:$AK$506,0))&amp;"","")</f>
        <v/>
      </c>
    </row>
    <row r="186" spans="1:25" x14ac:dyDescent="0.3">
      <c r="A186" s="15" t="str">
        <f>IFERROR(INDEX('Formulación PDN 2027'!$A$7:$A$506,MATCH(ROW()-5,'Formulación PDN 2027'!$AK$7:$AK$506,0))&amp;"","")</f>
        <v/>
      </c>
      <c r="B186" s="20" t="str">
        <f>IFERROR(INDEX('Formulación PDN 2027'!$M$7:$M$506,MATCH(ROW()-5,'Formulación PDN 2027'!$AK$7:$AK$506,0)),"")</f>
        <v/>
      </c>
      <c r="C186" s="15" t="str">
        <f>IFERROR(INDEX('Formulación PDN 2027'!$N$7:$N$506,MATCH(ROW()-5,'Formulación PDN 2027'!$AK$7:$AK$506,0))&amp;"","")</f>
        <v/>
      </c>
      <c r="D186" s="15" t="str">
        <f>IFERROR(INDEX('Formulación PDN 2027'!$L$7:$L$506,MATCH(ROW()-5,'Formulación PDN 2027'!$AK$7:$AK$506,0))&amp;"","")</f>
        <v/>
      </c>
      <c r="E186" s="15" t="str">
        <f>IFERROR(MATCH(INDEX('Formulación PDN 2027'!$O$7:$O$506,MATCH(ROW()-5,'Formulación PDN 2027'!$AK$7:$AK$506,0)),L_MESES,0),"")</f>
        <v/>
      </c>
      <c r="F186" s="15" t="str">
        <f>IFERROR(MATCH(INDEX('Formulación PDN 2027'!$P$7:$P$506,MATCH(ROW()-5,'Formulación PDN 2027'!$AK$7:$AK$506,0)),L_MESES,0),"")</f>
        <v/>
      </c>
      <c r="G186" s="15" t="str">
        <f>IFERROR(INDEX('Formulación PDN 2027'!$Q$7:$Q$506,MATCH(ROW()-5,'Formulación PDN 2027'!$AK$7:$AK$506,0)),"")</f>
        <v/>
      </c>
      <c r="H186" s="15" t="str">
        <f>IFERROR(INDEX('Formulación PDN 2027'!$R$7:$R$506,MATCH(ROW()-5,'Formulación PDN 2027'!$AK$7:$AK$506,0))&amp;"","")</f>
        <v/>
      </c>
      <c r="I186" s="15" t="str">
        <f>IFERROR(INDEX('Formulación PDN 2027'!$S$7:$S$506,MATCH(ROW()-5,'Formulación PDN 2027'!$AK$7:$AK$506,0))&amp;"","")</f>
        <v/>
      </c>
      <c r="J186" s="15" t="str">
        <f>IFERROR(INDEX('Formulación PDN 2027'!$T$7:$T$506,MATCH(ROW()-5,'Formulación PDN 2027'!$AK$7:$AK$506,0))&amp;"","")</f>
        <v/>
      </c>
      <c r="K186" s="43" t="str">
        <f>IFERROR(INDEX('Formulación PDN 2027'!$W$7:$W$506,MATCH(ROW()-5,'Formulación PDN 2027'!$AK$7:$AK$506,0)),"")</f>
        <v/>
      </c>
      <c r="L186" s="43" t="str">
        <f>IFERROR(INDEX('Formulación PDN 2027'!$X$7:$X$506,MATCH(ROW()-5,'Formulación PDN 2027'!$AK$7:$AK$506,0)),"")</f>
        <v/>
      </c>
      <c r="M186" s="15" t="str">
        <f>IFERROR(INDEX('Formulación PDN 2027'!$Y$7:$Y$506,MATCH(ROW()-5,'Formulación PDN 2027'!$AK$7:$AK$506,0))&amp;"","")</f>
        <v/>
      </c>
      <c r="N186" s="15" t="str">
        <f>IFERROR(INDEX('Formulación PDN 2027'!$Z$7:$Z$506,MATCH(ROW()-5,'Formulación PDN 2027'!$AK$7:$AK$506,0))&amp;"","")</f>
        <v/>
      </c>
      <c r="O186" s="15"/>
      <c r="P186" s="15" t="str">
        <f>IFERROR(INDEX('Formulación PDN 2027'!$AA$7:$AA$506,MATCH(ROW()-5,'Formulación PDN 2027'!$AK$7:$AK$506,0))&amp;"","")</f>
        <v/>
      </c>
      <c r="Q186" s="15" t="str">
        <f>IFERROR(INDEX('Formulación PDN 2027'!$AB$7:$AB$506,MATCH(ROW()-5,'Formulación PDN 2027'!$AK$7:$AK$506,0))&amp;"","")</f>
        <v/>
      </c>
      <c r="R186" s="15" t="str">
        <f>IFERROR(INDEX('Formulación PDN 2027'!$AD$7:$AD$506,MATCH(ROW()-5,'Formulación PDN 2027'!$AK$7:$AK$506,0))&amp;"","")</f>
        <v/>
      </c>
      <c r="S186" s="15" t="str">
        <f>IFERROR(INDEX('Formulación PDN 2027'!$AE$7:$AE$506,MATCH(ROW()-5,'Formulación PDN 2027'!$AK$7:$AK$506,0))&amp;"","")</f>
        <v/>
      </c>
      <c r="T186" s="15" t="str">
        <f>IFERROR(INDEX('Formulación PDN 2027'!$C$7:$C$506,MATCH(ROW()-5,'Formulación PDN 2027'!$AK$7:$AK$506,0))&amp;"","")</f>
        <v/>
      </c>
      <c r="U186" s="15" t="str">
        <f>IFERROR(INDEX('Formulación PDN 2027'!$B$7:$B$506,MATCH(ROW()-5,'Formulación PDN 2027'!$AK$7:$AK$506,0))&amp;"","")</f>
        <v/>
      </c>
      <c r="V186" s="15" t="str">
        <f>IFERROR(LEFT(INDEX('Formulación PDN 2027'!$E$7:$E$506,MATCH(ROW()-5,'Formulación PDN 2027'!$AK$7:$AK$506,0)),7),"")</f>
        <v/>
      </c>
      <c r="W186" s="15" t="str">
        <f>IFERROR(INDEX('Formulación PDN 2027'!$H$7:$H$506,MATCH(ROW()-5,'Formulación PDN 2027'!$AK$7:$AK$506,0))&amp;"","")</f>
        <v/>
      </c>
      <c r="X186" s="15" t="str">
        <f>IFERROR(INDEX('Formulación PDN 2027'!$U$7:$U$506,MATCH(ROW()-5,'Formulación PDN 2027'!$AK$7:$AK$506,0))&amp;"","")</f>
        <v/>
      </c>
      <c r="Y186" s="15" t="str">
        <f>IFERROR(INDEX('Formulación PDN 2027'!$AH$7:$AH$506,MATCH(ROW()-5,'Formulación PDN 2027'!$AK$7:$AK$506,0))&amp;"","")</f>
        <v/>
      </c>
    </row>
    <row r="187" spans="1:25" x14ac:dyDescent="0.3">
      <c r="A187" s="15" t="str">
        <f>IFERROR(INDEX('Formulación PDN 2027'!$A$7:$A$506,MATCH(ROW()-5,'Formulación PDN 2027'!$AK$7:$AK$506,0))&amp;"","")</f>
        <v/>
      </c>
      <c r="B187" s="20" t="str">
        <f>IFERROR(INDEX('Formulación PDN 2027'!$M$7:$M$506,MATCH(ROW()-5,'Formulación PDN 2027'!$AK$7:$AK$506,0)),"")</f>
        <v/>
      </c>
      <c r="C187" s="15" t="str">
        <f>IFERROR(INDEX('Formulación PDN 2027'!$N$7:$N$506,MATCH(ROW()-5,'Formulación PDN 2027'!$AK$7:$AK$506,0))&amp;"","")</f>
        <v/>
      </c>
      <c r="D187" s="15" t="str">
        <f>IFERROR(INDEX('Formulación PDN 2027'!$L$7:$L$506,MATCH(ROW()-5,'Formulación PDN 2027'!$AK$7:$AK$506,0))&amp;"","")</f>
        <v/>
      </c>
      <c r="E187" s="15" t="str">
        <f>IFERROR(MATCH(INDEX('Formulación PDN 2027'!$O$7:$O$506,MATCH(ROW()-5,'Formulación PDN 2027'!$AK$7:$AK$506,0)),L_MESES,0),"")</f>
        <v/>
      </c>
      <c r="F187" s="15" t="str">
        <f>IFERROR(MATCH(INDEX('Formulación PDN 2027'!$P$7:$P$506,MATCH(ROW()-5,'Formulación PDN 2027'!$AK$7:$AK$506,0)),L_MESES,0),"")</f>
        <v/>
      </c>
      <c r="G187" s="15" t="str">
        <f>IFERROR(INDEX('Formulación PDN 2027'!$Q$7:$Q$506,MATCH(ROW()-5,'Formulación PDN 2027'!$AK$7:$AK$506,0)),"")</f>
        <v/>
      </c>
      <c r="H187" s="15" t="str">
        <f>IFERROR(INDEX('Formulación PDN 2027'!$R$7:$R$506,MATCH(ROW()-5,'Formulación PDN 2027'!$AK$7:$AK$506,0))&amp;"","")</f>
        <v/>
      </c>
      <c r="I187" s="15" t="str">
        <f>IFERROR(INDEX('Formulación PDN 2027'!$S$7:$S$506,MATCH(ROW()-5,'Formulación PDN 2027'!$AK$7:$AK$506,0))&amp;"","")</f>
        <v/>
      </c>
      <c r="J187" s="15" t="str">
        <f>IFERROR(INDEX('Formulación PDN 2027'!$T$7:$T$506,MATCH(ROW()-5,'Formulación PDN 2027'!$AK$7:$AK$506,0))&amp;"","")</f>
        <v/>
      </c>
      <c r="K187" s="43" t="str">
        <f>IFERROR(INDEX('Formulación PDN 2027'!$W$7:$W$506,MATCH(ROW()-5,'Formulación PDN 2027'!$AK$7:$AK$506,0)),"")</f>
        <v/>
      </c>
      <c r="L187" s="43" t="str">
        <f>IFERROR(INDEX('Formulación PDN 2027'!$X$7:$X$506,MATCH(ROW()-5,'Formulación PDN 2027'!$AK$7:$AK$506,0)),"")</f>
        <v/>
      </c>
      <c r="M187" s="15" t="str">
        <f>IFERROR(INDEX('Formulación PDN 2027'!$Y$7:$Y$506,MATCH(ROW()-5,'Formulación PDN 2027'!$AK$7:$AK$506,0))&amp;"","")</f>
        <v/>
      </c>
      <c r="N187" s="15" t="str">
        <f>IFERROR(INDEX('Formulación PDN 2027'!$Z$7:$Z$506,MATCH(ROW()-5,'Formulación PDN 2027'!$AK$7:$AK$506,0))&amp;"","")</f>
        <v/>
      </c>
      <c r="O187" s="15"/>
      <c r="P187" s="15" t="str">
        <f>IFERROR(INDEX('Formulación PDN 2027'!$AA$7:$AA$506,MATCH(ROW()-5,'Formulación PDN 2027'!$AK$7:$AK$506,0))&amp;"","")</f>
        <v/>
      </c>
      <c r="Q187" s="15" t="str">
        <f>IFERROR(INDEX('Formulación PDN 2027'!$AB$7:$AB$506,MATCH(ROW()-5,'Formulación PDN 2027'!$AK$7:$AK$506,0))&amp;"","")</f>
        <v/>
      </c>
      <c r="R187" s="15" t="str">
        <f>IFERROR(INDEX('Formulación PDN 2027'!$AD$7:$AD$506,MATCH(ROW()-5,'Formulación PDN 2027'!$AK$7:$AK$506,0))&amp;"","")</f>
        <v/>
      </c>
      <c r="S187" s="15" t="str">
        <f>IFERROR(INDEX('Formulación PDN 2027'!$AE$7:$AE$506,MATCH(ROW()-5,'Formulación PDN 2027'!$AK$7:$AK$506,0))&amp;"","")</f>
        <v/>
      </c>
      <c r="T187" s="15" t="str">
        <f>IFERROR(INDEX('Formulación PDN 2027'!$C$7:$C$506,MATCH(ROW()-5,'Formulación PDN 2027'!$AK$7:$AK$506,0))&amp;"","")</f>
        <v/>
      </c>
      <c r="U187" s="15" t="str">
        <f>IFERROR(INDEX('Formulación PDN 2027'!$B$7:$B$506,MATCH(ROW()-5,'Formulación PDN 2027'!$AK$7:$AK$506,0))&amp;"","")</f>
        <v/>
      </c>
      <c r="V187" s="15" t="str">
        <f>IFERROR(LEFT(INDEX('Formulación PDN 2027'!$E$7:$E$506,MATCH(ROW()-5,'Formulación PDN 2027'!$AK$7:$AK$506,0)),7),"")</f>
        <v/>
      </c>
      <c r="W187" s="15" t="str">
        <f>IFERROR(INDEX('Formulación PDN 2027'!$H$7:$H$506,MATCH(ROW()-5,'Formulación PDN 2027'!$AK$7:$AK$506,0))&amp;"","")</f>
        <v/>
      </c>
      <c r="X187" s="15" t="str">
        <f>IFERROR(INDEX('Formulación PDN 2027'!$U$7:$U$506,MATCH(ROW()-5,'Formulación PDN 2027'!$AK$7:$AK$506,0))&amp;"","")</f>
        <v/>
      </c>
      <c r="Y187" s="15" t="str">
        <f>IFERROR(INDEX('Formulación PDN 2027'!$AH$7:$AH$506,MATCH(ROW()-5,'Formulación PDN 2027'!$AK$7:$AK$506,0))&amp;"","")</f>
        <v/>
      </c>
    </row>
    <row r="188" spans="1:25" x14ac:dyDescent="0.3">
      <c r="A188" s="15" t="str">
        <f>IFERROR(INDEX('Formulación PDN 2027'!$A$7:$A$506,MATCH(ROW()-5,'Formulación PDN 2027'!$AK$7:$AK$506,0))&amp;"","")</f>
        <v/>
      </c>
      <c r="B188" s="20" t="str">
        <f>IFERROR(INDEX('Formulación PDN 2027'!$M$7:$M$506,MATCH(ROW()-5,'Formulación PDN 2027'!$AK$7:$AK$506,0)),"")</f>
        <v/>
      </c>
      <c r="C188" s="15" t="str">
        <f>IFERROR(INDEX('Formulación PDN 2027'!$N$7:$N$506,MATCH(ROW()-5,'Formulación PDN 2027'!$AK$7:$AK$506,0))&amp;"","")</f>
        <v/>
      </c>
      <c r="D188" s="15" t="str">
        <f>IFERROR(INDEX('Formulación PDN 2027'!$L$7:$L$506,MATCH(ROW()-5,'Formulación PDN 2027'!$AK$7:$AK$506,0))&amp;"","")</f>
        <v/>
      </c>
      <c r="E188" s="15" t="str">
        <f>IFERROR(MATCH(INDEX('Formulación PDN 2027'!$O$7:$O$506,MATCH(ROW()-5,'Formulación PDN 2027'!$AK$7:$AK$506,0)),L_MESES,0),"")</f>
        <v/>
      </c>
      <c r="F188" s="15" t="str">
        <f>IFERROR(MATCH(INDEX('Formulación PDN 2027'!$P$7:$P$506,MATCH(ROW()-5,'Formulación PDN 2027'!$AK$7:$AK$506,0)),L_MESES,0),"")</f>
        <v/>
      </c>
      <c r="G188" s="15" t="str">
        <f>IFERROR(INDEX('Formulación PDN 2027'!$Q$7:$Q$506,MATCH(ROW()-5,'Formulación PDN 2027'!$AK$7:$AK$506,0)),"")</f>
        <v/>
      </c>
      <c r="H188" s="15" t="str">
        <f>IFERROR(INDEX('Formulación PDN 2027'!$R$7:$R$506,MATCH(ROW()-5,'Formulación PDN 2027'!$AK$7:$AK$506,0))&amp;"","")</f>
        <v/>
      </c>
      <c r="I188" s="15" t="str">
        <f>IFERROR(INDEX('Formulación PDN 2027'!$S$7:$S$506,MATCH(ROW()-5,'Formulación PDN 2027'!$AK$7:$AK$506,0))&amp;"","")</f>
        <v/>
      </c>
      <c r="J188" s="15" t="str">
        <f>IFERROR(INDEX('Formulación PDN 2027'!$T$7:$T$506,MATCH(ROW()-5,'Formulación PDN 2027'!$AK$7:$AK$506,0))&amp;"","")</f>
        <v/>
      </c>
      <c r="K188" s="43" t="str">
        <f>IFERROR(INDEX('Formulación PDN 2027'!$W$7:$W$506,MATCH(ROW()-5,'Formulación PDN 2027'!$AK$7:$AK$506,0)),"")</f>
        <v/>
      </c>
      <c r="L188" s="43" t="str">
        <f>IFERROR(INDEX('Formulación PDN 2027'!$X$7:$X$506,MATCH(ROW()-5,'Formulación PDN 2027'!$AK$7:$AK$506,0)),"")</f>
        <v/>
      </c>
      <c r="M188" s="15" t="str">
        <f>IFERROR(INDEX('Formulación PDN 2027'!$Y$7:$Y$506,MATCH(ROW()-5,'Formulación PDN 2027'!$AK$7:$AK$506,0))&amp;"","")</f>
        <v/>
      </c>
      <c r="N188" s="15" t="str">
        <f>IFERROR(INDEX('Formulación PDN 2027'!$Z$7:$Z$506,MATCH(ROW()-5,'Formulación PDN 2027'!$AK$7:$AK$506,0))&amp;"","")</f>
        <v/>
      </c>
      <c r="O188" s="15"/>
      <c r="P188" s="15" t="str">
        <f>IFERROR(INDEX('Formulación PDN 2027'!$AA$7:$AA$506,MATCH(ROW()-5,'Formulación PDN 2027'!$AK$7:$AK$506,0))&amp;"","")</f>
        <v/>
      </c>
      <c r="Q188" s="15" t="str">
        <f>IFERROR(INDEX('Formulación PDN 2027'!$AB$7:$AB$506,MATCH(ROW()-5,'Formulación PDN 2027'!$AK$7:$AK$506,0))&amp;"","")</f>
        <v/>
      </c>
      <c r="R188" s="15" t="str">
        <f>IFERROR(INDEX('Formulación PDN 2027'!$AD$7:$AD$506,MATCH(ROW()-5,'Formulación PDN 2027'!$AK$7:$AK$506,0))&amp;"","")</f>
        <v/>
      </c>
      <c r="S188" s="15" t="str">
        <f>IFERROR(INDEX('Formulación PDN 2027'!$AE$7:$AE$506,MATCH(ROW()-5,'Formulación PDN 2027'!$AK$7:$AK$506,0))&amp;"","")</f>
        <v/>
      </c>
      <c r="T188" s="15" t="str">
        <f>IFERROR(INDEX('Formulación PDN 2027'!$C$7:$C$506,MATCH(ROW()-5,'Formulación PDN 2027'!$AK$7:$AK$506,0))&amp;"","")</f>
        <v/>
      </c>
      <c r="U188" s="15" t="str">
        <f>IFERROR(INDEX('Formulación PDN 2027'!$B$7:$B$506,MATCH(ROW()-5,'Formulación PDN 2027'!$AK$7:$AK$506,0))&amp;"","")</f>
        <v/>
      </c>
      <c r="V188" s="15" t="str">
        <f>IFERROR(LEFT(INDEX('Formulación PDN 2027'!$E$7:$E$506,MATCH(ROW()-5,'Formulación PDN 2027'!$AK$7:$AK$506,0)),7),"")</f>
        <v/>
      </c>
      <c r="W188" s="15" t="str">
        <f>IFERROR(INDEX('Formulación PDN 2027'!$H$7:$H$506,MATCH(ROW()-5,'Formulación PDN 2027'!$AK$7:$AK$506,0))&amp;"","")</f>
        <v/>
      </c>
      <c r="X188" s="15" t="str">
        <f>IFERROR(INDEX('Formulación PDN 2027'!$U$7:$U$506,MATCH(ROW()-5,'Formulación PDN 2027'!$AK$7:$AK$506,0))&amp;"","")</f>
        <v/>
      </c>
      <c r="Y188" s="15" t="str">
        <f>IFERROR(INDEX('Formulación PDN 2027'!$AH$7:$AH$506,MATCH(ROW()-5,'Formulación PDN 2027'!$AK$7:$AK$506,0))&amp;"","")</f>
        <v/>
      </c>
    </row>
    <row r="189" spans="1:25" x14ac:dyDescent="0.3">
      <c r="A189" s="15" t="str">
        <f>IFERROR(INDEX('Formulación PDN 2027'!$A$7:$A$506,MATCH(ROW()-5,'Formulación PDN 2027'!$AK$7:$AK$506,0))&amp;"","")</f>
        <v/>
      </c>
      <c r="B189" s="20" t="str">
        <f>IFERROR(INDEX('Formulación PDN 2027'!$M$7:$M$506,MATCH(ROW()-5,'Formulación PDN 2027'!$AK$7:$AK$506,0)),"")</f>
        <v/>
      </c>
      <c r="C189" s="15" t="str">
        <f>IFERROR(INDEX('Formulación PDN 2027'!$N$7:$N$506,MATCH(ROW()-5,'Formulación PDN 2027'!$AK$7:$AK$506,0))&amp;"","")</f>
        <v/>
      </c>
      <c r="D189" s="15" t="str">
        <f>IFERROR(INDEX('Formulación PDN 2027'!$L$7:$L$506,MATCH(ROW()-5,'Formulación PDN 2027'!$AK$7:$AK$506,0))&amp;"","")</f>
        <v/>
      </c>
      <c r="E189" s="15" t="str">
        <f>IFERROR(MATCH(INDEX('Formulación PDN 2027'!$O$7:$O$506,MATCH(ROW()-5,'Formulación PDN 2027'!$AK$7:$AK$506,0)),L_MESES,0),"")</f>
        <v/>
      </c>
      <c r="F189" s="15" t="str">
        <f>IFERROR(MATCH(INDEX('Formulación PDN 2027'!$P$7:$P$506,MATCH(ROW()-5,'Formulación PDN 2027'!$AK$7:$AK$506,0)),L_MESES,0),"")</f>
        <v/>
      </c>
      <c r="G189" s="15" t="str">
        <f>IFERROR(INDEX('Formulación PDN 2027'!$Q$7:$Q$506,MATCH(ROW()-5,'Formulación PDN 2027'!$AK$7:$AK$506,0)),"")</f>
        <v/>
      </c>
      <c r="H189" s="15" t="str">
        <f>IFERROR(INDEX('Formulación PDN 2027'!$R$7:$R$506,MATCH(ROW()-5,'Formulación PDN 2027'!$AK$7:$AK$506,0))&amp;"","")</f>
        <v/>
      </c>
      <c r="I189" s="15" t="str">
        <f>IFERROR(INDEX('Formulación PDN 2027'!$S$7:$S$506,MATCH(ROW()-5,'Formulación PDN 2027'!$AK$7:$AK$506,0))&amp;"","")</f>
        <v/>
      </c>
      <c r="J189" s="15" t="str">
        <f>IFERROR(INDEX('Formulación PDN 2027'!$T$7:$T$506,MATCH(ROW()-5,'Formulación PDN 2027'!$AK$7:$AK$506,0))&amp;"","")</f>
        <v/>
      </c>
      <c r="K189" s="43" t="str">
        <f>IFERROR(INDEX('Formulación PDN 2027'!$W$7:$W$506,MATCH(ROW()-5,'Formulación PDN 2027'!$AK$7:$AK$506,0)),"")</f>
        <v/>
      </c>
      <c r="L189" s="43" t="str">
        <f>IFERROR(INDEX('Formulación PDN 2027'!$X$7:$X$506,MATCH(ROW()-5,'Formulación PDN 2027'!$AK$7:$AK$506,0)),"")</f>
        <v/>
      </c>
      <c r="M189" s="15" t="str">
        <f>IFERROR(INDEX('Formulación PDN 2027'!$Y$7:$Y$506,MATCH(ROW()-5,'Formulación PDN 2027'!$AK$7:$AK$506,0))&amp;"","")</f>
        <v/>
      </c>
      <c r="N189" s="15" t="str">
        <f>IFERROR(INDEX('Formulación PDN 2027'!$Z$7:$Z$506,MATCH(ROW()-5,'Formulación PDN 2027'!$AK$7:$AK$506,0))&amp;"","")</f>
        <v/>
      </c>
      <c r="O189" s="15"/>
      <c r="P189" s="15" t="str">
        <f>IFERROR(INDEX('Formulación PDN 2027'!$AA$7:$AA$506,MATCH(ROW()-5,'Formulación PDN 2027'!$AK$7:$AK$506,0))&amp;"","")</f>
        <v/>
      </c>
      <c r="Q189" s="15" t="str">
        <f>IFERROR(INDEX('Formulación PDN 2027'!$AB$7:$AB$506,MATCH(ROW()-5,'Formulación PDN 2027'!$AK$7:$AK$506,0))&amp;"","")</f>
        <v/>
      </c>
      <c r="R189" s="15" t="str">
        <f>IFERROR(INDEX('Formulación PDN 2027'!$AD$7:$AD$506,MATCH(ROW()-5,'Formulación PDN 2027'!$AK$7:$AK$506,0))&amp;"","")</f>
        <v/>
      </c>
      <c r="S189" s="15" t="str">
        <f>IFERROR(INDEX('Formulación PDN 2027'!$AE$7:$AE$506,MATCH(ROW()-5,'Formulación PDN 2027'!$AK$7:$AK$506,0))&amp;"","")</f>
        <v/>
      </c>
      <c r="T189" s="15" t="str">
        <f>IFERROR(INDEX('Formulación PDN 2027'!$C$7:$C$506,MATCH(ROW()-5,'Formulación PDN 2027'!$AK$7:$AK$506,0))&amp;"","")</f>
        <v/>
      </c>
      <c r="U189" s="15" t="str">
        <f>IFERROR(INDEX('Formulación PDN 2027'!$B$7:$B$506,MATCH(ROW()-5,'Formulación PDN 2027'!$AK$7:$AK$506,0))&amp;"","")</f>
        <v/>
      </c>
      <c r="V189" s="15" t="str">
        <f>IFERROR(LEFT(INDEX('Formulación PDN 2027'!$E$7:$E$506,MATCH(ROW()-5,'Formulación PDN 2027'!$AK$7:$AK$506,0)),7),"")</f>
        <v/>
      </c>
      <c r="W189" s="15" t="str">
        <f>IFERROR(INDEX('Formulación PDN 2027'!$H$7:$H$506,MATCH(ROW()-5,'Formulación PDN 2027'!$AK$7:$AK$506,0))&amp;"","")</f>
        <v/>
      </c>
      <c r="X189" s="15" t="str">
        <f>IFERROR(INDEX('Formulación PDN 2027'!$U$7:$U$506,MATCH(ROW()-5,'Formulación PDN 2027'!$AK$7:$AK$506,0))&amp;"","")</f>
        <v/>
      </c>
      <c r="Y189" s="15" t="str">
        <f>IFERROR(INDEX('Formulación PDN 2027'!$AH$7:$AH$506,MATCH(ROW()-5,'Formulación PDN 2027'!$AK$7:$AK$506,0))&amp;"","")</f>
        <v/>
      </c>
    </row>
    <row r="190" spans="1:25" x14ac:dyDescent="0.3">
      <c r="A190" s="15" t="str">
        <f>IFERROR(INDEX('Formulación PDN 2027'!$A$7:$A$506,MATCH(ROW()-5,'Formulación PDN 2027'!$AK$7:$AK$506,0))&amp;"","")</f>
        <v/>
      </c>
      <c r="B190" s="20" t="str">
        <f>IFERROR(INDEX('Formulación PDN 2027'!$M$7:$M$506,MATCH(ROW()-5,'Formulación PDN 2027'!$AK$7:$AK$506,0)),"")</f>
        <v/>
      </c>
      <c r="C190" s="15" t="str">
        <f>IFERROR(INDEX('Formulación PDN 2027'!$N$7:$N$506,MATCH(ROW()-5,'Formulación PDN 2027'!$AK$7:$AK$506,0))&amp;"","")</f>
        <v/>
      </c>
      <c r="D190" s="15" t="str">
        <f>IFERROR(INDEX('Formulación PDN 2027'!$L$7:$L$506,MATCH(ROW()-5,'Formulación PDN 2027'!$AK$7:$AK$506,0))&amp;"","")</f>
        <v/>
      </c>
      <c r="E190" s="15" t="str">
        <f>IFERROR(MATCH(INDEX('Formulación PDN 2027'!$O$7:$O$506,MATCH(ROW()-5,'Formulación PDN 2027'!$AK$7:$AK$506,0)),L_MESES,0),"")</f>
        <v/>
      </c>
      <c r="F190" s="15" t="str">
        <f>IFERROR(MATCH(INDEX('Formulación PDN 2027'!$P$7:$P$506,MATCH(ROW()-5,'Formulación PDN 2027'!$AK$7:$AK$506,0)),L_MESES,0),"")</f>
        <v/>
      </c>
      <c r="G190" s="15" t="str">
        <f>IFERROR(INDEX('Formulación PDN 2027'!$Q$7:$Q$506,MATCH(ROW()-5,'Formulación PDN 2027'!$AK$7:$AK$506,0)),"")</f>
        <v/>
      </c>
      <c r="H190" s="15" t="str">
        <f>IFERROR(INDEX('Formulación PDN 2027'!$R$7:$R$506,MATCH(ROW()-5,'Formulación PDN 2027'!$AK$7:$AK$506,0))&amp;"","")</f>
        <v/>
      </c>
      <c r="I190" s="15" t="str">
        <f>IFERROR(INDEX('Formulación PDN 2027'!$S$7:$S$506,MATCH(ROW()-5,'Formulación PDN 2027'!$AK$7:$AK$506,0))&amp;"","")</f>
        <v/>
      </c>
      <c r="J190" s="15" t="str">
        <f>IFERROR(INDEX('Formulación PDN 2027'!$T$7:$T$506,MATCH(ROW()-5,'Formulación PDN 2027'!$AK$7:$AK$506,0))&amp;"","")</f>
        <v/>
      </c>
      <c r="K190" s="43" t="str">
        <f>IFERROR(INDEX('Formulación PDN 2027'!$W$7:$W$506,MATCH(ROW()-5,'Formulación PDN 2027'!$AK$7:$AK$506,0)),"")</f>
        <v/>
      </c>
      <c r="L190" s="43" t="str">
        <f>IFERROR(INDEX('Formulación PDN 2027'!$X$7:$X$506,MATCH(ROW()-5,'Formulación PDN 2027'!$AK$7:$AK$506,0)),"")</f>
        <v/>
      </c>
      <c r="M190" s="15" t="str">
        <f>IFERROR(INDEX('Formulación PDN 2027'!$Y$7:$Y$506,MATCH(ROW()-5,'Formulación PDN 2027'!$AK$7:$AK$506,0))&amp;"","")</f>
        <v/>
      </c>
      <c r="N190" s="15" t="str">
        <f>IFERROR(INDEX('Formulación PDN 2027'!$Z$7:$Z$506,MATCH(ROW()-5,'Formulación PDN 2027'!$AK$7:$AK$506,0))&amp;"","")</f>
        <v/>
      </c>
      <c r="O190" s="15"/>
      <c r="P190" s="15" t="str">
        <f>IFERROR(INDEX('Formulación PDN 2027'!$AA$7:$AA$506,MATCH(ROW()-5,'Formulación PDN 2027'!$AK$7:$AK$506,0))&amp;"","")</f>
        <v/>
      </c>
      <c r="Q190" s="15" t="str">
        <f>IFERROR(INDEX('Formulación PDN 2027'!$AB$7:$AB$506,MATCH(ROW()-5,'Formulación PDN 2027'!$AK$7:$AK$506,0))&amp;"","")</f>
        <v/>
      </c>
      <c r="R190" s="15" t="str">
        <f>IFERROR(INDEX('Formulación PDN 2027'!$AD$7:$AD$506,MATCH(ROW()-5,'Formulación PDN 2027'!$AK$7:$AK$506,0))&amp;"","")</f>
        <v/>
      </c>
      <c r="S190" s="15" t="str">
        <f>IFERROR(INDEX('Formulación PDN 2027'!$AE$7:$AE$506,MATCH(ROW()-5,'Formulación PDN 2027'!$AK$7:$AK$506,0))&amp;"","")</f>
        <v/>
      </c>
      <c r="T190" s="15" t="str">
        <f>IFERROR(INDEX('Formulación PDN 2027'!$C$7:$C$506,MATCH(ROW()-5,'Formulación PDN 2027'!$AK$7:$AK$506,0))&amp;"","")</f>
        <v/>
      </c>
      <c r="U190" s="15" t="str">
        <f>IFERROR(INDEX('Formulación PDN 2027'!$B$7:$B$506,MATCH(ROW()-5,'Formulación PDN 2027'!$AK$7:$AK$506,0))&amp;"","")</f>
        <v/>
      </c>
      <c r="V190" s="15" t="str">
        <f>IFERROR(LEFT(INDEX('Formulación PDN 2027'!$E$7:$E$506,MATCH(ROW()-5,'Formulación PDN 2027'!$AK$7:$AK$506,0)),7),"")</f>
        <v/>
      </c>
      <c r="W190" s="15" t="str">
        <f>IFERROR(INDEX('Formulación PDN 2027'!$H$7:$H$506,MATCH(ROW()-5,'Formulación PDN 2027'!$AK$7:$AK$506,0))&amp;"","")</f>
        <v/>
      </c>
      <c r="X190" s="15" t="str">
        <f>IFERROR(INDEX('Formulación PDN 2027'!$U$7:$U$506,MATCH(ROW()-5,'Formulación PDN 2027'!$AK$7:$AK$506,0))&amp;"","")</f>
        <v/>
      </c>
      <c r="Y190" s="15" t="str">
        <f>IFERROR(INDEX('Formulación PDN 2027'!$AH$7:$AH$506,MATCH(ROW()-5,'Formulación PDN 2027'!$AK$7:$AK$506,0))&amp;"","")</f>
        <v/>
      </c>
    </row>
    <row r="191" spans="1:25" x14ac:dyDescent="0.3">
      <c r="A191" s="15" t="str">
        <f>IFERROR(INDEX('Formulación PDN 2027'!$A$7:$A$506,MATCH(ROW()-5,'Formulación PDN 2027'!$AK$7:$AK$506,0))&amp;"","")</f>
        <v/>
      </c>
      <c r="B191" s="20" t="str">
        <f>IFERROR(INDEX('Formulación PDN 2027'!$M$7:$M$506,MATCH(ROW()-5,'Formulación PDN 2027'!$AK$7:$AK$506,0)),"")</f>
        <v/>
      </c>
      <c r="C191" s="15" t="str">
        <f>IFERROR(INDEX('Formulación PDN 2027'!$N$7:$N$506,MATCH(ROW()-5,'Formulación PDN 2027'!$AK$7:$AK$506,0))&amp;"","")</f>
        <v/>
      </c>
      <c r="D191" s="15" t="str">
        <f>IFERROR(INDEX('Formulación PDN 2027'!$L$7:$L$506,MATCH(ROW()-5,'Formulación PDN 2027'!$AK$7:$AK$506,0))&amp;"","")</f>
        <v/>
      </c>
      <c r="E191" s="15" t="str">
        <f>IFERROR(MATCH(INDEX('Formulación PDN 2027'!$O$7:$O$506,MATCH(ROW()-5,'Formulación PDN 2027'!$AK$7:$AK$506,0)),L_MESES,0),"")</f>
        <v/>
      </c>
      <c r="F191" s="15" t="str">
        <f>IFERROR(MATCH(INDEX('Formulación PDN 2027'!$P$7:$P$506,MATCH(ROW()-5,'Formulación PDN 2027'!$AK$7:$AK$506,0)),L_MESES,0),"")</f>
        <v/>
      </c>
      <c r="G191" s="15" t="str">
        <f>IFERROR(INDEX('Formulación PDN 2027'!$Q$7:$Q$506,MATCH(ROW()-5,'Formulación PDN 2027'!$AK$7:$AK$506,0)),"")</f>
        <v/>
      </c>
      <c r="H191" s="15" t="str">
        <f>IFERROR(INDEX('Formulación PDN 2027'!$R$7:$R$506,MATCH(ROW()-5,'Formulación PDN 2027'!$AK$7:$AK$506,0))&amp;"","")</f>
        <v/>
      </c>
      <c r="I191" s="15" t="str">
        <f>IFERROR(INDEX('Formulación PDN 2027'!$S$7:$S$506,MATCH(ROW()-5,'Formulación PDN 2027'!$AK$7:$AK$506,0))&amp;"","")</f>
        <v/>
      </c>
      <c r="J191" s="15" t="str">
        <f>IFERROR(INDEX('Formulación PDN 2027'!$T$7:$T$506,MATCH(ROW()-5,'Formulación PDN 2027'!$AK$7:$AK$506,0))&amp;"","")</f>
        <v/>
      </c>
      <c r="K191" s="43" t="str">
        <f>IFERROR(INDEX('Formulación PDN 2027'!$W$7:$W$506,MATCH(ROW()-5,'Formulación PDN 2027'!$AK$7:$AK$506,0)),"")</f>
        <v/>
      </c>
      <c r="L191" s="43" t="str">
        <f>IFERROR(INDEX('Formulación PDN 2027'!$X$7:$X$506,MATCH(ROW()-5,'Formulación PDN 2027'!$AK$7:$AK$506,0)),"")</f>
        <v/>
      </c>
      <c r="M191" s="15" t="str">
        <f>IFERROR(INDEX('Formulación PDN 2027'!$Y$7:$Y$506,MATCH(ROW()-5,'Formulación PDN 2027'!$AK$7:$AK$506,0))&amp;"","")</f>
        <v/>
      </c>
      <c r="N191" s="15" t="str">
        <f>IFERROR(INDEX('Formulación PDN 2027'!$Z$7:$Z$506,MATCH(ROW()-5,'Formulación PDN 2027'!$AK$7:$AK$506,0))&amp;"","")</f>
        <v/>
      </c>
      <c r="O191" s="15"/>
      <c r="P191" s="15" t="str">
        <f>IFERROR(INDEX('Formulación PDN 2027'!$AA$7:$AA$506,MATCH(ROW()-5,'Formulación PDN 2027'!$AK$7:$AK$506,0))&amp;"","")</f>
        <v/>
      </c>
      <c r="Q191" s="15" t="str">
        <f>IFERROR(INDEX('Formulación PDN 2027'!$AB$7:$AB$506,MATCH(ROW()-5,'Formulación PDN 2027'!$AK$7:$AK$506,0))&amp;"","")</f>
        <v/>
      </c>
      <c r="R191" s="15" t="str">
        <f>IFERROR(INDEX('Formulación PDN 2027'!$AD$7:$AD$506,MATCH(ROW()-5,'Formulación PDN 2027'!$AK$7:$AK$506,0))&amp;"","")</f>
        <v/>
      </c>
      <c r="S191" s="15" t="str">
        <f>IFERROR(INDEX('Formulación PDN 2027'!$AE$7:$AE$506,MATCH(ROW()-5,'Formulación PDN 2027'!$AK$7:$AK$506,0))&amp;"","")</f>
        <v/>
      </c>
      <c r="T191" s="15" t="str">
        <f>IFERROR(INDEX('Formulación PDN 2027'!$C$7:$C$506,MATCH(ROW()-5,'Formulación PDN 2027'!$AK$7:$AK$506,0))&amp;"","")</f>
        <v/>
      </c>
      <c r="U191" s="15" t="str">
        <f>IFERROR(INDEX('Formulación PDN 2027'!$B$7:$B$506,MATCH(ROW()-5,'Formulación PDN 2027'!$AK$7:$AK$506,0))&amp;"","")</f>
        <v/>
      </c>
      <c r="V191" s="15" t="str">
        <f>IFERROR(LEFT(INDEX('Formulación PDN 2027'!$E$7:$E$506,MATCH(ROW()-5,'Formulación PDN 2027'!$AK$7:$AK$506,0)),7),"")</f>
        <v/>
      </c>
      <c r="W191" s="15" t="str">
        <f>IFERROR(INDEX('Formulación PDN 2027'!$H$7:$H$506,MATCH(ROW()-5,'Formulación PDN 2027'!$AK$7:$AK$506,0))&amp;"","")</f>
        <v/>
      </c>
      <c r="X191" s="15" t="str">
        <f>IFERROR(INDEX('Formulación PDN 2027'!$U$7:$U$506,MATCH(ROW()-5,'Formulación PDN 2027'!$AK$7:$AK$506,0))&amp;"","")</f>
        <v/>
      </c>
      <c r="Y191" s="15" t="str">
        <f>IFERROR(INDEX('Formulación PDN 2027'!$AH$7:$AH$506,MATCH(ROW()-5,'Formulación PDN 2027'!$AK$7:$AK$506,0))&amp;"","")</f>
        <v/>
      </c>
    </row>
    <row r="192" spans="1:25" x14ac:dyDescent="0.3">
      <c r="A192" s="15" t="str">
        <f>IFERROR(INDEX('Formulación PDN 2027'!$A$7:$A$506,MATCH(ROW()-5,'Formulación PDN 2027'!$AK$7:$AK$506,0))&amp;"","")</f>
        <v/>
      </c>
      <c r="B192" s="20" t="str">
        <f>IFERROR(INDEX('Formulación PDN 2027'!$M$7:$M$506,MATCH(ROW()-5,'Formulación PDN 2027'!$AK$7:$AK$506,0)),"")</f>
        <v/>
      </c>
      <c r="C192" s="15" t="str">
        <f>IFERROR(INDEX('Formulación PDN 2027'!$N$7:$N$506,MATCH(ROW()-5,'Formulación PDN 2027'!$AK$7:$AK$506,0))&amp;"","")</f>
        <v/>
      </c>
      <c r="D192" s="15" t="str">
        <f>IFERROR(INDEX('Formulación PDN 2027'!$L$7:$L$506,MATCH(ROW()-5,'Formulación PDN 2027'!$AK$7:$AK$506,0))&amp;"","")</f>
        <v/>
      </c>
      <c r="E192" s="15" t="str">
        <f>IFERROR(MATCH(INDEX('Formulación PDN 2027'!$O$7:$O$506,MATCH(ROW()-5,'Formulación PDN 2027'!$AK$7:$AK$506,0)),L_MESES,0),"")</f>
        <v/>
      </c>
      <c r="F192" s="15" t="str">
        <f>IFERROR(MATCH(INDEX('Formulación PDN 2027'!$P$7:$P$506,MATCH(ROW()-5,'Formulación PDN 2027'!$AK$7:$AK$506,0)),L_MESES,0),"")</f>
        <v/>
      </c>
      <c r="G192" s="15" t="str">
        <f>IFERROR(INDEX('Formulación PDN 2027'!$Q$7:$Q$506,MATCH(ROW()-5,'Formulación PDN 2027'!$AK$7:$AK$506,0)),"")</f>
        <v/>
      </c>
      <c r="H192" s="15" t="str">
        <f>IFERROR(INDEX('Formulación PDN 2027'!$R$7:$R$506,MATCH(ROW()-5,'Formulación PDN 2027'!$AK$7:$AK$506,0))&amp;"","")</f>
        <v/>
      </c>
      <c r="I192" s="15" t="str">
        <f>IFERROR(INDEX('Formulación PDN 2027'!$S$7:$S$506,MATCH(ROW()-5,'Formulación PDN 2027'!$AK$7:$AK$506,0))&amp;"","")</f>
        <v/>
      </c>
      <c r="J192" s="15" t="str">
        <f>IFERROR(INDEX('Formulación PDN 2027'!$T$7:$T$506,MATCH(ROW()-5,'Formulación PDN 2027'!$AK$7:$AK$506,0))&amp;"","")</f>
        <v/>
      </c>
      <c r="K192" s="43" t="str">
        <f>IFERROR(INDEX('Formulación PDN 2027'!$W$7:$W$506,MATCH(ROW()-5,'Formulación PDN 2027'!$AK$7:$AK$506,0)),"")</f>
        <v/>
      </c>
      <c r="L192" s="43" t="str">
        <f>IFERROR(INDEX('Formulación PDN 2027'!$X$7:$X$506,MATCH(ROW()-5,'Formulación PDN 2027'!$AK$7:$AK$506,0)),"")</f>
        <v/>
      </c>
      <c r="M192" s="15" t="str">
        <f>IFERROR(INDEX('Formulación PDN 2027'!$Y$7:$Y$506,MATCH(ROW()-5,'Formulación PDN 2027'!$AK$7:$AK$506,0))&amp;"","")</f>
        <v/>
      </c>
      <c r="N192" s="15" t="str">
        <f>IFERROR(INDEX('Formulación PDN 2027'!$Z$7:$Z$506,MATCH(ROW()-5,'Formulación PDN 2027'!$AK$7:$AK$506,0))&amp;"","")</f>
        <v/>
      </c>
      <c r="O192" s="15"/>
      <c r="P192" s="15" t="str">
        <f>IFERROR(INDEX('Formulación PDN 2027'!$AA$7:$AA$506,MATCH(ROW()-5,'Formulación PDN 2027'!$AK$7:$AK$506,0))&amp;"","")</f>
        <v/>
      </c>
      <c r="Q192" s="15" t="str">
        <f>IFERROR(INDEX('Formulación PDN 2027'!$AB$7:$AB$506,MATCH(ROW()-5,'Formulación PDN 2027'!$AK$7:$AK$506,0))&amp;"","")</f>
        <v/>
      </c>
      <c r="R192" s="15" t="str">
        <f>IFERROR(INDEX('Formulación PDN 2027'!$AD$7:$AD$506,MATCH(ROW()-5,'Formulación PDN 2027'!$AK$7:$AK$506,0))&amp;"","")</f>
        <v/>
      </c>
      <c r="S192" s="15" t="str">
        <f>IFERROR(INDEX('Formulación PDN 2027'!$AE$7:$AE$506,MATCH(ROW()-5,'Formulación PDN 2027'!$AK$7:$AK$506,0))&amp;"","")</f>
        <v/>
      </c>
      <c r="T192" s="15" t="str">
        <f>IFERROR(INDEX('Formulación PDN 2027'!$C$7:$C$506,MATCH(ROW()-5,'Formulación PDN 2027'!$AK$7:$AK$506,0))&amp;"","")</f>
        <v/>
      </c>
      <c r="U192" s="15" t="str">
        <f>IFERROR(INDEX('Formulación PDN 2027'!$B$7:$B$506,MATCH(ROW()-5,'Formulación PDN 2027'!$AK$7:$AK$506,0))&amp;"","")</f>
        <v/>
      </c>
      <c r="V192" s="15" t="str">
        <f>IFERROR(LEFT(INDEX('Formulación PDN 2027'!$E$7:$E$506,MATCH(ROW()-5,'Formulación PDN 2027'!$AK$7:$AK$506,0)),7),"")</f>
        <v/>
      </c>
      <c r="W192" s="15" t="str">
        <f>IFERROR(INDEX('Formulación PDN 2027'!$H$7:$H$506,MATCH(ROW()-5,'Formulación PDN 2027'!$AK$7:$AK$506,0))&amp;"","")</f>
        <v/>
      </c>
      <c r="X192" s="15" t="str">
        <f>IFERROR(INDEX('Formulación PDN 2027'!$U$7:$U$506,MATCH(ROW()-5,'Formulación PDN 2027'!$AK$7:$AK$506,0))&amp;"","")</f>
        <v/>
      </c>
      <c r="Y192" s="15" t="str">
        <f>IFERROR(INDEX('Formulación PDN 2027'!$AH$7:$AH$506,MATCH(ROW()-5,'Formulación PDN 2027'!$AK$7:$AK$506,0))&amp;"","")</f>
        <v/>
      </c>
    </row>
    <row r="193" spans="1:25" x14ac:dyDescent="0.3">
      <c r="A193" s="15" t="str">
        <f>IFERROR(INDEX('Formulación PDN 2027'!$A$7:$A$506,MATCH(ROW()-5,'Formulación PDN 2027'!$AK$7:$AK$506,0))&amp;"","")</f>
        <v/>
      </c>
      <c r="B193" s="20" t="str">
        <f>IFERROR(INDEX('Formulación PDN 2027'!$M$7:$M$506,MATCH(ROW()-5,'Formulación PDN 2027'!$AK$7:$AK$506,0)),"")</f>
        <v/>
      </c>
      <c r="C193" s="15" t="str">
        <f>IFERROR(INDEX('Formulación PDN 2027'!$N$7:$N$506,MATCH(ROW()-5,'Formulación PDN 2027'!$AK$7:$AK$506,0))&amp;"","")</f>
        <v/>
      </c>
      <c r="D193" s="15" t="str">
        <f>IFERROR(INDEX('Formulación PDN 2027'!$L$7:$L$506,MATCH(ROW()-5,'Formulación PDN 2027'!$AK$7:$AK$506,0))&amp;"","")</f>
        <v/>
      </c>
      <c r="E193" s="15" t="str">
        <f>IFERROR(MATCH(INDEX('Formulación PDN 2027'!$O$7:$O$506,MATCH(ROW()-5,'Formulación PDN 2027'!$AK$7:$AK$506,0)),L_MESES,0),"")</f>
        <v/>
      </c>
      <c r="F193" s="15" t="str">
        <f>IFERROR(MATCH(INDEX('Formulación PDN 2027'!$P$7:$P$506,MATCH(ROW()-5,'Formulación PDN 2027'!$AK$7:$AK$506,0)),L_MESES,0),"")</f>
        <v/>
      </c>
      <c r="G193" s="15" t="str">
        <f>IFERROR(INDEX('Formulación PDN 2027'!$Q$7:$Q$506,MATCH(ROW()-5,'Formulación PDN 2027'!$AK$7:$AK$506,0)),"")</f>
        <v/>
      </c>
      <c r="H193" s="15" t="str">
        <f>IFERROR(INDEX('Formulación PDN 2027'!$R$7:$R$506,MATCH(ROW()-5,'Formulación PDN 2027'!$AK$7:$AK$506,0))&amp;"","")</f>
        <v/>
      </c>
      <c r="I193" s="15" t="str">
        <f>IFERROR(INDEX('Formulación PDN 2027'!$S$7:$S$506,MATCH(ROW()-5,'Formulación PDN 2027'!$AK$7:$AK$506,0))&amp;"","")</f>
        <v/>
      </c>
      <c r="J193" s="15" t="str">
        <f>IFERROR(INDEX('Formulación PDN 2027'!$T$7:$T$506,MATCH(ROW()-5,'Formulación PDN 2027'!$AK$7:$AK$506,0))&amp;"","")</f>
        <v/>
      </c>
      <c r="K193" s="43" t="str">
        <f>IFERROR(INDEX('Formulación PDN 2027'!$W$7:$W$506,MATCH(ROW()-5,'Formulación PDN 2027'!$AK$7:$AK$506,0)),"")</f>
        <v/>
      </c>
      <c r="L193" s="43" t="str">
        <f>IFERROR(INDEX('Formulación PDN 2027'!$X$7:$X$506,MATCH(ROW()-5,'Formulación PDN 2027'!$AK$7:$AK$506,0)),"")</f>
        <v/>
      </c>
      <c r="M193" s="15" t="str">
        <f>IFERROR(INDEX('Formulación PDN 2027'!$Y$7:$Y$506,MATCH(ROW()-5,'Formulación PDN 2027'!$AK$7:$AK$506,0))&amp;"","")</f>
        <v/>
      </c>
      <c r="N193" s="15" t="str">
        <f>IFERROR(INDEX('Formulación PDN 2027'!$Z$7:$Z$506,MATCH(ROW()-5,'Formulación PDN 2027'!$AK$7:$AK$506,0))&amp;"","")</f>
        <v/>
      </c>
      <c r="O193" s="15"/>
      <c r="P193" s="15" t="str">
        <f>IFERROR(INDEX('Formulación PDN 2027'!$AA$7:$AA$506,MATCH(ROW()-5,'Formulación PDN 2027'!$AK$7:$AK$506,0))&amp;"","")</f>
        <v/>
      </c>
      <c r="Q193" s="15" t="str">
        <f>IFERROR(INDEX('Formulación PDN 2027'!$AB$7:$AB$506,MATCH(ROW()-5,'Formulación PDN 2027'!$AK$7:$AK$506,0))&amp;"","")</f>
        <v/>
      </c>
      <c r="R193" s="15" t="str">
        <f>IFERROR(INDEX('Formulación PDN 2027'!$AD$7:$AD$506,MATCH(ROW()-5,'Formulación PDN 2027'!$AK$7:$AK$506,0))&amp;"","")</f>
        <v/>
      </c>
      <c r="S193" s="15" t="str">
        <f>IFERROR(INDEX('Formulación PDN 2027'!$AE$7:$AE$506,MATCH(ROW()-5,'Formulación PDN 2027'!$AK$7:$AK$506,0))&amp;"","")</f>
        <v/>
      </c>
      <c r="T193" s="15" t="str">
        <f>IFERROR(INDEX('Formulación PDN 2027'!$C$7:$C$506,MATCH(ROW()-5,'Formulación PDN 2027'!$AK$7:$AK$506,0))&amp;"","")</f>
        <v/>
      </c>
      <c r="U193" s="15" t="str">
        <f>IFERROR(INDEX('Formulación PDN 2027'!$B$7:$B$506,MATCH(ROW()-5,'Formulación PDN 2027'!$AK$7:$AK$506,0))&amp;"","")</f>
        <v/>
      </c>
      <c r="V193" s="15" t="str">
        <f>IFERROR(LEFT(INDEX('Formulación PDN 2027'!$E$7:$E$506,MATCH(ROW()-5,'Formulación PDN 2027'!$AK$7:$AK$506,0)),7),"")</f>
        <v/>
      </c>
      <c r="W193" s="15" t="str">
        <f>IFERROR(INDEX('Formulación PDN 2027'!$H$7:$H$506,MATCH(ROW()-5,'Formulación PDN 2027'!$AK$7:$AK$506,0))&amp;"","")</f>
        <v/>
      </c>
      <c r="X193" s="15" t="str">
        <f>IFERROR(INDEX('Formulación PDN 2027'!$U$7:$U$506,MATCH(ROW()-5,'Formulación PDN 2027'!$AK$7:$AK$506,0))&amp;"","")</f>
        <v/>
      </c>
      <c r="Y193" s="15" t="str">
        <f>IFERROR(INDEX('Formulación PDN 2027'!$AH$7:$AH$506,MATCH(ROW()-5,'Formulación PDN 2027'!$AK$7:$AK$506,0))&amp;"","")</f>
        <v/>
      </c>
    </row>
    <row r="194" spans="1:25" x14ac:dyDescent="0.3">
      <c r="A194" s="15" t="str">
        <f>IFERROR(INDEX('Formulación PDN 2027'!$A$7:$A$506,MATCH(ROW()-5,'Formulación PDN 2027'!$AK$7:$AK$506,0))&amp;"","")</f>
        <v/>
      </c>
      <c r="B194" s="20" t="str">
        <f>IFERROR(INDEX('Formulación PDN 2027'!$M$7:$M$506,MATCH(ROW()-5,'Formulación PDN 2027'!$AK$7:$AK$506,0)),"")</f>
        <v/>
      </c>
      <c r="C194" s="15" t="str">
        <f>IFERROR(INDEX('Formulación PDN 2027'!$N$7:$N$506,MATCH(ROW()-5,'Formulación PDN 2027'!$AK$7:$AK$506,0))&amp;"","")</f>
        <v/>
      </c>
      <c r="D194" s="15" t="str">
        <f>IFERROR(INDEX('Formulación PDN 2027'!$L$7:$L$506,MATCH(ROW()-5,'Formulación PDN 2027'!$AK$7:$AK$506,0))&amp;"","")</f>
        <v/>
      </c>
      <c r="E194" s="15" t="str">
        <f>IFERROR(MATCH(INDEX('Formulación PDN 2027'!$O$7:$O$506,MATCH(ROW()-5,'Formulación PDN 2027'!$AK$7:$AK$506,0)),L_MESES,0),"")</f>
        <v/>
      </c>
      <c r="F194" s="15" t="str">
        <f>IFERROR(MATCH(INDEX('Formulación PDN 2027'!$P$7:$P$506,MATCH(ROW()-5,'Formulación PDN 2027'!$AK$7:$AK$506,0)),L_MESES,0),"")</f>
        <v/>
      </c>
      <c r="G194" s="15" t="str">
        <f>IFERROR(INDEX('Formulación PDN 2027'!$Q$7:$Q$506,MATCH(ROW()-5,'Formulación PDN 2027'!$AK$7:$AK$506,0)),"")</f>
        <v/>
      </c>
      <c r="H194" s="15" t="str">
        <f>IFERROR(INDEX('Formulación PDN 2027'!$R$7:$R$506,MATCH(ROW()-5,'Formulación PDN 2027'!$AK$7:$AK$506,0))&amp;"","")</f>
        <v/>
      </c>
      <c r="I194" s="15" t="str">
        <f>IFERROR(INDEX('Formulación PDN 2027'!$S$7:$S$506,MATCH(ROW()-5,'Formulación PDN 2027'!$AK$7:$AK$506,0))&amp;"","")</f>
        <v/>
      </c>
      <c r="J194" s="15" t="str">
        <f>IFERROR(INDEX('Formulación PDN 2027'!$T$7:$T$506,MATCH(ROW()-5,'Formulación PDN 2027'!$AK$7:$AK$506,0))&amp;"","")</f>
        <v/>
      </c>
      <c r="K194" s="43" t="str">
        <f>IFERROR(INDEX('Formulación PDN 2027'!$W$7:$W$506,MATCH(ROW()-5,'Formulación PDN 2027'!$AK$7:$AK$506,0)),"")</f>
        <v/>
      </c>
      <c r="L194" s="43" t="str">
        <f>IFERROR(INDEX('Formulación PDN 2027'!$X$7:$X$506,MATCH(ROW()-5,'Formulación PDN 2027'!$AK$7:$AK$506,0)),"")</f>
        <v/>
      </c>
      <c r="M194" s="15" t="str">
        <f>IFERROR(INDEX('Formulación PDN 2027'!$Y$7:$Y$506,MATCH(ROW()-5,'Formulación PDN 2027'!$AK$7:$AK$506,0))&amp;"","")</f>
        <v/>
      </c>
      <c r="N194" s="15" t="str">
        <f>IFERROR(INDEX('Formulación PDN 2027'!$Z$7:$Z$506,MATCH(ROW()-5,'Formulación PDN 2027'!$AK$7:$AK$506,0))&amp;"","")</f>
        <v/>
      </c>
      <c r="O194" s="15"/>
      <c r="P194" s="15" t="str">
        <f>IFERROR(INDEX('Formulación PDN 2027'!$AA$7:$AA$506,MATCH(ROW()-5,'Formulación PDN 2027'!$AK$7:$AK$506,0))&amp;"","")</f>
        <v/>
      </c>
      <c r="Q194" s="15" t="str">
        <f>IFERROR(INDEX('Formulación PDN 2027'!$AB$7:$AB$506,MATCH(ROW()-5,'Formulación PDN 2027'!$AK$7:$AK$506,0))&amp;"","")</f>
        <v/>
      </c>
      <c r="R194" s="15" t="str">
        <f>IFERROR(INDEX('Formulación PDN 2027'!$AD$7:$AD$506,MATCH(ROW()-5,'Formulación PDN 2027'!$AK$7:$AK$506,0))&amp;"","")</f>
        <v/>
      </c>
      <c r="S194" s="15" t="str">
        <f>IFERROR(INDEX('Formulación PDN 2027'!$AE$7:$AE$506,MATCH(ROW()-5,'Formulación PDN 2027'!$AK$7:$AK$506,0))&amp;"","")</f>
        <v/>
      </c>
      <c r="T194" s="15" t="str">
        <f>IFERROR(INDEX('Formulación PDN 2027'!$C$7:$C$506,MATCH(ROW()-5,'Formulación PDN 2027'!$AK$7:$AK$506,0))&amp;"","")</f>
        <v/>
      </c>
      <c r="U194" s="15" t="str">
        <f>IFERROR(INDEX('Formulación PDN 2027'!$B$7:$B$506,MATCH(ROW()-5,'Formulación PDN 2027'!$AK$7:$AK$506,0))&amp;"","")</f>
        <v/>
      </c>
      <c r="V194" s="15" t="str">
        <f>IFERROR(LEFT(INDEX('Formulación PDN 2027'!$E$7:$E$506,MATCH(ROW()-5,'Formulación PDN 2027'!$AK$7:$AK$506,0)),7),"")</f>
        <v/>
      </c>
      <c r="W194" s="15" t="str">
        <f>IFERROR(INDEX('Formulación PDN 2027'!$H$7:$H$506,MATCH(ROW()-5,'Formulación PDN 2027'!$AK$7:$AK$506,0))&amp;"","")</f>
        <v/>
      </c>
      <c r="X194" s="15" t="str">
        <f>IFERROR(INDEX('Formulación PDN 2027'!$U$7:$U$506,MATCH(ROW()-5,'Formulación PDN 2027'!$AK$7:$AK$506,0))&amp;"","")</f>
        <v/>
      </c>
      <c r="Y194" s="15" t="str">
        <f>IFERROR(INDEX('Formulación PDN 2027'!$AH$7:$AH$506,MATCH(ROW()-5,'Formulación PDN 2027'!$AK$7:$AK$506,0))&amp;"","")</f>
        <v/>
      </c>
    </row>
    <row r="195" spans="1:25" x14ac:dyDescent="0.3">
      <c r="A195" s="15" t="str">
        <f>IFERROR(INDEX('Formulación PDN 2027'!$A$7:$A$506,MATCH(ROW()-5,'Formulación PDN 2027'!$AK$7:$AK$506,0))&amp;"","")</f>
        <v/>
      </c>
      <c r="B195" s="20" t="str">
        <f>IFERROR(INDEX('Formulación PDN 2027'!$M$7:$M$506,MATCH(ROW()-5,'Formulación PDN 2027'!$AK$7:$AK$506,0)),"")</f>
        <v/>
      </c>
      <c r="C195" s="15" t="str">
        <f>IFERROR(INDEX('Formulación PDN 2027'!$N$7:$N$506,MATCH(ROW()-5,'Formulación PDN 2027'!$AK$7:$AK$506,0))&amp;"","")</f>
        <v/>
      </c>
      <c r="D195" s="15" t="str">
        <f>IFERROR(INDEX('Formulación PDN 2027'!$L$7:$L$506,MATCH(ROW()-5,'Formulación PDN 2027'!$AK$7:$AK$506,0))&amp;"","")</f>
        <v/>
      </c>
      <c r="E195" s="15" t="str">
        <f>IFERROR(MATCH(INDEX('Formulación PDN 2027'!$O$7:$O$506,MATCH(ROW()-5,'Formulación PDN 2027'!$AK$7:$AK$506,0)),L_MESES,0),"")</f>
        <v/>
      </c>
      <c r="F195" s="15" t="str">
        <f>IFERROR(MATCH(INDEX('Formulación PDN 2027'!$P$7:$P$506,MATCH(ROW()-5,'Formulación PDN 2027'!$AK$7:$AK$506,0)),L_MESES,0),"")</f>
        <v/>
      </c>
      <c r="G195" s="15" t="str">
        <f>IFERROR(INDEX('Formulación PDN 2027'!$Q$7:$Q$506,MATCH(ROW()-5,'Formulación PDN 2027'!$AK$7:$AK$506,0)),"")</f>
        <v/>
      </c>
      <c r="H195" s="15" t="str">
        <f>IFERROR(INDEX('Formulación PDN 2027'!$R$7:$R$506,MATCH(ROW()-5,'Formulación PDN 2027'!$AK$7:$AK$506,0))&amp;"","")</f>
        <v/>
      </c>
      <c r="I195" s="15" t="str">
        <f>IFERROR(INDEX('Formulación PDN 2027'!$S$7:$S$506,MATCH(ROW()-5,'Formulación PDN 2027'!$AK$7:$AK$506,0))&amp;"","")</f>
        <v/>
      </c>
      <c r="J195" s="15" t="str">
        <f>IFERROR(INDEX('Formulación PDN 2027'!$T$7:$T$506,MATCH(ROW()-5,'Formulación PDN 2027'!$AK$7:$AK$506,0))&amp;"","")</f>
        <v/>
      </c>
      <c r="K195" s="43" t="str">
        <f>IFERROR(INDEX('Formulación PDN 2027'!$W$7:$W$506,MATCH(ROW()-5,'Formulación PDN 2027'!$AK$7:$AK$506,0)),"")</f>
        <v/>
      </c>
      <c r="L195" s="43" t="str">
        <f>IFERROR(INDEX('Formulación PDN 2027'!$X$7:$X$506,MATCH(ROW()-5,'Formulación PDN 2027'!$AK$7:$AK$506,0)),"")</f>
        <v/>
      </c>
      <c r="M195" s="15" t="str">
        <f>IFERROR(INDEX('Formulación PDN 2027'!$Y$7:$Y$506,MATCH(ROW()-5,'Formulación PDN 2027'!$AK$7:$AK$506,0))&amp;"","")</f>
        <v/>
      </c>
      <c r="N195" s="15" t="str">
        <f>IFERROR(INDEX('Formulación PDN 2027'!$Z$7:$Z$506,MATCH(ROW()-5,'Formulación PDN 2027'!$AK$7:$AK$506,0))&amp;"","")</f>
        <v/>
      </c>
      <c r="O195" s="15"/>
      <c r="P195" s="15" t="str">
        <f>IFERROR(INDEX('Formulación PDN 2027'!$AA$7:$AA$506,MATCH(ROW()-5,'Formulación PDN 2027'!$AK$7:$AK$506,0))&amp;"","")</f>
        <v/>
      </c>
      <c r="Q195" s="15" t="str">
        <f>IFERROR(INDEX('Formulación PDN 2027'!$AB$7:$AB$506,MATCH(ROW()-5,'Formulación PDN 2027'!$AK$7:$AK$506,0))&amp;"","")</f>
        <v/>
      </c>
      <c r="R195" s="15" t="str">
        <f>IFERROR(INDEX('Formulación PDN 2027'!$AD$7:$AD$506,MATCH(ROW()-5,'Formulación PDN 2027'!$AK$7:$AK$506,0))&amp;"","")</f>
        <v/>
      </c>
      <c r="S195" s="15" t="str">
        <f>IFERROR(INDEX('Formulación PDN 2027'!$AE$7:$AE$506,MATCH(ROW()-5,'Formulación PDN 2027'!$AK$7:$AK$506,0))&amp;"","")</f>
        <v/>
      </c>
      <c r="T195" s="15" t="str">
        <f>IFERROR(INDEX('Formulación PDN 2027'!$C$7:$C$506,MATCH(ROW()-5,'Formulación PDN 2027'!$AK$7:$AK$506,0))&amp;"","")</f>
        <v/>
      </c>
      <c r="U195" s="15" t="str">
        <f>IFERROR(INDEX('Formulación PDN 2027'!$B$7:$B$506,MATCH(ROW()-5,'Formulación PDN 2027'!$AK$7:$AK$506,0))&amp;"","")</f>
        <v/>
      </c>
      <c r="V195" s="15" t="str">
        <f>IFERROR(LEFT(INDEX('Formulación PDN 2027'!$E$7:$E$506,MATCH(ROW()-5,'Formulación PDN 2027'!$AK$7:$AK$506,0)),7),"")</f>
        <v/>
      </c>
      <c r="W195" s="15" t="str">
        <f>IFERROR(INDEX('Formulación PDN 2027'!$H$7:$H$506,MATCH(ROW()-5,'Formulación PDN 2027'!$AK$7:$AK$506,0))&amp;"","")</f>
        <v/>
      </c>
      <c r="X195" s="15" t="str">
        <f>IFERROR(INDEX('Formulación PDN 2027'!$U$7:$U$506,MATCH(ROW()-5,'Formulación PDN 2027'!$AK$7:$AK$506,0))&amp;"","")</f>
        <v/>
      </c>
      <c r="Y195" s="15" t="str">
        <f>IFERROR(INDEX('Formulación PDN 2027'!$AH$7:$AH$506,MATCH(ROW()-5,'Formulación PDN 2027'!$AK$7:$AK$506,0))&amp;"","")</f>
        <v/>
      </c>
    </row>
    <row r="196" spans="1:25" x14ac:dyDescent="0.3">
      <c r="A196" s="15" t="str">
        <f>IFERROR(INDEX('Formulación PDN 2027'!$A$7:$A$506,MATCH(ROW()-5,'Formulación PDN 2027'!$AK$7:$AK$506,0))&amp;"","")</f>
        <v/>
      </c>
      <c r="B196" s="20" t="str">
        <f>IFERROR(INDEX('Formulación PDN 2027'!$M$7:$M$506,MATCH(ROW()-5,'Formulación PDN 2027'!$AK$7:$AK$506,0)),"")</f>
        <v/>
      </c>
      <c r="C196" s="15" t="str">
        <f>IFERROR(INDEX('Formulación PDN 2027'!$N$7:$N$506,MATCH(ROW()-5,'Formulación PDN 2027'!$AK$7:$AK$506,0))&amp;"","")</f>
        <v/>
      </c>
      <c r="D196" s="15" t="str">
        <f>IFERROR(INDEX('Formulación PDN 2027'!$L$7:$L$506,MATCH(ROW()-5,'Formulación PDN 2027'!$AK$7:$AK$506,0))&amp;"","")</f>
        <v/>
      </c>
      <c r="E196" s="15" t="str">
        <f>IFERROR(MATCH(INDEX('Formulación PDN 2027'!$O$7:$O$506,MATCH(ROW()-5,'Formulación PDN 2027'!$AK$7:$AK$506,0)),L_MESES,0),"")</f>
        <v/>
      </c>
      <c r="F196" s="15" t="str">
        <f>IFERROR(MATCH(INDEX('Formulación PDN 2027'!$P$7:$P$506,MATCH(ROW()-5,'Formulación PDN 2027'!$AK$7:$AK$506,0)),L_MESES,0),"")</f>
        <v/>
      </c>
      <c r="G196" s="15" t="str">
        <f>IFERROR(INDEX('Formulación PDN 2027'!$Q$7:$Q$506,MATCH(ROW()-5,'Formulación PDN 2027'!$AK$7:$AK$506,0)),"")</f>
        <v/>
      </c>
      <c r="H196" s="15" t="str">
        <f>IFERROR(INDEX('Formulación PDN 2027'!$R$7:$R$506,MATCH(ROW()-5,'Formulación PDN 2027'!$AK$7:$AK$506,0))&amp;"","")</f>
        <v/>
      </c>
      <c r="I196" s="15" t="str">
        <f>IFERROR(INDEX('Formulación PDN 2027'!$S$7:$S$506,MATCH(ROW()-5,'Formulación PDN 2027'!$AK$7:$AK$506,0))&amp;"","")</f>
        <v/>
      </c>
      <c r="J196" s="15" t="str">
        <f>IFERROR(INDEX('Formulación PDN 2027'!$T$7:$T$506,MATCH(ROW()-5,'Formulación PDN 2027'!$AK$7:$AK$506,0))&amp;"","")</f>
        <v/>
      </c>
      <c r="K196" s="43" t="str">
        <f>IFERROR(INDEX('Formulación PDN 2027'!$W$7:$W$506,MATCH(ROW()-5,'Formulación PDN 2027'!$AK$7:$AK$506,0)),"")</f>
        <v/>
      </c>
      <c r="L196" s="43" t="str">
        <f>IFERROR(INDEX('Formulación PDN 2027'!$X$7:$X$506,MATCH(ROW()-5,'Formulación PDN 2027'!$AK$7:$AK$506,0)),"")</f>
        <v/>
      </c>
      <c r="M196" s="15" t="str">
        <f>IFERROR(INDEX('Formulación PDN 2027'!$Y$7:$Y$506,MATCH(ROW()-5,'Formulación PDN 2027'!$AK$7:$AK$506,0))&amp;"","")</f>
        <v/>
      </c>
      <c r="N196" s="15" t="str">
        <f>IFERROR(INDEX('Formulación PDN 2027'!$Z$7:$Z$506,MATCH(ROW()-5,'Formulación PDN 2027'!$AK$7:$AK$506,0))&amp;"","")</f>
        <v/>
      </c>
      <c r="O196" s="15"/>
      <c r="P196" s="15" t="str">
        <f>IFERROR(INDEX('Formulación PDN 2027'!$AA$7:$AA$506,MATCH(ROW()-5,'Formulación PDN 2027'!$AK$7:$AK$506,0))&amp;"","")</f>
        <v/>
      </c>
      <c r="Q196" s="15" t="str">
        <f>IFERROR(INDEX('Formulación PDN 2027'!$AB$7:$AB$506,MATCH(ROW()-5,'Formulación PDN 2027'!$AK$7:$AK$506,0))&amp;"","")</f>
        <v/>
      </c>
      <c r="R196" s="15" t="str">
        <f>IFERROR(INDEX('Formulación PDN 2027'!$AD$7:$AD$506,MATCH(ROW()-5,'Formulación PDN 2027'!$AK$7:$AK$506,0))&amp;"","")</f>
        <v/>
      </c>
      <c r="S196" s="15" t="str">
        <f>IFERROR(INDEX('Formulación PDN 2027'!$AE$7:$AE$506,MATCH(ROW()-5,'Formulación PDN 2027'!$AK$7:$AK$506,0))&amp;"","")</f>
        <v/>
      </c>
      <c r="T196" s="15" t="str">
        <f>IFERROR(INDEX('Formulación PDN 2027'!$C$7:$C$506,MATCH(ROW()-5,'Formulación PDN 2027'!$AK$7:$AK$506,0))&amp;"","")</f>
        <v/>
      </c>
      <c r="U196" s="15" t="str">
        <f>IFERROR(INDEX('Formulación PDN 2027'!$B$7:$B$506,MATCH(ROW()-5,'Formulación PDN 2027'!$AK$7:$AK$506,0))&amp;"","")</f>
        <v/>
      </c>
      <c r="V196" s="15" t="str">
        <f>IFERROR(LEFT(INDEX('Formulación PDN 2027'!$E$7:$E$506,MATCH(ROW()-5,'Formulación PDN 2027'!$AK$7:$AK$506,0)),7),"")</f>
        <v/>
      </c>
      <c r="W196" s="15" t="str">
        <f>IFERROR(INDEX('Formulación PDN 2027'!$H$7:$H$506,MATCH(ROW()-5,'Formulación PDN 2027'!$AK$7:$AK$506,0))&amp;"","")</f>
        <v/>
      </c>
      <c r="X196" s="15" t="str">
        <f>IFERROR(INDEX('Formulación PDN 2027'!$U$7:$U$506,MATCH(ROW()-5,'Formulación PDN 2027'!$AK$7:$AK$506,0))&amp;"","")</f>
        <v/>
      </c>
      <c r="Y196" s="15" t="str">
        <f>IFERROR(INDEX('Formulación PDN 2027'!$AH$7:$AH$506,MATCH(ROW()-5,'Formulación PDN 2027'!$AK$7:$AK$506,0))&amp;"","")</f>
        <v/>
      </c>
    </row>
    <row r="197" spans="1:25" x14ac:dyDescent="0.3">
      <c r="A197" s="15" t="str">
        <f>IFERROR(INDEX('Formulación PDN 2027'!$A$7:$A$506,MATCH(ROW()-5,'Formulación PDN 2027'!$AK$7:$AK$506,0))&amp;"","")</f>
        <v/>
      </c>
      <c r="B197" s="20" t="str">
        <f>IFERROR(INDEX('Formulación PDN 2027'!$M$7:$M$506,MATCH(ROW()-5,'Formulación PDN 2027'!$AK$7:$AK$506,0)),"")</f>
        <v/>
      </c>
      <c r="C197" s="15" t="str">
        <f>IFERROR(INDEX('Formulación PDN 2027'!$N$7:$N$506,MATCH(ROW()-5,'Formulación PDN 2027'!$AK$7:$AK$506,0))&amp;"","")</f>
        <v/>
      </c>
      <c r="D197" s="15" t="str">
        <f>IFERROR(INDEX('Formulación PDN 2027'!$L$7:$L$506,MATCH(ROW()-5,'Formulación PDN 2027'!$AK$7:$AK$506,0))&amp;"","")</f>
        <v/>
      </c>
      <c r="E197" s="15" t="str">
        <f>IFERROR(MATCH(INDEX('Formulación PDN 2027'!$O$7:$O$506,MATCH(ROW()-5,'Formulación PDN 2027'!$AK$7:$AK$506,0)),L_MESES,0),"")</f>
        <v/>
      </c>
      <c r="F197" s="15" t="str">
        <f>IFERROR(MATCH(INDEX('Formulación PDN 2027'!$P$7:$P$506,MATCH(ROW()-5,'Formulación PDN 2027'!$AK$7:$AK$506,0)),L_MESES,0),"")</f>
        <v/>
      </c>
      <c r="G197" s="15" t="str">
        <f>IFERROR(INDEX('Formulación PDN 2027'!$Q$7:$Q$506,MATCH(ROW()-5,'Formulación PDN 2027'!$AK$7:$AK$506,0)),"")</f>
        <v/>
      </c>
      <c r="H197" s="15" t="str">
        <f>IFERROR(INDEX('Formulación PDN 2027'!$R$7:$R$506,MATCH(ROW()-5,'Formulación PDN 2027'!$AK$7:$AK$506,0))&amp;"","")</f>
        <v/>
      </c>
      <c r="I197" s="15" t="str">
        <f>IFERROR(INDEX('Formulación PDN 2027'!$S$7:$S$506,MATCH(ROW()-5,'Formulación PDN 2027'!$AK$7:$AK$506,0))&amp;"","")</f>
        <v/>
      </c>
      <c r="J197" s="15" t="str">
        <f>IFERROR(INDEX('Formulación PDN 2027'!$T$7:$T$506,MATCH(ROW()-5,'Formulación PDN 2027'!$AK$7:$AK$506,0))&amp;"","")</f>
        <v/>
      </c>
      <c r="K197" s="43" t="str">
        <f>IFERROR(INDEX('Formulación PDN 2027'!$W$7:$W$506,MATCH(ROW()-5,'Formulación PDN 2027'!$AK$7:$AK$506,0)),"")</f>
        <v/>
      </c>
      <c r="L197" s="43" t="str">
        <f>IFERROR(INDEX('Formulación PDN 2027'!$X$7:$X$506,MATCH(ROW()-5,'Formulación PDN 2027'!$AK$7:$AK$506,0)),"")</f>
        <v/>
      </c>
      <c r="M197" s="15" t="str">
        <f>IFERROR(INDEX('Formulación PDN 2027'!$Y$7:$Y$506,MATCH(ROW()-5,'Formulación PDN 2027'!$AK$7:$AK$506,0))&amp;"","")</f>
        <v/>
      </c>
      <c r="N197" s="15" t="str">
        <f>IFERROR(INDEX('Formulación PDN 2027'!$Z$7:$Z$506,MATCH(ROW()-5,'Formulación PDN 2027'!$AK$7:$AK$506,0))&amp;"","")</f>
        <v/>
      </c>
      <c r="O197" s="15"/>
      <c r="P197" s="15" t="str">
        <f>IFERROR(INDEX('Formulación PDN 2027'!$AA$7:$AA$506,MATCH(ROW()-5,'Formulación PDN 2027'!$AK$7:$AK$506,0))&amp;"","")</f>
        <v/>
      </c>
      <c r="Q197" s="15" t="str">
        <f>IFERROR(INDEX('Formulación PDN 2027'!$AB$7:$AB$506,MATCH(ROW()-5,'Formulación PDN 2027'!$AK$7:$AK$506,0))&amp;"","")</f>
        <v/>
      </c>
      <c r="R197" s="15" t="str">
        <f>IFERROR(INDEX('Formulación PDN 2027'!$AD$7:$AD$506,MATCH(ROW()-5,'Formulación PDN 2027'!$AK$7:$AK$506,0))&amp;"","")</f>
        <v/>
      </c>
      <c r="S197" s="15" t="str">
        <f>IFERROR(INDEX('Formulación PDN 2027'!$AE$7:$AE$506,MATCH(ROW()-5,'Formulación PDN 2027'!$AK$7:$AK$506,0))&amp;"","")</f>
        <v/>
      </c>
      <c r="T197" s="15" t="str">
        <f>IFERROR(INDEX('Formulación PDN 2027'!$C$7:$C$506,MATCH(ROW()-5,'Formulación PDN 2027'!$AK$7:$AK$506,0))&amp;"","")</f>
        <v/>
      </c>
      <c r="U197" s="15" t="str">
        <f>IFERROR(INDEX('Formulación PDN 2027'!$B$7:$B$506,MATCH(ROW()-5,'Formulación PDN 2027'!$AK$7:$AK$506,0))&amp;"","")</f>
        <v/>
      </c>
      <c r="V197" s="15" t="str">
        <f>IFERROR(LEFT(INDEX('Formulación PDN 2027'!$E$7:$E$506,MATCH(ROW()-5,'Formulación PDN 2027'!$AK$7:$AK$506,0)),7),"")</f>
        <v/>
      </c>
      <c r="W197" s="15" t="str">
        <f>IFERROR(INDEX('Formulación PDN 2027'!$H$7:$H$506,MATCH(ROW()-5,'Formulación PDN 2027'!$AK$7:$AK$506,0))&amp;"","")</f>
        <v/>
      </c>
      <c r="X197" s="15" t="str">
        <f>IFERROR(INDEX('Formulación PDN 2027'!$U$7:$U$506,MATCH(ROW()-5,'Formulación PDN 2027'!$AK$7:$AK$506,0))&amp;"","")</f>
        <v/>
      </c>
      <c r="Y197" s="15" t="str">
        <f>IFERROR(INDEX('Formulación PDN 2027'!$AH$7:$AH$506,MATCH(ROW()-5,'Formulación PDN 2027'!$AK$7:$AK$506,0))&amp;"","")</f>
        <v/>
      </c>
    </row>
    <row r="198" spans="1:25" x14ac:dyDescent="0.3">
      <c r="A198" s="15" t="str">
        <f>IFERROR(INDEX('Formulación PDN 2027'!$A$7:$A$506,MATCH(ROW()-5,'Formulación PDN 2027'!$AK$7:$AK$506,0))&amp;"","")</f>
        <v/>
      </c>
      <c r="B198" s="20" t="str">
        <f>IFERROR(INDEX('Formulación PDN 2027'!$M$7:$M$506,MATCH(ROW()-5,'Formulación PDN 2027'!$AK$7:$AK$506,0)),"")</f>
        <v/>
      </c>
      <c r="C198" s="15" t="str">
        <f>IFERROR(INDEX('Formulación PDN 2027'!$N$7:$N$506,MATCH(ROW()-5,'Formulación PDN 2027'!$AK$7:$AK$506,0))&amp;"","")</f>
        <v/>
      </c>
      <c r="D198" s="15" t="str">
        <f>IFERROR(INDEX('Formulación PDN 2027'!$L$7:$L$506,MATCH(ROW()-5,'Formulación PDN 2027'!$AK$7:$AK$506,0))&amp;"","")</f>
        <v/>
      </c>
      <c r="E198" s="15" t="str">
        <f>IFERROR(MATCH(INDEX('Formulación PDN 2027'!$O$7:$O$506,MATCH(ROW()-5,'Formulación PDN 2027'!$AK$7:$AK$506,0)),L_MESES,0),"")</f>
        <v/>
      </c>
      <c r="F198" s="15" t="str">
        <f>IFERROR(MATCH(INDEX('Formulación PDN 2027'!$P$7:$P$506,MATCH(ROW()-5,'Formulación PDN 2027'!$AK$7:$AK$506,0)),L_MESES,0),"")</f>
        <v/>
      </c>
      <c r="G198" s="15" t="str">
        <f>IFERROR(INDEX('Formulación PDN 2027'!$Q$7:$Q$506,MATCH(ROW()-5,'Formulación PDN 2027'!$AK$7:$AK$506,0)),"")</f>
        <v/>
      </c>
      <c r="H198" s="15" t="str">
        <f>IFERROR(INDEX('Formulación PDN 2027'!$R$7:$R$506,MATCH(ROW()-5,'Formulación PDN 2027'!$AK$7:$AK$506,0))&amp;"","")</f>
        <v/>
      </c>
      <c r="I198" s="15" t="str">
        <f>IFERROR(INDEX('Formulación PDN 2027'!$S$7:$S$506,MATCH(ROW()-5,'Formulación PDN 2027'!$AK$7:$AK$506,0))&amp;"","")</f>
        <v/>
      </c>
      <c r="J198" s="15" t="str">
        <f>IFERROR(INDEX('Formulación PDN 2027'!$T$7:$T$506,MATCH(ROW()-5,'Formulación PDN 2027'!$AK$7:$AK$506,0))&amp;"","")</f>
        <v/>
      </c>
      <c r="K198" s="43" t="str">
        <f>IFERROR(INDEX('Formulación PDN 2027'!$W$7:$W$506,MATCH(ROW()-5,'Formulación PDN 2027'!$AK$7:$AK$506,0)),"")</f>
        <v/>
      </c>
      <c r="L198" s="43" t="str">
        <f>IFERROR(INDEX('Formulación PDN 2027'!$X$7:$X$506,MATCH(ROW()-5,'Formulación PDN 2027'!$AK$7:$AK$506,0)),"")</f>
        <v/>
      </c>
      <c r="M198" s="15" t="str">
        <f>IFERROR(INDEX('Formulación PDN 2027'!$Y$7:$Y$506,MATCH(ROW()-5,'Formulación PDN 2027'!$AK$7:$AK$506,0))&amp;"","")</f>
        <v/>
      </c>
      <c r="N198" s="15" t="str">
        <f>IFERROR(INDEX('Formulación PDN 2027'!$Z$7:$Z$506,MATCH(ROW()-5,'Formulación PDN 2027'!$AK$7:$AK$506,0))&amp;"","")</f>
        <v/>
      </c>
      <c r="O198" s="15"/>
      <c r="P198" s="15" t="str">
        <f>IFERROR(INDEX('Formulación PDN 2027'!$AA$7:$AA$506,MATCH(ROW()-5,'Formulación PDN 2027'!$AK$7:$AK$506,0))&amp;"","")</f>
        <v/>
      </c>
      <c r="Q198" s="15" t="str">
        <f>IFERROR(INDEX('Formulación PDN 2027'!$AB$7:$AB$506,MATCH(ROW()-5,'Formulación PDN 2027'!$AK$7:$AK$506,0))&amp;"","")</f>
        <v/>
      </c>
      <c r="R198" s="15" t="str">
        <f>IFERROR(INDEX('Formulación PDN 2027'!$AD$7:$AD$506,MATCH(ROW()-5,'Formulación PDN 2027'!$AK$7:$AK$506,0))&amp;"","")</f>
        <v/>
      </c>
      <c r="S198" s="15" t="str">
        <f>IFERROR(INDEX('Formulación PDN 2027'!$AE$7:$AE$506,MATCH(ROW()-5,'Formulación PDN 2027'!$AK$7:$AK$506,0))&amp;"","")</f>
        <v/>
      </c>
      <c r="T198" s="15" t="str">
        <f>IFERROR(INDEX('Formulación PDN 2027'!$C$7:$C$506,MATCH(ROW()-5,'Formulación PDN 2027'!$AK$7:$AK$506,0))&amp;"","")</f>
        <v/>
      </c>
      <c r="U198" s="15" t="str">
        <f>IFERROR(INDEX('Formulación PDN 2027'!$B$7:$B$506,MATCH(ROW()-5,'Formulación PDN 2027'!$AK$7:$AK$506,0))&amp;"","")</f>
        <v/>
      </c>
      <c r="V198" s="15" t="str">
        <f>IFERROR(LEFT(INDEX('Formulación PDN 2027'!$E$7:$E$506,MATCH(ROW()-5,'Formulación PDN 2027'!$AK$7:$AK$506,0)),7),"")</f>
        <v/>
      </c>
      <c r="W198" s="15" t="str">
        <f>IFERROR(INDEX('Formulación PDN 2027'!$H$7:$H$506,MATCH(ROW()-5,'Formulación PDN 2027'!$AK$7:$AK$506,0))&amp;"","")</f>
        <v/>
      </c>
      <c r="X198" s="15" t="str">
        <f>IFERROR(INDEX('Formulación PDN 2027'!$U$7:$U$506,MATCH(ROW()-5,'Formulación PDN 2027'!$AK$7:$AK$506,0))&amp;"","")</f>
        <v/>
      </c>
      <c r="Y198" s="15" t="str">
        <f>IFERROR(INDEX('Formulación PDN 2027'!$AH$7:$AH$506,MATCH(ROW()-5,'Formulación PDN 2027'!$AK$7:$AK$506,0))&amp;"","")</f>
        <v/>
      </c>
    </row>
    <row r="199" spans="1:25" x14ac:dyDescent="0.3">
      <c r="A199" s="15" t="str">
        <f>IFERROR(INDEX('Formulación PDN 2027'!$A$7:$A$506,MATCH(ROW()-5,'Formulación PDN 2027'!$AK$7:$AK$506,0))&amp;"","")</f>
        <v/>
      </c>
      <c r="B199" s="20" t="str">
        <f>IFERROR(INDEX('Formulación PDN 2027'!$M$7:$M$506,MATCH(ROW()-5,'Formulación PDN 2027'!$AK$7:$AK$506,0)),"")</f>
        <v/>
      </c>
      <c r="C199" s="15" t="str">
        <f>IFERROR(INDEX('Formulación PDN 2027'!$N$7:$N$506,MATCH(ROW()-5,'Formulación PDN 2027'!$AK$7:$AK$506,0))&amp;"","")</f>
        <v/>
      </c>
      <c r="D199" s="15" t="str">
        <f>IFERROR(INDEX('Formulación PDN 2027'!$L$7:$L$506,MATCH(ROW()-5,'Formulación PDN 2027'!$AK$7:$AK$506,0))&amp;"","")</f>
        <v/>
      </c>
      <c r="E199" s="15" t="str">
        <f>IFERROR(MATCH(INDEX('Formulación PDN 2027'!$O$7:$O$506,MATCH(ROW()-5,'Formulación PDN 2027'!$AK$7:$AK$506,0)),L_MESES,0),"")</f>
        <v/>
      </c>
      <c r="F199" s="15" t="str">
        <f>IFERROR(MATCH(INDEX('Formulación PDN 2027'!$P$7:$P$506,MATCH(ROW()-5,'Formulación PDN 2027'!$AK$7:$AK$506,0)),L_MESES,0),"")</f>
        <v/>
      </c>
      <c r="G199" s="15" t="str">
        <f>IFERROR(INDEX('Formulación PDN 2027'!$Q$7:$Q$506,MATCH(ROW()-5,'Formulación PDN 2027'!$AK$7:$AK$506,0)),"")</f>
        <v/>
      </c>
      <c r="H199" s="15" t="str">
        <f>IFERROR(INDEX('Formulación PDN 2027'!$R$7:$R$506,MATCH(ROW()-5,'Formulación PDN 2027'!$AK$7:$AK$506,0))&amp;"","")</f>
        <v/>
      </c>
      <c r="I199" s="15" t="str">
        <f>IFERROR(INDEX('Formulación PDN 2027'!$S$7:$S$506,MATCH(ROW()-5,'Formulación PDN 2027'!$AK$7:$AK$506,0))&amp;"","")</f>
        <v/>
      </c>
      <c r="J199" s="15" t="str">
        <f>IFERROR(INDEX('Formulación PDN 2027'!$T$7:$T$506,MATCH(ROW()-5,'Formulación PDN 2027'!$AK$7:$AK$506,0))&amp;"","")</f>
        <v/>
      </c>
      <c r="K199" s="43" t="str">
        <f>IFERROR(INDEX('Formulación PDN 2027'!$W$7:$W$506,MATCH(ROW()-5,'Formulación PDN 2027'!$AK$7:$AK$506,0)),"")</f>
        <v/>
      </c>
      <c r="L199" s="43" t="str">
        <f>IFERROR(INDEX('Formulación PDN 2027'!$X$7:$X$506,MATCH(ROW()-5,'Formulación PDN 2027'!$AK$7:$AK$506,0)),"")</f>
        <v/>
      </c>
      <c r="M199" s="15" t="str">
        <f>IFERROR(INDEX('Formulación PDN 2027'!$Y$7:$Y$506,MATCH(ROW()-5,'Formulación PDN 2027'!$AK$7:$AK$506,0))&amp;"","")</f>
        <v/>
      </c>
      <c r="N199" s="15" t="str">
        <f>IFERROR(INDEX('Formulación PDN 2027'!$Z$7:$Z$506,MATCH(ROW()-5,'Formulación PDN 2027'!$AK$7:$AK$506,0))&amp;"","")</f>
        <v/>
      </c>
      <c r="O199" s="15"/>
      <c r="P199" s="15" t="str">
        <f>IFERROR(INDEX('Formulación PDN 2027'!$AA$7:$AA$506,MATCH(ROW()-5,'Formulación PDN 2027'!$AK$7:$AK$506,0))&amp;"","")</f>
        <v/>
      </c>
      <c r="Q199" s="15" t="str">
        <f>IFERROR(INDEX('Formulación PDN 2027'!$AB$7:$AB$506,MATCH(ROW()-5,'Formulación PDN 2027'!$AK$7:$AK$506,0))&amp;"","")</f>
        <v/>
      </c>
      <c r="R199" s="15" t="str">
        <f>IFERROR(INDEX('Formulación PDN 2027'!$AD$7:$AD$506,MATCH(ROW()-5,'Formulación PDN 2027'!$AK$7:$AK$506,0))&amp;"","")</f>
        <v/>
      </c>
      <c r="S199" s="15" t="str">
        <f>IFERROR(INDEX('Formulación PDN 2027'!$AE$7:$AE$506,MATCH(ROW()-5,'Formulación PDN 2027'!$AK$7:$AK$506,0))&amp;"","")</f>
        <v/>
      </c>
      <c r="T199" s="15" t="str">
        <f>IFERROR(INDEX('Formulación PDN 2027'!$C$7:$C$506,MATCH(ROW()-5,'Formulación PDN 2027'!$AK$7:$AK$506,0))&amp;"","")</f>
        <v/>
      </c>
      <c r="U199" s="15" t="str">
        <f>IFERROR(INDEX('Formulación PDN 2027'!$B$7:$B$506,MATCH(ROW()-5,'Formulación PDN 2027'!$AK$7:$AK$506,0))&amp;"","")</f>
        <v/>
      </c>
      <c r="V199" s="15" t="str">
        <f>IFERROR(LEFT(INDEX('Formulación PDN 2027'!$E$7:$E$506,MATCH(ROW()-5,'Formulación PDN 2027'!$AK$7:$AK$506,0)),7),"")</f>
        <v/>
      </c>
      <c r="W199" s="15" t="str">
        <f>IFERROR(INDEX('Formulación PDN 2027'!$H$7:$H$506,MATCH(ROW()-5,'Formulación PDN 2027'!$AK$7:$AK$506,0))&amp;"","")</f>
        <v/>
      </c>
      <c r="X199" s="15" t="str">
        <f>IFERROR(INDEX('Formulación PDN 2027'!$U$7:$U$506,MATCH(ROW()-5,'Formulación PDN 2027'!$AK$7:$AK$506,0))&amp;"","")</f>
        <v/>
      </c>
      <c r="Y199" s="15" t="str">
        <f>IFERROR(INDEX('Formulación PDN 2027'!$AH$7:$AH$506,MATCH(ROW()-5,'Formulación PDN 2027'!$AK$7:$AK$506,0))&amp;"","")</f>
        <v/>
      </c>
    </row>
    <row r="200" spans="1:25" x14ac:dyDescent="0.3">
      <c r="A200" s="15" t="str">
        <f>IFERROR(INDEX('Formulación PDN 2027'!$A$7:$A$506,MATCH(ROW()-5,'Formulación PDN 2027'!$AK$7:$AK$506,0))&amp;"","")</f>
        <v/>
      </c>
      <c r="B200" s="20" t="str">
        <f>IFERROR(INDEX('Formulación PDN 2027'!$M$7:$M$506,MATCH(ROW()-5,'Formulación PDN 2027'!$AK$7:$AK$506,0)),"")</f>
        <v/>
      </c>
      <c r="C200" s="15" t="str">
        <f>IFERROR(INDEX('Formulación PDN 2027'!$N$7:$N$506,MATCH(ROW()-5,'Formulación PDN 2027'!$AK$7:$AK$506,0))&amp;"","")</f>
        <v/>
      </c>
      <c r="D200" s="15" t="str">
        <f>IFERROR(INDEX('Formulación PDN 2027'!$L$7:$L$506,MATCH(ROW()-5,'Formulación PDN 2027'!$AK$7:$AK$506,0))&amp;"","")</f>
        <v/>
      </c>
      <c r="E200" s="15" t="str">
        <f>IFERROR(MATCH(INDEX('Formulación PDN 2027'!$O$7:$O$506,MATCH(ROW()-5,'Formulación PDN 2027'!$AK$7:$AK$506,0)),L_MESES,0),"")</f>
        <v/>
      </c>
      <c r="F200" s="15" t="str">
        <f>IFERROR(MATCH(INDEX('Formulación PDN 2027'!$P$7:$P$506,MATCH(ROW()-5,'Formulación PDN 2027'!$AK$7:$AK$506,0)),L_MESES,0),"")</f>
        <v/>
      </c>
      <c r="G200" s="15" t="str">
        <f>IFERROR(INDEX('Formulación PDN 2027'!$Q$7:$Q$506,MATCH(ROW()-5,'Formulación PDN 2027'!$AK$7:$AK$506,0)),"")</f>
        <v/>
      </c>
      <c r="H200" s="15" t="str">
        <f>IFERROR(INDEX('Formulación PDN 2027'!$R$7:$R$506,MATCH(ROW()-5,'Formulación PDN 2027'!$AK$7:$AK$506,0))&amp;"","")</f>
        <v/>
      </c>
      <c r="I200" s="15" t="str">
        <f>IFERROR(INDEX('Formulación PDN 2027'!$S$7:$S$506,MATCH(ROW()-5,'Formulación PDN 2027'!$AK$7:$AK$506,0))&amp;"","")</f>
        <v/>
      </c>
      <c r="J200" s="15" t="str">
        <f>IFERROR(INDEX('Formulación PDN 2027'!$T$7:$T$506,MATCH(ROW()-5,'Formulación PDN 2027'!$AK$7:$AK$506,0))&amp;"","")</f>
        <v/>
      </c>
      <c r="K200" s="43" t="str">
        <f>IFERROR(INDEX('Formulación PDN 2027'!$W$7:$W$506,MATCH(ROW()-5,'Formulación PDN 2027'!$AK$7:$AK$506,0)),"")</f>
        <v/>
      </c>
      <c r="L200" s="43" t="str">
        <f>IFERROR(INDEX('Formulación PDN 2027'!$X$7:$X$506,MATCH(ROW()-5,'Formulación PDN 2027'!$AK$7:$AK$506,0)),"")</f>
        <v/>
      </c>
      <c r="M200" s="15" t="str">
        <f>IFERROR(INDEX('Formulación PDN 2027'!$Y$7:$Y$506,MATCH(ROW()-5,'Formulación PDN 2027'!$AK$7:$AK$506,0))&amp;"","")</f>
        <v/>
      </c>
      <c r="N200" s="15" t="str">
        <f>IFERROR(INDEX('Formulación PDN 2027'!$Z$7:$Z$506,MATCH(ROW()-5,'Formulación PDN 2027'!$AK$7:$AK$506,0))&amp;"","")</f>
        <v/>
      </c>
      <c r="O200" s="15"/>
      <c r="P200" s="15" t="str">
        <f>IFERROR(INDEX('Formulación PDN 2027'!$AA$7:$AA$506,MATCH(ROW()-5,'Formulación PDN 2027'!$AK$7:$AK$506,0))&amp;"","")</f>
        <v/>
      </c>
      <c r="Q200" s="15" t="str">
        <f>IFERROR(INDEX('Formulación PDN 2027'!$AB$7:$AB$506,MATCH(ROW()-5,'Formulación PDN 2027'!$AK$7:$AK$506,0))&amp;"","")</f>
        <v/>
      </c>
      <c r="R200" s="15" t="str">
        <f>IFERROR(INDEX('Formulación PDN 2027'!$AD$7:$AD$506,MATCH(ROW()-5,'Formulación PDN 2027'!$AK$7:$AK$506,0))&amp;"","")</f>
        <v/>
      </c>
      <c r="S200" s="15" t="str">
        <f>IFERROR(INDEX('Formulación PDN 2027'!$AE$7:$AE$506,MATCH(ROW()-5,'Formulación PDN 2027'!$AK$7:$AK$506,0))&amp;"","")</f>
        <v/>
      </c>
      <c r="T200" s="15" t="str">
        <f>IFERROR(INDEX('Formulación PDN 2027'!$C$7:$C$506,MATCH(ROW()-5,'Formulación PDN 2027'!$AK$7:$AK$506,0))&amp;"","")</f>
        <v/>
      </c>
      <c r="U200" s="15" t="str">
        <f>IFERROR(INDEX('Formulación PDN 2027'!$B$7:$B$506,MATCH(ROW()-5,'Formulación PDN 2027'!$AK$7:$AK$506,0))&amp;"","")</f>
        <v/>
      </c>
      <c r="V200" s="15" t="str">
        <f>IFERROR(LEFT(INDEX('Formulación PDN 2027'!$E$7:$E$506,MATCH(ROW()-5,'Formulación PDN 2027'!$AK$7:$AK$506,0)),7),"")</f>
        <v/>
      </c>
      <c r="W200" s="15" t="str">
        <f>IFERROR(INDEX('Formulación PDN 2027'!$H$7:$H$506,MATCH(ROW()-5,'Formulación PDN 2027'!$AK$7:$AK$506,0))&amp;"","")</f>
        <v/>
      </c>
      <c r="X200" s="15" t="str">
        <f>IFERROR(INDEX('Formulación PDN 2027'!$U$7:$U$506,MATCH(ROW()-5,'Formulación PDN 2027'!$AK$7:$AK$506,0))&amp;"","")</f>
        <v/>
      </c>
      <c r="Y200" s="15" t="str">
        <f>IFERROR(INDEX('Formulación PDN 2027'!$AH$7:$AH$506,MATCH(ROW()-5,'Formulación PDN 2027'!$AK$7:$AK$506,0))&amp;"","")</f>
        <v/>
      </c>
    </row>
    <row r="201" spans="1:25" x14ac:dyDescent="0.3">
      <c r="A201" s="15" t="str">
        <f>IFERROR(INDEX('Formulación PDN 2027'!$A$7:$A$506,MATCH(ROW()-5,'Formulación PDN 2027'!$AK$7:$AK$506,0))&amp;"","")</f>
        <v/>
      </c>
      <c r="B201" s="20" t="str">
        <f>IFERROR(INDEX('Formulación PDN 2027'!$M$7:$M$506,MATCH(ROW()-5,'Formulación PDN 2027'!$AK$7:$AK$506,0)),"")</f>
        <v/>
      </c>
      <c r="C201" s="15" t="str">
        <f>IFERROR(INDEX('Formulación PDN 2027'!$N$7:$N$506,MATCH(ROW()-5,'Formulación PDN 2027'!$AK$7:$AK$506,0))&amp;"","")</f>
        <v/>
      </c>
      <c r="D201" s="15" t="str">
        <f>IFERROR(INDEX('Formulación PDN 2027'!$L$7:$L$506,MATCH(ROW()-5,'Formulación PDN 2027'!$AK$7:$AK$506,0))&amp;"","")</f>
        <v/>
      </c>
      <c r="E201" s="15" t="str">
        <f>IFERROR(MATCH(INDEX('Formulación PDN 2027'!$O$7:$O$506,MATCH(ROW()-5,'Formulación PDN 2027'!$AK$7:$AK$506,0)),L_MESES,0),"")</f>
        <v/>
      </c>
      <c r="F201" s="15" t="str">
        <f>IFERROR(MATCH(INDEX('Formulación PDN 2027'!$P$7:$P$506,MATCH(ROW()-5,'Formulación PDN 2027'!$AK$7:$AK$506,0)),L_MESES,0),"")</f>
        <v/>
      </c>
      <c r="G201" s="15" t="str">
        <f>IFERROR(INDEX('Formulación PDN 2027'!$Q$7:$Q$506,MATCH(ROW()-5,'Formulación PDN 2027'!$AK$7:$AK$506,0)),"")</f>
        <v/>
      </c>
      <c r="H201" s="15" t="str">
        <f>IFERROR(INDEX('Formulación PDN 2027'!$R$7:$R$506,MATCH(ROW()-5,'Formulación PDN 2027'!$AK$7:$AK$506,0))&amp;"","")</f>
        <v/>
      </c>
      <c r="I201" s="15" t="str">
        <f>IFERROR(INDEX('Formulación PDN 2027'!$S$7:$S$506,MATCH(ROW()-5,'Formulación PDN 2027'!$AK$7:$AK$506,0))&amp;"","")</f>
        <v/>
      </c>
      <c r="J201" s="15" t="str">
        <f>IFERROR(INDEX('Formulación PDN 2027'!$T$7:$T$506,MATCH(ROW()-5,'Formulación PDN 2027'!$AK$7:$AK$506,0))&amp;"","")</f>
        <v/>
      </c>
      <c r="K201" s="43" t="str">
        <f>IFERROR(INDEX('Formulación PDN 2027'!$W$7:$W$506,MATCH(ROW()-5,'Formulación PDN 2027'!$AK$7:$AK$506,0)),"")</f>
        <v/>
      </c>
      <c r="L201" s="43" t="str">
        <f>IFERROR(INDEX('Formulación PDN 2027'!$X$7:$X$506,MATCH(ROW()-5,'Formulación PDN 2027'!$AK$7:$AK$506,0)),"")</f>
        <v/>
      </c>
      <c r="M201" s="15" t="str">
        <f>IFERROR(INDEX('Formulación PDN 2027'!$Y$7:$Y$506,MATCH(ROW()-5,'Formulación PDN 2027'!$AK$7:$AK$506,0))&amp;"","")</f>
        <v/>
      </c>
      <c r="N201" s="15" t="str">
        <f>IFERROR(INDEX('Formulación PDN 2027'!$Z$7:$Z$506,MATCH(ROW()-5,'Formulación PDN 2027'!$AK$7:$AK$506,0))&amp;"","")</f>
        <v/>
      </c>
      <c r="O201" s="15"/>
      <c r="P201" s="15" t="str">
        <f>IFERROR(INDEX('Formulación PDN 2027'!$AA$7:$AA$506,MATCH(ROW()-5,'Formulación PDN 2027'!$AK$7:$AK$506,0))&amp;"","")</f>
        <v/>
      </c>
      <c r="Q201" s="15" t="str">
        <f>IFERROR(INDEX('Formulación PDN 2027'!$AB$7:$AB$506,MATCH(ROW()-5,'Formulación PDN 2027'!$AK$7:$AK$506,0))&amp;"","")</f>
        <v/>
      </c>
      <c r="R201" s="15" t="str">
        <f>IFERROR(INDEX('Formulación PDN 2027'!$AD$7:$AD$506,MATCH(ROW()-5,'Formulación PDN 2027'!$AK$7:$AK$506,0))&amp;"","")</f>
        <v/>
      </c>
      <c r="S201" s="15" t="str">
        <f>IFERROR(INDEX('Formulación PDN 2027'!$AE$7:$AE$506,MATCH(ROW()-5,'Formulación PDN 2027'!$AK$7:$AK$506,0))&amp;"","")</f>
        <v/>
      </c>
      <c r="T201" s="15" t="str">
        <f>IFERROR(INDEX('Formulación PDN 2027'!$C$7:$C$506,MATCH(ROW()-5,'Formulación PDN 2027'!$AK$7:$AK$506,0))&amp;"","")</f>
        <v/>
      </c>
      <c r="U201" s="15" t="str">
        <f>IFERROR(INDEX('Formulación PDN 2027'!$B$7:$B$506,MATCH(ROW()-5,'Formulación PDN 2027'!$AK$7:$AK$506,0))&amp;"","")</f>
        <v/>
      </c>
      <c r="V201" s="15" t="str">
        <f>IFERROR(LEFT(INDEX('Formulación PDN 2027'!$E$7:$E$506,MATCH(ROW()-5,'Formulación PDN 2027'!$AK$7:$AK$506,0)),7),"")</f>
        <v/>
      </c>
      <c r="W201" s="15" t="str">
        <f>IFERROR(INDEX('Formulación PDN 2027'!$H$7:$H$506,MATCH(ROW()-5,'Formulación PDN 2027'!$AK$7:$AK$506,0))&amp;"","")</f>
        <v/>
      </c>
      <c r="X201" s="15" t="str">
        <f>IFERROR(INDEX('Formulación PDN 2027'!$U$7:$U$506,MATCH(ROW()-5,'Formulación PDN 2027'!$AK$7:$AK$506,0))&amp;"","")</f>
        <v/>
      </c>
      <c r="Y201" s="15" t="str">
        <f>IFERROR(INDEX('Formulación PDN 2027'!$AH$7:$AH$506,MATCH(ROW()-5,'Formulación PDN 2027'!$AK$7:$AK$506,0))&amp;"","")</f>
        <v/>
      </c>
    </row>
    <row r="202" spans="1:25" x14ac:dyDescent="0.3">
      <c r="A202" s="15" t="str">
        <f>IFERROR(INDEX('Formulación PDN 2027'!$A$7:$A$506,MATCH(ROW()-5,'Formulación PDN 2027'!$AK$7:$AK$506,0))&amp;"","")</f>
        <v/>
      </c>
      <c r="B202" s="20" t="str">
        <f>IFERROR(INDEX('Formulación PDN 2027'!$M$7:$M$506,MATCH(ROW()-5,'Formulación PDN 2027'!$AK$7:$AK$506,0)),"")</f>
        <v/>
      </c>
      <c r="C202" s="15" t="str">
        <f>IFERROR(INDEX('Formulación PDN 2027'!$N$7:$N$506,MATCH(ROW()-5,'Formulación PDN 2027'!$AK$7:$AK$506,0))&amp;"","")</f>
        <v/>
      </c>
      <c r="D202" s="15" t="str">
        <f>IFERROR(INDEX('Formulación PDN 2027'!$L$7:$L$506,MATCH(ROW()-5,'Formulación PDN 2027'!$AK$7:$AK$506,0))&amp;"","")</f>
        <v/>
      </c>
      <c r="E202" s="15" t="str">
        <f>IFERROR(MATCH(INDEX('Formulación PDN 2027'!$O$7:$O$506,MATCH(ROW()-5,'Formulación PDN 2027'!$AK$7:$AK$506,0)),L_MESES,0),"")</f>
        <v/>
      </c>
      <c r="F202" s="15" t="str">
        <f>IFERROR(MATCH(INDEX('Formulación PDN 2027'!$P$7:$P$506,MATCH(ROW()-5,'Formulación PDN 2027'!$AK$7:$AK$506,0)),L_MESES,0),"")</f>
        <v/>
      </c>
      <c r="G202" s="15" t="str">
        <f>IFERROR(INDEX('Formulación PDN 2027'!$Q$7:$Q$506,MATCH(ROW()-5,'Formulación PDN 2027'!$AK$7:$AK$506,0)),"")</f>
        <v/>
      </c>
      <c r="H202" s="15" t="str">
        <f>IFERROR(INDEX('Formulación PDN 2027'!$R$7:$R$506,MATCH(ROW()-5,'Formulación PDN 2027'!$AK$7:$AK$506,0))&amp;"","")</f>
        <v/>
      </c>
      <c r="I202" s="15" t="str">
        <f>IFERROR(INDEX('Formulación PDN 2027'!$S$7:$S$506,MATCH(ROW()-5,'Formulación PDN 2027'!$AK$7:$AK$506,0))&amp;"","")</f>
        <v/>
      </c>
      <c r="J202" s="15" t="str">
        <f>IFERROR(INDEX('Formulación PDN 2027'!$T$7:$T$506,MATCH(ROW()-5,'Formulación PDN 2027'!$AK$7:$AK$506,0))&amp;"","")</f>
        <v/>
      </c>
      <c r="K202" s="43" t="str">
        <f>IFERROR(INDEX('Formulación PDN 2027'!$W$7:$W$506,MATCH(ROW()-5,'Formulación PDN 2027'!$AK$7:$AK$506,0)),"")</f>
        <v/>
      </c>
      <c r="L202" s="43" t="str">
        <f>IFERROR(INDEX('Formulación PDN 2027'!$X$7:$X$506,MATCH(ROW()-5,'Formulación PDN 2027'!$AK$7:$AK$506,0)),"")</f>
        <v/>
      </c>
      <c r="M202" s="15" t="str">
        <f>IFERROR(INDEX('Formulación PDN 2027'!$Y$7:$Y$506,MATCH(ROW()-5,'Formulación PDN 2027'!$AK$7:$AK$506,0))&amp;"","")</f>
        <v/>
      </c>
      <c r="N202" s="15" t="str">
        <f>IFERROR(INDEX('Formulación PDN 2027'!$Z$7:$Z$506,MATCH(ROW()-5,'Formulación PDN 2027'!$AK$7:$AK$506,0))&amp;"","")</f>
        <v/>
      </c>
      <c r="O202" s="15"/>
      <c r="P202" s="15" t="str">
        <f>IFERROR(INDEX('Formulación PDN 2027'!$AA$7:$AA$506,MATCH(ROW()-5,'Formulación PDN 2027'!$AK$7:$AK$506,0))&amp;"","")</f>
        <v/>
      </c>
      <c r="Q202" s="15" t="str">
        <f>IFERROR(INDEX('Formulación PDN 2027'!$AB$7:$AB$506,MATCH(ROW()-5,'Formulación PDN 2027'!$AK$7:$AK$506,0))&amp;"","")</f>
        <v/>
      </c>
      <c r="R202" s="15" t="str">
        <f>IFERROR(INDEX('Formulación PDN 2027'!$AD$7:$AD$506,MATCH(ROW()-5,'Formulación PDN 2027'!$AK$7:$AK$506,0))&amp;"","")</f>
        <v/>
      </c>
      <c r="S202" s="15" t="str">
        <f>IFERROR(INDEX('Formulación PDN 2027'!$AE$7:$AE$506,MATCH(ROW()-5,'Formulación PDN 2027'!$AK$7:$AK$506,0))&amp;"","")</f>
        <v/>
      </c>
      <c r="T202" s="15" t="str">
        <f>IFERROR(INDEX('Formulación PDN 2027'!$C$7:$C$506,MATCH(ROW()-5,'Formulación PDN 2027'!$AK$7:$AK$506,0))&amp;"","")</f>
        <v/>
      </c>
      <c r="U202" s="15" t="str">
        <f>IFERROR(INDEX('Formulación PDN 2027'!$B$7:$B$506,MATCH(ROW()-5,'Formulación PDN 2027'!$AK$7:$AK$506,0))&amp;"","")</f>
        <v/>
      </c>
      <c r="V202" s="15" t="str">
        <f>IFERROR(LEFT(INDEX('Formulación PDN 2027'!$E$7:$E$506,MATCH(ROW()-5,'Formulación PDN 2027'!$AK$7:$AK$506,0)),7),"")</f>
        <v/>
      </c>
      <c r="W202" s="15" t="str">
        <f>IFERROR(INDEX('Formulación PDN 2027'!$H$7:$H$506,MATCH(ROW()-5,'Formulación PDN 2027'!$AK$7:$AK$506,0))&amp;"","")</f>
        <v/>
      </c>
      <c r="X202" s="15" t="str">
        <f>IFERROR(INDEX('Formulación PDN 2027'!$U$7:$U$506,MATCH(ROW()-5,'Formulación PDN 2027'!$AK$7:$AK$506,0))&amp;"","")</f>
        <v/>
      </c>
      <c r="Y202" s="15" t="str">
        <f>IFERROR(INDEX('Formulación PDN 2027'!$AH$7:$AH$506,MATCH(ROW()-5,'Formulación PDN 2027'!$AK$7:$AK$506,0))&amp;"","")</f>
        <v/>
      </c>
    </row>
    <row r="203" spans="1:25" x14ac:dyDescent="0.3">
      <c r="A203" s="15" t="str">
        <f>IFERROR(INDEX('Formulación PDN 2027'!$A$7:$A$506,MATCH(ROW()-5,'Formulación PDN 2027'!$AK$7:$AK$506,0))&amp;"","")</f>
        <v/>
      </c>
      <c r="B203" s="20" t="str">
        <f>IFERROR(INDEX('Formulación PDN 2027'!$M$7:$M$506,MATCH(ROW()-5,'Formulación PDN 2027'!$AK$7:$AK$506,0)),"")</f>
        <v/>
      </c>
      <c r="C203" s="15" t="str">
        <f>IFERROR(INDEX('Formulación PDN 2027'!$N$7:$N$506,MATCH(ROW()-5,'Formulación PDN 2027'!$AK$7:$AK$506,0))&amp;"","")</f>
        <v/>
      </c>
      <c r="D203" s="15" t="str">
        <f>IFERROR(INDEX('Formulación PDN 2027'!$L$7:$L$506,MATCH(ROW()-5,'Formulación PDN 2027'!$AK$7:$AK$506,0))&amp;"","")</f>
        <v/>
      </c>
      <c r="E203" s="15" t="str">
        <f>IFERROR(MATCH(INDEX('Formulación PDN 2027'!$O$7:$O$506,MATCH(ROW()-5,'Formulación PDN 2027'!$AK$7:$AK$506,0)),L_MESES,0),"")</f>
        <v/>
      </c>
      <c r="F203" s="15" t="str">
        <f>IFERROR(MATCH(INDEX('Formulación PDN 2027'!$P$7:$P$506,MATCH(ROW()-5,'Formulación PDN 2027'!$AK$7:$AK$506,0)),L_MESES,0),"")</f>
        <v/>
      </c>
      <c r="G203" s="15" t="str">
        <f>IFERROR(INDEX('Formulación PDN 2027'!$Q$7:$Q$506,MATCH(ROW()-5,'Formulación PDN 2027'!$AK$7:$AK$506,0)),"")</f>
        <v/>
      </c>
      <c r="H203" s="15" t="str">
        <f>IFERROR(INDEX('Formulación PDN 2027'!$R$7:$R$506,MATCH(ROW()-5,'Formulación PDN 2027'!$AK$7:$AK$506,0))&amp;"","")</f>
        <v/>
      </c>
      <c r="I203" s="15" t="str">
        <f>IFERROR(INDEX('Formulación PDN 2027'!$S$7:$S$506,MATCH(ROW()-5,'Formulación PDN 2027'!$AK$7:$AK$506,0))&amp;"","")</f>
        <v/>
      </c>
      <c r="J203" s="15" t="str">
        <f>IFERROR(INDEX('Formulación PDN 2027'!$T$7:$T$506,MATCH(ROW()-5,'Formulación PDN 2027'!$AK$7:$AK$506,0))&amp;"","")</f>
        <v/>
      </c>
      <c r="K203" s="43" t="str">
        <f>IFERROR(INDEX('Formulación PDN 2027'!$W$7:$W$506,MATCH(ROW()-5,'Formulación PDN 2027'!$AK$7:$AK$506,0)),"")</f>
        <v/>
      </c>
      <c r="L203" s="43" t="str">
        <f>IFERROR(INDEX('Formulación PDN 2027'!$X$7:$X$506,MATCH(ROW()-5,'Formulación PDN 2027'!$AK$7:$AK$506,0)),"")</f>
        <v/>
      </c>
      <c r="M203" s="15" t="str">
        <f>IFERROR(INDEX('Formulación PDN 2027'!$Y$7:$Y$506,MATCH(ROW()-5,'Formulación PDN 2027'!$AK$7:$AK$506,0))&amp;"","")</f>
        <v/>
      </c>
      <c r="N203" s="15" t="str">
        <f>IFERROR(INDEX('Formulación PDN 2027'!$Z$7:$Z$506,MATCH(ROW()-5,'Formulación PDN 2027'!$AK$7:$AK$506,0))&amp;"","")</f>
        <v/>
      </c>
      <c r="O203" s="15"/>
      <c r="P203" s="15" t="str">
        <f>IFERROR(INDEX('Formulación PDN 2027'!$AA$7:$AA$506,MATCH(ROW()-5,'Formulación PDN 2027'!$AK$7:$AK$506,0))&amp;"","")</f>
        <v/>
      </c>
      <c r="Q203" s="15" t="str">
        <f>IFERROR(INDEX('Formulación PDN 2027'!$AB$7:$AB$506,MATCH(ROW()-5,'Formulación PDN 2027'!$AK$7:$AK$506,0))&amp;"","")</f>
        <v/>
      </c>
      <c r="R203" s="15" t="str">
        <f>IFERROR(INDEX('Formulación PDN 2027'!$AD$7:$AD$506,MATCH(ROW()-5,'Formulación PDN 2027'!$AK$7:$AK$506,0))&amp;"","")</f>
        <v/>
      </c>
      <c r="S203" s="15" t="str">
        <f>IFERROR(INDEX('Formulación PDN 2027'!$AE$7:$AE$506,MATCH(ROW()-5,'Formulación PDN 2027'!$AK$7:$AK$506,0))&amp;"","")</f>
        <v/>
      </c>
      <c r="T203" s="15" t="str">
        <f>IFERROR(INDEX('Formulación PDN 2027'!$C$7:$C$506,MATCH(ROW()-5,'Formulación PDN 2027'!$AK$7:$AK$506,0))&amp;"","")</f>
        <v/>
      </c>
      <c r="U203" s="15" t="str">
        <f>IFERROR(INDEX('Formulación PDN 2027'!$B$7:$B$506,MATCH(ROW()-5,'Formulación PDN 2027'!$AK$7:$AK$506,0))&amp;"","")</f>
        <v/>
      </c>
      <c r="V203" s="15" t="str">
        <f>IFERROR(LEFT(INDEX('Formulación PDN 2027'!$E$7:$E$506,MATCH(ROW()-5,'Formulación PDN 2027'!$AK$7:$AK$506,0)),7),"")</f>
        <v/>
      </c>
      <c r="W203" s="15" t="str">
        <f>IFERROR(INDEX('Formulación PDN 2027'!$H$7:$H$506,MATCH(ROW()-5,'Formulación PDN 2027'!$AK$7:$AK$506,0))&amp;"","")</f>
        <v/>
      </c>
      <c r="X203" s="15" t="str">
        <f>IFERROR(INDEX('Formulación PDN 2027'!$U$7:$U$506,MATCH(ROW()-5,'Formulación PDN 2027'!$AK$7:$AK$506,0))&amp;"","")</f>
        <v/>
      </c>
      <c r="Y203" s="15" t="str">
        <f>IFERROR(INDEX('Formulación PDN 2027'!$AH$7:$AH$506,MATCH(ROW()-5,'Formulación PDN 2027'!$AK$7:$AK$506,0))&amp;"","")</f>
        <v/>
      </c>
    </row>
    <row r="204" spans="1:25" x14ac:dyDescent="0.3">
      <c r="A204" s="15" t="str">
        <f>IFERROR(INDEX('Formulación PDN 2027'!$A$7:$A$506,MATCH(ROW()-5,'Formulación PDN 2027'!$AK$7:$AK$506,0))&amp;"","")</f>
        <v/>
      </c>
      <c r="B204" s="20" t="str">
        <f>IFERROR(INDEX('Formulación PDN 2027'!$M$7:$M$506,MATCH(ROW()-5,'Formulación PDN 2027'!$AK$7:$AK$506,0)),"")</f>
        <v/>
      </c>
      <c r="C204" s="15" t="str">
        <f>IFERROR(INDEX('Formulación PDN 2027'!$N$7:$N$506,MATCH(ROW()-5,'Formulación PDN 2027'!$AK$7:$AK$506,0))&amp;"","")</f>
        <v/>
      </c>
      <c r="D204" s="15" t="str">
        <f>IFERROR(INDEX('Formulación PDN 2027'!$L$7:$L$506,MATCH(ROW()-5,'Formulación PDN 2027'!$AK$7:$AK$506,0))&amp;"","")</f>
        <v/>
      </c>
      <c r="E204" s="15" t="str">
        <f>IFERROR(MATCH(INDEX('Formulación PDN 2027'!$O$7:$O$506,MATCH(ROW()-5,'Formulación PDN 2027'!$AK$7:$AK$506,0)),L_MESES,0),"")</f>
        <v/>
      </c>
      <c r="F204" s="15" t="str">
        <f>IFERROR(MATCH(INDEX('Formulación PDN 2027'!$P$7:$P$506,MATCH(ROW()-5,'Formulación PDN 2027'!$AK$7:$AK$506,0)),L_MESES,0),"")</f>
        <v/>
      </c>
      <c r="G204" s="15" t="str">
        <f>IFERROR(INDEX('Formulación PDN 2027'!$Q$7:$Q$506,MATCH(ROW()-5,'Formulación PDN 2027'!$AK$7:$AK$506,0)),"")</f>
        <v/>
      </c>
      <c r="H204" s="15" t="str">
        <f>IFERROR(INDEX('Formulación PDN 2027'!$R$7:$R$506,MATCH(ROW()-5,'Formulación PDN 2027'!$AK$7:$AK$506,0))&amp;"","")</f>
        <v/>
      </c>
      <c r="I204" s="15" t="str">
        <f>IFERROR(INDEX('Formulación PDN 2027'!$S$7:$S$506,MATCH(ROW()-5,'Formulación PDN 2027'!$AK$7:$AK$506,0))&amp;"","")</f>
        <v/>
      </c>
      <c r="J204" s="15" t="str">
        <f>IFERROR(INDEX('Formulación PDN 2027'!$T$7:$T$506,MATCH(ROW()-5,'Formulación PDN 2027'!$AK$7:$AK$506,0))&amp;"","")</f>
        <v/>
      </c>
      <c r="K204" s="43" t="str">
        <f>IFERROR(INDEX('Formulación PDN 2027'!$W$7:$W$506,MATCH(ROW()-5,'Formulación PDN 2027'!$AK$7:$AK$506,0)),"")</f>
        <v/>
      </c>
      <c r="L204" s="43" t="str">
        <f>IFERROR(INDEX('Formulación PDN 2027'!$X$7:$X$506,MATCH(ROW()-5,'Formulación PDN 2027'!$AK$7:$AK$506,0)),"")</f>
        <v/>
      </c>
      <c r="M204" s="15" t="str">
        <f>IFERROR(INDEX('Formulación PDN 2027'!$Y$7:$Y$506,MATCH(ROW()-5,'Formulación PDN 2027'!$AK$7:$AK$506,0))&amp;"","")</f>
        <v/>
      </c>
      <c r="N204" s="15" t="str">
        <f>IFERROR(INDEX('Formulación PDN 2027'!$Z$7:$Z$506,MATCH(ROW()-5,'Formulación PDN 2027'!$AK$7:$AK$506,0))&amp;"","")</f>
        <v/>
      </c>
      <c r="O204" s="15"/>
      <c r="P204" s="15" t="str">
        <f>IFERROR(INDEX('Formulación PDN 2027'!$AA$7:$AA$506,MATCH(ROW()-5,'Formulación PDN 2027'!$AK$7:$AK$506,0))&amp;"","")</f>
        <v/>
      </c>
      <c r="Q204" s="15" t="str">
        <f>IFERROR(INDEX('Formulación PDN 2027'!$AB$7:$AB$506,MATCH(ROW()-5,'Formulación PDN 2027'!$AK$7:$AK$506,0))&amp;"","")</f>
        <v/>
      </c>
      <c r="R204" s="15" t="str">
        <f>IFERROR(INDEX('Formulación PDN 2027'!$AD$7:$AD$506,MATCH(ROW()-5,'Formulación PDN 2027'!$AK$7:$AK$506,0))&amp;"","")</f>
        <v/>
      </c>
      <c r="S204" s="15" t="str">
        <f>IFERROR(INDEX('Formulación PDN 2027'!$AE$7:$AE$506,MATCH(ROW()-5,'Formulación PDN 2027'!$AK$7:$AK$506,0))&amp;"","")</f>
        <v/>
      </c>
      <c r="T204" s="15" t="str">
        <f>IFERROR(INDEX('Formulación PDN 2027'!$C$7:$C$506,MATCH(ROW()-5,'Formulación PDN 2027'!$AK$7:$AK$506,0))&amp;"","")</f>
        <v/>
      </c>
      <c r="U204" s="15" t="str">
        <f>IFERROR(INDEX('Formulación PDN 2027'!$B$7:$B$506,MATCH(ROW()-5,'Formulación PDN 2027'!$AK$7:$AK$506,0))&amp;"","")</f>
        <v/>
      </c>
      <c r="V204" s="15" t="str">
        <f>IFERROR(LEFT(INDEX('Formulación PDN 2027'!$E$7:$E$506,MATCH(ROW()-5,'Formulación PDN 2027'!$AK$7:$AK$506,0)),7),"")</f>
        <v/>
      </c>
      <c r="W204" s="15" t="str">
        <f>IFERROR(INDEX('Formulación PDN 2027'!$H$7:$H$506,MATCH(ROW()-5,'Formulación PDN 2027'!$AK$7:$AK$506,0))&amp;"","")</f>
        <v/>
      </c>
      <c r="X204" s="15" t="str">
        <f>IFERROR(INDEX('Formulación PDN 2027'!$U$7:$U$506,MATCH(ROW()-5,'Formulación PDN 2027'!$AK$7:$AK$506,0))&amp;"","")</f>
        <v/>
      </c>
      <c r="Y204" s="15" t="str">
        <f>IFERROR(INDEX('Formulación PDN 2027'!$AH$7:$AH$506,MATCH(ROW()-5,'Formulación PDN 2027'!$AK$7:$AK$506,0))&amp;"","")</f>
        <v/>
      </c>
    </row>
    <row r="205" spans="1:25" x14ac:dyDescent="0.3">
      <c r="A205" s="15" t="str">
        <f>IFERROR(INDEX('Formulación PDN 2027'!$A$7:$A$506,MATCH(ROW()-5,'Formulación PDN 2027'!$AK$7:$AK$506,0))&amp;"","")</f>
        <v/>
      </c>
      <c r="B205" s="20" t="str">
        <f>IFERROR(INDEX('Formulación PDN 2027'!$M$7:$M$506,MATCH(ROW()-5,'Formulación PDN 2027'!$AK$7:$AK$506,0)),"")</f>
        <v/>
      </c>
      <c r="C205" s="15" t="str">
        <f>IFERROR(INDEX('Formulación PDN 2027'!$N$7:$N$506,MATCH(ROW()-5,'Formulación PDN 2027'!$AK$7:$AK$506,0))&amp;"","")</f>
        <v/>
      </c>
      <c r="D205" s="15" t="str">
        <f>IFERROR(INDEX('Formulación PDN 2027'!$L$7:$L$506,MATCH(ROW()-5,'Formulación PDN 2027'!$AK$7:$AK$506,0))&amp;"","")</f>
        <v/>
      </c>
      <c r="E205" s="15" t="str">
        <f>IFERROR(MATCH(INDEX('Formulación PDN 2027'!$O$7:$O$506,MATCH(ROW()-5,'Formulación PDN 2027'!$AK$7:$AK$506,0)),L_MESES,0),"")</f>
        <v/>
      </c>
      <c r="F205" s="15" t="str">
        <f>IFERROR(MATCH(INDEX('Formulación PDN 2027'!$P$7:$P$506,MATCH(ROW()-5,'Formulación PDN 2027'!$AK$7:$AK$506,0)),L_MESES,0),"")</f>
        <v/>
      </c>
      <c r="G205" s="15" t="str">
        <f>IFERROR(INDEX('Formulación PDN 2027'!$Q$7:$Q$506,MATCH(ROW()-5,'Formulación PDN 2027'!$AK$7:$AK$506,0)),"")</f>
        <v/>
      </c>
      <c r="H205" s="15" t="str">
        <f>IFERROR(INDEX('Formulación PDN 2027'!$R$7:$R$506,MATCH(ROW()-5,'Formulación PDN 2027'!$AK$7:$AK$506,0))&amp;"","")</f>
        <v/>
      </c>
      <c r="I205" s="15" t="str">
        <f>IFERROR(INDEX('Formulación PDN 2027'!$S$7:$S$506,MATCH(ROW()-5,'Formulación PDN 2027'!$AK$7:$AK$506,0))&amp;"","")</f>
        <v/>
      </c>
      <c r="J205" s="15" t="str">
        <f>IFERROR(INDEX('Formulación PDN 2027'!$T$7:$T$506,MATCH(ROW()-5,'Formulación PDN 2027'!$AK$7:$AK$506,0))&amp;"","")</f>
        <v/>
      </c>
      <c r="K205" s="43" t="str">
        <f>IFERROR(INDEX('Formulación PDN 2027'!$W$7:$W$506,MATCH(ROW()-5,'Formulación PDN 2027'!$AK$7:$AK$506,0)),"")</f>
        <v/>
      </c>
      <c r="L205" s="43" t="str">
        <f>IFERROR(INDEX('Formulación PDN 2027'!$X$7:$X$506,MATCH(ROW()-5,'Formulación PDN 2027'!$AK$7:$AK$506,0)),"")</f>
        <v/>
      </c>
      <c r="M205" s="15" t="str">
        <f>IFERROR(INDEX('Formulación PDN 2027'!$Y$7:$Y$506,MATCH(ROW()-5,'Formulación PDN 2027'!$AK$7:$AK$506,0))&amp;"","")</f>
        <v/>
      </c>
      <c r="N205" s="15" t="str">
        <f>IFERROR(INDEX('Formulación PDN 2027'!$Z$7:$Z$506,MATCH(ROW()-5,'Formulación PDN 2027'!$AK$7:$AK$506,0))&amp;"","")</f>
        <v/>
      </c>
      <c r="O205" s="15"/>
      <c r="P205" s="15" t="str">
        <f>IFERROR(INDEX('Formulación PDN 2027'!$AA$7:$AA$506,MATCH(ROW()-5,'Formulación PDN 2027'!$AK$7:$AK$506,0))&amp;"","")</f>
        <v/>
      </c>
      <c r="Q205" s="15" t="str">
        <f>IFERROR(INDEX('Formulación PDN 2027'!$AB$7:$AB$506,MATCH(ROW()-5,'Formulación PDN 2027'!$AK$7:$AK$506,0))&amp;"","")</f>
        <v/>
      </c>
      <c r="R205" s="15" t="str">
        <f>IFERROR(INDEX('Formulación PDN 2027'!$AD$7:$AD$506,MATCH(ROW()-5,'Formulación PDN 2027'!$AK$7:$AK$506,0))&amp;"","")</f>
        <v/>
      </c>
      <c r="S205" s="15" t="str">
        <f>IFERROR(INDEX('Formulación PDN 2027'!$AE$7:$AE$506,MATCH(ROW()-5,'Formulación PDN 2027'!$AK$7:$AK$506,0))&amp;"","")</f>
        <v/>
      </c>
      <c r="T205" s="15" t="str">
        <f>IFERROR(INDEX('Formulación PDN 2027'!$C$7:$C$506,MATCH(ROW()-5,'Formulación PDN 2027'!$AK$7:$AK$506,0))&amp;"","")</f>
        <v/>
      </c>
      <c r="U205" s="15" t="str">
        <f>IFERROR(INDEX('Formulación PDN 2027'!$B$7:$B$506,MATCH(ROW()-5,'Formulación PDN 2027'!$AK$7:$AK$506,0))&amp;"","")</f>
        <v/>
      </c>
      <c r="V205" s="15" t="str">
        <f>IFERROR(LEFT(INDEX('Formulación PDN 2027'!$E$7:$E$506,MATCH(ROW()-5,'Formulación PDN 2027'!$AK$7:$AK$506,0)),7),"")</f>
        <v/>
      </c>
      <c r="W205" s="15" t="str">
        <f>IFERROR(INDEX('Formulación PDN 2027'!$H$7:$H$506,MATCH(ROW()-5,'Formulación PDN 2027'!$AK$7:$AK$506,0))&amp;"","")</f>
        <v/>
      </c>
      <c r="X205" s="15" t="str">
        <f>IFERROR(INDEX('Formulación PDN 2027'!$U$7:$U$506,MATCH(ROW()-5,'Formulación PDN 2027'!$AK$7:$AK$506,0))&amp;"","")</f>
        <v/>
      </c>
      <c r="Y205" s="15" t="str">
        <f>IFERROR(INDEX('Formulación PDN 2027'!$AH$7:$AH$506,MATCH(ROW()-5,'Formulación PDN 2027'!$AK$7:$AK$506,0))&amp;"","")</f>
        <v/>
      </c>
    </row>
    <row r="206" spans="1:25" x14ac:dyDescent="0.3">
      <c r="A206" s="15" t="str">
        <f>IFERROR(INDEX('Formulación PDN 2027'!$A$7:$A$506,MATCH(ROW()-5,'Formulación PDN 2027'!$AK$7:$AK$506,0))&amp;"","")</f>
        <v/>
      </c>
      <c r="B206" s="20" t="str">
        <f>IFERROR(INDEX('Formulación PDN 2027'!$M$7:$M$506,MATCH(ROW()-5,'Formulación PDN 2027'!$AK$7:$AK$506,0)),"")</f>
        <v/>
      </c>
      <c r="C206" s="15" t="str">
        <f>IFERROR(INDEX('Formulación PDN 2027'!$N$7:$N$506,MATCH(ROW()-5,'Formulación PDN 2027'!$AK$7:$AK$506,0))&amp;"","")</f>
        <v/>
      </c>
      <c r="D206" s="15" t="str">
        <f>IFERROR(INDEX('Formulación PDN 2027'!$L$7:$L$506,MATCH(ROW()-5,'Formulación PDN 2027'!$AK$7:$AK$506,0))&amp;"","")</f>
        <v/>
      </c>
      <c r="E206" s="15" t="str">
        <f>IFERROR(MATCH(INDEX('Formulación PDN 2027'!$O$7:$O$506,MATCH(ROW()-5,'Formulación PDN 2027'!$AK$7:$AK$506,0)),L_MESES,0),"")</f>
        <v/>
      </c>
      <c r="F206" s="15" t="str">
        <f>IFERROR(MATCH(INDEX('Formulación PDN 2027'!$P$7:$P$506,MATCH(ROW()-5,'Formulación PDN 2027'!$AK$7:$AK$506,0)),L_MESES,0),"")</f>
        <v/>
      </c>
      <c r="G206" s="15" t="str">
        <f>IFERROR(INDEX('Formulación PDN 2027'!$Q$7:$Q$506,MATCH(ROW()-5,'Formulación PDN 2027'!$AK$7:$AK$506,0)),"")</f>
        <v/>
      </c>
      <c r="H206" s="15" t="str">
        <f>IFERROR(INDEX('Formulación PDN 2027'!$R$7:$R$506,MATCH(ROW()-5,'Formulación PDN 2027'!$AK$7:$AK$506,0))&amp;"","")</f>
        <v/>
      </c>
      <c r="I206" s="15" t="str">
        <f>IFERROR(INDEX('Formulación PDN 2027'!$S$7:$S$506,MATCH(ROW()-5,'Formulación PDN 2027'!$AK$7:$AK$506,0))&amp;"","")</f>
        <v/>
      </c>
      <c r="J206" s="15" t="str">
        <f>IFERROR(INDEX('Formulación PDN 2027'!$T$7:$T$506,MATCH(ROW()-5,'Formulación PDN 2027'!$AK$7:$AK$506,0))&amp;"","")</f>
        <v/>
      </c>
      <c r="K206" s="43" t="str">
        <f>IFERROR(INDEX('Formulación PDN 2027'!$W$7:$W$506,MATCH(ROW()-5,'Formulación PDN 2027'!$AK$7:$AK$506,0)),"")</f>
        <v/>
      </c>
      <c r="L206" s="43" t="str">
        <f>IFERROR(INDEX('Formulación PDN 2027'!$X$7:$X$506,MATCH(ROW()-5,'Formulación PDN 2027'!$AK$7:$AK$506,0)),"")</f>
        <v/>
      </c>
      <c r="M206" s="15" t="str">
        <f>IFERROR(INDEX('Formulación PDN 2027'!$Y$7:$Y$506,MATCH(ROW()-5,'Formulación PDN 2027'!$AK$7:$AK$506,0))&amp;"","")</f>
        <v/>
      </c>
      <c r="N206" s="15" t="str">
        <f>IFERROR(INDEX('Formulación PDN 2027'!$Z$7:$Z$506,MATCH(ROW()-5,'Formulación PDN 2027'!$AK$7:$AK$506,0))&amp;"","")</f>
        <v/>
      </c>
      <c r="O206" s="15"/>
      <c r="P206" s="15" t="str">
        <f>IFERROR(INDEX('Formulación PDN 2027'!$AA$7:$AA$506,MATCH(ROW()-5,'Formulación PDN 2027'!$AK$7:$AK$506,0))&amp;"","")</f>
        <v/>
      </c>
      <c r="Q206" s="15" t="str">
        <f>IFERROR(INDEX('Formulación PDN 2027'!$AB$7:$AB$506,MATCH(ROW()-5,'Formulación PDN 2027'!$AK$7:$AK$506,0))&amp;"","")</f>
        <v/>
      </c>
      <c r="R206" s="15" t="str">
        <f>IFERROR(INDEX('Formulación PDN 2027'!$AD$7:$AD$506,MATCH(ROW()-5,'Formulación PDN 2027'!$AK$7:$AK$506,0))&amp;"","")</f>
        <v/>
      </c>
      <c r="S206" s="15" t="str">
        <f>IFERROR(INDEX('Formulación PDN 2027'!$AE$7:$AE$506,MATCH(ROW()-5,'Formulación PDN 2027'!$AK$7:$AK$506,0))&amp;"","")</f>
        <v/>
      </c>
      <c r="T206" s="15" t="str">
        <f>IFERROR(INDEX('Formulación PDN 2027'!$C$7:$C$506,MATCH(ROW()-5,'Formulación PDN 2027'!$AK$7:$AK$506,0))&amp;"","")</f>
        <v/>
      </c>
      <c r="U206" s="15" t="str">
        <f>IFERROR(INDEX('Formulación PDN 2027'!$B$7:$B$506,MATCH(ROW()-5,'Formulación PDN 2027'!$AK$7:$AK$506,0))&amp;"","")</f>
        <v/>
      </c>
      <c r="V206" s="15" t="str">
        <f>IFERROR(LEFT(INDEX('Formulación PDN 2027'!$E$7:$E$506,MATCH(ROW()-5,'Formulación PDN 2027'!$AK$7:$AK$506,0)),7),"")</f>
        <v/>
      </c>
      <c r="W206" s="15" t="str">
        <f>IFERROR(INDEX('Formulación PDN 2027'!$H$7:$H$506,MATCH(ROW()-5,'Formulación PDN 2027'!$AK$7:$AK$506,0))&amp;"","")</f>
        <v/>
      </c>
      <c r="X206" s="15" t="str">
        <f>IFERROR(INDEX('Formulación PDN 2027'!$U$7:$U$506,MATCH(ROW()-5,'Formulación PDN 2027'!$AK$7:$AK$506,0))&amp;"","")</f>
        <v/>
      </c>
      <c r="Y206" s="15" t="str">
        <f>IFERROR(INDEX('Formulación PDN 2027'!$AH$7:$AH$506,MATCH(ROW()-5,'Formulación PDN 2027'!$AK$7:$AK$506,0))&amp;"","")</f>
        <v/>
      </c>
    </row>
    <row r="207" spans="1:25" x14ac:dyDescent="0.3">
      <c r="A207" s="15" t="str">
        <f>IFERROR(INDEX('Formulación PDN 2027'!$A$7:$A$506,MATCH(ROW()-5,'Formulación PDN 2027'!$AK$7:$AK$506,0))&amp;"","")</f>
        <v/>
      </c>
      <c r="B207" s="20" t="str">
        <f>IFERROR(INDEX('Formulación PDN 2027'!$M$7:$M$506,MATCH(ROW()-5,'Formulación PDN 2027'!$AK$7:$AK$506,0)),"")</f>
        <v/>
      </c>
      <c r="C207" s="15" t="str">
        <f>IFERROR(INDEX('Formulación PDN 2027'!$N$7:$N$506,MATCH(ROW()-5,'Formulación PDN 2027'!$AK$7:$AK$506,0))&amp;"","")</f>
        <v/>
      </c>
      <c r="D207" s="15" t="str">
        <f>IFERROR(INDEX('Formulación PDN 2027'!$L$7:$L$506,MATCH(ROW()-5,'Formulación PDN 2027'!$AK$7:$AK$506,0))&amp;"","")</f>
        <v/>
      </c>
      <c r="E207" s="15" t="str">
        <f>IFERROR(MATCH(INDEX('Formulación PDN 2027'!$O$7:$O$506,MATCH(ROW()-5,'Formulación PDN 2027'!$AK$7:$AK$506,0)),L_MESES,0),"")</f>
        <v/>
      </c>
      <c r="F207" s="15" t="str">
        <f>IFERROR(MATCH(INDEX('Formulación PDN 2027'!$P$7:$P$506,MATCH(ROW()-5,'Formulación PDN 2027'!$AK$7:$AK$506,0)),L_MESES,0),"")</f>
        <v/>
      </c>
      <c r="G207" s="15" t="str">
        <f>IFERROR(INDEX('Formulación PDN 2027'!$Q$7:$Q$506,MATCH(ROW()-5,'Formulación PDN 2027'!$AK$7:$AK$506,0)),"")</f>
        <v/>
      </c>
      <c r="H207" s="15" t="str">
        <f>IFERROR(INDEX('Formulación PDN 2027'!$R$7:$R$506,MATCH(ROW()-5,'Formulación PDN 2027'!$AK$7:$AK$506,0))&amp;"","")</f>
        <v/>
      </c>
      <c r="I207" s="15" t="str">
        <f>IFERROR(INDEX('Formulación PDN 2027'!$S$7:$S$506,MATCH(ROW()-5,'Formulación PDN 2027'!$AK$7:$AK$506,0))&amp;"","")</f>
        <v/>
      </c>
      <c r="J207" s="15" t="str">
        <f>IFERROR(INDEX('Formulación PDN 2027'!$T$7:$T$506,MATCH(ROW()-5,'Formulación PDN 2027'!$AK$7:$AK$506,0))&amp;"","")</f>
        <v/>
      </c>
      <c r="K207" s="43" t="str">
        <f>IFERROR(INDEX('Formulación PDN 2027'!$W$7:$W$506,MATCH(ROW()-5,'Formulación PDN 2027'!$AK$7:$AK$506,0)),"")</f>
        <v/>
      </c>
      <c r="L207" s="43" t="str">
        <f>IFERROR(INDEX('Formulación PDN 2027'!$X$7:$X$506,MATCH(ROW()-5,'Formulación PDN 2027'!$AK$7:$AK$506,0)),"")</f>
        <v/>
      </c>
      <c r="M207" s="15" t="str">
        <f>IFERROR(INDEX('Formulación PDN 2027'!$Y$7:$Y$506,MATCH(ROW()-5,'Formulación PDN 2027'!$AK$7:$AK$506,0))&amp;"","")</f>
        <v/>
      </c>
      <c r="N207" s="15" t="str">
        <f>IFERROR(INDEX('Formulación PDN 2027'!$Z$7:$Z$506,MATCH(ROW()-5,'Formulación PDN 2027'!$AK$7:$AK$506,0))&amp;"","")</f>
        <v/>
      </c>
      <c r="O207" s="15"/>
      <c r="P207" s="15" t="str">
        <f>IFERROR(INDEX('Formulación PDN 2027'!$AA$7:$AA$506,MATCH(ROW()-5,'Formulación PDN 2027'!$AK$7:$AK$506,0))&amp;"","")</f>
        <v/>
      </c>
      <c r="Q207" s="15" t="str">
        <f>IFERROR(INDEX('Formulación PDN 2027'!$AB$7:$AB$506,MATCH(ROW()-5,'Formulación PDN 2027'!$AK$7:$AK$506,0))&amp;"","")</f>
        <v/>
      </c>
      <c r="R207" s="15" t="str">
        <f>IFERROR(INDEX('Formulación PDN 2027'!$AD$7:$AD$506,MATCH(ROW()-5,'Formulación PDN 2027'!$AK$7:$AK$506,0))&amp;"","")</f>
        <v/>
      </c>
      <c r="S207" s="15" t="str">
        <f>IFERROR(INDEX('Formulación PDN 2027'!$AE$7:$AE$506,MATCH(ROW()-5,'Formulación PDN 2027'!$AK$7:$AK$506,0))&amp;"","")</f>
        <v/>
      </c>
      <c r="T207" s="15" t="str">
        <f>IFERROR(INDEX('Formulación PDN 2027'!$C$7:$C$506,MATCH(ROW()-5,'Formulación PDN 2027'!$AK$7:$AK$506,0))&amp;"","")</f>
        <v/>
      </c>
      <c r="U207" s="15" t="str">
        <f>IFERROR(INDEX('Formulación PDN 2027'!$B$7:$B$506,MATCH(ROW()-5,'Formulación PDN 2027'!$AK$7:$AK$506,0))&amp;"","")</f>
        <v/>
      </c>
      <c r="V207" s="15" t="str">
        <f>IFERROR(LEFT(INDEX('Formulación PDN 2027'!$E$7:$E$506,MATCH(ROW()-5,'Formulación PDN 2027'!$AK$7:$AK$506,0)),7),"")</f>
        <v/>
      </c>
      <c r="W207" s="15" t="str">
        <f>IFERROR(INDEX('Formulación PDN 2027'!$H$7:$H$506,MATCH(ROW()-5,'Formulación PDN 2027'!$AK$7:$AK$506,0))&amp;"","")</f>
        <v/>
      </c>
      <c r="X207" s="15" t="str">
        <f>IFERROR(INDEX('Formulación PDN 2027'!$U$7:$U$506,MATCH(ROW()-5,'Formulación PDN 2027'!$AK$7:$AK$506,0))&amp;"","")</f>
        <v/>
      </c>
      <c r="Y207" s="15" t="str">
        <f>IFERROR(INDEX('Formulación PDN 2027'!$AH$7:$AH$506,MATCH(ROW()-5,'Formulación PDN 2027'!$AK$7:$AK$506,0))&amp;"","")</f>
        <v/>
      </c>
    </row>
    <row r="208" spans="1:25" x14ac:dyDescent="0.3">
      <c r="A208" s="15" t="str">
        <f>IFERROR(INDEX('Formulación PDN 2027'!$A$7:$A$506,MATCH(ROW()-5,'Formulación PDN 2027'!$AK$7:$AK$506,0))&amp;"","")</f>
        <v/>
      </c>
      <c r="B208" s="20" t="str">
        <f>IFERROR(INDEX('Formulación PDN 2027'!$M$7:$M$506,MATCH(ROW()-5,'Formulación PDN 2027'!$AK$7:$AK$506,0)),"")</f>
        <v/>
      </c>
      <c r="C208" s="15" t="str">
        <f>IFERROR(INDEX('Formulación PDN 2027'!$N$7:$N$506,MATCH(ROW()-5,'Formulación PDN 2027'!$AK$7:$AK$506,0))&amp;"","")</f>
        <v/>
      </c>
      <c r="D208" s="15" t="str">
        <f>IFERROR(INDEX('Formulación PDN 2027'!$L$7:$L$506,MATCH(ROW()-5,'Formulación PDN 2027'!$AK$7:$AK$506,0))&amp;"","")</f>
        <v/>
      </c>
      <c r="E208" s="15" t="str">
        <f>IFERROR(MATCH(INDEX('Formulación PDN 2027'!$O$7:$O$506,MATCH(ROW()-5,'Formulación PDN 2027'!$AK$7:$AK$506,0)),L_MESES,0),"")</f>
        <v/>
      </c>
      <c r="F208" s="15" t="str">
        <f>IFERROR(MATCH(INDEX('Formulación PDN 2027'!$P$7:$P$506,MATCH(ROW()-5,'Formulación PDN 2027'!$AK$7:$AK$506,0)),L_MESES,0),"")</f>
        <v/>
      </c>
      <c r="G208" s="15" t="str">
        <f>IFERROR(INDEX('Formulación PDN 2027'!$Q$7:$Q$506,MATCH(ROW()-5,'Formulación PDN 2027'!$AK$7:$AK$506,0)),"")</f>
        <v/>
      </c>
      <c r="H208" s="15" t="str">
        <f>IFERROR(INDEX('Formulación PDN 2027'!$R$7:$R$506,MATCH(ROW()-5,'Formulación PDN 2027'!$AK$7:$AK$506,0))&amp;"","")</f>
        <v/>
      </c>
      <c r="I208" s="15" t="str">
        <f>IFERROR(INDEX('Formulación PDN 2027'!$S$7:$S$506,MATCH(ROW()-5,'Formulación PDN 2027'!$AK$7:$AK$506,0))&amp;"","")</f>
        <v/>
      </c>
      <c r="J208" s="15" t="str">
        <f>IFERROR(INDEX('Formulación PDN 2027'!$T$7:$T$506,MATCH(ROW()-5,'Formulación PDN 2027'!$AK$7:$AK$506,0))&amp;"","")</f>
        <v/>
      </c>
      <c r="K208" s="43" t="str">
        <f>IFERROR(INDEX('Formulación PDN 2027'!$W$7:$W$506,MATCH(ROW()-5,'Formulación PDN 2027'!$AK$7:$AK$506,0)),"")</f>
        <v/>
      </c>
      <c r="L208" s="43" t="str">
        <f>IFERROR(INDEX('Formulación PDN 2027'!$X$7:$X$506,MATCH(ROW()-5,'Formulación PDN 2027'!$AK$7:$AK$506,0)),"")</f>
        <v/>
      </c>
      <c r="M208" s="15" t="str">
        <f>IFERROR(INDEX('Formulación PDN 2027'!$Y$7:$Y$506,MATCH(ROW()-5,'Formulación PDN 2027'!$AK$7:$AK$506,0))&amp;"","")</f>
        <v/>
      </c>
      <c r="N208" s="15" t="str">
        <f>IFERROR(INDEX('Formulación PDN 2027'!$Z$7:$Z$506,MATCH(ROW()-5,'Formulación PDN 2027'!$AK$7:$AK$506,0))&amp;"","")</f>
        <v/>
      </c>
      <c r="O208" s="15"/>
      <c r="P208" s="15" t="str">
        <f>IFERROR(INDEX('Formulación PDN 2027'!$AA$7:$AA$506,MATCH(ROW()-5,'Formulación PDN 2027'!$AK$7:$AK$506,0))&amp;"","")</f>
        <v/>
      </c>
      <c r="Q208" s="15" t="str">
        <f>IFERROR(INDEX('Formulación PDN 2027'!$AB$7:$AB$506,MATCH(ROW()-5,'Formulación PDN 2027'!$AK$7:$AK$506,0))&amp;"","")</f>
        <v/>
      </c>
      <c r="R208" s="15" t="str">
        <f>IFERROR(INDEX('Formulación PDN 2027'!$AD$7:$AD$506,MATCH(ROW()-5,'Formulación PDN 2027'!$AK$7:$AK$506,0))&amp;"","")</f>
        <v/>
      </c>
      <c r="S208" s="15" t="str">
        <f>IFERROR(INDEX('Formulación PDN 2027'!$AE$7:$AE$506,MATCH(ROW()-5,'Formulación PDN 2027'!$AK$7:$AK$506,0))&amp;"","")</f>
        <v/>
      </c>
      <c r="T208" s="15" t="str">
        <f>IFERROR(INDEX('Formulación PDN 2027'!$C$7:$C$506,MATCH(ROW()-5,'Formulación PDN 2027'!$AK$7:$AK$506,0))&amp;"","")</f>
        <v/>
      </c>
      <c r="U208" s="15" t="str">
        <f>IFERROR(INDEX('Formulación PDN 2027'!$B$7:$B$506,MATCH(ROW()-5,'Formulación PDN 2027'!$AK$7:$AK$506,0))&amp;"","")</f>
        <v/>
      </c>
      <c r="V208" s="15" t="str">
        <f>IFERROR(LEFT(INDEX('Formulación PDN 2027'!$E$7:$E$506,MATCH(ROW()-5,'Formulación PDN 2027'!$AK$7:$AK$506,0)),7),"")</f>
        <v/>
      </c>
      <c r="W208" s="15" t="str">
        <f>IFERROR(INDEX('Formulación PDN 2027'!$H$7:$H$506,MATCH(ROW()-5,'Formulación PDN 2027'!$AK$7:$AK$506,0))&amp;"","")</f>
        <v/>
      </c>
      <c r="X208" s="15" t="str">
        <f>IFERROR(INDEX('Formulación PDN 2027'!$U$7:$U$506,MATCH(ROW()-5,'Formulación PDN 2027'!$AK$7:$AK$506,0))&amp;"","")</f>
        <v/>
      </c>
      <c r="Y208" s="15" t="str">
        <f>IFERROR(INDEX('Formulación PDN 2027'!$AH$7:$AH$506,MATCH(ROW()-5,'Formulación PDN 2027'!$AK$7:$AK$506,0))&amp;"","")</f>
        <v/>
      </c>
    </row>
    <row r="209" spans="1:25" x14ac:dyDescent="0.3">
      <c r="A209" s="15" t="str">
        <f>IFERROR(INDEX('Formulación PDN 2027'!$A$7:$A$506,MATCH(ROW()-5,'Formulación PDN 2027'!$AK$7:$AK$506,0))&amp;"","")</f>
        <v/>
      </c>
      <c r="B209" s="20" t="str">
        <f>IFERROR(INDEX('Formulación PDN 2027'!$M$7:$M$506,MATCH(ROW()-5,'Formulación PDN 2027'!$AK$7:$AK$506,0)),"")</f>
        <v/>
      </c>
      <c r="C209" s="15" t="str">
        <f>IFERROR(INDEX('Formulación PDN 2027'!$N$7:$N$506,MATCH(ROW()-5,'Formulación PDN 2027'!$AK$7:$AK$506,0))&amp;"","")</f>
        <v/>
      </c>
      <c r="D209" s="15" t="str">
        <f>IFERROR(INDEX('Formulación PDN 2027'!$L$7:$L$506,MATCH(ROW()-5,'Formulación PDN 2027'!$AK$7:$AK$506,0))&amp;"","")</f>
        <v/>
      </c>
      <c r="E209" s="15" t="str">
        <f>IFERROR(MATCH(INDEX('Formulación PDN 2027'!$O$7:$O$506,MATCH(ROW()-5,'Formulación PDN 2027'!$AK$7:$AK$506,0)),L_MESES,0),"")</f>
        <v/>
      </c>
      <c r="F209" s="15" t="str">
        <f>IFERROR(MATCH(INDEX('Formulación PDN 2027'!$P$7:$P$506,MATCH(ROW()-5,'Formulación PDN 2027'!$AK$7:$AK$506,0)),L_MESES,0),"")</f>
        <v/>
      </c>
      <c r="G209" s="15" t="str">
        <f>IFERROR(INDEX('Formulación PDN 2027'!$Q$7:$Q$506,MATCH(ROW()-5,'Formulación PDN 2027'!$AK$7:$AK$506,0)),"")</f>
        <v/>
      </c>
      <c r="H209" s="15" t="str">
        <f>IFERROR(INDEX('Formulación PDN 2027'!$R$7:$R$506,MATCH(ROW()-5,'Formulación PDN 2027'!$AK$7:$AK$506,0))&amp;"","")</f>
        <v/>
      </c>
      <c r="I209" s="15" t="str">
        <f>IFERROR(INDEX('Formulación PDN 2027'!$S$7:$S$506,MATCH(ROW()-5,'Formulación PDN 2027'!$AK$7:$AK$506,0))&amp;"","")</f>
        <v/>
      </c>
      <c r="J209" s="15" t="str">
        <f>IFERROR(INDEX('Formulación PDN 2027'!$T$7:$T$506,MATCH(ROW()-5,'Formulación PDN 2027'!$AK$7:$AK$506,0))&amp;"","")</f>
        <v/>
      </c>
      <c r="K209" s="43" t="str">
        <f>IFERROR(INDEX('Formulación PDN 2027'!$W$7:$W$506,MATCH(ROW()-5,'Formulación PDN 2027'!$AK$7:$AK$506,0)),"")</f>
        <v/>
      </c>
      <c r="L209" s="43" t="str">
        <f>IFERROR(INDEX('Formulación PDN 2027'!$X$7:$X$506,MATCH(ROW()-5,'Formulación PDN 2027'!$AK$7:$AK$506,0)),"")</f>
        <v/>
      </c>
      <c r="M209" s="15" t="str">
        <f>IFERROR(INDEX('Formulación PDN 2027'!$Y$7:$Y$506,MATCH(ROW()-5,'Formulación PDN 2027'!$AK$7:$AK$506,0))&amp;"","")</f>
        <v/>
      </c>
      <c r="N209" s="15" t="str">
        <f>IFERROR(INDEX('Formulación PDN 2027'!$Z$7:$Z$506,MATCH(ROW()-5,'Formulación PDN 2027'!$AK$7:$AK$506,0))&amp;"","")</f>
        <v/>
      </c>
      <c r="O209" s="15"/>
      <c r="P209" s="15" t="str">
        <f>IFERROR(INDEX('Formulación PDN 2027'!$AA$7:$AA$506,MATCH(ROW()-5,'Formulación PDN 2027'!$AK$7:$AK$506,0))&amp;"","")</f>
        <v/>
      </c>
      <c r="Q209" s="15" t="str">
        <f>IFERROR(INDEX('Formulación PDN 2027'!$AB$7:$AB$506,MATCH(ROW()-5,'Formulación PDN 2027'!$AK$7:$AK$506,0))&amp;"","")</f>
        <v/>
      </c>
      <c r="R209" s="15" t="str">
        <f>IFERROR(INDEX('Formulación PDN 2027'!$AD$7:$AD$506,MATCH(ROW()-5,'Formulación PDN 2027'!$AK$7:$AK$506,0))&amp;"","")</f>
        <v/>
      </c>
      <c r="S209" s="15" t="str">
        <f>IFERROR(INDEX('Formulación PDN 2027'!$AE$7:$AE$506,MATCH(ROW()-5,'Formulación PDN 2027'!$AK$7:$AK$506,0))&amp;"","")</f>
        <v/>
      </c>
      <c r="T209" s="15" t="str">
        <f>IFERROR(INDEX('Formulación PDN 2027'!$C$7:$C$506,MATCH(ROW()-5,'Formulación PDN 2027'!$AK$7:$AK$506,0))&amp;"","")</f>
        <v/>
      </c>
      <c r="U209" s="15" t="str">
        <f>IFERROR(INDEX('Formulación PDN 2027'!$B$7:$B$506,MATCH(ROW()-5,'Formulación PDN 2027'!$AK$7:$AK$506,0))&amp;"","")</f>
        <v/>
      </c>
      <c r="V209" s="15" t="str">
        <f>IFERROR(LEFT(INDEX('Formulación PDN 2027'!$E$7:$E$506,MATCH(ROW()-5,'Formulación PDN 2027'!$AK$7:$AK$506,0)),7),"")</f>
        <v/>
      </c>
      <c r="W209" s="15" t="str">
        <f>IFERROR(INDEX('Formulación PDN 2027'!$H$7:$H$506,MATCH(ROW()-5,'Formulación PDN 2027'!$AK$7:$AK$506,0))&amp;"","")</f>
        <v/>
      </c>
      <c r="X209" s="15" t="str">
        <f>IFERROR(INDEX('Formulación PDN 2027'!$U$7:$U$506,MATCH(ROW()-5,'Formulación PDN 2027'!$AK$7:$AK$506,0))&amp;"","")</f>
        <v/>
      </c>
      <c r="Y209" s="15" t="str">
        <f>IFERROR(INDEX('Formulación PDN 2027'!$AH$7:$AH$506,MATCH(ROW()-5,'Formulación PDN 2027'!$AK$7:$AK$506,0))&amp;"","")</f>
        <v/>
      </c>
    </row>
    <row r="210" spans="1:25" x14ac:dyDescent="0.3">
      <c r="A210" s="15" t="str">
        <f>IFERROR(INDEX('Formulación PDN 2027'!$A$7:$A$506,MATCH(ROW()-5,'Formulación PDN 2027'!$AK$7:$AK$506,0))&amp;"","")</f>
        <v/>
      </c>
      <c r="B210" s="20" t="str">
        <f>IFERROR(INDEX('Formulación PDN 2027'!$M$7:$M$506,MATCH(ROW()-5,'Formulación PDN 2027'!$AK$7:$AK$506,0)),"")</f>
        <v/>
      </c>
      <c r="C210" s="15" t="str">
        <f>IFERROR(INDEX('Formulación PDN 2027'!$N$7:$N$506,MATCH(ROW()-5,'Formulación PDN 2027'!$AK$7:$AK$506,0))&amp;"","")</f>
        <v/>
      </c>
      <c r="D210" s="15" t="str">
        <f>IFERROR(INDEX('Formulación PDN 2027'!$L$7:$L$506,MATCH(ROW()-5,'Formulación PDN 2027'!$AK$7:$AK$506,0))&amp;"","")</f>
        <v/>
      </c>
      <c r="E210" s="15" t="str">
        <f>IFERROR(MATCH(INDEX('Formulación PDN 2027'!$O$7:$O$506,MATCH(ROW()-5,'Formulación PDN 2027'!$AK$7:$AK$506,0)),L_MESES,0),"")</f>
        <v/>
      </c>
      <c r="F210" s="15" t="str">
        <f>IFERROR(MATCH(INDEX('Formulación PDN 2027'!$P$7:$P$506,MATCH(ROW()-5,'Formulación PDN 2027'!$AK$7:$AK$506,0)),L_MESES,0),"")</f>
        <v/>
      </c>
      <c r="G210" s="15" t="str">
        <f>IFERROR(INDEX('Formulación PDN 2027'!$Q$7:$Q$506,MATCH(ROW()-5,'Formulación PDN 2027'!$AK$7:$AK$506,0)),"")</f>
        <v/>
      </c>
      <c r="H210" s="15" t="str">
        <f>IFERROR(INDEX('Formulación PDN 2027'!$R$7:$R$506,MATCH(ROW()-5,'Formulación PDN 2027'!$AK$7:$AK$506,0))&amp;"","")</f>
        <v/>
      </c>
      <c r="I210" s="15" t="str">
        <f>IFERROR(INDEX('Formulación PDN 2027'!$S$7:$S$506,MATCH(ROW()-5,'Formulación PDN 2027'!$AK$7:$AK$506,0))&amp;"","")</f>
        <v/>
      </c>
      <c r="J210" s="15" t="str">
        <f>IFERROR(INDEX('Formulación PDN 2027'!$T$7:$T$506,MATCH(ROW()-5,'Formulación PDN 2027'!$AK$7:$AK$506,0))&amp;"","")</f>
        <v/>
      </c>
      <c r="K210" s="43" t="str">
        <f>IFERROR(INDEX('Formulación PDN 2027'!$W$7:$W$506,MATCH(ROW()-5,'Formulación PDN 2027'!$AK$7:$AK$506,0)),"")</f>
        <v/>
      </c>
      <c r="L210" s="43" t="str">
        <f>IFERROR(INDEX('Formulación PDN 2027'!$X$7:$X$506,MATCH(ROW()-5,'Formulación PDN 2027'!$AK$7:$AK$506,0)),"")</f>
        <v/>
      </c>
      <c r="M210" s="15" t="str">
        <f>IFERROR(INDEX('Formulación PDN 2027'!$Y$7:$Y$506,MATCH(ROW()-5,'Formulación PDN 2027'!$AK$7:$AK$506,0))&amp;"","")</f>
        <v/>
      </c>
      <c r="N210" s="15" t="str">
        <f>IFERROR(INDEX('Formulación PDN 2027'!$Z$7:$Z$506,MATCH(ROW()-5,'Formulación PDN 2027'!$AK$7:$AK$506,0))&amp;"","")</f>
        <v/>
      </c>
      <c r="O210" s="15"/>
      <c r="P210" s="15" t="str">
        <f>IFERROR(INDEX('Formulación PDN 2027'!$AA$7:$AA$506,MATCH(ROW()-5,'Formulación PDN 2027'!$AK$7:$AK$506,0))&amp;"","")</f>
        <v/>
      </c>
      <c r="Q210" s="15" t="str">
        <f>IFERROR(INDEX('Formulación PDN 2027'!$AB$7:$AB$506,MATCH(ROW()-5,'Formulación PDN 2027'!$AK$7:$AK$506,0))&amp;"","")</f>
        <v/>
      </c>
      <c r="R210" s="15" t="str">
        <f>IFERROR(INDEX('Formulación PDN 2027'!$AD$7:$AD$506,MATCH(ROW()-5,'Formulación PDN 2027'!$AK$7:$AK$506,0))&amp;"","")</f>
        <v/>
      </c>
      <c r="S210" s="15" t="str">
        <f>IFERROR(INDEX('Formulación PDN 2027'!$AE$7:$AE$506,MATCH(ROW()-5,'Formulación PDN 2027'!$AK$7:$AK$506,0))&amp;"","")</f>
        <v/>
      </c>
      <c r="T210" s="15" t="str">
        <f>IFERROR(INDEX('Formulación PDN 2027'!$C$7:$C$506,MATCH(ROW()-5,'Formulación PDN 2027'!$AK$7:$AK$506,0))&amp;"","")</f>
        <v/>
      </c>
      <c r="U210" s="15" t="str">
        <f>IFERROR(INDEX('Formulación PDN 2027'!$B$7:$B$506,MATCH(ROW()-5,'Formulación PDN 2027'!$AK$7:$AK$506,0))&amp;"","")</f>
        <v/>
      </c>
      <c r="V210" s="15" t="str">
        <f>IFERROR(LEFT(INDEX('Formulación PDN 2027'!$E$7:$E$506,MATCH(ROW()-5,'Formulación PDN 2027'!$AK$7:$AK$506,0)),7),"")</f>
        <v/>
      </c>
      <c r="W210" s="15" t="str">
        <f>IFERROR(INDEX('Formulación PDN 2027'!$H$7:$H$506,MATCH(ROW()-5,'Formulación PDN 2027'!$AK$7:$AK$506,0))&amp;"","")</f>
        <v/>
      </c>
      <c r="X210" s="15" t="str">
        <f>IFERROR(INDEX('Formulación PDN 2027'!$U$7:$U$506,MATCH(ROW()-5,'Formulación PDN 2027'!$AK$7:$AK$506,0))&amp;"","")</f>
        <v/>
      </c>
      <c r="Y210" s="15" t="str">
        <f>IFERROR(INDEX('Formulación PDN 2027'!$AH$7:$AH$506,MATCH(ROW()-5,'Formulación PDN 2027'!$AK$7:$AK$506,0))&amp;"","")</f>
        <v/>
      </c>
    </row>
    <row r="211" spans="1:25" x14ac:dyDescent="0.3">
      <c r="A211" s="15" t="str">
        <f>IFERROR(INDEX('Formulación PDN 2027'!$A$7:$A$506,MATCH(ROW()-5,'Formulación PDN 2027'!$AK$7:$AK$506,0))&amp;"","")</f>
        <v/>
      </c>
      <c r="B211" s="20" t="str">
        <f>IFERROR(INDEX('Formulación PDN 2027'!$M$7:$M$506,MATCH(ROW()-5,'Formulación PDN 2027'!$AK$7:$AK$506,0)),"")</f>
        <v/>
      </c>
      <c r="C211" s="15" t="str">
        <f>IFERROR(INDEX('Formulación PDN 2027'!$N$7:$N$506,MATCH(ROW()-5,'Formulación PDN 2027'!$AK$7:$AK$506,0))&amp;"","")</f>
        <v/>
      </c>
      <c r="D211" s="15" t="str">
        <f>IFERROR(INDEX('Formulación PDN 2027'!$L$7:$L$506,MATCH(ROW()-5,'Formulación PDN 2027'!$AK$7:$AK$506,0))&amp;"","")</f>
        <v/>
      </c>
      <c r="E211" s="15" t="str">
        <f>IFERROR(MATCH(INDEX('Formulación PDN 2027'!$O$7:$O$506,MATCH(ROW()-5,'Formulación PDN 2027'!$AK$7:$AK$506,0)),L_MESES,0),"")</f>
        <v/>
      </c>
      <c r="F211" s="15" t="str">
        <f>IFERROR(MATCH(INDEX('Formulación PDN 2027'!$P$7:$P$506,MATCH(ROW()-5,'Formulación PDN 2027'!$AK$7:$AK$506,0)),L_MESES,0),"")</f>
        <v/>
      </c>
      <c r="G211" s="15" t="str">
        <f>IFERROR(INDEX('Formulación PDN 2027'!$Q$7:$Q$506,MATCH(ROW()-5,'Formulación PDN 2027'!$AK$7:$AK$506,0)),"")</f>
        <v/>
      </c>
      <c r="H211" s="15" t="str">
        <f>IFERROR(INDEX('Formulación PDN 2027'!$R$7:$R$506,MATCH(ROW()-5,'Formulación PDN 2027'!$AK$7:$AK$506,0))&amp;"","")</f>
        <v/>
      </c>
      <c r="I211" s="15" t="str">
        <f>IFERROR(INDEX('Formulación PDN 2027'!$S$7:$S$506,MATCH(ROW()-5,'Formulación PDN 2027'!$AK$7:$AK$506,0))&amp;"","")</f>
        <v/>
      </c>
      <c r="J211" s="15" t="str">
        <f>IFERROR(INDEX('Formulación PDN 2027'!$T$7:$T$506,MATCH(ROW()-5,'Formulación PDN 2027'!$AK$7:$AK$506,0))&amp;"","")</f>
        <v/>
      </c>
      <c r="K211" s="43" t="str">
        <f>IFERROR(INDEX('Formulación PDN 2027'!$W$7:$W$506,MATCH(ROW()-5,'Formulación PDN 2027'!$AK$7:$AK$506,0)),"")</f>
        <v/>
      </c>
      <c r="L211" s="43" t="str">
        <f>IFERROR(INDEX('Formulación PDN 2027'!$X$7:$X$506,MATCH(ROW()-5,'Formulación PDN 2027'!$AK$7:$AK$506,0)),"")</f>
        <v/>
      </c>
      <c r="M211" s="15" t="str">
        <f>IFERROR(INDEX('Formulación PDN 2027'!$Y$7:$Y$506,MATCH(ROW()-5,'Formulación PDN 2027'!$AK$7:$AK$506,0))&amp;"","")</f>
        <v/>
      </c>
      <c r="N211" s="15" t="str">
        <f>IFERROR(INDEX('Formulación PDN 2027'!$Z$7:$Z$506,MATCH(ROW()-5,'Formulación PDN 2027'!$AK$7:$AK$506,0))&amp;"","")</f>
        <v/>
      </c>
      <c r="O211" s="15"/>
      <c r="P211" s="15" t="str">
        <f>IFERROR(INDEX('Formulación PDN 2027'!$AA$7:$AA$506,MATCH(ROW()-5,'Formulación PDN 2027'!$AK$7:$AK$506,0))&amp;"","")</f>
        <v/>
      </c>
      <c r="Q211" s="15" t="str">
        <f>IFERROR(INDEX('Formulación PDN 2027'!$AB$7:$AB$506,MATCH(ROW()-5,'Formulación PDN 2027'!$AK$7:$AK$506,0))&amp;"","")</f>
        <v/>
      </c>
      <c r="R211" s="15" t="str">
        <f>IFERROR(INDEX('Formulación PDN 2027'!$AD$7:$AD$506,MATCH(ROW()-5,'Formulación PDN 2027'!$AK$7:$AK$506,0))&amp;"","")</f>
        <v/>
      </c>
      <c r="S211" s="15" t="str">
        <f>IFERROR(INDEX('Formulación PDN 2027'!$AE$7:$AE$506,MATCH(ROW()-5,'Formulación PDN 2027'!$AK$7:$AK$506,0))&amp;"","")</f>
        <v/>
      </c>
      <c r="T211" s="15" t="str">
        <f>IFERROR(INDEX('Formulación PDN 2027'!$C$7:$C$506,MATCH(ROW()-5,'Formulación PDN 2027'!$AK$7:$AK$506,0))&amp;"","")</f>
        <v/>
      </c>
      <c r="U211" s="15" t="str">
        <f>IFERROR(INDEX('Formulación PDN 2027'!$B$7:$B$506,MATCH(ROW()-5,'Formulación PDN 2027'!$AK$7:$AK$506,0))&amp;"","")</f>
        <v/>
      </c>
      <c r="V211" s="15" t="str">
        <f>IFERROR(LEFT(INDEX('Formulación PDN 2027'!$E$7:$E$506,MATCH(ROW()-5,'Formulación PDN 2027'!$AK$7:$AK$506,0)),7),"")</f>
        <v/>
      </c>
      <c r="W211" s="15" t="str">
        <f>IFERROR(INDEX('Formulación PDN 2027'!$H$7:$H$506,MATCH(ROW()-5,'Formulación PDN 2027'!$AK$7:$AK$506,0))&amp;"","")</f>
        <v/>
      </c>
      <c r="X211" s="15" t="str">
        <f>IFERROR(INDEX('Formulación PDN 2027'!$U$7:$U$506,MATCH(ROW()-5,'Formulación PDN 2027'!$AK$7:$AK$506,0))&amp;"","")</f>
        <v/>
      </c>
      <c r="Y211" s="15" t="str">
        <f>IFERROR(INDEX('Formulación PDN 2027'!$AH$7:$AH$506,MATCH(ROW()-5,'Formulación PDN 2027'!$AK$7:$AK$506,0))&amp;"","")</f>
        <v/>
      </c>
    </row>
    <row r="212" spans="1:25" x14ac:dyDescent="0.3">
      <c r="A212" s="15" t="str">
        <f>IFERROR(INDEX('Formulación PDN 2027'!$A$7:$A$506,MATCH(ROW()-5,'Formulación PDN 2027'!$AK$7:$AK$506,0))&amp;"","")</f>
        <v/>
      </c>
      <c r="B212" s="20" t="str">
        <f>IFERROR(INDEX('Formulación PDN 2027'!$M$7:$M$506,MATCH(ROW()-5,'Formulación PDN 2027'!$AK$7:$AK$506,0)),"")</f>
        <v/>
      </c>
      <c r="C212" s="15" t="str">
        <f>IFERROR(INDEX('Formulación PDN 2027'!$N$7:$N$506,MATCH(ROW()-5,'Formulación PDN 2027'!$AK$7:$AK$506,0))&amp;"","")</f>
        <v/>
      </c>
      <c r="D212" s="15" t="str">
        <f>IFERROR(INDEX('Formulación PDN 2027'!$L$7:$L$506,MATCH(ROW()-5,'Formulación PDN 2027'!$AK$7:$AK$506,0))&amp;"","")</f>
        <v/>
      </c>
      <c r="E212" s="15" t="str">
        <f>IFERROR(MATCH(INDEX('Formulación PDN 2027'!$O$7:$O$506,MATCH(ROW()-5,'Formulación PDN 2027'!$AK$7:$AK$506,0)),L_MESES,0),"")</f>
        <v/>
      </c>
      <c r="F212" s="15" t="str">
        <f>IFERROR(MATCH(INDEX('Formulación PDN 2027'!$P$7:$P$506,MATCH(ROW()-5,'Formulación PDN 2027'!$AK$7:$AK$506,0)),L_MESES,0),"")</f>
        <v/>
      </c>
      <c r="G212" s="15" t="str">
        <f>IFERROR(INDEX('Formulación PDN 2027'!$Q$7:$Q$506,MATCH(ROW()-5,'Formulación PDN 2027'!$AK$7:$AK$506,0)),"")</f>
        <v/>
      </c>
      <c r="H212" s="15" t="str">
        <f>IFERROR(INDEX('Formulación PDN 2027'!$R$7:$R$506,MATCH(ROW()-5,'Formulación PDN 2027'!$AK$7:$AK$506,0))&amp;"","")</f>
        <v/>
      </c>
      <c r="I212" s="15" t="str">
        <f>IFERROR(INDEX('Formulación PDN 2027'!$S$7:$S$506,MATCH(ROW()-5,'Formulación PDN 2027'!$AK$7:$AK$506,0))&amp;"","")</f>
        <v/>
      </c>
      <c r="J212" s="15" t="str">
        <f>IFERROR(INDEX('Formulación PDN 2027'!$T$7:$T$506,MATCH(ROW()-5,'Formulación PDN 2027'!$AK$7:$AK$506,0))&amp;"","")</f>
        <v/>
      </c>
      <c r="K212" s="43" t="str">
        <f>IFERROR(INDEX('Formulación PDN 2027'!$W$7:$W$506,MATCH(ROW()-5,'Formulación PDN 2027'!$AK$7:$AK$506,0)),"")</f>
        <v/>
      </c>
      <c r="L212" s="43" t="str">
        <f>IFERROR(INDEX('Formulación PDN 2027'!$X$7:$X$506,MATCH(ROW()-5,'Formulación PDN 2027'!$AK$7:$AK$506,0)),"")</f>
        <v/>
      </c>
      <c r="M212" s="15" t="str">
        <f>IFERROR(INDEX('Formulación PDN 2027'!$Y$7:$Y$506,MATCH(ROW()-5,'Formulación PDN 2027'!$AK$7:$AK$506,0))&amp;"","")</f>
        <v/>
      </c>
      <c r="N212" s="15" t="str">
        <f>IFERROR(INDEX('Formulación PDN 2027'!$Z$7:$Z$506,MATCH(ROW()-5,'Formulación PDN 2027'!$AK$7:$AK$506,0))&amp;"","")</f>
        <v/>
      </c>
      <c r="O212" s="15"/>
      <c r="P212" s="15" t="str">
        <f>IFERROR(INDEX('Formulación PDN 2027'!$AA$7:$AA$506,MATCH(ROW()-5,'Formulación PDN 2027'!$AK$7:$AK$506,0))&amp;"","")</f>
        <v/>
      </c>
      <c r="Q212" s="15" t="str">
        <f>IFERROR(INDEX('Formulación PDN 2027'!$AB$7:$AB$506,MATCH(ROW()-5,'Formulación PDN 2027'!$AK$7:$AK$506,0))&amp;"","")</f>
        <v/>
      </c>
      <c r="R212" s="15" t="str">
        <f>IFERROR(INDEX('Formulación PDN 2027'!$AD$7:$AD$506,MATCH(ROW()-5,'Formulación PDN 2027'!$AK$7:$AK$506,0))&amp;"","")</f>
        <v/>
      </c>
      <c r="S212" s="15" t="str">
        <f>IFERROR(INDEX('Formulación PDN 2027'!$AE$7:$AE$506,MATCH(ROW()-5,'Formulación PDN 2027'!$AK$7:$AK$506,0))&amp;"","")</f>
        <v/>
      </c>
      <c r="T212" s="15" t="str">
        <f>IFERROR(INDEX('Formulación PDN 2027'!$C$7:$C$506,MATCH(ROW()-5,'Formulación PDN 2027'!$AK$7:$AK$506,0))&amp;"","")</f>
        <v/>
      </c>
      <c r="U212" s="15" t="str">
        <f>IFERROR(INDEX('Formulación PDN 2027'!$B$7:$B$506,MATCH(ROW()-5,'Formulación PDN 2027'!$AK$7:$AK$506,0))&amp;"","")</f>
        <v/>
      </c>
      <c r="V212" s="15" t="str">
        <f>IFERROR(LEFT(INDEX('Formulación PDN 2027'!$E$7:$E$506,MATCH(ROW()-5,'Formulación PDN 2027'!$AK$7:$AK$506,0)),7),"")</f>
        <v/>
      </c>
      <c r="W212" s="15" t="str">
        <f>IFERROR(INDEX('Formulación PDN 2027'!$H$7:$H$506,MATCH(ROW()-5,'Formulación PDN 2027'!$AK$7:$AK$506,0))&amp;"","")</f>
        <v/>
      </c>
      <c r="X212" s="15" t="str">
        <f>IFERROR(INDEX('Formulación PDN 2027'!$U$7:$U$506,MATCH(ROW()-5,'Formulación PDN 2027'!$AK$7:$AK$506,0))&amp;"","")</f>
        <v/>
      </c>
      <c r="Y212" s="15" t="str">
        <f>IFERROR(INDEX('Formulación PDN 2027'!$AH$7:$AH$506,MATCH(ROW()-5,'Formulación PDN 2027'!$AK$7:$AK$506,0))&amp;"","")</f>
        <v/>
      </c>
    </row>
    <row r="213" spans="1:25" x14ac:dyDescent="0.3">
      <c r="A213" s="15" t="str">
        <f>IFERROR(INDEX('Formulación PDN 2027'!$A$7:$A$506,MATCH(ROW()-5,'Formulación PDN 2027'!$AK$7:$AK$506,0))&amp;"","")</f>
        <v/>
      </c>
      <c r="B213" s="20" t="str">
        <f>IFERROR(INDEX('Formulación PDN 2027'!$M$7:$M$506,MATCH(ROW()-5,'Formulación PDN 2027'!$AK$7:$AK$506,0)),"")</f>
        <v/>
      </c>
      <c r="C213" s="15" t="str">
        <f>IFERROR(INDEX('Formulación PDN 2027'!$N$7:$N$506,MATCH(ROW()-5,'Formulación PDN 2027'!$AK$7:$AK$506,0))&amp;"","")</f>
        <v/>
      </c>
      <c r="D213" s="15" t="str">
        <f>IFERROR(INDEX('Formulación PDN 2027'!$L$7:$L$506,MATCH(ROW()-5,'Formulación PDN 2027'!$AK$7:$AK$506,0))&amp;"","")</f>
        <v/>
      </c>
      <c r="E213" s="15" t="str">
        <f>IFERROR(MATCH(INDEX('Formulación PDN 2027'!$O$7:$O$506,MATCH(ROW()-5,'Formulación PDN 2027'!$AK$7:$AK$506,0)),L_MESES,0),"")</f>
        <v/>
      </c>
      <c r="F213" s="15" t="str">
        <f>IFERROR(MATCH(INDEX('Formulación PDN 2027'!$P$7:$P$506,MATCH(ROW()-5,'Formulación PDN 2027'!$AK$7:$AK$506,0)),L_MESES,0),"")</f>
        <v/>
      </c>
      <c r="G213" s="15" t="str">
        <f>IFERROR(INDEX('Formulación PDN 2027'!$Q$7:$Q$506,MATCH(ROW()-5,'Formulación PDN 2027'!$AK$7:$AK$506,0)),"")</f>
        <v/>
      </c>
      <c r="H213" s="15" t="str">
        <f>IFERROR(INDEX('Formulación PDN 2027'!$R$7:$R$506,MATCH(ROW()-5,'Formulación PDN 2027'!$AK$7:$AK$506,0))&amp;"","")</f>
        <v/>
      </c>
      <c r="I213" s="15" t="str">
        <f>IFERROR(INDEX('Formulación PDN 2027'!$S$7:$S$506,MATCH(ROW()-5,'Formulación PDN 2027'!$AK$7:$AK$506,0))&amp;"","")</f>
        <v/>
      </c>
      <c r="J213" s="15" t="str">
        <f>IFERROR(INDEX('Formulación PDN 2027'!$T$7:$T$506,MATCH(ROW()-5,'Formulación PDN 2027'!$AK$7:$AK$506,0))&amp;"","")</f>
        <v/>
      </c>
      <c r="K213" s="43" t="str">
        <f>IFERROR(INDEX('Formulación PDN 2027'!$W$7:$W$506,MATCH(ROW()-5,'Formulación PDN 2027'!$AK$7:$AK$506,0)),"")</f>
        <v/>
      </c>
      <c r="L213" s="43" t="str">
        <f>IFERROR(INDEX('Formulación PDN 2027'!$X$7:$X$506,MATCH(ROW()-5,'Formulación PDN 2027'!$AK$7:$AK$506,0)),"")</f>
        <v/>
      </c>
      <c r="M213" s="15" t="str">
        <f>IFERROR(INDEX('Formulación PDN 2027'!$Y$7:$Y$506,MATCH(ROW()-5,'Formulación PDN 2027'!$AK$7:$AK$506,0))&amp;"","")</f>
        <v/>
      </c>
      <c r="N213" s="15" t="str">
        <f>IFERROR(INDEX('Formulación PDN 2027'!$Z$7:$Z$506,MATCH(ROW()-5,'Formulación PDN 2027'!$AK$7:$AK$506,0))&amp;"","")</f>
        <v/>
      </c>
      <c r="O213" s="15"/>
      <c r="P213" s="15" t="str">
        <f>IFERROR(INDEX('Formulación PDN 2027'!$AA$7:$AA$506,MATCH(ROW()-5,'Formulación PDN 2027'!$AK$7:$AK$506,0))&amp;"","")</f>
        <v/>
      </c>
      <c r="Q213" s="15" t="str">
        <f>IFERROR(INDEX('Formulación PDN 2027'!$AB$7:$AB$506,MATCH(ROW()-5,'Formulación PDN 2027'!$AK$7:$AK$506,0))&amp;"","")</f>
        <v/>
      </c>
      <c r="R213" s="15" t="str">
        <f>IFERROR(INDEX('Formulación PDN 2027'!$AD$7:$AD$506,MATCH(ROW()-5,'Formulación PDN 2027'!$AK$7:$AK$506,0))&amp;"","")</f>
        <v/>
      </c>
      <c r="S213" s="15" t="str">
        <f>IFERROR(INDEX('Formulación PDN 2027'!$AE$7:$AE$506,MATCH(ROW()-5,'Formulación PDN 2027'!$AK$7:$AK$506,0))&amp;"","")</f>
        <v/>
      </c>
      <c r="T213" s="15" t="str">
        <f>IFERROR(INDEX('Formulación PDN 2027'!$C$7:$C$506,MATCH(ROW()-5,'Formulación PDN 2027'!$AK$7:$AK$506,0))&amp;"","")</f>
        <v/>
      </c>
      <c r="U213" s="15" t="str">
        <f>IFERROR(INDEX('Formulación PDN 2027'!$B$7:$B$506,MATCH(ROW()-5,'Formulación PDN 2027'!$AK$7:$AK$506,0))&amp;"","")</f>
        <v/>
      </c>
      <c r="V213" s="15" t="str">
        <f>IFERROR(LEFT(INDEX('Formulación PDN 2027'!$E$7:$E$506,MATCH(ROW()-5,'Formulación PDN 2027'!$AK$7:$AK$506,0)),7),"")</f>
        <v/>
      </c>
      <c r="W213" s="15" t="str">
        <f>IFERROR(INDEX('Formulación PDN 2027'!$H$7:$H$506,MATCH(ROW()-5,'Formulación PDN 2027'!$AK$7:$AK$506,0))&amp;"","")</f>
        <v/>
      </c>
      <c r="X213" s="15" t="str">
        <f>IFERROR(INDEX('Formulación PDN 2027'!$U$7:$U$506,MATCH(ROW()-5,'Formulación PDN 2027'!$AK$7:$AK$506,0))&amp;"","")</f>
        <v/>
      </c>
      <c r="Y213" s="15" t="str">
        <f>IFERROR(INDEX('Formulación PDN 2027'!$AH$7:$AH$506,MATCH(ROW()-5,'Formulación PDN 2027'!$AK$7:$AK$506,0))&amp;"","")</f>
        <v/>
      </c>
    </row>
    <row r="214" spans="1:25" x14ac:dyDescent="0.3">
      <c r="A214" s="15" t="str">
        <f>IFERROR(INDEX('Formulación PDN 2027'!$A$7:$A$506,MATCH(ROW()-5,'Formulación PDN 2027'!$AK$7:$AK$506,0))&amp;"","")</f>
        <v/>
      </c>
      <c r="B214" s="20" t="str">
        <f>IFERROR(INDEX('Formulación PDN 2027'!$M$7:$M$506,MATCH(ROW()-5,'Formulación PDN 2027'!$AK$7:$AK$506,0)),"")</f>
        <v/>
      </c>
      <c r="C214" s="15" t="str">
        <f>IFERROR(INDEX('Formulación PDN 2027'!$N$7:$N$506,MATCH(ROW()-5,'Formulación PDN 2027'!$AK$7:$AK$506,0))&amp;"","")</f>
        <v/>
      </c>
      <c r="D214" s="15" t="str">
        <f>IFERROR(INDEX('Formulación PDN 2027'!$L$7:$L$506,MATCH(ROW()-5,'Formulación PDN 2027'!$AK$7:$AK$506,0))&amp;"","")</f>
        <v/>
      </c>
      <c r="E214" s="15" t="str">
        <f>IFERROR(MATCH(INDEX('Formulación PDN 2027'!$O$7:$O$506,MATCH(ROW()-5,'Formulación PDN 2027'!$AK$7:$AK$506,0)),L_MESES,0),"")</f>
        <v/>
      </c>
      <c r="F214" s="15" t="str">
        <f>IFERROR(MATCH(INDEX('Formulación PDN 2027'!$P$7:$P$506,MATCH(ROW()-5,'Formulación PDN 2027'!$AK$7:$AK$506,0)),L_MESES,0),"")</f>
        <v/>
      </c>
      <c r="G214" s="15" t="str">
        <f>IFERROR(INDEX('Formulación PDN 2027'!$Q$7:$Q$506,MATCH(ROW()-5,'Formulación PDN 2027'!$AK$7:$AK$506,0)),"")</f>
        <v/>
      </c>
      <c r="H214" s="15" t="str">
        <f>IFERROR(INDEX('Formulación PDN 2027'!$R$7:$R$506,MATCH(ROW()-5,'Formulación PDN 2027'!$AK$7:$AK$506,0))&amp;"","")</f>
        <v/>
      </c>
      <c r="I214" s="15" t="str">
        <f>IFERROR(INDEX('Formulación PDN 2027'!$S$7:$S$506,MATCH(ROW()-5,'Formulación PDN 2027'!$AK$7:$AK$506,0))&amp;"","")</f>
        <v/>
      </c>
      <c r="J214" s="15" t="str">
        <f>IFERROR(INDEX('Formulación PDN 2027'!$T$7:$T$506,MATCH(ROW()-5,'Formulación PDN 2027'!$AK$7:$AK$506,0))&amp;"","")</f>
        <v/>
      </c>
      <c r="K214" s="43" t="str">
        <f>IFERROR(INDEX('Formulación PDN 2027'!$W$7:$W$506,MATCH(ROW()-5,'Formulación PDN 2027'!$AK$7:$AK$506,0)),"")</f>
        <v/>
      </c>
      <c r="L214" s="43" t="str">
        <f>IFERROR(INDEX('Formulación PDN 2027'!$X$7:$X$506,MATCH(ROW()-5,'Formulación PDN 2027'!$AK$7:$AK$506,0)),"")</f>
        <v/>
      </c>
      <c r="M214" s="15" t="str">
        <f>IFERROR(INDEX('Formulación PDN 2027'!$Y$7:$Y$506,MATCH(ROW()-5,'Formulación PDN 2027'!$AK$7:$AK$506,0))&amp;"","")</f>
        <v/>
      </c>
      <c r="N214" s="15" t="str">
        <f>IFERROR(INDEX('Formulación PDN 2027'!$Z$7:$Z$506,MATCH(ROW()-5,'Formulación PDN 2027'!$AK$7:$AK$506,0))&amp;"","")</f>
        <v/>
      </c>
      <c r="O214" s="15"/>
      <c r="P214" s="15" t="str">
        <f>IFERROR(INDEX('Formulación PDN 2027'!$AA$7:$AA$506,MATCH(ROW()-5,'Formulación PDN 2027'!$AK$7:$AK$506,0))&amp;"","")</f>
        <v/>
      </c>
      <c r="Q214" s="15" t="str">
        <f>IFERROR(INDEX('Formulación PDN 2027'!$AB$7:$AB$506,MATCH(ROW()-5,'Formulación PDN 2027'!$AK$7:$AK$506,0))&amp;"","")</f>
        <v/>
      </c>
      <c r="R214" s="15" t="str">
        <f>IFERROR(INDEX('Formulación PDN 2027'!$AD$7:$AD$506,MATCH(ROW()-5,'Formulación PDN 2027'!$AK$7:$AK$506,0))&amp;"","")</f>
        <v/>
      </c>
      <c r="S214" s="15" t="str">
        <f>IFERROR(INDEX('Formulación PDN 2027'!$AE$7:$AE$506,MATCH(ROW()-5,'Formulación PDN 2027'!$AK$7:$AK$506,0))&amp;"","")</f>
        <v/>
      </c>
      <c r="T214" s="15" t="str">
        <f>IFERROR(INDEX('Formulación PDN 2027'!$C$7:$C$506,MATCH(ROW()-5,'Formulación PDN 2027'!$AK$7:$AK$506,0))&amp;"","")</f>
        <v/>
      </c>
      <c r="U214" s="15" t="str">
        <f>IFERROR(INDEX('Formulación PDN 2027'!$B$7:$B$506,MATCH(ROW()-5,'Formulación PDN 2027'!$AK$7:$AK$506,0))&amp;"","")</f>
        <v/>
      </c>
      <c r="V214" s="15" t="str">
        <f>IFERROR(LEFT(INDEX('Formulación PDN 2027'!$E$7:$E$506,MATCH(ROW()-5,'Formulación PDN 2027'!$AK$7:$AK$506,0)),7),"")</f>
        <v/>
      </c>
      <c r="W214" s="15" t="str">
        <f>IFERROR(INDEX('Formulación PDN 2027'!$H$7:$H$506,MATCH(ROW()-5,'Formulación PDN 2027'!$AK$7:$AK$506,0))&amp;"","")</f>
        <v/>
      </c>
      <c r="X214" s="15" t="str">
        <f>IFERROR(INDEX('Formulación PDN 2027'!$U$7:$U$506,MATCH(ROW()-5,'Formulación PDN 2027'!$AK$7:$AK$506,0))&amp;"","")</f>
        <v/>
      </c>
      <c r="Y214" s="15" t="str">
        <f>IFERROR(INDEX('Formulación PDN 2027'!$AH$7:$AH$506,MATCH(ROW()-5,'Formulación PDN 2027'!$AK$7:$AK$506,0))&amp;"","")</f>
        <v/>
      </c>
    </row>
    <row r="215" spans="1:25" x14ac:dyDescent="0.3">
      <c r="A215" s="15" t="str">
        <f>IFERROR(INDEX('Formulación PDN 2027'!$A$7:$A$506,MATCH(ROW()-5,'Formulación PDN 2027'!$AK$7:$AK$506,0))&amp;"","")</f>
        <v/>
      </c>
      <c r="B215" s="20" t="str">
        <f>IFERROR(INDEX('Formulación PDN 2027'!$M$7:$M$506,MATCH(ROW()-5,'Formulación PDN 2027'!$AK$7:$AK$506,0)),"")</f>
        <v/>
      </c>
      <c r="C215" s="15" t="str">
        <f>IFERROR(INDEX('Formulación PDN 2027'!$N$7:$N$506,MATCH(ROW()-5,'Formulación PDN 2027'!$AK$7:$AK$506,0))&amp;"","")</f>
        <v/>
      </c>
      <c r="D215" s="15" t="str">
        <f>IFERROR(INDEX('Formulación PDN 2027'!$L$7:$L$506,MATCH(ROW()-5,'Formulación PDN 2027'!$AK$7:$AK$506,0))&amp;"","")</f>
        <v/>
      </c>
      <c r="E215" s="15" t="str">
        <f>IFERROR(MATCH(INDEX('Formulación PDN 2027'!$O$7:$O$506,MATCH(ROW()-5,'Formulación PDN 2027'!$AK$7:$AK$506,0)),L_MESES,0),"")</f>
        <v/>
      </c>
      <c r="F215" s="15" t="str">
        <f>IFERROR(MATCH(INDEX('Formulación PDN 2027'!$P$7:$P$506,MATCH(ROW()-5,'Formulación PDN 2027'!$AK$7:$AK$506,0)),L_MESES,0),"")</f>
        <v/>
      </c>
      <c r="G215" s="15" t="str">
        <f>IFERROR(INDEX('Formulación PDN 2027'!$Q$7:$Q$506,MATCH(ROW()-5,'Formulación PDN 2027'!$AK$7:$AK$506,0)),"")</f>
        <v/>
      </c>
      <c r="H215" s="15" t="str">
        <f>IFERROR(INDEX('Formulación PDN 2027'!$R$7:$R$506,MATCH(ROW()-5,'Formulación PDN 2027'!$AK$7:$AK$506,0))&amp;"","")</f>
        <v/>
      </c>
      <c r="I215" s="15" t="str">
        <f>IFERROR(INDEX('Formulación PDN 2027'!$S$7:$S$506,MATCH(ROW()-5,'Formulación PDN 2027'!$AK$7:$AK$506,0))&amp;"","")</f>
        <v/>
      </c>
      <c r="J215" s="15" t="str">
        <f>IFERROR(INDEX('Formulación PDN 2027'!$T$7:$T$506,MATCH(ROW()-5,'Formulación PDN 2027'!$AK$7:$AK$506,0))&amp;"","")</f>
        <v/>
      </c>
      <c r="K215" s="43" t="str">
        <f>IFERROR(INDEX('Formulación PDN 2027'!$W$7:$W$506,MATCH(ROW()-5,'Formulación PDN 2027'!$AK$7:$AK$506,0)),"")</f>
        <v/>
      </c>
      <c r="L215" s="43" t="str">
        <f>IFERROR(INDEX('Formulación PDN 2027'!$X$7:$X$506,MATCH(ROW()-5,'Formulación PDN 2027'!$AK$7:$AK$506,0)),"")</f>
        <v/>
      </c>
      <c r="M215" s="15" t="str">
        <f>IFERROR(INDEX('Formulación PDN 2027'!$Y$7:$Y$506,MATCH(ROW()-5,'Formulación PDN 2027'!$AK$7:$AK$506,0))&amp;"","")</f>
        <v/>
      </c>
      <c r="N215" s="15" t="str">
        <f>IFERROR(INDEX('Formulación PDN 2027'!$Z$7:$Z$506,MATCH(ROW()-5,'Formulación PDN 2027'!$AK$7:$AK$506,0))&amp;"","")</f>
        <v/>
      </c>
      <c r="O215" s="15"/>
      <c r="P215" s="15" t="str">
        <f>IFERROR(INDEX('Formulación PDN 2027'!$AA$7:$AA$506,MATCH(ROW()-5,'Formulación PDN 2027'!$AK$7:$AK$506,0))&amp;"","")</f>
        <v/>
      </c>
      <c r="Q215" s="15" t="str">
        <f>IFERROR(INDEX('Formulación PDN 2027'!$AB$7:$AB$506,MATCH(ROW()-5,'Formulación PDN 2027'!$AK$7:$AK$506,0))&amp;"","")</f>
        <v/>
      </c>
      <c r="R215" s="15" t="str">
        <f>IFERROR(INDEX('Formulación PDN 2027'!$AD$7:$AD$506,MATCH(ROW()-5,'Formulación PDN 2027'!$AK$7:$AK$506,0))&amp;"","")</f>
        <v/>
      </c>
      <c r="S215" s="15" t="str">
        <f>IFERROR(INDEX('Formulación PDN 2027'!$AE$7:$AE$506,MATCH(ROW()-5,'Formulación PDN 2027'!$AK$7:$AK$506,0))&amp;"","")</f>
        <v/>
      </c>
      <c r="T215" s="15" t="str">
        <f>IFERROR(INDEX('Formulación PDN 2027'!$C$7:$C$506,MATCH(ROW()-5,'Formulación PDN 2027'!$AK$7:$AK$506,0))&amp;"","")</f>
        <v/>
      </c>
      <c r="U215" s="15" t="str">
        <f>IFERROR(INDEX('Formulación PDN 2027'!$B$7:$B$506,MATCH(ROW()-5,'Formulación PDN 2027'!$AK$7:$AK$506,0))&amp;"","")</f>
        <v/>
      </c>
      <c r="V215" s="15" t="str">
        <f>IFERROR(LEFT(INDEX('Formulación PDN 2027'!$E$7:$E$506,MATCH(ROW()-5,'Formulación PDN 2027'!$AK$7:$AK$506,0)),7),"")</f>
        <v/>
      </c>
      <c r="W215" s="15" t="str">
        <f>IFERROR(INDEX('Formulación PDN 2027'!$H$7:$H$506,MATCH(ROW()-5,'Formulación PDN 2027'!$AK$7:$AK$506,0))&amp;"","")</f>
        <v/>
      </c>
      <c r="X215" s="15" t="str">
        <f>IFERROR(INDEX('Formulación PDN 2027'!$U$7:$U$506,MATCH(ROW()-5,'Formulación PDN 2027'!$AK$7:$AK$506,0))&amp;"","")</f>
        <v/>
      </c>
      <c r="Y215" s="15" t="str">
        <f>IFERROR(INDEX('Formulación PDN 2027'!$AH$7:$AH$506,MATCH(ROW()-5,'Formulación PDN 2027'!$AK$7:$AK$506,0))&amp;"","")</f>
        <v/>
      </c>
    </row>
    <row r="216" spans="1:25" x14ac:dyDescent="0.3">
      <c r="A216" s="15" t="str">
        <f>IFERROR(INDEX('Formulación PDN 2027'!$A$7:$A$506,MATCH(ROW()-5,'Formulación PDN 2027'!$AK$7:$AK$506,0))&amp;"","")</f>
        <v/>
      </c>
      <c r="B216" s="20" t="str">
        <f>IFERROR(INDEX('Formulación PDN 2027'!$M$7:$M$506,MATCH(ROW()-5,'Formulación PDN 2027'!$AK$7:$AK$506,0)),"")</f>
        <v/>
      </c>
      <c r="C216" s="15" t="str">
        <f>IFERROR(INDEX('Formulación PDN 2027'!$N$7:$N$506,MATCH(ROW()-5,'Formulación PDN 2027'!$AK$7:$AK$506,0))&amp;"","")</f>
        <v/>
      </c>
      <c r="D216" s="15" t="str">
        <f>IFERROR(INDEX('Formulación PDN 2027'!$L$7:$L$506,MATCH(ROW()-5,'Formulación PDN 2027'!$AK$7:$AK$506,0))&amp;"","")</f>
        <v/>
      </c>
      <c r="E216" s="15" t="str">
        <f>IFERROR(MATCH(INDEX('Formulación PDN 2027'!$O$7:$O$506,MATCH(ROW()-5,'Formulación PDN 2027'!$AK$7:$AK$506,0)),L_MESES,0),"")</f>
        <v/>
      </c>
      <c r="F216" s="15" t="str">
        <f>IFERROR(MATCH(INDEX('Formulación PDN 2027'!$P$7:$P$506,MATCH(ROW()-5,'Formulación PDN 2027'!$AK$7:$AK$506,0)),L_MESES,0),"")</f>
        <v/>
      </c>
      <c r="G216" s="15" t="str">
        <f>IFERROR(INDEX('Formulación PDN 2027'!$Q$7:$Q$506,MATCH(ROW()-5,'Formulación PDN 2027'!$AK$7:$AK$506,0)),"")</f>
        <v/>
      </c>
      <c r="H216" s="15" t="str">
        <f>IFERROR(INDEX('Formulación PDN 2027'!$R$7:$R$506,MATCH(ROW()-5,'Formulación PDN 2027'!$AK$7:$AK$506,0))&amp;"","")</f>
        <v/>
      </c>
      <c r="I216" s="15" t="str">
        <f>IFERROR(INDEX('Formulación PDN 2027'!$S$7:$S$506,MATCH(ROW()-5,'Formulación PDN 2027'!$AK$7:$AK$506,0))&amp;"","")</f>
        <v/>
      </c>
      <c r="J216" s="15" t="str">
        <f>IFERROR(INDEX('Formulación PDN 2027'!$T$7:$T$506,MATCH(ROW()-5,'Formulación PDN 2027'!$AK$7:$AK$506,0))&amp;"","")</f>
        <v/>
      </c>
      <c r="K216" s="43" t="str">
        <f>IFERROR(INDEX('Formulación PDN 2027'!$W$7:$W$506,MATCH(ROW()-5,'Formulación PDN 2027'!$AK$7:$AK$506,0)),"")</f>
        <v/>
      </c>
      <c r="L216" s="43" t="str">
        <f>IFERROR(INDEX('Formulación PDN 2027'!$X$7:$X$506,MATCH(ROW()-5,'Formulación PDN 2027'!$AK$7:$AK$506,0)),"")</f>
        <v/>
      </c>
      <c r="M216" s="15" t="str">
        <f>IFERROR(INDEX('Formulación PDN 2027'!$Y$7:$Y$506,MATCH(ROW()-5,'Formulación PDN 2027'!$AK$7:$AK$506,0))&amp;"","")</f>
        <v/>
      </c>
      <c r="N216" s="15" t="str">
        <f>IFERROR(INDEX('Formulación PDN 2027'!$Z$7:$Z$506,MATCH(ROW()-5,'Formulación PDN 2027'!$AK$7:$AK$506,0))&amp;"","")</f>
        <v/>
      </c>
      <c r="O216" s="15"/>
      <c r="P216" s="15" t="str">
        <f>IFERROR(INDEX('Formulación PDN 2027'!$AA$7:$AA$506,MATCH(ROW()-5,'Formulación PDN 2027'!$AK$7:$AK$506,0))&amp;"","")</f>
        <v/>
      </c>
      <c r="Q216" s="15" t="str">
        <f>IFERROR(INDEX('Formulación PDN 2027'!$AB$7:$AB$506,MATCH(ROW()-5,'Formulación PDN 2027'!$AK$7:$AK$506,0))&amp;"","")</f>
        <v/>
      </c>
      <c r="R216" s="15" t="str">
        <f>IFERROR(INDEX('Formulación PDN 2027'!$AD$7:$AD$506,MATCH(ROW()-5,'Formulación PDN 2027'!$AK$7:$AK$506,0))&amp;"","")</f>
        <v/>
      </c>
      <c r="S216" s="15" t="str">
        <f>IFERROR(INDEX('Formulación PDN 2027'!$AE$7:$AE$506,MATCH(ROW()-5,'Formulación PDN 2027'!$AK$7:$AK$506,0))&amp;"","")</f>
        <v/>
      </c>
      <c r="T216" s="15" t="str">
        <f>IFERROR(INDEX('Formulación PDN 2027'!$C$7:$C$506,MATCH(ROW()-5,'Formulación PDN 2027'!$AK$7:$AK$506,0))&amp;"","")</f>
        <v/>
      </c>
      <c r="U216" s="15" t="str">
        <f>IFERROR(INDEX('Formulación PDN 2027'!$B$7:$B$506,MATCH(ROW()-5,'Formulación PDN 2027'!$AK$7:$AK$506,0))&amp;"","")</f>
        <v/>
      </c>
      <c r="V216" s="15" t="str">
        <f>IFERROR(LEFT(INDEX('Formulación PDN 2027'!$E$7:$E$506,MATCH(ROW()-5,'Formulación PDN 2027'!$AK$7:$AK$506,0)),7),"")</f>
        <v/>
      </c>
      <c r="W216" s="15" t="str">
        <f>IFERROR(INDEX('Formulación PDN 2027'!$H$7:$H$506,MATCH(ROW()-5,'Formulación PDN 2027'!$AK$7:$AK$506,0))&amp;"","")</f>
        <v/>
      </c>
      <c r="X216" s="15" t="str">
        <f>IFERROR(INDEX('Formulación PDN 2027'!$U$7:$U$506,MATCH(ROW()-5,'Formulación PDN 2027'!$AK$7:$AK$506,0))&amp;"","")</f>
        <v/>
      </c>
      <c r="Y216" s="15" t="str">
        <f>IFERROR(INDEX('Formulación PDN 2027'!$AH$7:$AH$506,MATCH(ROW()-5,'Formulación PDN 2027'!$AK$7:$AK$506,0))&amp;"","")</f>
        <v/>
      </c>
    </row>
    <row r="217" spans="1:25" x14ac:dyDescent="0.3">
      <c r="A217" s="15" t="str">
        <f>IFERROR(INDEX('Formulación PDN 2027'!$A$7:$A$506,MATCH(ROW()-5,'Formulación PDN 2027'!$AK$7:$AK$506,0))&amp;"","")</f>
        <v/>
      </c>
      <c r="B217" s="20" t="str">
        <f>IFERROR(INDEX('Formulación PDN 2027'!$M$7:$M$506,MATCH(ROW()-5,'Formulación PDN 2027'!$AK$7:$AK$506,0)),"")</f>
        <v/>
      </c>
      <c r="C217" s="15" t="str">
        <f>IFERROR(INDEX('Formulación PDN 2027'!$N$7:$N$506,MATCH(ROW()-5,'Formulación PDN 2027'!$AK$7:$AK$506,0))&amp;"","")</f>
        <v/>
      </c>
      <c r="D217" s="15" t="str">
        <f>IFERROR(INDEX('Formulación PDN 2027'!$L$7:$L$506,MATCH(ROW()-5,'Formulación PDN 2027'!$AK$7:$AK$506,0))&amp;"","")</f>
        <v/>
      </c>
      <c r="E217" s="15" t="str">
        <f>IFERROR(MATCH(INDEX('Formulación PDN 2027'!$O$7:$O$506,MATCH(ROW()-5,'Formulación PDN 2027'!$AK$7:$AK$506,0)),L_MESES,0),"")</f>
        <v/>
      </c>
      <c r="F217" s="15" t="str">
        <f>IFERROR(MATCH(INDEX('Formulación PDN 2027'!$P$7:$P$506,MATCH(ROW()-5,'Formulación PDN 2027'!$AK$7:$AK$506,0)),L_MESES,0),"")</f>
        <v/>
      </c>
      <c r="G217" s="15" t="str">
        <f>IFERROR(INDEX('Formulación PDN 2027'!$Q$7:$Q$506,MATCH(ROW()-5,'Formulación PDN 2027'!$AK$7:$AK$506,0)),"")</f>
        <v/>
      </c>
      <c r="H217" s="15" t="str">
        <f>IFERROR(INDEX('Formulación PDN 2027'!$R$7:$R$506,MATCH(ROW()-5,'Formulación PDN 2027'!$AK$7:$AK$506,0))&amp;"","")</f>
        <v/>
      </c>
      <c r="I217" s="15" t="str">
        <f>IFERROR(INDEX('Formulación PDN 2027'!$S$7:$S$506,MATCH(ROW()-5,'Formulación PDN 2027'!$AK$7:$AK$506,0))&amp;"","")</f>
        <v/>
      </c>
      <c r="J217" s="15" t="str">
        <f>IFERROR(INDEX('Formulación PDN 2027'!$T$7:$T$506,MATCH(ROW()-5,'Formulación PDN 2027'!$AK$7:$AK$506,0))&amp;"","")</f>
        <v/>
      </c>
      <c r="K217" s="43" t="str">
        <f>IFERROR(INDEX('Formulación PDN 2027'!$W$7:$W$506,MATCH(ROW()-5,'Formulación PDN 2027'!$AK$7:$AK$506,0)),"")</f>
        <v/>
      </c>
      <c r="L217" s="43" t="str">
        <f>IFERROR(INDEX('Formulación PDN 2027'!$X$7:$X$506,MATCH(ROW()-5,'Formulación PDN 2027'!$AK$7:$AK$506,0)),"")</f>
        <v/>
      </c>
      <c r="M217" s="15" t="str">
        <f>IFERROR(INDEX('Formulación PDN 2027'!$Y$7:$Y$506,MATCH(ROW()-5,'Formulación PDN 2027'!$AK$7:$AK$506,0))&amp;"","")</f>
        <v/>
      </c>
      <c r="N217" s="15" t="str">
        <f>IFERROR(INDEX('Formulación PDN 2027'!$Z$7:$Z$506,MATCH(ROW()-5,'Formulación PDN 2027'!$AK$7:$AK$506,0))&amp;"","")</f>
        <v/>
      </c>
      <c r="O217" s="15"/>
      <c r="P217" s="15" t="str">
        <f>IFERROR(INDEX('Formulación PDN 2027'!$AA$7:$AA$506,MATCH(ROW()-5,'Formulación PDN 2027'!$AK$7:$AK$506,0))&amp;"","")</f>
        <v/>
      </c>
      <c r="Q217" s="15" t="str">
        <f>IFERROR(INDEX('Formulación PDN 2027'!$AB$7:$AB$506,MATCH(ROW()-5,'Formulación PDN 2027'!$AK$7:$AK$506,0))&amp;"","")</f>
        <v/>
      </c>
      <c r="R217" s="15" t="str">
        <f>IFERROR(INDEX('Formulación PDN 2027'!$AD$7:$AD$506,MATCH(ROW()-5,'Formulación PDN 2027'!$AK$7:$AK$506,0))&amp;"","")</f>
        <v/>
      </c>
      <c r="S217" s="15" t="str">
        <f>IFERROR(INDEX('Formulación PDN 2027'!$AE$7:$AE$506,MATCH(ROW()-5,'Formulación PDN 2027'!$AK$7:$AK$506,0))&amp;"","")</f>
        <v/>
      </c>
      <c r="T217" s="15" t="str">
        <f>IFERROR(INDEX('Formulación PDN 2027'!$C$7:$C$506,MATCH(ROW()-5,'Formulación PDN 2027'!$AK$7:$AK$506,0))&amp;"","")</f>
        <v/>
      </c>
      <c r="U217" s="15" t="str">
        <f>IFERROR(INDEX('Formulación PDN 2027'!$B$7:$B$506,MATCH(ROW()-5,'Formulación PDN 2027'!$AK$7:$AK$506,0))&amp;"","")</f>
        <v/>
      </c>
      <c r="V217" s="15" t="str">
        <f>IFERROR(LEFT(INDEX('Formulación PDN 2027'!$E$7:$E$506,MATCH(ROW()-5,'Formulación PDN 2027'!$AK$7:$AK$506,0)),7),"")</f>
        <v/>
      </c>
      <c r="W217" s="15" t="str">
        <f>IFERROR(INDEX('Formulación PDN 2027'!$H$7:$H$506,MATCH(ROW()-5,'Formulación PDN 2027'!$AK$7:$AK$506,0))&amp;"","")</f>
        <v/>
      </c>
      <c r="X217" s="15" t="str">
        <f>IFERROR(INDEX('Formulación PDN 2027'!$U$7:$U$506,MATCH(ROW()-5,'Formulación PDN 2027'!$AK$7:$AK$506,0))&amp;"","")</f>
        <v/>
      </c>
      <c r="Y217" s="15" t="str">
        <f>IFERROR(INDEX('Formulación PDN 2027'!$AH$7:$AH$506,MATCH(ROW()-5,'Formulación PDN 2027'!$AK$7:$AK$506,0))&amp;"","")</f>
        <v/>
      </c>
    </row>
    <row r="218" spans="1:25" x14ac:dyDescent="0.3">
      <c r="A218" s="15" t="str">
        <f>IFERROR(INDEX('Formulación PDN 2027'!$A$7:$A$506,MATCH(ROW()-5,'Formulación PDN 2027'!$AK$7:$AK$506,0))&amp;"","")</f>
        <v/>
      </c>
      <c r="B218" s="20" t="str">
        <f>IFERROR(INDEX('Formulación PDN 2027'!$M$7:$M$506,MATCH(ROW()-5,'Formulación PDN 2027'!$AK$7:$AK$506,0)),"")</f>
        <v/>
      </c>
      <c r="C218" s="15" t="str">
        <f>IFERROR(INDEX('Formulación PDN 2027'!$N$7:$N$506,MATCH(ROW()-5,'Formulación PDN 2027'!$AK$7:$AK$506,0))&amp;"","")</f>
        <v/>
      </c>
      <c r="D218" s="15" t="str">
        <f>IFERROR(INDEX('Formulación PDN 2027'!$L$7:$L$506,MATCH(ROW()-5,'Formulación PDN 2027'!$AK$7:$AK$506,0))&amp;"","")</f>
        <v/>
      </c>
      <c r="E218" s="15" t="str">
        <f>IFERROR(MATCH(INDEX('Formulación PDN 2027'!$O$7:$O$506,MATCH(ROW()-5,'Formulación PDN 2027'!$AK$7:$AK$506,0)),L_MESES,0),"")</f>
        <v/>
      </c>
      <c r="F218" s="15" t="str">
        <f>IFERROR(MATCH(INDEX('Formulación PDN 2027'!$P$7:$P$506,MATCH(ROW()-5,'Formulación PDN 2027'!$AK$7:$AK$506,0)),L_MESES,0),"")</f>
        <v/>
      </c>
      <c r="G218" s="15" t="str">
        <f>IFERROR(INDEX('Formulación PDN 2027'!$Q$7:$Q$506,MATCH(ROW()-5,'Formulación PDN 2027'!$AK$7:$AK$506,0)),"")</f>
        <v/>
      </c>
      <c r="H218" s="15" t="str">
        <f>IFERROR(INDEX('Formulación PDN 2027'!$R$7:$R$506,MATCH(ROW()-5,'Formulación PDN 2027'!$AK$7:$AK$506,0))&amp;"","")</f>
        <v/>
      </c>
      <c r="I218" s="15" t="str">
        <f>IFERROR(INDEX('Formulación PDN 2027'!$S$7:$S$506,MATCH(ROW()-5,'Formulación PDN 2027'!$AK$7:$AK$506,0))&amp;"","")</f>
        <v/>
      </c>
      <c r="J218" s="15" t="str">
        <f>IFERROR(INDEX('Formulación PDN 2027'!$T$7:$T$506,MATCH(ROW()-5,'Formulación PDN 2027'!$AK$7:$AK$506,0))&amp;"","")</f>
        <v/>
      </c>
      <c r="K218" s="43" t="str">
        <f>IFERROR(INDEX('Formulación PDN 2027'!$W$7:$W$506,MATCH(ROW()-5,'Formulación PDN 2027'!$AK$7:$AK$506,0)),"")</f>
        <v/>
      </c>
      <c r="L218" s="43" t="str">
        <f>IFERROR(INDEX('Formulación PDN 2027'!$X$7:$X$506,MATCH(ROW()-5,'Formulación PDN 2027'!$AK$7:$AK$506,0)),"")</f>
        <v/>
      </c>
      <c r="M218" s="15" t="str">
        <f>IFERROR(INDEX('Formulación PDN 2027'!$Y$7:$Y$506,MATCH(ROW()-5,'Formulación PDN 2027'!$AK$7:$AK$506,0))&amp;"","")</f>
        <v/>
      </c>
      <c r="N218" s="15" t="str">
        <f>IFERROR(INDEX('Formulación PDN 2027'!$Z$7:$Z$506,MATCH(ROW()-5,'Formulación PDN 2027'!$AK$7:$AK$506,0))&amp;"","")</f>
        <v/>
      </c>
      <c r="O218" s="15"/>
      <c r="P218" s="15" t="str">
        <f>IFERROR(INDEX('Formulación PDN 2027'!$AA$7:$AA$506,MATCH(ROW()-5,'Formulación PDN 2027'!$AK$7:$AK$506,0))&amp;"","")</f>
        <v/>
      </c>
      <c r="Q218" s="15" t="str">
        <f>IFERROR(INDEX('Formulación PDN 2027'!$AB$7:$AB$506,MATCH(ROW()-5,'Formulación PDN 2027'!$AK$7:$AK$506,0))&amp;"","")</f>
        <v/>
      </c>
      <c r="R218" s="15" t="str">
        <f>IFERROR(INDEX('Formulación PDN 2027'!$AD$7:$AD$506,MATCH(ROW()-5,'Formulación PDN 2027'!$AK$7:$AK$506,0))&amp;"","")</f>
        <v/>
      </c>
      <c r="S218" s="15" t="str">
        <f>IFERROR(INDEX('Formulación PDN 2027'!$AE$7:$AE$506,MATCH(ROW()-5,'Formulación PDN 2027'!$AK$7:$AK$506,0))&amp;"","")</f>
        <v/>
      </c>
      <c r="T218" s="15" t="str">
        <f>IFERROR(INDEX('Formulación PDN 2027'!$C$7:$C$506,MATCH(ROW()-5,'Formulación PDN 2027'!$AK$7:$AK$506,0))&amp;"","")</f>
        <v/>
      </c>
      <c r="U218" s="15" t="str">
        <f>IFERROR(INDEX('Formulación PDN 2027'!$B$7:$B$506,MATCH(ROW()-5,'Formulación PDN 2027'!$AK$7:$AK$506,0))&amp;"","")</f>
        <v/>
      </c>
      <c r="V218" s="15" t="str">
        <f>IFERROR(LEFT(INDEX('Formulación PDN 2027'!$E$7:$E$506,MATCH(ROW()-5,'Formulación PDN 2027'!$AK$7:$AK$506,0)),7),"")</f>
        <v/>
      </c>
      <c r="W218" s="15" t="str">
        <f>IFERROR(INDEX('Formulación PDN 2027'!$H$7:$H$506,MATCH(ROW()-5,'Formulación PDN 2027'!$AK$7:$AK$506,0))&amp;"","")</f>
        <v/>
      </c>
      <c r="X218" s="15" t="str">
        <f>IFERROR(INDEX('Formulación PDN 2027'!$U$7:$U$506,MATCH(ROW()-5,'Formulación PDN 2027'!$AK$7:$AK$506,0))&amp;"","")</f>
        <v/>
      </c>
      <c r="Y218" s="15" t="str">
        <f>IFERROR(INDEX('Formulación PDN 2027'!$AH$7:$AH$506,MATCH(ROW()-5,'Formulación PDN 2027'!$AK$7:$AK$506,0))&amp;"","")</f>
        <v/>
      </c>
    </row>
    <row r="219" spans="1:25" x14ac:dyDescent="0.3">
      <c r="A219" s="15" t="str">
        <f>IFERROR(INDEX('Formulación PDN 2027'!$A$7:$A$506,MATCH(ROW()-5,'Formulación PDN 2027'!$AK$7:$AK$506,0))&amp;"","")</f>
        <v/>
      </c>
      <c r="B219" s="20" t="str">
        <f>IFERROR(INDEX('Formulación PDN 2027'!$M$7:$M$506,MATCH(ROW()-5,'Formulación PDN 2027'!$AK$7:$AK$506,0)),"")</f>
        <v/>
      </c>
      <c r="C219" s="15" t="str">
        <f>IFERROR(INDEX('Formulación PDN 2027'!$N$7:$N$506,MATCH(ROW()-5,'Formulación PDN 2027'!$AK$7:$AK$506,0))&amp;"","")</f>
        <v/>
      </c>
      <c r="D219" s="15" t="str">
        <f>IFERROR(INDEX('Formulación PDN 2027'!$L$7:$L$506,MATCH(ROW()-5,'Formulación PDN 2027'!$AK$7:$AK$506,0))&amp;"","")</f>
        <v/>
      </c>
      <c r="E219" s="15" t="str">
        <f>IFERROR(MATCH(INDEX('Formulación PDN 2027'!$O$7:$O$506,MATCH(ROW()-5,'Formulación PDN 2027'!$AK$7:$AK$506,0)),L_MESES,0),"")</f>
        <v/>
      </c>
      <c r="F219" s="15" t="str">
        <f>IFERROR(MATCH(INDEX('Formulación PDN 2027'!$P$7:$P$506,MATCH(ROW()-5,'Formulación PDN 2027'!$AK$7:$AK$506,0)),L_MESES,0),"")</f>
        <v/>
      </c>
      <c r="G219" s="15" t="str">
        <f>IFERROR(INDEX('Formulación PDN 2027'!$Q$7:$Q$506,MATCH(ROW()-5,'Formulación PDN 2027'!$AK$7:$AK$506,0)),"")</f>
        <v/>
      </c>
      <c r="H219" s="15" t="str">
        <f>IFERROR(INDEX('Formulación PDN 2027'!$R$7:$R$506,MATCH(ROW()-5,'Formulación PDN 2027'!$AK$7:$AK$506,0))&amp;"","")</f>
        <v/>
      </c>
      <c r="I219" s="15" t="str">
        <f>IFERROR(INDEX('Formulación PDN 2027'!$S$7:$S$506,MATCH(ROW()-5,'Formulación PDN 2027'!$AK$7:$AK$506,0))&amp;"","")</f>
        <v/>
      </c>
      <c r="J219" s="15" t="str">
        <f>IFERROR(INDEX('Formulación PDN 2027'!$T$7:$T$506,MATCH(ROW()-5,'Formulación PDN 2027'!$AK$7:$AK$506,0))&amp;"","")</f>
        <v/>
      </c>
      <c r="K219" s="43" t="str">
        <f>IFERROR(INDEX('Formulación PDN 2027'!$W$7:$W$506,MATCH(ROW()-5,'Formulación PDN 2027'!$AK$7:$AK$506,0)),"")</f>
        <v/>
      </c>
      <c r="L219" s="43" t="str">
        <f>IFERROR(INDEX('Formulación PDN 2027'!$X$7:$X$506,MATCH(ROW()-5,'Formulación PDN 2027'!$AK$7:$AK$506,0)),"")</f>
        <v/>
      </c>
      <c r="M219" s="15" t="str">
        <f>IFERROR(INDEX('Formulación PDN 2027'!$Y$7:$Y$506,MATCH(ROW()-5,'Formulación PDN 2027'!$AK$7:$AK$506,0))&amp;"","")</f>
        <v/>
      </c>
      <c r="N219" s="15" t="str">
        <f>IFERROR(INDEX('Formulación PDN 2027'!$Z$7:$Z$506,MATCH(ROW()-5,'Formulación PDN 2027'!$AK$7:$AK$506,0))&amp;"","")</f>
        <v/>
      </c>
      <c r="O219" s="15"/>
      <c r="P219" s="15" t="str">
        <f>IFERROR(INDEX('Formulación PDN 2027'!$AA$7:$AA$506,MATCH(ROW()-5,'Formulación PDN 2027'!$AK$7:$AK$506,0))&amp;"","")</f>
        <v/>
      </c>
      <c r="Q219" s="15" t="str">
        <f>IFERROR(INDEX('Formulación PDN 2027'!$AB$7:$AB$506,MATCH(ROW()-5,'Formulación PDN 2027'!$AK$7:$AK$506,0))&amp;"","")</f>
        <v/>
      </c>
      <c r="R219" s="15" t="str">
        <f>IFERROR(INDEX('Formulación PDN 2027'!$AD$7:$AD$506,MATCH(ROW()-5,'Formulación PDN 2027'!$AK$7:$AK$506,0))&amp;"","")</f>
        <v/>
      </c>
      <c r="S219" s="15" t="str">
        <f>IFERROR(INDEX('Formulación PDN 2027'!$AE$7:$AE$506,MATCH(ROW()-5,'Formulación PDN 2027'!$AK$7:$AK$506,0))&amp;"","")</f>
        <v/>
      </c>
      <c r="T219" s="15" t="str">
        <f>IFERROR(INDEX('Formulación PDN 2027'!$C$7:$C$506,MATCH(ROW()-5,'Formulación PDN 2027'!$AK$7:$AK$506,0))&amp;"","")</f>
        <v/>
      </c>
      <c r="U219" s="15" t="str">
        <f>IFERROR(INDEX('Formulación PDN 2027'!$B$7:$B$506,MATCH(ROW()-5,'Formulación PDN 2027'!$AK$7:$AK$506,0))&amp;"","")</f>
        <v/>
      </c>
      <c r="V219" s="15" t="str">
        <f>IFERROR(LEFT(INDEX('Formulación PDN 2027'!$E$7:$E$506,MATCH(ROW()-5,'Formulación PDN 2027'!$AK$7:$AK$506,0)),7),"")</f>
        <v/>
      </c>
      <c r="W219" s="15" t="str">
        <f>IFERROR(INDEX('Formulación PDN 2027'!$H$7:$H$506,MATCH(ROW()-5,'Formulación PDN 2027'!$AK$7:$AK$506,0))&amp;"","")</f>
        <v/>
      </c>
      <c r="X219" s="15" t="str">
        <f>IFERROR(INDEX('Formulación PDN 2027'!$U$7:$U$506,MATCH(ROW()-5,'Formulación PDN 2027'!$AK$7:$AK$506,0))&amp;"","")</f>
        <v/>
      </c>
      <c r="Y219" s="15" t="str">
        <f>IFERROR(INDEX('Formulación PDN 2027'!$AH$7:$AH$506,MATCH(ROW()-5,'Formulación PDN 2027'!$AK$7:$AK$506,0))&amp;"","")</f>
        <v/>
      </c>
    </row>
    <row r="220" spans="1:25" x14ac:dyDescent="0.3">
      <c r="A220" s="15" t="str">
        <f>IFERROR(INDEX('Formulación PDN 2027'!$A$7:$A$506,MATCH(ROW()-5,'Formulación PDN 2027'!$AK$7:$AK$506,0))&amp;"","")</f>
        <v/>
      </c>
      <c r="B220" s="20" t="str">
        <f>IFERROR(INDEX('Formulación PDN 2027'!$M$7:$M$506,MATCH(ROW()-5,'Formulación PDN 2027'!$AK$7:$AK$506,0)),"")</f>
        <v/>
      </c>
      <c r="C220" s="15" t="str">
        <f>IFERROR(INDEX('Formulación PDN 2027'!$N$7:$N$506,MATCH(ROW()-5,'Formulación PDN 2027'!$AK$7:$AK$506,0))&amp;"","")</f>
        <v/>
      </c>
      <c r="D220" s="15" t="str">
        <f>IFERROR(INDEX('Formulación PDN 2027'!$L$7:$L$506,MATCH(ROW()-5,'Formulación PDN 2027'!$AK$7:$AK$506,0))&amp;"","")</f>
        <v/>
      </c>
      <c r="E220" s="15" t="str">
        <f>IFERROR(MATCH(INDEX('Formulación PDN 2027'!$O$7:$O$506,MATCH(ROW()-5,'Formulación PDN 2027'!$AK$7:$AK$506,0)),L_MESES,0),"")</f>
        <v/>
      </c>
      <c r="F220" s="15" t="str">
        <f>IFERROR(MATCH(INDEX('Formulación PDN 2027'!$P$7:$P$506,MATCH(ROW()-5,'Formulación PDN 2027'!$AK$7:$AK$506,0)),L_MESES,0),"")</f>
        <v/>
      </c>
      <c r="G220" s="15" t="str">
        <f>IFERROR(INDEX('Formulación PDN 2027'!$Q$7:$Q$506,MATCH(ROW()-5,'Formulación PDN 2027'!$AK$7:$AK$506,0)),"")</f>
        <v/>
      </c>
      <c r="H220" s="15" t="str">
        <f>IFERROR(INDEX('Formulación PDN 2027'!$R$7:$R$506,MATCH(ROW()-5,'Formulación PDN 2027'!$AK$7:$AK$506,0))&amp;"","")</f>
        <v/>
      </c>
      <c r="I220" s="15" t="str">
        <f>IFERROR(INDEX('Formulación PDN 2027'!$S$7:$S$506,MATCH(ROW()-5,'Formulación PDN 2027'!$AK$7:$AK$506,0))&amp;"","")</f>
        <v/>
      </c>
      <c r="J220" s="15" t="str">
        <f>IFERROR(INDEX('Formulación PDN 2027'!$T$7:$T$506,MATCH(ROW()-5,'Formulación PDN 2027'!$AK$7:$AK$506,0))&amp;"","")</f>
        <v/>
      </c>
      <c r="K220" s="43" t="str">
        <f>IFERROR(INDEX('Formulación PDN 2027'!$W$7:$W$506,MATCH(ROW()-5,'Formulación PDN 2027'!$AK$7:$AK$506,0)),"")</f>
        <v/>
      </c>
      <c r="L220" s="43" t="str">
        <f>IFERROR(INDEX('Formulación PDN 2027'!$X$7:$X$506,MATCH(ROW()-5,'Formulación PDN 2027'!$AK$7:$AK$506,0)),"")</f>
        <v/>
      </c>
      <c r="M220" s="15" t="str">
        <f>IFERROR(INDEX('Formulación PDN 2027'!$Y$7:$Y$506,MATCH(ROW()-5,'Formulación PDN 2027'!$AK$7:$AK$506,0))&amp;"","")</f>
        <v/>
      </c>
      <c r="N220" s="15" t="str">
        <f>IFERROR(INDEX('Formulación PDN 2027'!$Z$7:$Z$506,MATCH(ROW()-5,'Formulación PDN 2027'!$AK$7:$AK$506,0))&amp;"","")</f>
        <v/>
      </c>
      <c r="O220" s="15"/>
      <c r="P220" s="15" t="str">
        <f>IFERROR(INDEX('Formulación PDN 2027'!$AA$7:$AA$506,MATCH(ROW()-5,'Formulación PDN 2027'!$AK$7:$AK$506,0))&amp;"","")</f>
        <v/>
      </c>
      <c r="Q220" s="15" t="str">
        <f>IFERROR(INDEX('Formulación PDN 2027'!$AB$7:$AB$506,MATCH(ROW()-5,'Formulación PDN 2027'!$AK$7:$AK$506,0))&amp;"","")</f>
        <v/>
      </c>
      <c r="R220" s="15" t="str">
        <f>IFERROR(INDEX('Formulación PDN 2027'!$AD$7:$AD$506,MATCH(ROW()-5,'Formulación PDN 2027'!$AK$7:$AK$506,0))&amp;"","")</f>
        <v/>
      </c>
      <c r="S220" s="15" t="str">
        <f>IFERROR(INDEX('Formulación PDN 2027'!$AE$7:$AE$506,MATCH(ROW()-5,'Formulación PDN 2027'!$AK$7:$AK$506,0))&amp;"","")</f>
        <v/>
      </c>
      <c r="T220" s="15" t="str">
        <f>IFERROR(INDEX('Formulación PDN 2027'!$C$7:$C$506,MATCH(ROW()-5,'Formulación PDN 2027'!$AK$7:$AK$506,0))&amp;"","")</f>
        <v/>
      </c>
      <c r="U220" s="15" t="str">
        <f>IFERROR(INDEX('Formulación PDN 2027'!$B$7:$B$506,MATCH(ROW()-5,'Formulación PDN 2027'!$AK$7:$AK$506,0))&amp;"","")</f>
        <v/>
      </c>
      <c r="V220" s="15" t="str">
        <f>IFERROR(LEFT(INDEX('Formulación PDN 2027'!$E$7:$E$506,MATCH(ROW()-5,'Formulación PDN 2027'!$AK$7:$AK$506,0)),7),"")</f>
        <v/>
      </c>
      <c r="W220" s="15" t="str">
        <f>IFERROR(INDEX('Formulación PDN 2027'!$H$7:$H$506,MATCH(ROW()-5,'Formulación PDN 2027'!$AK$7:$AK$506,0))&amp;"","")</f>
        <v/>
      </c>
      <c r="X220" s="15" t="str">
        <f>IFERROR(INDEX('Formulación PDN 2027'!$U$7:$U$506,MATCH(ROW()-5,'Formulación PDN 2027'!$AK$7:$AK$506,0))&amp;"","")</f>
        <v/>
      </c>
      <c r="Y220" s="15" t="str">
        <f>IFERROR(INDEX('Formulación PDN 2027'!$AH$7:$AH$506,MATCH(ROW()-5,'Formulación PDN 2027'!$AK$7:$AK$506,0))&amp;"","")</f>
        <v/>
      </c>
    </row>
    <row r="221" spans="1:25" x14ac:dyDescent="0.3">
      <c r="A221" s="15" t="str">
        <f>IFERROR(INDEX('Formulación PDN 2027'!$A$7:$A$506,MATCH(ROW()-5,'Formulación PDN 2027'!$AK$7:$AK$506,0))&amp;"","")</f>
        <v/>
      </c>
      <c r="B221" s="20" t="str">
        <f>IFERROR(INDEX('Formulación PDN 2027'!$M$7:$M$506,MATCH(ROW()-5,'Formulación PDN 2027'!$AK$7:$AK$506,0)),"")</f>
        <v/>
      </c>
      <c r="C221" s="15" t="str">
        <f>IFERROR(INDEX('Formulación PDN 2027'!$N$7:$N$506,MATCH(ROW()-5,'Formulación PDN 2027'!$AK$7:$AK$506,0))&amp;"","")</f>
        <v/>
      </c>
      <c r="D221" s="15" t="str">
        <f>IFERROR(INDEX('Formulación PDN 2027'!$L$7:$L$506,MATCH(ROW()-5,'Formulación PDN 2027'!$AK$7:$AK$506,0))&amp;"","")</f>
        <v/>
      </c>
      <c r="E221" s="15" t="str">
        <f>IFERROR(MATCH(INDEX('Formulación PDN 2027'!$O$7:$O$506,MATCH(ROW()-5,'Formulación PDN 2027'!$AK$7:$AK$506,0)),L_MESES,0),"")</f>
        <v/>
      </c>
      <c r="F221" s="15" t="str">
        <f>IFERROR(MATCH(INDEX('Formulación PDN 2027'!$P$7:$P$506,MATCH(ROW()-5,'Formulación PDN 2027'!$AK$7:$AK$506,0)),L_MESES,0),"")</f>
        <v/>
      </c>
      <c r="G221" s="15" t="str">
        <f>IFERROR(INDEX('Formulación PDN 2027'!$Q$7:$Q$506,MATCH(ROW()-5,'Formulación PDN 2027'!$AK$7:$AK$506,0)),"")</f>
        <v/>
      </c>
      <c r="H221" s="15" t="str">
        <f>IFERROR(INDEX('Formulación PDN 2027'!$R$7:$R$506,MATCH(ROW()-5,'Formulación PDN 2027'!$AK$7:$AK$506,0))&amp;"","")</f>
        <v/>
      </c>
      <c r="I221" s="15" t="str">
        <f>IFERROR(INDEX('Formulación PDN 2027'!$S$7:$S$506,MATCH(ROW()-5,'Formulación PDN 2027'!$AK$7:$AK$506,0))&amp;"","")</f>
        <v/>
      </c>
      <c r="J221" s="15" t="str">
        <f>IFERROR(INDEX('Formulación PDN 2027'!$T$7:$T$506,MATCH(ROW()-5,'Formulación PDN 2027'!$AK$7:$AK$506,0))&amp;"","")</f>
        <v/>
      </c>
      <c r="K221" s="43" t="str">
        <f>IFERROR(INDEX('Formulación PDN 2027'!$W$7:$W$506,MATCH(ROW()-5,'Formulación PDN 2027'!$AK$7:$AK$506,0)),"")</f>
        <v/>
      </c>
      <c r="L221" s="43" t="str">
        <f>IFERROR(INDEX('Formulación PDN 2027'!$X$7:$X$506,MATCH(ROW()-5,'Formulación PDN 2027'!$AK$7:$AK$506,0)),"")</f>
        <v/>
      </c>
      <c r="M221" s="15" t="str">
        <f>IFERROR(INDEX('Formulación PDN 2027'!$Y$7:$Y$506,MATCH(ROW()-5,'Formulación PDN 2027'!$AK$7:$AK$506,0))&amp;"","")</f>
        <v/>
      </c>
      <c r="N221" s="15" t="str">
        <f>IFERROR(INDEX('Formulación PDN 2027'!$Z$7:$Z$506,MATCH(ROW()-5,'Formulación PDN 2027'!$AK$7:$AK$506,0))&amp;"","")</f>
        <v/>
      </c>
      <c r="O221" s="15"/>
      <c r="P221" s="15" t="str">
        <f>IFERROR(INDEX('Formulación PDN 2027'!$AA$7:$AA$506,MATCH(ROW()-5,'Formulación PDN 2027'!$AK$7:$AK$506,0))&amp;"","")</f>
        <v/>
      </c>
      <c r="Q221" s="15" t="str">
        <f>IFERROR(INDEX('Formulación PDN 2027'!$AB$7:$AB$506,MATCH(ROW()-5,'Formulación PDN 2027'!$AK$7:$AK$506,0))&amp;"","")</f>
        <v/>
      </c>
      <c r="R221" s="15" t="str">
        <f>IFERROR(INDEX('Formulación PDN 2027'!$AD$7:$AD$506,MATCH(ROW()-5,'Formulación PDN 2027'!$AK$7:$AK$506,0))&amp;"","")</f>
        <v/>
      </c>
      <c r="S221" s="15" t="str">
        <f>IFERROR(INDEX('Formulación PDN 2027'!$AE$7:$AE$506,MATCH(ROW()-5,'Formulación PDN 2027'!$AK$7:$AK$506,0))&amp;"","")</f>
        <v/>
      </c>
      <c r="T221" s="15" t="str">
        <f>IFERROR(INDEX('Formulación PDN 2027'!$C$7:$C$506,MATCH(ROW()-5,'Formulación PDN 2027'!$AK$7:$AK$506,0))&amp;"","")</f>
        <v/>
      </c>
      <c r="U221" s="15" t="str">
        <f>IFERROR(INDEX('Formulación PDN 2027'!$B$7:$B$506,MATCH(ROW()-5,'Formulación PDN 2027'!$AK$7:$AK$506,0))&amp;"","")</f>
        <v/>
      </c>
      <c r="V221" s="15" t="str">
        <f>IFERROR(LEFT(INDEX('Formulación PDN 2027'!$E$7:$E$506,MATCH(ROW()-5,'Formulación PDN 2027'!$AK$7:$AK$506,0)),7),"")</f>
        <v/>
      </c>
      <c r="W221" s="15" t="str">
        <f>IFERROR(INDEX('Formulación PDN 2027'!$H$7:$H$506,MATCH(ROW()-5,'Formulación PDN 2027'!$AK$7:$AK$506,0))&amp;"","")</f>
        <v/>
      </c>
      <c r="X221" s="15" t="str">
        <f>IFERROR(INDEX('Formulación PDN 2027'!$U$7:$U$506,MATCH(ROW()-5,'Formulación PDN 2027'!$AK$7:$AK$506,0))&amp;"","")</f>
        <v/>
      </c>
      <c r="Y221" s="15" t="str">
        <f>IFERROR(INDEX('Formulación PDN 2027'!$AH$7:$AH$506,MATCH(ROW()-5,'Formulación PDN 2027'!$AK$7:$AK$506,0))&amp;"","")</f>
        <v/>
      </c>
    </row>
    <row r="222" spans="1:25" x14ac:dyDescent="0.3">
      <c r="A222" s="15" t="str">
        <f>IFERROR(INDEX('Formulación PDN 2027'!$A$7:$A$506,MATCH(ROW()-5,'Formulación PDN 2027'!$AK$7:$AK$506,0))&amp;"","")</f>
        <v/>
      </c>
      <c r="B222" s="20" t="str">
        <f>IFERROR(INDEX('Formulación PDN 2027'!$M$7:$M$506,MATCH(ROW()-5,'Formulación PDN 2027'!$AK$7:$AK$506,0)),"")</f>
        <v/>
      </c>
      <c r="C222" s="15" t="str">
        <f>IFERROR(INDEX('Formulación PDN 2027'!$N$7:$N$506,MATCH(ROW()-5,'Formulación PDN 2027'!$AK$7:$AK$506,0))&amp;"","")</f>
        <v/>
      </c>
      <c r="D222" s="15" t="str">
        <f>IFERROR(INDEX('Formulación PDN 2027'!$L$7:$L$506,MATCH(ROW()-5,'Formulación PDN 2027'!$AK$7:$AK$506,0))&amp;"","")</f>
        <v/>
      </c>
      <c r="E222" s="15" t="str">
        <f>IFERROR(MATCH(INDEX('Formulación PDN 2027'!$O$7:$O$506,MATCH(ROW()-5,'Formulación PDN 2027'!$AK$7:$AK$506,0)),L_MESES,0),"")</f>
        <v/>
      </c>
      <c r="F222" s="15" t="str">
        <f>IFERROR(MATCH(INDEX('Formulación PDN 2027'!$P$7:$P$506,MATCH(ROW()-5,'Formulación PDN 2027'!$AK$7:$AK$506,0)),L_MESES,0),"")</f>
        <v/>
      </c>
      <c r="G222" s="15" t="str">
        <f>IFERROR(INDEX('Formulación PDN 2027'!$Q$7:$Q$506,MATCH(ROW()-5,'Formulación PDN 2027'!$AK$7:$AK$506,0)),"")</f>
        <v/>
      </c>
      <c r="H222" s="15" t="str">
        <f>IFERROR(INDEX('Formulación PDN 2027'!$R$7:$R$506,MATCH(ROW()-5,'Formulación PDN 2027'!$AK$7:$AK$506,0))&amp;"","")</f>
        <v/>
      </c>
      <c r="I222" s="15" t="str">
        <f>IFERROR(INDEX('Formulación PDN 2027'!$S$7:$S$506,MATCH(ROW()-5,'Formulación PDN 2027'!$AK$7:$AK$506,0))&amp;"","")</f>
        <v/>
      </c>
      <c r="J222" s="15" t="str">
        <f>IFERROR(INDEX('Formulación PDN 2027'!$T$7:$T$506,MATCH(ROW()-5,'Formulación PDN 2027'!$AK$7:$AK$506,0))&amp;"","")</f>
        <v/>
      </c>
      <c r="K222" s="43" t="str">
        <f>IFERROR(INDEX('Formulación PDN 2027'!$W$7:$W$506,MATCH(ROW()-5,'Formulación PDN 2027'!$AK$7:$AK$506,0)),"")</f>
        <v/>
      </c>
      <c r="L222" s="43" t="str">
        <f>IFERROR(INDEX('Formulación PDN 2027'!$X$7:$X$506,MATCH(ROW()-5,'Formulación PDN 2027'!$AK$7:$AK$506,0)),"")</f>
        <v/>
      </c>
      <c r="M222" s="15" t="str">
        <f>IFERROR(INDEX('Formulación PDN 2027'!$Y$7:$Y$506,MATCH(ROW()-5,'Formulación PDN 2027'!$AK$7:$AK$506,0))&amp;"","")</f>
        <v/>
      </c>
      <c r="N222" s="15" t="str">
        <f>IFERROR(INDEX('Formulación PDN 2027'!$Z$7:$Z$506,MATCH(ROW()-5,'Formulación PDN 2027'!$AK$7:$AK$506,0))&amp;"","")</f>
        <v/>
      </c>
      <c r="O222" s="15"/>
      <c r="P222" s="15" t="str">
        <f>IFERROR(INDEX('Formulación PDN 2027'!$AA$7:$AA$506,MATCH(ROW()-5,'Formulación PDN 2027'!$AK$7:$AK$506,0))&amp;"","")</f>
        <v/>
      </c>
      <c r="Q222" s="15" t="str">
        <f>IFERROR(INDEX('Formulación PDN 2027'!$AB$7:$AB$506,MATCH(ROW()-5,'Formulación PDN 2027'!$AK$7:$AK$506,0))&amp;"","")</f>
        <v/>
      </c>
      <c r="R222" s="15" t="str">
        <f>IFERROR(INDEX('Formulación PDN 2027'!$AD$7:$AD$506,MATCH(ROW()-5,'Formulación PDN 2027'!$AK$7:$AK$506,0))&amp;"","")</f>
        <v/>
      </c>
      <c r="S222" s="15" t="str">
        <f>IFERROR(INDEX('Formulación PDN 2027'!$AE$7:$AE$506,MATCH(ROW()-5,'Formulación PDN 2027'!$AK$7:$AK$506,0))&amp;"","")</f>
        <v/>
      </c>
      <c r="T222" s="15" t="str">
        <f>IFERROR(INDEX('Formulación PDN 2027'!$C$7:$C$506,MATCH(ROW()-5,'Formulación PDN 2027'!$AK$7:$AK$506,0))&amp;"","")</f>
        <v/>
      </c>
      <c r="U222" s="15" t="str">
        <f>IFERROR(INDEX('Formulación PDN 2027'!$B$7:$B$506,MATCH(ROW()-5,'Formulación PDN 2027'!$AK$7:$AK$506,0))&amp;"","")</f>
        <v/>
      </c>
      <c r="V222" s="15" t="str">
        <f>IFERROR(LEFT(INDEX('Formulación PDN 2027'!$E$7:$E$506,MATCH(ROW()-5,'Formulación PDN 2027'!$AK$7:$AK$506,0)),7),"")</f>
        <v/>
      </c>
      <c r="W222" s="15" t="str">
        <f>IFERROR(INDEX('Formulación PDN 2027'!$H$7:$H$506,MATCH(ROW()-5,'Formulación PDN 2027'!$AK$7:$AK$506,0))&amp;"","")</f>
        <v/>
      </c>
      <c r="X222" s="15" t="str">
        <f>IFERROR(INDEX('Formulación PDN 2027'!$U$7:$U$506,MATCH(ROW()-5,'Formulación PDN 2027'!$AK$7:$AK$506,0))&amp;"","")</f>
        <v/>
      </c>
      <c r="Y222" s="15" t="str">
        <f>IFERROR(INDEX('Formulación PDN 2027'!$AH$7:$AH$506,MATCH(ROW()-5,'Formulación PDN 2027'!$AK$7:$AK$506,0))&amp;"","")</f>
        <v/>
      </c>
    </row>
    <row r="223" spans="1:25" x14ac:dyDescent="0.3">
      <c r="A223" s="15" t="str">
        <f>IFERROR(INDEX('Formulación PDN 2027'!$A$7:$A$506,MATCH(ROW()-5,'Formulación PDN 2027'!$AK$7:$AK$506,0))&amp;"","")</f>
        <v/>
      </c>
      <c r="B223" s="20" t="str">
        <f>IFERROR(INDEX('Formulación PDN 2027'!$M$7:$M$506,MATCH(ROW()-5,'Formulación PDN 2027'!$AK$7:$AK$506,0)),"")</f>
        <v/>
      </c>
      <c r="C223" s="15" t="str">
        <f>IFERROR(INDEX('Formulación PDN 2027'!$N$7:$N$506,MATCH(ROW()-5,'Formulación PDN 2027'!$AK$7:$AK$506,0))&amp;"","")</f>
        <v/>
      </c>
      <c r="D223" s="15" t="str">
        <f>IFERROR(INDEX('Formulación PDN 2027'!$L$7:$L$506,MATCH(ROW()-5,'Formulación PDN 2027'!$AK$7:$AK$506,0))&amp;"","")</f>
        <v/>
      </c>
      <c r="E223" s="15" t="str">
        <f>IFERROR(MATCH(INDEX('Formulación PDN 2027'!$O$7:$O$506,MATCH(ROW()-5,'Formulación PDN 2027'!$AK$7:$AK$506,0)),L_MESES,0),"")</f>
        <v/>
      </c>
      <c r="F223" s="15" t="str">
        <f>IFERROR(MATCH(INDEX('Formulación PDN 2027'!$P$7:$P$506,MATCH(ROW()-5,'Formulación PDN 2027'!$AK$7:$AK$506,0)),L_MESES,0),"")</f>
        <v/>
      </c>
      <c r="G223" s="15" t="str">
        <f>IFERROR(INDEX('Formulación PDN 2027'!$Q$7:$Q$506,MATCH(ROW()-5,'Formulación PDN 2027'!$AK$7:$AK$506,0)),"")</f>
        <v/>
      </c>
      <c r="H223" s="15" t="str">
        <f>IFERROR(INDEX('Formulación PDN 2027'!$R$7:$R$506,MATCH(ROW()-5,'Formulación PDN 2027'!$AK$7:$AK$506,0))&amp;"","")</f>
        <v/>
      </c>
      <c r="I223" s="15" t="str">
        <f>IFERROR(INDEX('Formulación PDN 2027'!$S$7:$S$506,MATCH(ROW()-5,'Formulación PDN 2027'!$AK$7:$AK$506,0))&amp;"","")</f>
        <v/>
      </c>
      <c r="J223" s="15" t="str">
        <f>IFERROR(INDEX('Formulación PDN 2027'!$T$7:$T$506,MATCH(ROW()-5,'Formulación PDN 2027'!$AK$7:$AK$506,0))&amp;"","")</f>
        <v/>
      </c>
      <c r="K223" s="43" t="str">
        <f>IFERROR(INDEX('Formulación PDN 2027'!$W$7:$W$506,MATCH(ROW()-5,'Formulación PDN 2027'!$AK$7:$AK$506,0)),"")</f>
        <v/>
      </c>
      <c r="L223" s="43" t="str">
        <f>IFERROR(INDEX('Formulación PDN 2027'!$X$7:$X$506,MATCH(ROW()-5,'Formulación PDN 2027'!$AK$7:$AK$506,0)),"")</f>
        <v/>
      </c>
      <c r="M223" s="15" t="str">
        <f>IFERROR(INDEX('Formulación PDN 2027'!$Y$7:$Y$506,MATCH(ROW()-5,'Formulación PDN 2027'!$AK$7:$AK$506,0))&amp;"","")</f>
        <v/>
      </c>
      <c r="N223" s="15" t="str">
        <f>IFERROR(INDEX('Formulación PDN 2027'!$Z$7:$Z$506,MATCH(ROW()-5,'Formulación PDN 2027'!$AK$7:$AK$506,0))&amp;"","")</f>
        <v/>
      </c>
      <c r="O223" s="15"/>
      <c r="P223" s="15" t="str">
        <f>IFERROR(INDEX('Formulación PDN 2027'!$AA$7:$AA$506,MATCH(ROW()-5,'Formulación PDN 2027'!$AK$7:$AK$506,0))&amp;"","")</f>
        <v/>
      </c>
      <c r="Q223" s="15" t="str">
        <f>IFERROR(INDEX('Formulación PDN 2027'!$AB$7:$AB$506,MATCH(ROW()-5,'Formulación PDN 2027'!$AK$7:$AK$506,0))&amp;"","")</f>
        <v/>
      </c>
      <c r="R223" s="15" t="str">
        <f>IFERROR(INDEX('Formulación PDN 2027'!$AD$7:$AD$506,MATCH(ROW()-5,'Formulación PDN 2027'!$AK$7:$AK$506,0))&amp;"","")</f>
        <v/>
      </c>
      <c r="S223" s="15" t="str">
        <f>IFERROR(INDEX('Formulación PDN 2027'!$AE$7:$AE$506,MATCH(ROW()-5,'Formulación PDN 2027'!$AK$7:$AK$506,0))&amp;"","")</f>
        <v/>
      </c>
      <c r="T223" s="15" t="str">
        <f>IFERROR(INDEX('Formulación PDN 2027'!$C$7:$C$506,MATCH(ROW()-5,'Formulación PDN 2027'!$AK$7:$AK$506,0))&amp;"","")</f>
        <v/>
      </c>
      <c r="U223" s="15" t="str">
        <f>IFERROR(INDEX('Formulación PDN 2027'!$B$7:$B$506,MATCH(ROW()-5,'Formulación PDN 2027'!$AK$7:$AK$506,0))&amp;"","")</f>
        <v/>
      </c>
      <c r="V223" s="15" t="str">
        <f>IFERROR(LEFT(INDEX('Formulación PDN 2027'!$E$7:$E$506,MATCH(ROW()-5,'Formulación PDN 2027'!$AK$7:$AK$506,0)),7),"")</f>
        <v/>
      </c>
      <c r="W223" s="15" t="str">
        <f>IFERROR(INDEX('Formulación PDN 2027'!$H$7:$H$506,MATCH(ROW()-5,'Formulación PDN 2027'!$AK$7:$AK$506,0))&amp;"","")</f>
        <v/>
      </c>
      <c r="X223" s="15" t="str">
        <f>IFERROR(INDEX('Formulación PDN 2027'!$U$7:$U$506,MATCH(ROW()-5,'Formulación PDN 2027'!$AK$7:$AK$506,0))&amp;"","")</f>
        <v/>
      </c>
      <c r="Y223" s="15" t="str">
        <f>IFERROR(INDEX('Formulación PDN 2027'!$AH$7:$AH$506,MATCH(ROW()-5,'Formulación PDN 2027'!$AK$7:$AK$506,0))&amp;"","")</f>
        <v/>
      </c>
    </row>
    <row r="224" spans="1:25" x14ac:dyDescent="0.3">
      <c r="A224" s="15" t="str">
        <f>IFERROR(INDEX('Formulación PDN 2027'!$A$7:$A$506,MATCH(ROW()-5,'Formulación PDN 2027'!$AK$7:$AK$506,0))&amp;"","")</f>
        <v/>
      </c>
      <c r="B224" s="20" t="str">
        <f>IFERROR(INDEX('Formulación PDN 2027'!$M$7:$M$506,MATCH(ROW()-5,'Formulación PDN 2027'!$AK$7:$AK$506,0)),"")</f>
        <v/>
      </c>
      <c r="C224" s="15" t="str">
        <f>IFERROR(INDEX('Formulación PDN 2027'!$N$7:$N$506,MATCH(ROW()-5,'Formulación PDN 2027'!$AK$7:$AK$506,0))&amp;"","")</f>
        <v/>
      </c>
      <c r="D224" s="15" t="str">
        <f>IFERROR(INDEX('Formulación PDN 2027'!$L$7:$L$506,MATCH(ROW()-5,'Formulación PDN 2027'!$AK$7:$AK$506,0))&amp;"","")</f>
        <v/>
      </c>
      <c r="E224" s="15" t="str">
        <f>IFERROR(MATCH(INDEX('Formulación PDN 2027'!$O$7:$O$506,MATCH(ROW()-5,'Formulación PDN 2027'!$AK$7:$AK$506,0)),L_MESES,0),"")</f>
        <v/>
      </c>
      <c r="F224" s="15" t="str">
        <f>IFERROR(MATCH(INDEX('Formulación PDN 2027'!$P$7:$P$506,MATCH(ROW()-5,'Formulación PDN 2027'!$AK$7:$AK$506,0)),L_MESES,0),"")</f>
        <v/>
      </c>
      <c r="G224" s="15" t="str">
        <f>IFERROR(INDEX('Formulación PDN 2027'!$Q$7:$Q$506,MATCH(ROW()-5,'Formulación PDN 2027'!$AK$7:$AK$506,0)),"")</f>
        <v/>
      </c>
      <c r="H224" s="15" t="str">
        <f>IFERROR(INDEX('Formulación PDN 2027'!$R$7:$R$506,MATCH(ROW()-5,'Formulación PDN 2027'!$AK$7:$AK$506,0))&amp;"","")</f>
        <v/>
      </c>
      <c r="I224" s="15" t="str">
        <f>IFERROR(INDEX('Formulación PDN 2027'!$S$7:$S$506,MATCH(ROW()-5,'Formulación PDN 2027'!$AK$7:$AK$506,0))&amp;"","")</f>
        <v/>
      </c>
      <c r="J224" s="15" t="str">
        <f>IFERROR(INDEX('Formulación PDN 2027'!$T$7:$T$506,MATCH(ROW()-5,'Formulación PDN 2027'!$AK$7:$AK$506,0))&amp;"","")</f>
        <v/>
      </c>
      <c r="K224" s="43" t="str">
        <f>IFERROR(INDEX('Formulación PDN 2027'!$W$7:$W$506,MATCH(ROW()-5,'Formulación PDN 2027'!$AK$7:$AK$506,0)),"")</f>
        <v/>
      </c>
      <c r="L224" s="43" t="str">
        <f>IFERROR(INDEX('Formulación PDN 2027'!$X$7:$X$506,MATCH(ROW()-5,'Formulación PDN 2027'!$AK$7:$AK$506,0)),"")</f>
        <v/>
      </c>
      <c r="M224" s="15" t="str">
        <f>IFERROR(INDEX('Formulación PDN 2027'!$Y$7:$Y$506,MATCH(ROW()-5,'Formulación PDN 2027'!$AK$7:$AK$506,0))&amp;"","")</f>
        <v/>
      </c>
      <c r="N224" s="15" t="str">
        <f>IFERROR(INDEX('Formulación PDN 2027'!$Z$7:$Z$506,MATCH(ROW()-5,'Formulación PDN 2027'!$AK$7:$AK$506,0))&amp;"","")</f>
        <v/>
      </c>
      <c r="O224" s="15"/>
      <c r="P224" s="15" t="str">
        <f>IFERROR(INDEX('Formulación PDN 2027'!$AA$7:$AA$506,MATCH(ROW()-5,'Formulación PDN 2027'!$AK$7:$AK$506,0))&amp;"","")</f>
        <v/>
      </c>
      <c r="Q224" s="15" t="str">
        <f>IFERROR(INDEX('Formulación PDN 2027'!$AB$7:$AB$506,MATCH(ROW()-5,'Formulación PDN 2027'!$AK$7:$AK$506,0))&amp;"","")</f>
        <v/>
      </c>
      <c r="R224" s="15" t="str">
        <f>IFERROR(INDEX('Formulación PDN 2027'!$AD$7:$AD$506,MATCH(ROW()-5,'Formulación PDN 2027'!$AK$7:$AK$506,0))&amp;"","")</f>
        <v/>
      </c>
      <c r="S224" s="15" t="str">
        <f>IFERROR(INDEX('Formulación PDN 2027'!$AE$7:$AE$506,MATCH(ROW()-5,'Formulación PDN 2027'!$AK$7:$AK$506,0))&amp;"","")</f>
        <v/>
      </c>
      <c r="T224" s="15" t="str">
        <f>IFERROR(INDEX('Formulación PDN 2027'!$C$7:$C$506,MATCH(ROW()-5,'Formulación PDN 2027'!$AK$7:$AK$506,0))&amp;"","")</f>
        <v/>
      </c>
      <c r="U224" s="15" t="str">
        <f>IFERROR(INDEX('Formulación PDN 2027'!$B$7:$B$506,MATCH(ROW()-5,'Formulación PDN 2027'!$AK$7:$AK$506,0))&amp;"","")</f>
        <v/>
      </c>
      <c r="V224" s="15" t="str">
        <f>IFERROR(LEFT(INDEX('Formulación PDN 2027'!$E$7:$E$506,MATCH(ROW()-5,'Formulación PDN 2027'!$AK$7:$AK$506,0)),7),"")</f>
        <v/>
      </c>
      <c r="W224" s="15" t="str">
        <f>IFERROR(INDEX('Formulación PDN 2027'!$H$7:$H$506,MATCH(ROW()-5,'Formulación PDN 2027'!$AK$7:$AK$506,0))&amp;"","")</f>
        <v/>
      </c>
      <c r="X224" s="15" t="str">
        <f>IFERROR(INDEX('Formulación PDN 2027'!$U$7:$U$506,MATCH(ROW()-5,'Formulación PDN 2027'!$AK$7:$AK$506,0))&amp;"","")</f>
        <v/>
      </c>
      <c r="Y224" s="15" t="str">
        <f>IFERROR(INDEX('Formulación PDN 2027'!$AH$7:$AH$506,MATCH(ROW()-5,'Formulación PDN 2027'!$AK$7:$AK$506,0))&amp;"","")</f>
        <v/>
      </c>
    </row>
    <row r="225" spans="1:25" x14ac:dyDescent="0.3">
      <c r="A225" s="15" t="str">
        <f>IFERROR(INDEX('Formulación PDN 2027'!$A$7:$A$506,MATCH(ROW()-5,'Formulación PDN 2027'!$AK$7:$AK$506,0))&amp;"","")</f>
        <v/>
      </c>
      <c r="B225" s="20" t="str">
        <f>IFERROR(INDEX('Formulación PDN 2027'!$M$7:$M$506,MATCH(ROW()-5,'Formulación PDN 2027'!$AK$7:$AK$506,0)),"")</f>
        <v/>
      </c>
      <c r="C225" s="15" t="str">
        <f>IFERROR(INDEX('Formulación PDN 2027'!$N$7:$N$506,MATCH(ROW()-5,'Formulación PDN 2027'!$AK$7:$AK$506,0))&amp;"","")</f>
        <v/>
      </c>
      <c r="D225" s="15" t="str">
        <f>IFERROR(INDEX('Formulación PDN 2027'!$L$7:$L$506,MATCH(ROW()-5,'Formulación PDN 2027'!$AK$7:$AK$506,0))&amp;"","")</f>
        <v/>
      </c>
      <c r="E225" s="15" t="str">
        <f>IFERROR(MATCH(INDEX('Formulación PDN 2027'!$O$7:$O$506,MATCH(ROW()-5,'Formulación PDN 2027'!$AK$7:$AK$506,0)),L_MESES,0),"")</f>
        <v/>
      </c>
      <c r="F225" s="15" t="str">
        <f>IFERROR(MATCH(INDEX('Formulación PDN 2027'!$P$7:$P$506,MATCH(ROW()-5,'Formulación PDN 2027'!$AK$7:$AK$506,0)),L_MESES,0),"")</f>
        <v/>
      </c>
      <c r="G225" s="15" t="str">
        <f>IFERROR(INDEX('Formulación PDN 2027'!$Q$7:$Q$506,MATCH(ROW()-5,'Formulación PDN 2027'!$AK$7:$AK$506,0)),"")</f>
        <v/>
      </c>
      <c r="H225" s="15" t="str">
        <f>IFERROR(INDEX('Formulación PDN 2027'!$R$7:$R$506,MATCH(ROW()-5,'Formulación PDN 2027'!$AK$7:$AK$506,0))&amp;"","")</f>
        <v/>
      </c>
      <c r="I225" s="15" t="str">
        <f>IFERROR(INDEX('Formulación PDN 2027'!$S$7:$S$506,MATCH(ROW()-5,'Formulación PDN 2027'!$AK$7:$AK$506,0))&amp;"","")</f>
        <v/>
      </c>
      <c r="J225" s="15" t="str">
        <f>IFERROR(INDEX('Formulación PDN 2027'!$T$7:$T$506,MATCH(ROW()-5,'Formulación PDN 2027'!$AK$7:$AK$506,0))&amp;"","")</f>
        <v/>
      </c>
      <c r="K225" s="43" t="str">
        <f>IFERROR(INDEX('Formulación PDN 2027'!$W$7:$W$506,MATCH(ROW()-5,'Formulación PDN 2027'!$AK$7:$AK$506,0)),"")</f>
        <v/>
      </c>
      <c r="L225" s="43" t="str">
        <f>IFERROR(INDEX('Formulación PDN 2027'!$X$7:$X$506,MATCH(ROW()-5,'Formulación PDN 2027'!$AK$7:$AK$506,0)),"")</f>
        <v/>
      </c>
      <c r="M225" s="15" t="str">
        <f>IFERROR(INDEX('Formulación PDN 2027'!$Y$7:$Y$506,MATCH(ROW()-5,'Formulación PDN 2027'!$AK$7:$AK$506,0))&amp;"","")</f>
        <v/>
      </c>
      <c r="N225" s="15" t="str">
        <f>IFERROR(INDEX('Formulación PDN 2027'!$Z$7:$Z$506,MATCH(ROW()-5,'Formulación PDN 2027'!$AK$7:$AK$506,0))&amp;"","")</f>
        <v/>
      </c>
      <c r="O225" s="15"/>
      <c r="P225" s="15" t="str">
        <f>IFERROR(INDEX('Formulación PDN 2027'!$AA$7:$AA$506,MATCH(ROW()-5,'Formulación PDN 2027'!$AK$7:$AK$506,0))&amp;"","")</f>
        <v/>
      </c>
      <c r="Q225" s="15" t="str">
        <f>IFERROR(INDEX('Formulación PDN 2027'!$AB$7:$AB$506,MATCH(ROW()-5,'Formulación PDN 2027'!$AK$7:$AK$506,0))&amp;"","")</f>
        <v/>
      </c>
      <c r="R225" s="15" t="str">
        <f>IFERROR(INDEX('Formulación PDN 2027'!$AD$7:$AD$506,MATCH(ROW()-5,'Formulación PDN 2027'!$AK$7:$AK$506,0))&amp;"","")</f>
        <v/>
      </c>
      <c r="S225" s="15" t="str">
        <f>IFERROR(INDEX('Formulación PDN 2027'!$AE$7:$AE$506,MATCH(ROW()-5,'Formulación PDN 2027'!$AK$7:$AK$506,0))&amp;"","")</f>
        <v/>
      </c>
      <c r="T225" s="15" t="str">
        <f>IFERROR(INDEX('Formulación PDN 2027'!$C$7:$C$506,MATCH(ROW()-5,'Formulación PDN 2027'!$AK$7:$AK$506,0))&amp;"","")</f>
        <v/>
      </c>
      <c r="U225" s="15" t="str">
        <f>IFERROR(INDEX('Formulación PDN 2027'!$B$7:$B$506,MATCH(ROW()-5,'Formulación PDN 2027'!$AK$7:$AK$506,0))&amp;"","")</f>
        <v/>
      </c>
      <c r="V225" s="15" t="str">
        <f>IFERROR(LEFT(INDEX('Formulación PDN 2027'!$E$7:$E$506,MATCH(ROW()-5,'Formulación PDN 2027'!$AK$7:$AK$506,0)),7),"")</f>
        <v/>
      </c>
      <c r="W225" s="15" t="str">
        <f>IFERROR(INDEX('Formulación PDN 2027'!$H$7:$H$506,MATCH(ROW()-5,'Formulación PDN 2027'!$AK$7:$AK$506,0))&amp;"","")</f>
        <v/>
      </c>
      <c r="X225" s="15" t="str">
        <f>IFERROR(INDEX('Formulación PDN 2027'!$U$7:$U$506,MATCH(ROW()-5,'Formulación PDN 2027'!$AK$7:$AK$506,0))&amp;"","")</f>
        <v/>
      </c>
      <c r="Y225" s="15" t="str">
        <f>IFERROR(INDEX('Formulación PDN 2027'!$AH$7:$AH$506,MATCH(ROW()-5,'Formulación PDN 2027'!$AK$7:$AK$506,0))&amp;"","")</f>
        <v/>
      </c>
    </row>
    <row r="226" spans="1:25" x14ac:dyDescent="0.3">
      <c r="A226" s="15" t="str">
        <f>IFERROR(INDEX('Formulación PDN 2027'!$A$7:$A$506,MATCH(ROW()-5,'Formulación PDN 2027'!$AK$7:$AK$506,0))&amp;"","")</f>
        <v/>
      </c>
      <c r="B226" s="20" t="str">
        <f>IFERROR(INDEX('Formulación PDN 2027'!$M$7:$M$506,MATCH(ROW()-5,'Formulación PDN 2027'!$AK$7:$AK$506,0)),"")</f>
        <v/>
      </c>
      <c r="C226" s="15" t="str">
        <f>IFERROR(INDEX('Formulación PDN 2027'!$N$7:$N$506,MATCH(ROW()-5,'Formulación PDN 2027'!$AK$7:$AK$506,0))&amp;"","")</f>
        <v/>
      </c>
      <c r="D226" s="15" t="str">
        <f>IFERROR(INDEX('Formulación PDN 2027'!$L$7:$L$506,MATCH(ROW()-5,'Formulación PDN 2027'!$AK$7:$AK$506,0))&amp;"","")</f>
        <v/>
      </c>
      <c r="E226" s="15" t="str">
        <f>IFERROR(MATCH(INDEX('Formulación PDN 2027'!$O$7:$O$506,MATCH(ROW()-5,'Formulación PDN 2027'!$AK$7:$AK$506,0)),L_MESES,0),"")</f>
        <v/>
      </c>
      <c r="F226" s="15" t="str">
        <f>IFERROR(MATCH(INDEX('Formulación PDN 2027'!$P$7:$P$506,MATCH(ROW()-5,'Formulación PDN 2027'!$AK$7:$AK$506,0)),L_MESES,0),"")</f>
        <v/>
      </c>
      <c r="G226" s="15" t="str">
        <f>IFERROR(INDEX('Formulación PDN 2027'!$Q$7:$Q$506,MATCH(ROW()-5,'Formulación PDN 2027'!$AK$7:$AK$506,0)),"")</f>
        <v/>
      </c>
      <c r="H226" s="15" t="str">
        <f>IFERROR(INDEX('Formulación PDN 2027'!$R$7:$R$506,MATCH(ROW()-5,'Formulación PDN 2027'!$AK$7:$AK$506,0))&amp;"","")</f>
        <v/>
      </c>
      <c r="I226" s="15" t="str">
        <f>IFERROR(INDEX('Formulación PDN 2027'!$S$7:$S$506,MATCH(ROW()-5,'Formulación PDN 2027'!$AK$7:$AK$506,0))&amp;"","")</f>
        <v/>
      </c>
      <c r="J226" s="15" t="str">
        <f>IFERROR(INDEX('Formulación PDN 2027'!$T$7:$T$506,MATCH(ROW()-5,'Formulación PDN 2027'!$AK$7:$AK$506,0))&amp;"","")</f>
        <v/>
      </c>
      <c r="K226" s="43" t="str">
        <f>IFERROR(INDEX('Formulación PDN 2027'!$W$7:$W$506,MATCH(ROW()-5,'Formulación PDN 2027'!$AK$7:$AK$506,0)),"")</f>
        <v/>
      </c>
      <c r="L226" s="43" t="str">
        <f>IFERROR(INDEX('Formulación PDN 2027'!$X$7:$X$506,MATCH(ROW()-5,'Formulación PDN 2027'!$AK$7:$AK$506,0)),"")</f>
        <v/>
      </c>
      <c r="M226" s="15" t="str">
        <f>IFERROR(INDEX('Formulación PDN 2027'!$Y$7:$Y$506,MATCH(ROW()-5,'Formulación PDN 2027'!$AK$7:$AK$506,0))&amp;"","")</f>
        <v/>
      </c>
      <c r="N226" s="15" t="str">
        <f>IFERROR(INDEX('Formulación PDN 2027'!$Z$7:$Z$506,MATCH(ROW()-5,'Formulación PDN 2027'!$AK$7:$AK$506,0))&amp;"","")</f>
        <v/>
      </c>
      <c r="O226" s="15"/>
      <c r="P226" s="15" t="str">
        <f>IFERROR(INDEX('Formulación PDN 2027'!$AA$7:$AA$506,MATCH(ROW()-5,'Formulación PDN 2027'!$AK$7:$AK$506,0))&amp;"","")</f>
        <v/>
      </c>
      <c r="Q226" s="15" t="str">
        <f>IFERROR(INDEX('Formulación PDN 2027'!$AB$7:$AB$506,MATCH(ROW()-5,'Formulación PDN 2027'!$AK$7:$AK$506,0))&amp;"","")</f>
        <v/>
      </c>
      <c r="R226" s="15" t="str">
        <f>IFERROR(INDEX('Formulación PDN 2027'!$AD$7:$AD$506,MATCH(ROW()-5,'Formulación PDN 2027'!$AK$7:$AK$506,0))&amp;"","")</f>
        <v/>
      </c>
      <c r="S226" s="15" t="str">
        <f>IFERROR(INDEX('Formulación PDN 2027'!$AE$7:$AE$506,MATCH(ROW()-5,'Formulación PDN 2027'!$AK$7:$AK$506,0))&amp;"","")</f>
        <v/>
      </c>
      <c r="T226" s="15" t="str">
        <f>IFERROR(INDEX('Formulación PDN 2027'!$C$7:$C$506,MATCH(ROW()-5,'Formulación PDN 2027'!$AK$7:$AK$506,0))&amp;"","")</f>
        <v/>
      </c>
      <c r="U226" s="15" t="str">
        <f>IFERROR(INDEX('Formulación PDN 2027'!$B$7:$B$506,MATCH(ROW()-5,'Formulación PDN 2027'!$AK$7:$AK$506,0))&amp;"","")</f>
        <v/>
      </c>
      <c r="V226" s="15" t="str">
        <f>IFERROR(LEFT(INDEX('Formulación PDN 2027'!$E$7:$E$506,MATCH(ROW()-5,'Formulación PDN 2027'!$AK$7:$AK$506,0)),7),"")</f>
        <v/>
      </c>
      <c r="W226" s="15" t="str">
        <f>IFERROR(INDEX('Formulación PDN 2027'!$H$7:$H$506,MATCH(ROW()-5,'Formulación PDN 2027'!$AK$7:$AK$506,0))&amp;"","")</f>
        <v/>
      </c>
      <c r="X226" s="15" t="str">
        <f>IFERROR(INDEX('Formulación PDN 2027'!$U$7:$U$506,MATCH(ROW()-5,'Formulación PDN 2027'!$AK$7:$AK$506,0))&amp;"","")</f>
        <v/>
      </c>
      <c r="Y226" s="15" t="str">
        <f>IFERROR(INDEX('Formulación PDN 2027'!$AH$7:$AH$506,MATCH(ROW()-5,'Formulación PDN 2027'!$AK$7:$AK$506,0))&amp;"","")</f>
        <v/>
      </c>
    </row>
    <row r="227" spans="1:25" x14ac:dyDescent="0.3">
      <c r="A227" s="15" t="str">
        <f>IFERROR(INDEX('Formulación PDN 2027'!$A$7:$A$506,MATCH(ROW()-5,'Formulación PDN 2027'!$AK$7:$AK$506,0))&amp;"","")</f>
        <v/>
      </c>
      <c r="B227" s="20" t="str">
        <f>IFERROR(INDEX('Formulación PDN 2027'!$M$7:$M$506,MATCH(ROW()-5,'Formulación PDN 2027'!$AK$7:$AK$506,0)),"")</f>
        <v/>
      </c>
      <c r="C227" s="15" t="str">
        <f>IFERROR(INDEX('Formulación PDN 2027'!$N$7:$N$506,MATCH(ROW()-5,'Formulación PDN 2027'!$AK$7:$AK$506,0))&amp;"","")</f>
        <v/>
      </c>
      <c r="D227" s="15" t="str">
        <f>IFERROR(INDEX('Formulación PDN 2027'!$L$7:$L$506,MATCH(ROW()-5,'Formulación PDN 2027'!$AK$7:$AK$506,0))&amp;"","")</f>
        <v/>
      </c>
      <c r="E227" s="15" t="str">
        <f>IFERROR(MATCH(INDEX('Formulación PDN 2027'!$O$7:$O$506,MATCH(ROW()-5,'Formulación PDN 2027'!$AK$7:$AK$506,0)),L_MESES,0),"")</f>
        <v/>
      </c>
      <c r="F227" s="15" t="str">
        <f>IFERROR(MATCH(INDEX('Formulación PDN 2027'!$P$7:$P$506,MATCH(ROW()-5,'Formulación PDN 2027'!$AK$7:$AK$506,0)),L_MESES,0),"")</f>
        <v/>
      </c>
      <c r="G227" s="15" t="str">
        <f>IFERROR(INDEX('Formulación PDN 2027'!$Q$7:$Q$506,MATCH(ROW()-5,'Formulación PDN 2027'!$AK$7:$AK$506,0)),"")</f>
        <v/>
      </c>
      <c r="H227" s="15" t="str">
        <f>IFERROR(INDEX('Formulación PDN 2027'!$R$7:$R$506,MATCH(ROW()-5,'Formulación PDN 2027'!$AK$7:$AK$506,0))&amp;"","")</f>
        <v/>
      </c>
      <c r="I227" s="15" t="str">
        <f>IFERROR(INDEX('Formulación PDN 2027'!$S$7:$S$506,MATCH(ROW()-5,'Formulación PDN 2027'!$AK$7:$AK$506,0))&amp;"","")</f>
        <v/>
      </c>
      <c r="J227" s="15" t="str">
        <f>IFERROR(INDEX('Formulación PDN 2027'!$T$7:$T$506,MATCH(ROW()-5,'Formulación PDN 2027'!$AK$7:$AK$506,0))&amp;"","")</f>
        <v/>
      </c>
      <c r="K227" s="43" t="str">
        <f>IFERROR(INDEX('Formulación PDN 2027'!$W$7:$W$506,MATCH(ROW()-5,'Formulación PDN 2027'!$AK$7:$AK$506,0)),"")</f>
        <v/>
      </c>
      <c r="L227" s="43" t="str">
        <f>IFERROR(INDEX('Formulación PDN 2027'!$X$7:$X$506,MATCH(ROW()-5,'Formulación PDN 2027'!$AK$7:$AK$506,0)),"")</f>
        <v/>
      </c>
      <c r="M227" s="15" t="str">
        <f>IFERROR(INDEX('Formulación PDN 2027'!$Y$7:$Y$506,MATCH(ROW()-5,'Formulación PDN 2027'!$AK$7:$AK$506,0))&amp;"","")</f>
        <v/>
      </c>
      <c r="N227" s="15" t="str">
        <f>IFERROR(INDEX('Formulación PDN 2027'!$Z$7:$Z$506,MATCH(ROW()-5,'Formulación PDN 2027'!$AK$7:$AK$506,0))&amp;"","")</f>
        <v/>
      </c>
      <c r="O227" s="15"/>
      <c r="P227" s="15" t="str">
        <f>IFERROR(INDEX('Formulación PDN 2027'!$AA$7:$AA$506,MATCH(ROW()-5,'Formulación PDN 2027'!$AK$7:$AK$506,0))&amp;"","")</f>
        <v/>
      </c>
      <c r="Q227" s="15" t="str">
        <f>IFERROR(INDEX('Formulación PDN 2027'!$AB$7:$AB$506,MATCH(ROW()-5,'Formulación PDN 2027'!$AK$7:$AK$506,0))&amp;"","")</f>
        <v/>
      </c>
      <c r="R227" s="15" t="str">
        <f>IFERROR(INDEX('Formulación PDN 2027'!$AD$7:$AD$506,MATCH(ROW()-5,'Formulación PDN 2027'!$AK$7:$AK$506,0))&amp;"","")</f>
        <v/>
      </c>
      <c r="S227" s="15" t="str">
        <f>IFERROR(INDEX('Formulación PDN 2027'!$AE$7:$AE$506,MATCH(ROW()-5,'Formulación PDN 2027'!$AK$7:$AK$506,0))&amp;"","")</f>
        <v/>
      </c>
      <c r="T227" s="15" t="str">
        <f>IFERROR(INDEX('Formulación PDN 2027'!$C$7:$C$506,MATCH(ROW()-5,'Formulación PDN 2027'!$AK$7:$AK$506,0))&amp;"","")</f>
        <v/>
      </c>
      <c r="U227" s="15" t="str">
        <f>IFERROR(INDEX('Formulación PDN 2027'!$B$7:$B$506,MATCH(ROW()-5,'Formulación PDN 2027'!$AK$7:$AK$506,0))&amp;"","")</f>
        <v/>
      </c>
      <c r="V227" s="15" t="str">
        <f>IFERROR(LEFT(INDEX('Formulación PDN 2027'!$E$7:$E$506,MATCH(ROW()-5,'Formulación PDN 2027'!$AK$7:$AK$506,0)),7),"")</f>
        <v/>
      </c>
      <c r="W227" s="15" t="str">
        <f>IFERROR(INDEX('Formulación PDN 2027'!$H$7:$H$506,MATCH(ROW()-5,'Formulación PDN 2027'!$AK$7:$AK$506,0))&amp;"","")</f>
        <v/>
      </c>
      <c r="X227" s="15" t="str">
        <f>IFERROR(INDEX('Formulación PDN 2027'!$U$7:$U$506,MATCH(ROW()-5,'Formulación PDN 2027'!$AK$7:$AK$506,0))&amp;"","")</f>
        <v/>
      </c>
      <c r="Y227" s="15" t="str">
        <f>IFERROR(INDEX('Formulación PDN 2027'!$AH$7:$AH$506,MATCH(ROW()-5,'Formulación PDN 2027'!$AK$7:$AK$506,0))&amp;"","")</f>
        <v/>
      </c>
    </row>
    <row r="228" spans="1:25" x14ac:dyDescent="0.3">
      <c r="A228" s="15" t="str">
        <f>IFERROR(INDEX('Formulación PDN 2027'!$A$7:$A$506,MATCH(ROW()-5,'Formulación PDN 2027'!$AK$7:$AK$506,0))&amp;"","")</f>
        <v/>
      </c>
      <c r="B228" s="20" t="str">
        <f>IFERROR(INDEX('Formulación PDN 2027'!$M$7:$M$506,MATCH(ROW()-5,'Formulación PDN 2027'!$AK$7:$AK$506,0)),"")</f>
        <v/>
      </c>
      <c r="C228" s="15" t="str">
        <f>IFERROR(INDEX('Formulación PDN 2027'!$N$7:$N$506,MATCH(ROW()-5,'Formulación PDN 2027'!$AK$7:$AK$506,0))&amp;"","")</f>
        <v/>
      </c>
      <c r="D228" s="15" t="str">
        <f>IFERROR(INDEX('Formulación PDN 2027'!$L$7:$L$506,MATCH(ROW()-5,'Formulación PDN 2027'!$AK$7:$AK$506,0))&amp;"","")</f>
        <v/>
      </c>
      <c r="E228" s="15" t="str">
        <f>IFERROR(MATCH(INDEX('Formulación PDN 2027'!$O$7:$O$506,MATCH(ROW()-5,'Formulación PDN 2027'!$AK$7:$AK$506,0)),L_MESES,0),"")</f>
        <v/>
      </c>
      <c r="F228" s="15" t="str">
        <f>IFERROR(MATCH(INDEX('Formulación PDN 2027'!$P$7:$P$506,MATCH(ROW()-5,'Formulación PDN 2027'!$AK$7:$AK$506,0)),L_MESES,0),"")</f>
        <v/>
      </c>
      <c r="G228" s="15" t="str">
        <f>IFERROR(INDEX('Formulación PDN 2027'!$Q$7:$Q$506,MATCH(ROW()-5,'Formulación PDN 2027'!$AK$7:$AK$506,0)),"")</f>
        <v/>
      </c>
      <c r="H228" s="15" t="str">
        <f>IFERROR(INDEX('Formulación PDN 2027'!$R$7:$R$506,MATCH(ROW()-5,'Formulación PDN 2027'!$AK$7:$AK$506,0))&amp;"","")</f>
        <v/>
      </c>
      <c r="I228" s="15" t="str">
        <f>IFERROR(INDEX('Formulación PDN 2027'!$S$7:$S$506,MATCH(ROW()-5,'Formulación PDN 2027'!$AK$7:$AK$506,0))&amp;"","")</f>
        <v/>
      </c>
      <c r="J228" s="15" t="str">
        <f>IFERROR(INDEX('Formulación PDN 2027'!$T$7:$T$506,MATCH(ROW()-5,'Formulación PDN 2027'!$AK$7:$AK$506,0))&amp;"","")</f>
        <v/>
      </c>
      <c r="K228" s="43" t="str">
        <f>IFERROR(INDEX('Formulación PDN 2027'!$W$7:$W$506,MATCH(ROW()-5,'Formulación PDN 2027'!$AK$7:$AK$506,0)),"")</f>
        <v/>
      </c>
      <c r="L228" s="43" t="str">
        <f>IFERROR(INDEX('Formulación PDN 2027'!$X$7:$X$506,MATCH(ROW()-5,'Formulación PDN 2027'!$AK$7:$AK$506,0)),"")</f>
        <v/>
      </c>
      <c r="M228" s="15" t="str">
        <f>IFERROR(INDEX('Formulación PDN 2027'!$Y$7:$Y$506,MATCH(ROW()-5,'Formulación PDN 2027'!$AK$7:$AK$506,0))&amp;"","")</f>
        <v/>
      </c>
      <c r="N228" s="15" t="str">
        <f>IFERROR(INDEX('Formulación PDN 2027'!$Z$7:$Z$506,MATCH(ROW()-5,'Formulación PDN 2027'!$AK$7:$AK$506,0))&amp;"","")</f>
        <v/>
      </c>
      <c r="O228" s="15"/>
      <c r="P228" s="15" t="str">
        <f>IFERROR(INDEX('Formulación PDN 2027'!$AA$7:$AA$506,MATCH(ROW()-5,'Formulación PDN 2027'!$AK$7:$AK$506,0))&amp;"","")</f>
        <v/>
      </c>
      <c r="Q228" s="15" t="str">
        <f>IFERROR(INDEX('Formulación PDN 2027'!$AB$7:$AB$506,MATCH(ROW()-5,'Formulación PDN 2027'!$AK$7:$AK$506,0))&amp;"","")</f>
        <v/>
      </c>
      <c r="R228" s="15" t="str">
        <f>IFERROR(INDEX('Formulación PDN 2027'!$AD$7:$AD$506,MATCH(ROW()-5,'Formulación PDN 2027'!$AK$7:$AK$506,0))&amp;"","")</f>
        <v/>
      </c>
      <c r="S228" s="15" t="str">
        <f>IFERROR(INDEX('Formulación PDN 2027'!$AE$7:$AE$506,MATCH(ROW()-5,'Formulación PDN 2027'!$AK$7:$AK$506,0))&amp;"","")</f>
        <v/>
      </c>
      <c r="T228" s="15" t="str">
        <f>IFERROR(INDEX('Formulación PDN 2027'!$C$7:$C$506,MATCH(ROW()-5,'Formulación PDN 2027'!$AK$7:$AK$506,0))&amp;"","")</f>
        <v/>
      </c>
      <c r="U228" s="15" t="str">
        <f>IFERROR(INDEX('Formulación PDN 2027'!$B$7:$B$506,MATCH(ROW()-5,'Formulación PDN 2027'!$AK$7:$AK$506,0))&amp;"","")</f>
        <v/>
      </c>
      <c r="V228" s="15" t="str">
        <f>IFERROR(LEFT(INDEX('Formulación PDN 2027'!$E$7:$E$506,MATCH(ROW()-5,'Formulación PDN 2027'!$AK$7:$AK$506,0)),7),"")</f>
        <v/>
      </c>
      <c r="W228" s="15" t="str">
        <f>IFERROR(INDEX('Formulación PDN 2027'!$H$7:$H$506,MATCH(ROW()-5,'Formulación PDN 2027'!$AK$7:$AK$506,0))&amp;"","")</f>
        <v/>
      </c>
      <c r="X228" s="15" t="str">
        <f>IFERROR(INDEX('Formulación PDN 2027'!$U$7:$U$506,MATCH(ROW()-5,'Formulación PDN 2027'!$AK$7:$AK$506,0))&amp;"","")</f>
        <v/>
      </c>
      <c r="Y228" s="15" t="str">
        <f>IFERROR(INDEX('Formulación PDN 2027'!$AH$7:$AH$506,MATCH(ROW()-5,'Formulación PDN 2027'!$AK$7:$AK$506,0))&amp;"","")</f>
        <v/>
      </c>
    </row>
    <row r="229" spans="1:25" x14ac:dyDescent="0.3">
      <c r="A229" s="15" t="str">
        <f>IFERROR(INDEX('Formulación PDN 2027'!$A$7:$A$506,MATCH(ROW()-5,'Formulación PDN 2027'!$AK$7:$AK$506,0))&amp;"","")</f>
        <v/>
      </c>
      <c r="B229" s="20" t="str">
        <f>IFERROR(INDEX('Formulación PDN 2027'!$M$7:$M$506,MATCH(ROW()-5,'Formulación PDN 2027'!$AK$7:$AK$506,0)),"")</f>
        <v/>
      </c>
      <c r="C229" s="15" t="str">
        <f>IFERROR(INDEX('Formulación PDN 2027'!$N$7:$N$506,MATCH(ROW()-5,'Formulación PDN 2027'!$AK$7:$AK$506,0))&amp;"","")</f>
        <v/>
      </c>
      <c r="D229" s="15" t="str">
        <f>IFERROR(INDEX('Formulación PDN 2027'!$L$7:$L$506,MATCH(ROW()-5,'Formulación PDN 2027'!$AK$7:$AK$506,0))&amp;"","")</f>
        <v/>
      </c>
      <c r="E229" s="15" t="str">
        <f>IFERROR(MATCH(INDEX('Formulación PDN 2027'!$O$7:$O$506,MATCH(ROW()-5,'Formulación PDN 2027'!$AK$7:$AK$506,0)),L_MESES,0),"")</f>
        <v/>
      </c>
      <c r="F229" s="15" t="str">
        <f>IFERROR(MATCH(INDEX('Formulación PDN 2027'!$P$7:$P$506,MATCH(ROW()-5,'Formulación PDN 2027'!$AK$7:$AK$506,0)),L_MESES,0),"")</f>
        <v/>
      </c>
      <c r="G229" s="15" t="str">
        <f>IFERROR(INDEX('Formulación PDN 2027'!$Q$7:$Q$506,MATCH(ROW()-5,'Formulación PDN 2027'!$AK$7:$AK$506,0)),"")</f>
        <v/>
      </c>
      <c r="H229" s="15" t="str">
        <f>IFERROR(INDEX('Formulación PDN 2027'!$R$7:$R$506,MATCH(ROW()-5,'Formulación PDN 2027'!$AK$7:$AK$506,0))&amp;"","")</f>
        <v/>
      </c>
      <c r="I229" s="15" t="str">
        <f>IFERROR(INDEX('Formulación PDN 2027'!$S$7:$S$506,MATCH(ROW()-5,'Formulación PDN 2027'!$AK$7:$AK$506,0))&amp;"","")</f>
        <v/>
      </c>
      <c r="J229" s="15" t="str">
        <f>IFERROR(INDEX('Formulación PDN 2027'!$T$7:$T$506,MATCH(ROW()-5,'Formulación PDN 2027'!$AK$7:$AK$506,0))&amp;"","")</f>
        <v/>
      </c>
      <c r="K229" s="43" t="str">
        <f>IFERROR(INDEX('Formulación PDN 2027'!$W$7:$W$506,MATCH(ROW()-5,'Formulación PDN 2027'!$AK$7:$AK$506,0)),"")</f>
        <v/>
      </c>
      <c r="L229" s="43" t="str">
        <f>IFERROR(INDEX('Formulación PDN 2027'!$X$7:$X$506,MATCH(ROW()-5,'Formulación PDN 2027'!$AK$7:$AK$506,0)),"")</f>
        <v/>
      </c>
      <c r="M229" s="15" t="str">
        <f>IFERROR(INDEX('Formulación PDN 2027'!$Y$7:$Y$506,MATCH(ROW()-5,'Formulación PDN 2027'!$AK$7:$AK$506,0))&amp;"","")</f>
        <v/>
      </c>
      <c r="N229" s="15" t="str">
        <f>IFERROR(INDEX('Formulación PDN 2027'!$Z$7:$Z$506,MATCH(ROW()-5,'Formulación PDN 2027'!$AK$7:$AK$506,0))&amp;"","")</f>
        <v/>
      </c>
      <c r="O229" s="15"/>
      <c r="P229" s="15" t="str">
        <f>IFERROR(INDEX('Formulación PDN 2027'!$AA$7:$AA$506,MATCH(ROW()-5,'Formulación PDN 2027'!$AK$7:$AK$506,0))&amp;"","")</f>
        <v/>
      </c>
      <c r="Q229" s="15" t="str">
        <f>IFERROR(INDEX('Formulación PDN 2027'!$AB$7:$AB$506,MATCH(ROW()-5,'Formulación PDN 2027'!$AK$7:$AK$506,0))&amp;"","")</f>
        <v/>
      </c>
      <c r="R229" s="15" t="str">
        <f>IFERROR(INDEX('Formulación PDN 2027'!$AD$7:$AD$506,MATCH(ROW()-5,'Formulación PDN 2027'!$AK$7:$AK$506,0))&amp;"","")</f>
        <v/>
      </c>
      <c r="S229" s="15" t="str">
        <f>IFERROR(INDEX('Formulación PDN 2027'!$AE$7:$AE$506,MATCH(ROW()-5,'Formulación PDN 2027'!$AK$7:$AK$506,0))&amp;"","")</f>
        <v/>
      </c>
      <c r="T229" s="15" t="str">
        <f>IFERROR(INDEX('Formulación PDN 2027'!$C$7:$C$506,MATCH(ROW()-5,'Formulación PDN 2027'!$AK$7:$AK$506,0))&amp;"","")</f>
        <v/>
      </c>
      <c r="U229" s="15" t="str">
        <f>IFERROR(INDEX('Formulación PDN 2027'!$B$7:$B$506,MATCH(ROW()-5,'Formulación PDN 2027'!$AK$7:$AK$506,0))&amp;"","")</f>
        <v/>
      </c>
      <c r="V229" s="15" t="str">
        <f>IFERROR(LEFT(INDEX('Formulación PDN 2027'!$E$7:$E$506,MATCH(ROW()-5,'Formulación PDN 2027'!$AK$7:$AK$506,0)),7),"")</f>
        <v/>
      </c>
      <c r="W229" s="15" t="str">
        <f>IFERROR(INDEX('Formulación PDN 2027'!$H$7:$H$506,MATCH(ROW()-5,'Formulación PDN 2027'!$AK$7:$AK$506,0))&amp;"","")</f>
        <v/>
      </c>
      <c r="X229" s="15" t="str">
        <f>IFERROR(INDEX('Formulación PDN 2027'!$U$7:$U$506,MATCH(ROW()-5,'Formulación PDN 2027'!$AK$7:$AK$506,0))&amp;"","")</f>
        <v/>
      </c>
      <c r="Y229" s="15" t="str">
        <f>IFERROR(INDEX('Formulación PDN 2027'!$AH$7:$AH$506,MATCH(ROW()-5,'Formulación PDN 2027'!$AK$7:$AK$506,0))&amp;"","")</f>
        <v/>
      </c>
    </row>
    <row r="230" spans="1:25" x14ac:dyDescent="0.3">
      <c r="A230" s="15" t="str">
        <f>IFERROR(INDEX('Formulación PDN 2027'!$A$7:$A$506,MATCH(ROW()-5,'Formulación PDN 2027'!$AK$7:$AK$506,0))&amp;"","")</f>
        <v/>
      </c>
      <c r="B230" s="20" t="str">
        <f>IFERROR(INDEX('Formulación PDN 2027'!$M$7:$M$506,MATCH(ROW()-5,'Formulación PDN 2027'!$AK$7:$AK$506,0)),"")</f>
        <v/>
      </c>
      <c r="C230" s="15" t="str">
        <f>IFERROR(INDEX('Formulación PDN 2027'!$N$7:$N$506,MATCH(ROW()-5,'Formulación PDN 2027'!$AK$7:$AK$506,0))&amp;"","")</f>
        <v/>
      </c>
      <c r="D230" s="15" t="str">
        <f>IFERROR(INDEX('Formulación PDN 2027'!$L$7:$L$506,MATCH(ROW()-5,'Formulación PDN 2027'!$AK$7:$AK$506,0))&amp;"","")</f>
        <v/>
      </c>
      <c r="E230" s="15" t="str">
        <f>IFERROR(MATCH(INDEX('Formulación PDN 2027'!$O$7:$O$506,MATCH(ROW()-5,'Formulación PDN 2027'!$AK$7:$AK$506,0)),L_MESES,0),"")</f>
        <v/>
      </c>
      <c r="F230" s="15" t="str">
        <f>IFERROR(MATCH(INDEX('Formulación PDN 2027'!$P$7:$P$506,MATCH(ROW()-5,'Formulación PDN 2027'!$AK$7:$AK$506,0)),L_MESES,0),"")</f>
        <v/>
      </c>
      <c r="G230" s="15" t="str">
        <f>IFERROR(INDEX('Formulación PDN 2027'!$Q$7:$Q$506,MATCH(ROW()-5,'Formulación PDN 2027'!$AK$7:$AK$506,0)),"")</f>
        <v/>
      </c>
      <c r="H230" s="15" t="str">
        <f>IFERROR(INDEX('Formulación PDN 2027'!$R$7:$R$506,MATCH(ROW()-5,'Formulación PDN 2027'!$AK$7:$AK$506,0))&amp;"","")</f>
        <v/>
      </c>
      <c r="I230" s="15" t="str">
        <f>IFERROR(INDEX('Formulación PDN 2027'!$S$7:$S$506,MATCH(ROW()-5,'Formulación PDN 2027'!$AK$7:$AK$506,0))&amp;"","")</f>
        <v/>
      </c>
      <c r="J230" s="15" t="str">
        <f>IFERROR(INDEX('Formulación PDN 2027'!$T$7:$T$506,MATCH(ROW()-5,'Formulación PDN 2027'!$AK$7:$AK$506,0))&amp;"","")</f>
        <v/>
      </c>
      <c r="K230" s="43" t="str">
        <f>IFERROR(INDEX('Formulación PDN 2027'!$W$7:$W$506,MATCH(ROW()-5,'Formulación PDN 2027'!$AK$7:$AK$506,0)),"")</f>
        <v/>
      </c>
      <c r="L230" s="43" t="str">
        <f>IFERROR(INDEX('Formulación PDN 2027'!$X$7:$X$506,MATCH(ROW()-5,'Formulación PDN 2027'!$AK$7:$AK$506,0)),"")</f>
        <v/>
      </c>
      <c r="M230" s="15" t="str">
        <f>IFERROR(INDEX('Formulación PDN 2027'!$Y$7:$Y$506,MATCH(ROW()-5,'Formulación PDN 2027'!$AK$7:$AK$506,0))&amp;"","")</f>
        <v/>
      </c>
      <c r="N230" s="15" t="str">
        <f>IFERROR(INDEX('Formulación PDN 2027'!$Z$7:$Z$506,MATCH(ROW()-5,'Formulación PDN 2027'!$AK$7:$AK$506,0))&amp;"","")</f>
        <v/>
      </c>
      <c r="O230" s="15"/>
      <c r="P230" s="15" t="str">
        <f>IFERROR(INDEX('Formulación PDN 2027'!$AA$7:$AA$506,MATCH(ROW()-5,'Formulación PDN 2027'!$AK$7:$AK$506,0))&amp;"","")</f>
        <v/>
      </c>
      <c r="Q230" s="15" t="str">
        <f>IFERROR(INDEX('Formulación PDN 2027'!$AB$7:$AB$506,MATCH(ROW()-5,'Formulación PDN 2027'!$AK$7:$AK$506,0))&amp;"","")</f>
        <v/>
      </c>
      <c r="R230" s="15" t="str">
        <f>IFERROR(INDEX('Formulación PDN 2027'!$AD$7:$AD$506,MATCH(ROW()-5,'Formulación PDN 2027'!$AK$7:$AK$506,0))&amp;"","")</f>
        <v/>
      </c>
      <c r="S230" s="15" t="str">
        <f>IFERROR(INDEX('Formulación PDN 2027'!$AE$7:$AE$506,MATCH(ROW()-5,'Formulación PDN 2027'!$AK$7:$AK$506,0))&amp;"","")</f>
        <v/>
      </c>
      <c r="T230" s="15" t="str">
        <f>IFERROR(INDEX('Formulación PDN 2027'!$C$7:$C$506,MATCH(ROW()-5,'Formulación PDN 2027'!$AK$7:$AK$506,0))&amp;"","")</f>
        <v/>
      </c>
      <c r="U230" s="15" t="str">
        <f>IFERROR(INDEX('Formulación PDN 2027'!$B$7:$B$506,MATCH(ROW()-5,'Formulación PDN 2027'!$AK$7:$AK$506,0))&amp;"","")</f>
        <v/>
      </c>
      <c r="V230" s="15" t="str">
        <f>IFERROR(LEFT(INDEX('Formulación PDN 2027'!$E$7:$E$506,MATCH(ROW()-5,'Formulación PDN 2027'!$AK$7:$AK$506,0)),7),"")</f>
        <v/>
      </c>
      <c r="W230" s="15" t="str">
        <f>IFERROR(INDEX('Formulación PDN 2027'!$H$7:$H$506,MATCH(ROW()-5,'Formulación PDN 2027'!$AK$7:$AK$506,0))&amp;"","")</f>
        <v/>
      </c>
      <c r="X230" s="15" t="str">
        <f>IFERROR(INDEX('Formulación PDN 2027'!$U$7:$U$506,MATCH(ROW()-5,'Formulación PDN 2027'!$AK$7:$AK$506,0))&amp;"","")</f>
        <v/>
      </c>
      <c r="Y230" s="15" t="str">
        <f>IFERROR(INDEX('Formulación PDN 2027'!$AH$7:$AH$506,MATCH(ROW()-5,'Formulación PDN 2027'!$AK$7:$AK$506,0))&amp;"","")</f>
        <v/>
      </c>
    </row>
    <row r="231" spans="1:25" x14ac:dyDescent="0.3">
      <c r="A231" s="15" t="str">
        <f>IFERROR(INDEX('Formulación PDN 2027'!$A$7:$A$506,MATCH(ROW()-5,'Formulación PDN 2027'!$AK$7:$AK$506,0))&amp;"","")</f>
        <v/>
      </c>
      <c r="B231" s="20" t="str">
        <f>IFERROR(INDEX('Formulación PDN 2027'!$M$7:$M$506,MATCH(ROW()-5,'Formulación PDN 2027'!$AK$7:$AK$506,0)),"")</f>
        <v/>
      </c>
      <c r="C231" s="15" t="str">
        <f>IFERROR(INDEX('Formulación PDN 2027'!$N$7:$N$506,MATCH(ROW()-5,'Formulación PDN 2027'!$AK$7:$AK$506,0))&amp;"","")</f>
        <v/>
      </c>
      <c r="D231" s="15" t="str">
        <f>IFERROR(INDEX('Formulación PDN 2027'!$L$7:$L$506,MATCH(ROW()-5,'Formulación PDN 2027'!$AK$7:$AK$506,0))&amp;"","")</f>
        <v/>
      </c>
      <c r="E231" s="15" t="str">
        <f>IFERROR(MATCH(INDEX('Formulación PDN 2027'!$O$7:$O$506,MATCH(ROW()-5,'Formulación PDN 2027'!$AK$7:$AK$506,0)),L_MESES,0),"")</f>
        <v/>
      </c>
      <c r="F231" s="15" t="str">
        <f>IFERROR(MATCH(INDEX('Formulación PDN 2027'!$P$7:$P$506,MATCH(ROW()-5,'Formulación PDN 2027'!$AK$7:$AK$506,0)),L_MESES,0),"")</f>
        <v/>
      </c>
      <c r="G231" s="15" t="str">
        <f>IFERROR(INDEX('Formulación PDN 2027'!$Q$7:$Q$506,MATCH(ROW()-5,'Formulación PDN 2027'!$AK$7:$AK$506,0)),"")</f>
        <v/>
      </c>
      <c r="H231" s="15" t="str">
        <f>IFERROR(INDEX('Formulación PDN 2027'!$R$7:$R$506,MATCH(ROW()-5,'Formulación PDN 2027'!$AK$7:$AK$506,0))&amp;"","")</f>
        <v/>
      </c>
      <c r="I231" s="15" t="str">
        <f>IFERROR(INDEX('Formulación PDN 2027'!$S$7:$S$506,MATCH(ROW()-5,'Formulación PDN 2027'!$AK$7:$AK$506,0))&amp;"","")</f>
        <v/>
      </c>
      <c r="J231" s="15" t="str">
        <f>IFERROR(INDEX('Formulación PDN 2027'!$T$7:$T$506,MATCH(ROW()-5,'Formulación PDN 2027'!$AK$7:$AK$506,0))&amp;"","")</f>
        <v/>
      </c>
      <c r="K231" s="43" t="str">
        <f>IFERROR(INDEX('Formulación PDN 2027'!$W$7:$W$506,MATCH(ROW()-5,'Formulación PDN 2027'!$AK$7:$AK$506,0)),"")</f>
        <v/>
      </c>
      <c r="L231" s="43" t="str">
        <f>IFERROR(INDEX('Formulación PDN 2027'!$X$7:$X$506,MATCH(ROW()-5,'Formulación PDN 2027'!$AK$7:$AK$506,0)),"")</f>
        <v/>
      </c>
      <c r="M231" s="15" t="str">
        <f>IFERROR(INDEX('Formulación PDN 2027'!$Y$7:$Y$506,MATCH(ROW()-5,'Formulación PDN 2027'!$AK$7:$AK$506,0))&amp;"","")</f>
        <v/>
      </c>
      <c r="N231" s="15" t="str">
        <f>IFERROR(INDEX('Formulación PDN 2027'!$Z$7:$Z$506,MATCH(ROW()-5,'Formulación PDN 2027'!$AK$7:$AK$506,0))&amp;"","")</f>
        <v/>
      </c>
      <c r="O231" s="15"/>
      <c r="P231" s="15" t="str">
        <f>IFERROR(INDEX('Formulación PDN 2027'!$AA$7:$AA$506,MATCH(ROW()-5,'Formulación PDN 2027'!$AK$7:$AK$506,0))&amp;"","")</f>
        <v/>
      </c>
      <c r="Q231" s="15" t="str">
        <f>IFERROR(INDEX('Formulación PDN 2027'!$AB$7:$AB$506,MATCH(ROW()-5,'Formulación PDN 2027'!$AK$7:$AK$506,0))&amp;"","")</f>
        <v/>
      </c>
      <c r="R231" s="15" t="str">
        <f>IFERROR(INDEX('Formulación PDN 2027'!$AD$7:$AD$506,MATCH(ROW()-5,'Formulación PDN 2027'!$AK$7:$AK$506,0))&amp;"","")</f>
        <v/>
      </c>
      <c r="S231" s="15" t="str">
        <f>IFERROR(INDEX('Formulación PDN 2027'!$AE$7:$AE$506,MATCH(ROW()-5,'Formulación PDN 2027'!$AK$7:$AK$506,0))&amp;"","")</f>
        <v/>
      </c>
      <c r="T231" s="15" t="str">
        <f>IFERROR(INDEX('Formulación PDN 2027'!$C$7:$C$506,MATCH(ROW()-5,'Formulación PDN 2027'!$AK$7:$AK$506,0))&amp;"","")</f>
        <v/>
      </c>
      <c r="U231" s="15" t="str">
        <f>IFERROR(INDEX('Formulación PDN 2027'!$B$7:$B$506,MATCH(ROW()-5,'Formulación PDN 2027'!$AK$7:$AK$506,0))&amp;"","")</f>
        <v/>
      </c>
      <c r="V231" s="15" t="str">
        <f>IFERROR(LEFT(INDEX('Formulación PDN 2027'!$E$7:$E$506,MATCH(ROW()-5,'Formulación PDN 2027'!$AK$7:$AK$506,0)),7),"")</f>
        <v/>
      </c>
      <c r="W231" s="15" t="str">
        <f>IFERROR(INDEX('Formulación PDN 2027'!$H$7:$H$506,MATCH(ROW()-5,'Formulación PDN 2027'!$AK$7:$AK$506,0))&amp;"","")</f>
        <v/>
      </c>
      <c r="X231" s="15" t="str">
        <f>IFERROR(INDEX('Formulación PDN 2027'!$U$7:$U$506,MATCH(ROW()-5,'Formulación PDN 2027'!$AK$7:$AK$506,0))&amp;"","")</f>
        <v/>
      </c>
      <c r="Y231" s="15" t="str">
        <f>IFERROR(INDEX('Formulación PDN 2027'!$AH$7:$AH$506,MATCH(ROW()-5,'Formulación PDN 2027'!$AK$7:$AK$506,0))&amp;"","")</f>
        <v/>
      </c>
    </row>
    <row r="232" spans="1:25" x14ac:dyDescent="0.3">
      <c r="A232" s="15" t="str">
        <f>IFERROR(INDEX('Formulación PDN 2027'!$A$7:$A$506,MATCH(ROW()-5,'Formulación PDN 2027'!$AK$7:$AK$506,0))&amp;"","")</f>
        <v/>
      </c>
      <c r="B232" s="20" t="str">
        <f>IFERROR(INDEX('Formulación PDN 2027'!$M$7:$M$506,MATCH(ROW()-5,'Formulación PDN 2027'!$AK$7:$AK$506,0)),"")</f>
        <v/>
      </c>
      <c r="C232" s="15" t="str">
        <f>IFERROR(INDEX('Formulación PDN 2027'!$N$7:$N$506,MATCH(ROW()-5,'Formulación PDN 2027'!$AK$7:$AK$506,0))&amp;"","")</f>
        <v/>
      </c>
      <c r="D232" s="15" t="str">
        <f>IFERROR(INDEX('Formulación PDN 2027'!$L$7:$L$506,MATCH(ROW()-5,'Formulación PDN 2027'!$AK$7:$AK$506,0))&amp;"","")</f>
        <v/>
      </c>
      <c r="E232" s="15" t="str">
        <f>IFERROR(MATCH(INDEX('Formulación PDN 2027'!$O$7:$O$506,MATCH(ROW()-5,'Formulación PDN 2027'!$AK$7:$AK$506,0)),L_MESES,0),"")</f>
        <v/>
      </c>
      <c r="F232" s="15" t="str">
        <f>IFERROR(MATCH(INDEX('Formulación PDN 2027'!$P$7:$P$506,MATCH(ROW()-5,'Formulación PDN 2027'!$AK$7:$AK$506,0)),L_MESES,0),"")</f>
        <v/>
      </c>
      <c r="G232" s="15" t="str">
        <f>IFERROR(INDEX('Formulación PDN 2027'!$Q$7:$Q$506,MATCH(ROW()-5,'Formulación PDN 2027'!$AK$7:$AK$506,0)),"")</f>
        <v/>
      </c>
      <c r="H232" s="15" t="str">
        <f>IFERROR(INDEX('Formulación PDN 2027'!$R$7:$R$506,MATCH(ROW()-5,'Formulación PDN 2027'!$AK$7:$AK$506,0))&amp;"","")</f>
        <v/>
      </c>
      <c r="I232" s="15" t="str">
        <f>IFERROR(INDEX('Formulación PDN 2027'!$S$7:$S$506,MATCH(ROW()-5,'Formulación PDN 2027'!$AK$7:$AK$506,0))&amp;"","")</f>
        <v/>
      </c>
      <c r="J232" s="15" t="str">
        <f>IFERROR(INDEX('Formulación PDN 2027'!$T$7:$T$506,MATCH(ROW()-5,'Formulación PDN 2027'!$AK$7:$AK$506,0))&amp;"","")</f>
        <v/>
      </c>
      <c r="K232" s="43" t="str">
        <f>IFERROR(INDEX('Formulación PDN 2027'!$W$7:$W$506,MATCH(ROW()-5,'Formulación PDN 2027'!$AK$7:$AK$506,0)),"")</f>
        <v/>
      </c>
      <c r="L232" s="43" t="str">
        <f>IFERROR(INDEX('Formulación PDN 2027'!$X$7:$X$506,MATCH(ROW()-5,'Formulación PDN 2027'!$AK$7:$AK$506,0)),"")</f>
        <v/>
      </c>
      <c r="M232" s="15" t="str">
        <f>IFERROR(INDEX('Formulación PDN 2027'!$Y$7:$Y$506,MATCH(ROW()-5,'Formulación PDN 2027'!$AK$7:$AK$506,0))&amp;"","")</f>
        <v/>
      </c>
      <c r="N232" s="15" t="str">
        <f>IFERROR(INDEX('Formulación PDN 2027'!$Z$7:$Z$506,MATCH(ROW()-5,'Formulación PDN 2027'!$AK$7:$AK$506,0))&amp;"","")</f>
        <v/>
      </c>
      <c r="O232" s="15"/>
      <c r="P232" s="15" t="str">
        <f>IFERROR(INDEX('Formulación PDN 2027'!$AA$7:$AA$506,MATCH(ROW()-5,'Formulación PDN 2027'!$AK$7:$AK$506,0))&amp;"","")</f>
        <v/>
      </c>
      <c r="Q232" s="15" t="str">
        <f>IFERROR(INDEX('Formulación PDN 2027'!$AB$7:$AB$506,MATCH(ROW()-5,'Formulación PDN 2027'!$AK$7:$AK$506,0))&amp;"","")</f>
        <v/>
      </c>
      <c r="R232" s="15" t="str">
        <f>IFERROR(INDEX('Formulación PDN 2027'!$AD$7:$AD$506,MATCH(ROW()-5,'Formulación PDN 2027'!$AK$7:$AK$506,0))&amp;"","")</f>
        <v/>
      </c>
      <c r="S232" s="15" t="str">
        <f>IFERROR(INDEX('Formulación PDN 2027'!$AE$7:$AE$506,MATCH(ROW()-5,'Formulación PDN 2027'!$AK$7:$AK$506,0))&amp;"","")</f>
        <v/>
      </c>
      <c r="T232" s="15" t="str">
        <f>IFERROR(INDEX('Formulación PDN 2027'!$C$7:$C$506,MATCH(ROW()-5,'Formulación PDN 2027'!$AK$7:$AK$506,0))&amp;"","")</f>
        <v/>
      </c>
      <c r="U232" s="15" t="str">
        <f>IFERROR(INDEX('Formulación PDN 2027'!$B$7:$B$506,MATCH(ROW()-5,'Formulación PDN 2027'!$AK$7:$AK$506,0))&amp;"","")</f>
        <v/>
      </c>
      <c r="V232" s="15" t="str">
        <f>IFERROR(LEFT(INDEX('Formulación PDN 2027'!$E$7:$E$506,MATCH(ROW()-5,'Formulación PDN 2027'!$AK$7:$AK$506,0)),7),"")</f>
        <v/>
      </c>
      <c r="W232" s="15" t="str">
        <f>IFERROR(INDEX('Formulación PDN 2027'!$H$7:$H$506,MATCH(ROW()-5,'Formulación PDN 2027'!$AK$7:$AK$506,0))&amp;"","")</f>
        <v/>
      </c>
      <c r="X232" s="15" t="str">
        <f>IFERROR(INDEX('Formulación PDN 2027'!$U$7:$U$506,MATCH(ROW()-5,'Formulación PDN 2027'!$AK$7:$AK$506,0))&amp;"","")</f>
        <v/>
      </c>
      <c r="Y232" s="15" t="str">
        <f>IFERROR(INDEX('Formulación PDN 2027'!$AH$7:$AH$506,MATCH(ROW()-5,'Formulación PDN 2027'!$AK$7:$AK$506,0))&amp;"","")</f>
        <v/>
      </c>
    </row>
    <row r="233" spans="1:25" x14ac:dyDescent="0.3">
      <c r="A233" s="15" t="str">
        <f>IFERROR(INDEX('Formulación PDN 2027'!$A$7:$A$506,MATCH(ROW()-5,'Formulación PDN 2027'!$AK$7:$AK$506,0))&amp;"","")</f>
        <v/>
      </c>
      <c r="B233" s="20" t="str">
        <f>IFERROR(INDEX('Formulación PDN 2027'!$M$7:$M$506,MATCH(ROW()-5,'Formulación PDN 2027'!$AK$7:$AK$506,0)),"")</f>
        <v/>
      </c>
      <c r="C233" s="15" t="str">
        <f>IFERROR(INDEX('Formulación PDN 2027'!$N$7:$N$506,MATCH(ROW()-5,'Formulación PDN 2027'!$AK$7:$AK$506,0))&amp;"","")</f>
        <v/>
      </c>
      <c r="D233" s="15" t="str">
        <f>IFERROR(INDEX('Formulación PDN 2027'!$L$7:$L$506,MATCH(ROW()-5,'Formulación PDN 2027'!$AK$7:$AK$506,0))&amp;"","")</f>
        <v/>
      </c>
      <c r="E233" s="15" t="str">
        <f>IFERROR(MATCH(INDEX('Formulación PDN 2027'!$O$7:$O$506,MATCH(ROW()-5,'Formulación PDN 2027'!$AK$7:$AK$506,0)),L_MESES,0),"")</f>
        <v/>
      </c>
      <c r="F233" s="15" t="str">
        <f>IFERROR(MATCH(INDEX('Formulación PDN 2027'!$P$7:$P$506,MATCH(ROW()-5,'Formulación PDN 2027'!$AK$7:$AK$506,0)),L_MESES,0),"")</f>
        <v/>
      </c>
      <c r="G233" s="15" t="str">
        <f>IFERROR(INDEX('Formulación PDN 2027'!$Q$7:$Q$506,MATCH(ROW()-5,'Formulación PDN 2027'!$AK$7:$AK$506,0)),"")</f>
        <v/>
      </c>
      <c r="H233" s="15" t="str">
        <f>IFERROR(INDEX('Formulación PDN 2027'!$R$7:$R$506,MATCH(ROW()-5,'Formulación PDN 2027'!$AK$7:$AK$506,0))&amp;"","")</f>
        <v/>
      </c>
      <c r="I233" s="15" t="str">
        <f>IFERROR(INDEX('Formulación PDN 2027'!$S$7:$S$506,MATCH(ROW()-5,'Formulación PDN 2027'!$AK$7:$AK$506,0))&amp;"","")</f>
        <v/>
      </c>
      <c r="J233" s="15" t="str">
        <f>IFERROR(INDEX('Formulación PDN 2027'!$T$7:$T$506,MATCH(ROW()-5,'Formulación PDN 2027'!$AK$7:$AK$506,0))&amp;"","")</f>
        <v/>
      </c>
      <c r="K233" s="43" t="str">
        <f>IFERROR(INDEX('Formulación PDN 2027'!$W$7:$W$506,MATCH(ROW()-5,'Formulación PDN 2027'!$AK$7:$AK$506,0)),"")</f>
        <v/>
      </c>
      <c r="L233" s="43" t="str">
        <f>IFERROR(INDEX('Formulación PDN 2027'!$X$7:$X$506,MATCH(ROW()-5,'Formulación PDN 2027'!$AK$7:$AK$506,0)),"")</f>
        <v/>
      </c>
      <c r="M233" s="15" t="str">
        <f>IFERROR(INDEX('Formulación PDN 2027'!$Y$7:$Y$506,MATCH(ROW()-5,'Formulación PDN 2027'!$AK$7:$AK$506,0))&amp;"","")</f>
        <v/>
      </c>
      <c r="N233" s="15" t="str">
        <f>IFERROR(INDEX('Formulación PDN 2027'!$Z$7:$Z$506,MATCH(ROW()-5,'Formulación PDN 2027'!$AK$7:$AK$506,0))&amp;"","")</f>
        <v/>
      </c>
      <c r="O233" s="15"/>
      <c r="P233" s="15" t="str">
        <f>IFERROR(INDEX('Formulación PDN 2027'!$AA$7:$AA$506,MATCH(ROW()-5,'Formulación PDN 2027'!$AK$7:$AK$506,0))&amp;"","")</f>
        <v/>
      </c>
      <c r="Q233" s="15" t="str">
        <f>IFERROR(INDEX('Formulación PDN 2027'!$AB$7:$AB$506,MATCH(ROW()-5,'Formulación PDN 2027'!$AK$7:$AK$506,0))&amp;"","")</f>
        <v/>
      </c>
      <c r="R233" s="15" t="str">
        <f>IFERROR(INDEX('Formulación PDN 2027'!$AD$7:$AD$506,MATCH(ROW()-5,'Formulación PDN 2027'!$AK$7:$AK$506,0))&amp;"","")</f>
        <v/>
      </c>
      <c r="S233" s="15" t="str">
        <f>IFERROR(INDEX('Formulación PDN 2027'!$AE$7:$AE$506,MATCH(ROW()-5,'Formulación PDN 2027'!$AK$7:$AK$506,0))&amp;"","")</f>
        <v/>
      </c>
      <c r="T233" s="15" t="str">
        <f>IFERROR(INDEX('Formulación PDN 2027'!$C$7:$C$506,MATCH(ROW()-5,'Formulación PDN 2027'!$AK$7:$AK$506,0))&amp;"","")</f>
        <v/>
      </c>
      <c r="U233" s="15" t="str">
        <f>IFERROR(INDEX('Formulación PDN 2027'!$B$7:$B$506,MATCH(ROW()-5,'Formulación PDN 2027'!$AK$7:$AK$506,0))&amp;"","")</f>
        <v/>
      </c>
      <c r="V233" s="15" t="str">
        <f>IFERROR(LEFT(INDEX('Formulación PDN 2027'!$E$7:$E$506,MATCH(ROW()-5,'Formulación PDN 2027'!$AK$7:$AK$506,0)),7),"")</f>
        <v/>
      </c>
      <c r="W233" s="15" t="str">
        <f>IFERROR(INDEX('Formulación PDN 2027'!$H$7:$H$506,MATCH(ROW()-5,'Formulación PDN 2027'!$AK$7:$AK$506,0))&amp;"","")</f>
        <v/>
      </c>
      <c r="X233" s="15" t="str">
        <f>IFERROR(INDEX('Formulación PDN 2027'!$U$7:$U$506,MATCH(ROW()-5,'Formulación PDN 2027'!$AK$7:$AK$506,0))&amp;"","")</f>
        <v/>
      </c>
      <c r="Y233" s="15" t="str">
        <f>IFERROR(INDEX('Formulación PDN 2027'!$AH$7:$AH$506,MATCH(ROW()-5,'Formulación PDN 2027'!$AK$7:$AK$506,0))&amp;"","")</f>
        <v/>
      </c>
    </row>
    <row r="234" spans="1:25" x14ac:dyDescent="0.3">
      <c r="A234" s="15" t="str">
        <f>IFERROR(INDEX('Formulación PDN 2027'!$A$7:$A$506,MATCH(ROW()-5,'Formulación PDN 2027'!$AK$7:$AK$506,0))&amp;"","")</f>
        <v/>
      </c>
      <c r="B234" s="20" t="str">
        <f>IFERROR(INDEX('Formulación PDN 2027'!$M$7:$M$506,MATCH(ROW()-5,'Formulación PDN 2027'!$AK$7:$AK$506,0)),"")</f>
        <v/>
      </c>
      <c r="C234" s="15" t="str">
        <f>IFERROR(INDEX('Formulación PDN 2027'!$N$7:$N$506,MATCH(ROW()-5,'Formulación PDN 2027'!$AK$7:$AK$506,0))&amp;"","")</f>
        <v/>
      </c>
      <c r="D234" s="15" t="str">
        <f>IFERROR(INDEX('Formulación PDN 2027'!$L$7:$L$506,MATCH(ROW()-5,'Formulación PDN 2027'!$AK$7:$AK$506,0))&amp;"","")</f>
        <v/>
      </c>
      <c r="E234" s="15" t="str">
        <f>IFERROR(MATCH(INDEX('Formulación PDN 2027'!$O$7:$O$506,MATCH(ROW()-5,'Formulación PDN 2027'!$AK$7:$AK$506,0)),L_MESES,0),"")</f>
        <v/>
      </c>
      <c r="F234" s="15" t="str">
        <f>IFERROR(MATCH(INDEX('Formulación PDN 2027'!$P$7:$P$506,MATCH(ROW()-5,'Formulación PDN 2027'!$AK$7:$AK$506,0)),L_MESES,0),"")</f>
        <v/>
      </c>
      <c r="G234" s="15" t="str">
        <f>IFERROR(INDEX('Formulación PDN 2027'!$Q$7:$Q$506,MATCH(ROW()-5,'Formulación PDN 2027'!$AK$7:$AK$506,0)),"")</f>
        <v/>
      </c>
      <c r="H234" s="15" t="str">
        <f>IFERROR(INDEX('Formulación PDN 2027'!$R$7:$R$506,MATCH(ROW()-5,'Formulación PDN 2027'!$AK$7:$AK$506,0))&amp;"","")</f>
        <v/>
      </c>
      <c r="I234" s="15" t="str">
        <f>IFERROR(INDEX('Formulación PDN 2027'!$S$7:$S$506,MATCH(ROW()-5,'Formulación PDN 2027'!$AK$7:$AK$506,0))&amp;"","")</f>
        <v/>
      </c>
      <c r="J234" s="15" t="str">
        <f>IFERROR(INDEX('Formulación PDN 2027'!$T$7:$T$506,MATCH(ROW()-5,'Formulación PDN 2027'!$AK$7:$AK$506,0))&amp;"","")</f>
        <v/>
      </c>
      <c r="K234" s="43" t="str">
        <f>IFERROR(INDEX('Formulación PDN 2027'!$W$7:$W$506,MATCH(ROW()-5,'Formulación PDN 2027'!$AK$7:$AK$506,0)),"")</f>
        <v/>
      </c>
      <c r="L234" s="43" t="str">
        <f>IFERROR(INDEX('Formulación PDN 2027'!$X$7:$X$506,MATCH(ROW()-5,'Formulación PDN 2027'!$AK$7:$AK$506,0)),"")</f>
        <v/>
      </c>
      <c r="M234" s="15" t="str">
        <f>IFERROR(INDEX('Formulación PDN 2027'!$Y$7:$Y$506,MATCH(ROW()-5,'Formulación PDN 2027'!$AK$7:$AK$506,0))&amp;"","")</f>
        <v/>
      </c>
      <c r="N234" s="15" t="str">
        <f>IFERROR(INDEX('Formulación PDN 2027'!$Z$7:$Z$506,MATCH(ROW()-5,'Formulación PDN 2027'!$AK$7:$AK$506,0))&amp;"","")</f>
        <v/>
      </c>
      <c r="O234" s="15"/>
      <c r="P234" s="15" t="str">
        <f>IFERROR(INDEX('Formulación PDN 2027'!$AA$7:$AA$506,MATCH(ROW()-5,'Formulación PDN 2027'!$AK$7:$AK$506,0))&amp;"","")</f>
        <v/>
      </c>
      <c r="Q234" s="15" t="str">
        <f>IFERROR(INDEX('Formulación PDN 2027'!$AB$7:$AB$506,MATCH(ROW()-5,'Formulación PDN 2027'!$AK$7:$AK$506,0))&amp;"","")</f>
        <v/>
      </c>
      <c r="R234" s="15" t="str">
        <f>IFERROR(INDEX('Formulación PDN 2027'!$AD$7:$AD$506,MATCH(ROW()-5,'Formulación PDN 2027'!$AK$7:$AK$506,0))&amp;"","")</f>
        <v/>
      </c>
      <c r="S234" s="15" t="str">
        <f>IFERROR(INDEX('Formulación PDN 2027'!$AE$7:$AE$506,MATCH(ROW()-5,'Formulación PDN 2027'!$AK$7:$AK$506,0))&amp;"","")</f>
        <v/>
      </c>
      <c r="T234" s="15" t="str">
        <f>IFERROR(INDEX('Formulación PDN 2027'!$C$7:$C$506,MATCH(ROW()-5,'Formulación PDN 2027'!$AK$7:$AK$506,0))&amp;"","")</f>
        <v/>
      </c>
      <c r="U234" s="15" t="str">
        <f>IFERROR(INDEX('Formulación PDN 2027'!$B$7:$B$506,MATCH(ROW()-5,'Formulación PDN 2027'!$AK$7:$AK$506,0))&amp;"","")</f>
        <v/>
      </c>
      <c r="V234" s="15" t="str">
        <f>IFERROR(LEFT(INDEX('Formulación PDN 2027'!$E$7:$E$506,MATCH(ROW()-5,'Formulación PDN 2027'!$AK$7:$AK$506,0)),7),"")</f>
        <v/>
      </c>
      <c r="W234" s="15" t="str">
        <f>IFERROR(INDEX('Formulación PDN 2027'!$H$7:$H$506,MATCH(ROW()-5,'Formulación PDN 2027'!$AK$7:$AK$506,0))&amp;"","")</f>
        <v/>
      </c>
      <c r="X234" s="15" t="str">
        <f>IFERROR(INDEX('Formulación PDN 2027'!$U$7:$U$506,MATCH(ROW()-5,'Formulación PDN 2027'!$AK$7:$AK$506,0))&amp;"","")</f>
        <v/>
      </c>
      <c r="Y234" s="15" t="str">
        <f>IFERROR(INDEX('Formulación PDN 2027'!$AH$7:$AH$506,MATCH(ROW()-5,'Formulación PDN 2027'!$AK$7:$AK$506,0))&amp;"","")</f>
        <v/>
      </c>
    </row>
    <row r="235" spans="1:25" x14ac:dyDescent="0.3">
      <c r="A235" s="15" t="str">
        <f>IFERROR(INDEX('Formulación PDN 2027'!$A$7:$A$506,MATCH(ROW()-5,'Formulación PDN 2027'!$AK$7:$AK$506,0))&amp;"","")</f>
        <v/>
      </c>
      <c r="B235" s="20" t="str">
        <f>IFERROR(INDEX('Formulación PDN 2027'!$M$7:$M$506,MATCH(ROW()-5,'Formulación PDN 2027'!$AK$7:$AK$506,0)),"")</f>
        <v/>
      </c>
      <c r="C235" s="15" t="str">
        <f>IFERROR(INDEX('Formulación PDN 2027'!$N$7:$N$506,MATCH(ROW()-5,'Formulación PDN 2027'!$AK$7:$AK$506,0))&amp;"","")</f>
        <v/>
      </c>
      <c r="D235" s="15" t="str">
        <f>IFERROR(INDEX('Formulación PDN 2027'!$L$7:$L$506,MATCH(ROW()-5,'Formulación PDN 2027'!$AK$7:$AK$506,0))&amp;"","")</f>
        <v/>
      </c>
      <c r="E235" s="15" t="str">
        <f>IFERROR(MATCH(INDEX('Formulación PDN 2027'!$O$7:$O$506,MATCH(ROW()-5,'Formulación PDN 2027'!$AK$7:$AK$506,0)),L_MESES,0),"")</f>
        <v/>
      </c>
      <c r="F235" s="15" t="str">
        <f>IFERROR(MATCH(INDEX('Formulación PDN 2027'!$P$7:$P$506,MATCH(ROW()-5,'Formulación PDN 2027'!$AK$7:$AK$506,0)),L_MESES,0),"")</f>
        <v/>
      </c>
      <c r="G235" s="15" t="str">
        <f>IFERROR(INDEX('Formulación PDN 2027'!$Q$7:$Q$506,MATCH(ROW()-5,'Formulación PDN 2027'!$AK$7:$AK$506,0)),"")</f>
        <v/>
      </c>
      <c r="H235" s="15" t="str">
        <f>IFERROR(INDEX('Formulación PDN 2027'!$R$7:$R$506,MATCH(ROW()-5,'Formulación PDN 2027'!$AK$7:$AK$506,0))&amp;"","")</f>
        <v/>
      </c>
      <c r="I235" s="15" t="str">
        <f>IFERROR(INDEX('Formulación PDN 2027'!$S$7:$S$506,MATCH(ROW()-5,'Formulación PDN 2027'!$AK$7:$AK$506,0))&amp;"","")</f>
        <v/>
      </c>
      <c r="J235" s="15" t="str">
        <f>IFERROR(INDEX('Formulación PDN 2027'!$T$7:$T$506,MATCH(ROW()-5,'Formulación PDN 2027'!$AK$7:$AK$506,0))&amp;"","")</f>
        <v/>
      </c>
      <c r="K235" s="43" t="str">
        <f>IFERROR(INDEX('Formulación PDN 2027'!$W$7:$W$506,MATCH(ROW()-5,'Formulación PDN 2027'!$AK$7:$AK$506,0)),"")</f>
        <v/>
      </c>
      <c r="L235" s="43" t="str">
        <f>IFERROR(INDEX('Formulación PDN 2027'!$X$7:$X$506,MATCH(ROW()-5,'Formulación PDN 2027'!$AK$7:$AK$506,0)),"")</f>
        <v/>
      </c>
      <c r="M235" s="15" t="str">
        <f>IFERROR(INDEX('Formulación PDN 2027'!$Y$7:$Y$506,MATCH(ROW()-5,'Formulación PDN 2027'!$AK$7:$AK$506,0))&amp;"","")</f>
        <v/>
      </c>
      <c r="N235" s="15" t="str">
        <f>IFERROR(INDEX('Formulación PDN 2027'!$Z$7:$Z$506,MATCH(ROW()-5,'Formulación PDN 2027'!$AK$7:$AK$506,0))&amp;"","")</f>
        <v/>
      </c>
      <c r="O235" s="15"/>
      <c r="P235" s="15" t="str">
        <f>IFERROR(INDEX('Formulación PDN 2027'!$AA$7:$AA$506,MATCH(ROW()-5,'Formulación PDN 2027'!$AK$7:$AK$506,0))&amp;"","")</f>
        <v/>
      </c>
      <c r="Q235" s="15" t="str">
        <f>IFERROR(INDEX('Formulación PDN 2027'!$AB$7:$AB$506,MATCH(ROW()-5,'Formulación PDN 2027'!$AK$7:$AK$506,0))&amp;"","")</f>
        <v/>
      </c>
      <c r="R235" s="15" t="str">
        <f>IFERROR(INDEX('Formulación PDN 2027'!$AD$7:$AD$506,MATCH(ROW()-5,'Formulación PDN 2027'!$AK$7:$AK$506,0))&amp;"","")</f>
        <v/>
      </c>
      <c r="S235" s="15" t="str">
        <f>IFERROR(INDEX('Formulación PDN 2027'!$AE$7:$AE$506,MATCH(ROW()-5,'Formulación PDN 2027'!$AK$7:$AK$506,0))&amp;"","")</f>
        <v/>
      </c>
      <c r="T235" s="15" t="str">
        <f>IFERROR(INDEX('Formulación PDN 2027'!$C$7:$C$506,MATCH(ROW()-5,'Formulación PDN 2027'!$AK$7:$AK$506,0))&amp;"","")</f>
        <v/>
      </c>
      <c r="U235" s="15" t="str">
        <f>IFERROR(INDEX('Formulación PDN 2027'!$B$7:$B$506,MATCH(ROW()-5,'Formulación PDN 2027'!$AK$7:$AK$506,0))&amp;"","")</f>
        <v/>
      </c>
      <c r="V235" s="15" t="str">
        <f>IFERROR(LEFT(INDEX('Formulación PDN 2027'!$E$7:$E$506,MATCH(ROW()-5,'Formulación PDN 2027'!$AK$7:$AK$506,0)),7),"")</f>
        <v/>
      </c>
      <c r="W235" s="15" t="str">
        <f>IFERROR(INDEX('Formulación PDN 2027'!$H$7:$H$506,MATCH(ROW()-5,'Formulación PDN 2027'!$AK$7:$AK$506,0))&amp;"","")</f>
        <v/>
      </c>
      <c r="X235" s="15" t="str">
        <f>IFERROR(INDEX('Formulación PDN 2027'!$U$7:$U$506,MATCH(ROW()-5,'Formulación PDN 2027'!$AK$7:$AK$506,0))&amp;"","")</f>
        <v/>
      </c>
      <c r="Y235" s="15" t="str">
        <f>IFERROR(INDEX('Formulación PDN 2027'!$AH$7:$AH$506,MATCH(ROW()-5,'Formulación PDN 2027'!$AK$7:$AK$506,0))&amp;"","")</f>
        <v/>
      </c>
    </row>
    <row r="236" spans="1:25" x14ac:dyDescent="0.3">
      <c r="A236" s="15" t="str">
        <f>IFERROR(INDEX('Formulación PDN 2027'!$A$7:$A$506,MATCH(ROW()-5,'Formulación PDN 2027'!$AK$7:$AK$506,0))&amp;"","")</f>
        <v/>
      </c>
      <c r="B236" s="20" t="str">
        <f>IFERROR(INDEX('Formulación PDN 2027'!$M$7:$M$506,MATCH(ROW()-5,'Formulación PDN 2027'!$AK$7:$AK$506,0)),"")</f>
        <v/>
      </c>
      <c r="C236" s="15" t="str">
        <f>IFERROR(INDEX('Formulación PDN 2027'!$N$7:$N$506,MATCH(ROW()-5,'Formulación PDN 2027'!$AK$7:$AK$506,0))&amp;"","")</f>
        <v/>
      </c>
      <c r="D236" s="15" t="str">
        <f>IFERROR(INDEX('Formulación PDN 2027'!$L$7:$L$506,MATCH(ROW()-5,'Formulación PDN 2027'!$AK$7:$AK$506,0))&amp;"","")</f>
        <v/>
      </c>
      <c r="E236" s="15" t="str">
        <f>IFERROR(MATCH(INDEX('Formulación PDN 2027'!$O$7:$O$506,MATCH(ROW()-5,'Formulación PDN 2027'!$AK$7:$AK$506,0)),L_MESES,0),"")</f>
        <v/>
      </c>
      <c r="F236" s="15" t="str">
        <f>IFERROR(MATCH(INDEX('Formulación PDN 2027'!$P$7:$P$506,MATCH(ROW()-5,'Formulación PDN 2027'!$AK$7:$AK$506,0)),L_MESES,0),"")</f>
        <v/>
      </c>
      <c r="G236" s="15" t="str">
        <f>IFERROR(INDEX('Formulación PDN 2027'!$Q$7:$Q$506,MATCH(ROW()-5,'Formulación PDN 2027'!$AK$7:$AK$506,0)),"")</f>
        <v/>
      </c>
      <c r="H236" s="15" t="str">
        <f>IFERROR(INDEX('Formulación PDN 2027'!$R$7:$R$506,MATCH(ROW()-5,'Formulación PDN 2027'!$AK$7:$AK$506,0))&amp;"","")</f>
        <v/>
      </c>
      <c r="I236" s="15" t="str">
        <f>IFERROR(INDEX('Formulación PDN 2027'!$S$7:$S$506,MATCH(ROW()-5,'Formulación PDN 2027'!$AK$7:$AK$506,0))&amp;"","")</f>
        <v/>
      </c>
      <c r="J236" s="15" t="str">
        <f>IFERROR(INDEX('Formulación PDN 2027'!$T$7:$T$506,MATCH(ROW()-5,'Formulación PDN 2027'!$AK$7:$AK$506,0))&amp;"","")</f>
        <v/>
      </c>
      <c r="K236" s="43" t="str">
        <f>IFERROR(INDEX('Formulación PDN 2027'!$W$7:$W$506,MATCH(ROW()-5,'Formulación PDN 2027'!$AK$7:$AK$506,0)),"")</f>
        <v/>
      </c>
      <c r="L236" s="43" t="str">
        <f>IFERROR(INDEX('Formulación PDN 2027'!$X$7:$X$506,MATCH(ROW()-5,'Formulación PDN 2027'!$AK$7:$AK$506,0)),"")</f>
        <v/>
      </c>
      <c r="M236" s="15" t="str">
        <f>IFERROR(INDEX('Formulación PDN 2027'!$Y$7:$Y$506,MATCH(ROW()-5,'Formulación PDN 2027'!$AK$7:$AK$506,0))&amp;"","")</f>
        <v/>
      </c>
      <c r="N236" s="15" t="str">
        <f>IFERROR(INDEX('Formulación PDN 2027'!$Z$7:$Z$506,MATCH(ROW()-5,'Formulación PDN 2027'!$AK$7:$AK$506,0))&amp;"","")</f>
        <v/>
      </c>
      <c r="O236" s="15"/>
      <c r="P236" s="15" t="str">
        <f>IFERROR(INDEX('Formulación PDN 2027'!$AA$7:$AA$506,MATCH(ROW()-5,'Formulación PDN 2027'!$AK$7:$AK$506,0))&amp;"","")</f>
        <v/>
      </c>
      <c r="Q236" s="15" t="str">
        <f>IFERROR(INDEX('Formulación PDN 2027'!$AB$7:$AB$506,MATCH(ROW()-5,'Formulación PDN 2027'!$AK$7:$AK$506,0))&amp;"","")</f>
        <v/>
      </c>
      <c r="R236" s="15" t="str">
        <f>IFERROR(INDEX('Formulación PDN 2027'!$AD$7:$AD$506,MATCH(ROW()-5,'Formulación PDN 2027'!$AK$7:$AK$506,0))&amp;"","")</f>
        <v/>
      </c>
      <c r="S236" s="15" t="str">
        <f>IFERROR(INDEX('Formulación PDN 2027'!$AE$7:$AE$506,MATCH(ROW()-5,'Formulación PDN 2027'!$AK$7:$AK$506,0))&amp;"","")</f>
        <v/>
      </c>
      <c r="T236" s="15" t="str">
        <f>IFERROR(INDEX('Formulación PDN 2027'!$C$7:$C$506,MATCH(ROW()-5,'Formulación PDN 2027'!$AK$7:$AK$506,0))&amp;"","")</f>
        <v/>
      </c>
      <c r="U236" s="15" t="str">
        <f>IFERROR(INDEX('Formulación PDN 2027'!$B$7:$B$506,MATCH(ROW()-5,'Formulación PDN 2027'!$AK$7:$AK$506,0))&amp;"","")</f>
        <v/>
      </c>
      <c r="V236" s="15" t="str">
        <f>IFERROR(LEFT(INDEX('Formulación PDN 2027'!$E$7:$E$506,MATCH(ROW()-5,'Formulación PDN 2027'!$AK$7:$AK$506,0)),7),"")</f>
        <v/>
      </c>
      <c r="W236" s="15" t="str">
        <f>IFERROR(INDEX('Formulación PDN 2027'!$H$7:$H$506,MATCH(ROW()-5,'Formulación PDN 2027'!$AK$7:$AK$506,0))&amp;"","")</f>
        <v/>
      </c>
      <c r="X236" s="15" t="str">
        <f>IFERROR(INDEX('Formulación PDN 2027'!$U$7:$U$506,MATCH(ROW()-5,'Formulación PDN 2027'!$AK$7:$AK$506,0))&amp;"","")</f>
        <v/>
      </c>
      <c r="Y236" s="15" t="str">
        <f>IFERROR(INDEX('Formulación PDN 2027'!$AH$7:$AH$506,MATCH(ROW()-5,'Formulación PDN 2027'!$AK$7:$AK$506,0))&amp;"","")</f>
        <v/>
      </c>
    </row>
    <row r="237" spans="1:25" x14ac:dyDescent="0.3">
      <c r="A237" s="15" t="str">
        <f>IFERROR(INDEX('Formulación PDN 2027'!$A$7:$A$506,MATCH(ROW()-5,'Formulación PDN 2027'!$AK$7:$AK$506,0))&amp;"","")</f>
        <v/>
      </c>
      <c r="B237" s="20" t="str">
        <f>IFERROR(INDEX('Formulación PDN 2027'!$M$7:$M$506,MATCH(ROW()-5,'Formulación PDN 2027'!$AK$7:$AK$506,0)),"")</f>
        <v/>
      </c>
      <c r="C237" s="15" t="str">
        <f>IFERROR(INDEX('Formulación PDN 2027'!$N$7:$N$506,MATCH(ROW()-5,'Formulación PDN 2027'!$AK$7:$AK$506,0))&amp;"","")</f>
        <v/>
      </c>
      <c r="D237" s="15" t="str">
        <f>IFERROR(INDEX('Formulación PDN 2027'!$L$7:$L$506,MATCH(ROW()-5,'Formulación PDN 2027'!$AK$7:$AK$506,0))&amp;"","")</f>
        <v/>
      </c>
      <c r="E237" s="15" t="str">
        <f>IFERROR(MATCH(INDEX('Formulación PDN 2027'!$O$7:$O$506,MATCH(ROW()-5,'Formulación PDN 2027'!$AK$7:$AK$506,0)),L_MESES,0),"")</f>
        <v/>
      </c>
      <c r="F237" s="15" t="str">
        <f>IFERROR(MATCH(INDEX('Formulación PDN 2027'!$P$7:$P$506,MATCH(ROW()-5,'Formulación PDN 2027'!$AK$7:$AK$506,0)),L_MESES,0),"")</f>
        <v/>
      </c>
      <c r="G237" s="15" t="str">
        <f>IFERROR(INDEX('Formulación PDN 2027'!$Q$7:$Q$506,MATCH(ROW()-5,'Formulación PDN 2027'!$AK$7:$AK$506,0)),"")</f>
        <v/>
      </c>
      <c r="H237" s="15" t="str">
        <f>IFERROR(INDEX('Formulación PDN 2027'!$R$7:$R$506,MATCH(ROW()-5,'Formulación PDN 2027'!$AK$7:$AK$506,0))&amp;"","")</f>
        <v/>
      </c>
      <c r="I237" s="15" t="str">
        <f>IFERROR(INDEX('Formulación PDN 2027'!$S$7:$S$506,MATCH(ROW()-5,'Formulación PDN 2027'!$AK$7:$AK$506,0))&amp;"","")</f>
        <v/>
      </c>
      <c r="J237" s="15" t="str">
        <f>IFERROR(INDEX('Formulación PDN 2027'!$T$7:$T$506,MATCH(ROW()-5,'Formulación PDN 2027'!$AK$7:$AK$506,0))&amp;"","")</f>
        <v/>
      </c>
      <c r="K237" s="43" t="str">
        <f>IFERROR(INDEX('Formulación PDN 2027'!$W$7:$W$506,MATCH(ROW()-5,'Formulación PDN 2027'!$AK$7:$AK$506,0)),"")</f>
        <v/>
      </c>
      <c r="L237" s="43" t="str">
        <f>IFERROR(INDEX('Formulación PDN 2027'!$X$7:$X$506,MATCH(ROW()-5,'Formulación PDN 2027'!$AK$7:$AK$506,0)),"")</f>
        <v/>
      </c>
      <c r="M237" s="15" t="str">
        <f>IFERROR(INDEX('Formulación PDN 2027'!$Y$7:$Y$506,MATCH(ROW()-5,'Formulación PDN 2027'!$AK$7:$AK$506,0))&amp;"","")</f>
        <v/>
      </c>
      <c r="N237" s="15" t="str">
        <f>IFERROR(INDEX('Formulación PDN 2027'!$Z$7:$Z$506,MATCH(ROW()-5,'Formulación PDN 2027'!$AK$7:$AK$506,0))&amp;"","")</f>
        <v/>
      </c>
      <c r="O237" s="15"/>
      <c r="P237" s="15" t="str">
        <f>IFERROR(INDEX('Formulación PDN 2027'!$AA$7:$AA$506,MATCH(ROW()-5,'Formulación PDN 2027'!$AK$7:$AK$506,0))&amp;"","")</f>
        <v/>
      </c>
      <c r="Q237" s="15" t="str">
        <f>IFERROR(INDEX('Formulación PDN 2027'!$AB$7:$AB$506,MATCH(ROW()-5,'Formulación PDN 2027'!$AK$7:$AK$506,0))&amp;"","")</f>
        <v/>
      </c>
      <c r="R237" s="15" t="str">
        <f>IFERROR(INDEX('Formulación PDN 2027'!$AD$7:$AD$506,MATCH(ROW()-5,'Formulación PDN 2027'!$AK$7:$AK$506,0))&amp;"","")</f>
        <v/>
      </c>
      <c r="S237" s="15" t="str">
        <f>IFERROR(INDEX('Formulación PDN 2027'!$AE$7:$AE$506,MATCH(ROW()-5,'Formulación PDN 2027'!$AK$7:$AK$506,0))&amp;"","")</f>
        <v/>
      </c>
      <c r="T237" s="15" t="str">
        <f>IFERROR(INDEX('Formulación PDN 2027'!$C$7:$C$506,MATCH(ROW()-5,'Formulación PDN 2027'!$AK$7:$AK$506,0))&amp;"","")</f>
        <v/>
      </c>
      <c r="U237" s="15" t="str">
        <f>IFERROR(INDEX('Formulación PDN 2027'!$B$7:$B$506,MATCH(ROW()-5,'Formulación PDN 2027'!$AK$7:$AK$506,0))&amp;"","")</f>
        <v/>
      </c>
      <c r="V237" s="15" t="str">
        <f>IFERROR(LEFT(INDEX('Formulación PDN 2027'!$E$7:$E$506,MATCH(ROW()-5,'Formulación PDN 2027'!$AK$7:$AK$506,0)),7),"")</f>
        <v/>
      </c>
      <c r="W237" s="15" t="str">
        <f>IFERROR(INDEX('Formulación PDN 2027'!$H$7:$H$506,MATCH(ROW()-5,'Formulación PDN 2027'!$AK$7:$AK$506,0))&amp;"","")</f>
        <v/>
      </c>
      <c r="X237" s="15" t="str">
        <f>IFERROR(INDEX('Formulación PDN 2027'!$U$7:$U$506,MATCH(ROW()-5,'Formulación PDN 2027'!$AK$7:$AK$506,0))&amp;"","")</f>
        <v/>
      </c>
      <c r="Y237" s="15" t="str">
        <f>IFERROR(INDEX('Formulación PDN 2027'!$AH$7:$AH$506,MATCH(ROW()-5,'Formulación PDN 2027'!$AK$7:$AK$506,0))&amp;"","")</f>
        <v/>
      </c>
    </row>
    <row r="238" spans="1:25" x14ac:dyDescent="0.3">
      <c r="A238" s="15" t="str">
        <f>IFERROR(INDEX('Formulación PDN 2027'!$A$7:$A$506,MATCH(ROW()-5,'Formulación PDN 2027'!$AK$7:$AK$506,0))&amp;"","")</f>
        <v/>
      </c>
      <c r="B238" s="20" t="str">
        <f>IFERROR(INDEX('Formulación PDN 2027'!$M$7:$M$506,MATCH(ROW()-5,'Formulación PDN 2027'!$AK$7:$AK$506,0)),"")</f>
        <v/>
      </c>
      <c r="C238" s="15" t="str">
        <f>IFERROR(INDEX('Formulación PDN 2027'!$N$7:$N$506,MATCH(ROW()-5,'Formulación PDN 2027'!$AK$7:$AK$506,0))&amp;"","")</f>
        <v/>
      </c>
      <c r="D238" s="15" t="str">
        <f>IFERROR(INDEX('Formulación PDN 2027'!$L$7:$L$506,MATCH(ROW()-5,'Formulación PDN 2027'!$AK$7:$AK$506,0))&amp;"","")</f>
        <v/>
      </c>
      <c r="E238" s="15" t="str">
        <f>IFERROR(MATCH(INDEX('Formulación PDN 2027'!$O$7:$O$506,MATCH(ROW()-5,'Formulación PDN 2027'!$AK$7:$AK$506,0)),L_MESES,0),"")</f>
        <v/>
      </c>
      <c r="F238" s="15" t="str">
        <f>IFERROR(MATCH(INDEX('Formulación PDN 2027'!$P$7:$P$506,MATCH(ROW()-5,'Formulación PDN 2027'!$AK$7:$AK$506,0)),L_MESES,0),"")</f>
        <v/>
      </c>
      <c r="G238" s="15" t="str">
        <f>IFERROR(INDEX('Formulación PDN 2027'!$Q$7:$Q$506,MATCH(ROW()-5,'Formulación PDN 2027'!$AK$7:$AK$506,0)),"")</f>
        <v/>
      </c>
      <c r="H238" s="15" t="str">
        <f>IFERROR(INDEX('Formulación PDN 2027'!$R$7:$R$506,MATCH(ROW()-5,'Formulación PDN 2027'!$AK$7:$AK$506,0))&amp;"","")</f>
        <v/>
      </c>
      <c r="I238" s="15" t="str">
        <f>IFERROR(INDEX('Formulación PDN 2027'!$S$7:$S$506,MATCH(ROW()-5,'Formulación PDN 2027'!$AK$7:$AK$506,0))&amp;"","")</f>
        <v/>
      </c>
      <c r="J238" s="15" t="str">
        <f>IFERROR(INDEX('Formulación PDN 2027'!$T$7:$T$506,MATCH(ROW()-5,'Formulación PDN 2027'!$AK$7:$AK$506,0))&amp;"","")</f>
        <v/>
      </c>
      <c r="K238" s="43" t="str">
        <f>IFERROR(INDEX('Formulación PDN 2027'!$W$7:$W$506,MATCH(ROW()-5,'Formulación PDN 2027'!$AK$7:$AK$506,0)),"")</f>
        <v/>
      </c>
      <c r="L238" s="43" t="str">
        <f>IFERROR(INDEX('Formulación PDN 2027'!$X$7:$X$506,MATCH(ROW()-5,'Formulación PDN 2027'!$AK$7:$AK$506,0)),"")</f>
        <v/>
      </c>
      <c r="M238" s="15" t="str">
        <f>IFERROR(INDEX('Formulación PDN 2027'!$Y$7:$Y$506,MATCH(ROW()-5,'Formulación PDN 2027'!$AK$7:$AK$506,0))&amp;"","")</f>
        <v/>
      </c>
      <c r="N238" s="15" t="str">
        <f>IFERROR(INDEX('Formulación PDN 2027'!$Z$7:$Z$506,MATCH(ROW()-5,'Formulación PDN 2027'!$AK$7:$AK$506,0))&amp;"","")</f>
        <v/>
      </c>
      <c r="O238" s="15"/>
      <c r="P238" s="15" t="str">
        <f>IFERROR(INDEX('Formulación PDN 2027'!$AA$7:$AA$506,MATCH(ROW()-5,'Formulación PDN 2027'!$AK$7:$AK$506,0))&amp;"","")</f>
        <v/>
      </c>
      <c r="Q238" s="15" t="str">
        <f>IFERROR(INDEX('Formulación PDN 2027'!$AB$7:$AB$506,MATCH(ROW()-5,'Formulación PDN 2027'!$AK$7:$AK$506,0))&amp;"","")</f>
        <v/>
      </c>
      <c r="R238" s="15" t="str">
        <f>IFERROR(INDEX('Formulación PDN 2027'!$AD$7:$AD$506,MATCH(ROW()-5,'Formulación PDN 2027'!$AK$7:$AK$506,0))&amp;"","")</f>
        <v/>
      </c>
      <c r="S238" s="15" t="str">
        <f>IFERROR(INDEX('Formulación PDN 2027'!$AE$7:$AE$506,MATCH(ROW()-5,'Formulación PDN 2027'!$AK$7:$AK$506,0))&amp;"","")</f>
        <v/>
      </c>
      <c r="T238" s="15" t="str">
        <f>IFERROR(INDEX('Formulación PDN 2027'!$C$7:$C$506,MATCH(ROW()-5,'Formulación PDN 2027'!$AK$7:$AK$506,0))&amp;"","")</f>
        <v/>
      </c>
      <c r="U238" s="15" t="str">
        <f>IFERROR(INDEX('Formulación PDN 2027'!$B$7:$B$506,MATCH(ROW()-5,'Formulación PDN 2027'!$AK$7:$AK$506,0))&amp;"","")</f>
        <v/>
      </c>
      <c r="V238" s="15" t="str">
        <f>IFERROR(LEFT(INDEX('Formulación PDN 2027'!$E$7:$E$506,MATCH(ROW()-5,'Formulación PDN 2027'!$AK$7:$AK$506,0)),7),"")</f>
        <v/>
      </c>
      <c r="W238" s="15" t="str">
        <f>IFERROR(INDEX('Formulación PDN 2027'!$H$7:$H$506,MATCH(ROW()-5,'Formulación PDN 2027'!$AK$7:$AK$506,0))&amp;"","")</f>
        <v/>
      </c>
      <c r="X238" s="15" t="str">
        <f>IFERROR(INDEX('Formulación PDN 2027'!$U$7:$U$506,MATCH(ROW()-5,'Formulación PDN 2027'!$AK$7:$AK$506,0))&amp;"","")</f>
        <v/>
      </c>
      <c r="Y238" s="15" t="str">
        <f>IFERROR(INDEX('Formulación PDN 2027'!$AH$7:$AH$506,MATCH(ROW()-5,'Formulación PDN 2027'!$AK$7:$AK$506,0))&amp;"","")</f>
        <v/>
      </c>
    </row>
    <row r="239" spans="1:25" x14ac:dyDescent="0.3">
      <c r="A239" s="15" t="str">
        <f>IFERROR(INDEX('Formulación PDN 2027'!$A$7:$A$506,MATCH(ROW()-5,'Formulación PDN 2027'!$AK$7:$AK$506,0))&amp;"","")</f>
        <v/>
      </c>
      <c r="B239" s="20" t="str">
        <f>IFERROR(INDEX('Formulación PDN 2027'!$M$7:$M$506,MATCH(ROW()-5,'Formulación PDN 2027'!$AK$7:$AK$506,0)),"")</f>
        <v/>
      </c>
      <c r="C239" s="15" t="str">
        <f>IFERROR(INDEX('Formulación PDN 2027'!$N$7:$N$506,MATCH(ROW()-5,'Formulación PDN 2027'!$AK$7:$AK$506,0))&amp;"","")</f>
        <v/>
      </c>
      <c r="D239" s="15" t="str">
        <f>IFERROR(INDEX('Formulación PDN 2027'!$L$7:$L$506,MATCH(ROW()-5,'Formulación PDN 2027'!$AK$7:$AK$506,0))&amp;"","")</f>
        <v/>
      </c>
      <c r="E239" s="15" t="str">
        <f>IFERROR(MATCH(INDEX('Formulación PDN 2027'!$O$7:$O$506,MATCH(ROW()-5,'Formulación PDN 2027'!$AK$7:$AK$506,0)),L_MESES,0),"")</f>
        <v/>
      </c>
      <c r="F239" s="15" t="str">
        <f>IFERROR(MATCH(INDEX('Formulación PDN 2027'!$P$7:$P$506,MATCH(ROW()-5,'Formulación PDN 2027'!$AK$7:$AK$506,0)),L_MESES,0),"")</f>
        <v/>
      </c>
      <c r="G239" s="15" t="str">
        <f>IFERROR(INDEX('Formulación PDN 2027'!$Q$7:$Q$506,MATCH(ROW()-5,'Formulación PDN 2027'!$AK$7:$AK$506,0)),"")</f>
        <v/>
      </c>
      <c r="H239" s="15" t="str">
        <f>IFERROR(INDEX('Formulación PDN 2027'!$R$7:$R$506,MATCH(ROW()-5,'Formulación PDN 2027'!$AK$7:$AK$506,0))&amp;"","")</f>
        <v/>
      </c>
      <c r="I239" s="15" t="str">
        <f>IFERROR(INDEX('Formulación PDN 2027'!$S$7:$S$506,MATCH(ROW()-5,'Formulación PDN 2027'!$AK$7:$AK$506,0))&amp;"","")</f>
        <v/>
      </c>
      <c r="J239" s="15" t="str">
        <f>IFERROR(INDEX('Formulación PDN 2027'!$T$7:$T$506,MATCH(ROW()-5,'Formulación PDN 2027'!$AK$7:$AK$506,0))&amp;"","")</f>
        <v/>
      </c>
      <c r="K239" s="43" t="str">
        <f>IFERROR(INDEX('Formulación PDN 2027'!$W$7:$W$506,MATCH(ROW()-5,'Formulación PDN 2027'!$AK$7:$AK$506,0)),"")</f>
        <v/>
      </c>
      <c r="L239" s="43" t="str">
        <f>IFERROR(INDEX('Formulación PDN 2027'!$X$7:$X$506,MATCH(ROW()-5,'Formulación PDN 2027'!$AK$7:$AK$506,0)),"")</f>
        <v/>
      </c>
      <c r="M239" s="15" t="str">
        <f>IFERROR(INDEX('Formulación PDN 2027'!$Y$7:$Y$506,MATCH(ROW()-5,'Formulación PDN 2027'!$AK$7:$AK$506,0))&amp;"","")</f>
        <v/>
      </c>
      <c r="N239" s="15" t="str">
        <f>IFERROR(INDEX('Formulación PDN 2027'!$Z$7:$Z$506,MATCH(ROW()-5,'Formulación PDN 2027'!$AK$7:$AK$506,0))&amp;"","")</f>
        <v/>
      </c>
      <c r="O239" s="15"/>
      <c r="P239" s="15" t="str">
        <f>IFERROR(INDEX('Formulación PDN 2027'!$AA$7:$AA$506,MATCH(ROW()-5,'Formulación PDN 2027'!$AK$7:$AK$506,0))&amp;"","")</f>
        <v/>
      </c>
      <c r="Q239" s="15" t="str">
        <f>IFERROR(INDEX('Formulación PDN 2027'!$AB$7:$AB$506,MATCH(ROW()-5,'Formulación PDN 2027'!$AK$7:$AK$506,0))&amp;"","")</f>
        <v/>
      </c>
      <c r="R239" s="15" t="str">
        <f>IFERROR(INDEX('Formulación PDN 2027'!$AD$7:$AD$506,MATCH(ROW()-5,'Formulación PDN 2027'!$AK$7:$AK$506,0))&amp;"","")</f>
        <v/>
      </c>
      <c r="S239" s="15" t="str">
        <f>IFERROR(INDEX('Formulación PDN 2027'!$AE$7:$AE$506,MATCH(ROW()-5,'Formulación PDN 2027'!$AK$7:$AK$506,0))&amp;"","")</f>
        <v/>
      </c>
      <c r="T239" s="15" t="str">
        <f>IFERROR(INDEX('Formulación PDN 2027'!$C$7:$C$506,MATCH(ROW()-5,'Formulación PDN 2027'!$AK$7:$AK$506,0))&amp;"","")</f>
        <v/>
      </c>
      <c r="U239" s="15" t="str">
        <f>IFERROR(INDEX('Formulación PDN 2027'!$B$7:$B$506,MATCH(ROW()-5,'Formulación PDN 2027'!$AK$7:$AK$506,0))&amp;"","")</f>
        <v/>
      </c>
      <c r="V239" s="15" t="str">
        <f>IFERROR(LEFT(INDEX('Formulación PDN 2027'!$E$7:$E$506,MATCH(ROW()-5,'Formulación PDN 2027'!$AK$7:$AK$506,0)),7),"")</f>
        <v/>
      </c>
      <c r="W239" s="15" t="str">
        <f>IFERROR(INDEX('Formulación PDN 2027'!$H$7:$H$506,MATCH(ROW()-5,'Formulación PDN 2027'!$AK$7:$AK$506,0))&amp;"","")</f>
        <v/>
      </c>
      <c r="X239" s="15" t="str">
        <f>IFERROR(INDEX('Formulación PDN 2027'!$U$7:$U$506,MATCH(ROW()-5,'Formulación PDN 2027'!$AK$7:$AK$506,0))&amp;"","")</f>
        <v/>
      </c>
      <c r="Y239" s="15" t="str">
        <f>IFERROR(INDEX('Formulación PDN 2027'!$AH$7:$AH$506,MATCH(ROW()-5,'Formulación PDN 2027'!$AK$7:$AK$506,0))&amp;"","")</f>
        <v/>
      </c>
    </row>
    <row r="240" spans="1:25" x14ac:dyDescent="0.3">
      <c r="A240" s="15" t="str">
        <f>IFERROR(INDEX('Formulación PDN 2027'!$A$7:$A$506,MATCH(ROW()-5,'Formulación PDN 2027'!$AK$7:$AK$506,0))&amp;"","")</f>
        <v/>
      </c>
      <c r="B240" s="20" t="str">
        <f>IFERROR(INDEX('Formulación PDN 2027'!$M$7:$M$506,MATCH(ROW()-5,'Formulación PDN 2027'!$AK$7:$AK$506,0)),"")</f>
        <v/>
      </c>
      <c r="C240" s="15" t="str">
        <f>IFERROR(INDEX('Formulación PDN 2027'!$N$7:$N$506,MATCH(ROW()-5,'Formulación PDN 2027'!$AK$7:$AK$506,0))&amp;"","")</f>
        <v/>
      </c>
      <c r="D240" s="15" t="str">
        <f>IFERROR(INDEX('Formulación PDN 2027'!$L$7:$L$506,MATCH(ROW()-5,'Formulación PDN 2027'!$AK$7:$AK$506,0))&amp;"","")</f>
        <v/>
      </c>
      <c r="E240" s="15" t="str">
        <f>IFERROR(MATCH(INDEX('Formulación PDN 2027'!$O$7:$O$506,MATCH(ROW()-5,'Formulación PDN 2027'!$AK$7:$AK$506,0)),L_MESES,0),"")</f>
        <v/>
      </c>
      <c r="F240" s="15" t="str">
        <f>IFERROR(MATCH(INDEX('Formulación PDN 2027'!$P$7:$P$506,MATCH(ROW()-5,'Formulación PDN 2027'!$AK$7:$AK$506,0)),L_MESES,0),"")</f>
        <v/>
      </c>
      <c r="G240" s="15" t="str">
        <f>IFERROR(INDEX('Formulación PDN 2027'!$Q$7:$Q$506,MATCH(ROW()-5,'Formulación PDN 2027'!$AK$7:$AK$506,0)),"")</f>
        <v/>
      </c>
      <c r="H240" s="15" t="str">
        <f>IFERROR(INDEX('Formulación PDN 2027'!$R$7:$R$506,MATCH(ROW()-5,'Formulación PDN 2027'!$AK$7:$AK$506,0))&amp;"","")</f>
        <v/>
      </c>
      <c r="I240" s="15" t="str">
        <f>IFERROR(INDEX('Formulación PDN 2027'!$S$7:$S$506,MATCH(ROW()-5,'Formulación PDN 2027'!$AK$7:$AK$506,0))&amp;"","")</f>
        <v/>
      </c>
      <c r="J240" s="15" t="str">
        <f>IFERROR(INDEX('Formulación PDN 2027'!$T$7:$T$506,MATCH(ROW()-5,'Formulación PDN 2027'!$AK$7:$AK$506,0))&amp;"","")</f>
        <v/>
      </c>
      <c r="K240" s="43" t="str">
        <f>IFERROR(INDEX('Formulación PDN 2027'!$W$7:$W$506,MATCH(ROW()-5,'Formulación PDN 2027'!$AK$7:$AK$506,0)),"")</f>
        <v/>
      </c>
      <c r="L240" s="43" t="str">
        <f>IFERROR(INDEX('Formulación PDN 2027'!$X$7:$X$506,MATCH(ROW()-5,'Formulación PDN 2027'!$AK$7:$AK$506,0)),"")</f>
        <v/>
      </c>
      <c r="M240" s="15" t="str">
        <f>IFERROR(INDEX('Formulación PDN 2027'!$Y$7:$Y$506,MATCH(ROW()-5,'Formulación PDN 2027'!$AK$7:$AK$506,0))&amp;"","")</f>
        <v/>
      </c>
      <c r="N240" s="15" t="str">
        <f>IFERROR(INDEX('Formulación PDN 2027'!$Z$7:$Z$506,MATCH(ROW()-5,'Formulación PDN 2027'!$AK$7:$AK$506,0))&amp;"","")</f>
        <v/>
      </c>
      <c r="O240" s="15"/>
      <c r="P240" s="15" t="str">
        <f>IFERROR(INDEX('Formulación PDN 2027'!$AA$7:$AA$506,MATCH(ROW()-5,'Formulación PDN 2027'!$AK$7:$AK$506,0))&amp;"","")</f>
        <v/>
      </c>
      <c r="Q240" s="15" t="str">
        <f>IFERROR(INDEX('Formulación PDN 2027'!$AB$7:$AB$506,MATCH(ROW()-5,'Formulación PDN 2027'!$AK$7:$AK$506,0))&amp;"","")</f>
        <v/>
      </c>
      <c r="R240" s="15" t="str">
        <f>IFERROR(INDEX('Formulación PDN 2027'!$AD$7:$AD$506,MATCH(ROW()-5,'Formulación PDN 2027'!$AK$7:$AK$506,0))&amp;"","")</f>
        <v/>
      </c>
      <c r="S240" s="15" t="str">
        <f>IFERROR(INDEX('Formulación PDN 2027'!$AE$7:$AE$506,MATCH(ROW()-5,'Formulación PDN 2027'!$AK$7:$AK$506,0))&amp;"","")</f>
        <v/>
      </c>
      <c r="T240" s="15" t="str">
        <f>IFERROR(INDEX('Formulación PDN 2027'!$C$7:$C$506,MATCH(ROW()-5,'Formulación PDN 2027'!$AK$7:$AK$506,0))&amp;"","")</f>
        <v/>
      </c>
      <c r="U240" s="15" t="str">
        <f>IFERROR(INDEX('Formulación PDN 2027'!$B$7:$B$506,MATCH(ROW()-5,'Formulación PDN 2027'!$AK$7:$AK$506,0))&amp;"","")</f>
        <v/>
      </c>
      <c r="V240" s="15" t="str">
        <f>IFERROR(LEFT(INDEX('Formulación PDN 2027'!$E$7:$E$506,MATCH(ROW()-5,'Formulación PDN 2027'!$AK$7:$AK$506,0)),7),"")</f>
        <v/>
      </c>
      <c r="W240" s="15" t="str">
        <f>IFERROR(INDEX('Formulación PDN 2027'!$H$7:$H$506,MATCH(ROW()-5,'Formulación PDN 2027'!$AK$7:$AK$506,0))&amp;"","")</f>
        <v/>
      </c>
      <c r="X240" s="15" t="str">
        <f>IFERROR(INDEX('Formulación PDN 2027'!$U$7:$U$506,MATCH(ROW()-5,'Formulación PDN 2027'!$AK$7:$AK$506,0))&amp;"","")</f>
        <v/>
      </c>
      <c r="Y240" s="15" t="str">
        <f>IFERROR(INDEX('Formulación PDN 2027'!$AH$7:$AH$506,MATCH(ROW()-5,'Formulación PDN 2027'!$AK$7:$AK$506,0))&amp;"","")</f>
        <v/>
      </c>
    </row>
    <row r="241" spans="1:25" x14ac:dyDescent="0.3">
      <c r="A241" s="15" t="str">
        <f>IFERROR(INDEX('Formulación PDN 2027'!$A$7:$A$506,MATCH(ROW()-5,'Formulación PDN 2027'!$AK$7:$AK$506,0))&amp;"","")</f>
        <v/>
      </c>
      <c r="B241" s="20" t="str">
        <f>IFERROR(INDEX('Formulación PDN 2027'!$M$7:$M$506,MATCH(ROW()-5,'Formulación PDN 2027'!$AK$7:$AK$506,0)),"")</f>
        <v/>
      </c>
      <c r="C241" s="15" t="str">
        <f>IFERROR(INDEX('Formulación PDN 2027'!$N$7:$N$506,MATCH(ROW()-5,'Formulación PDN 2027'!$AK$7:$AK$506,0))&amp;"","")</f>
        <v/>
      </c>
      <c r="D241" s="15" t="str">
        <f>IFERROR(INDEX('Formulación PDN 2027'!$L$7:$L$506,MATCH(ROW()-5,'Formulación PDN 2027'!$AK$7:$AK$506,0))&amp;"","")</f>
        <v/>
      </c>
      <c r="E241" s="15" t="str">
        <f>IFERROR(MATCH(INDEX('Formulación PDN 2027'!$O$7:$O$506,MATCH(ROW()-5,'Formulación PDN 2027'!$AK$7:$AK$506,0)),L_MESES,0),"")</f>
        <v/>
      </c>
      <c r="F241" s="15" t="str">
        <f>IFERROR(MATCH(INDEX('Formulación PDN 2027'!$P$7:$P$506,MATCH(ROW()-5,'Formulación PDN 2027'!$AK$7:$AK$506,0)),L_MESES,0),"")</f>
        <v/>
      </c>
      <c r="G241" s="15" t="str">
        <f>IFERROR(INDEX('Formulación PDN 2027'!$Q$7:$Q$506,MATCH(ROW()-5,'Formulación PDN 2027'!$AK$7:$AK$506,0)),"")</f>
        <v/>
      </c>
      <c r="H241" s="15" t="str">
        <f>IFERROR(INDEX('Formulación PDN 2027'!$R$7:$R$506,MATCH(ROW()-5,'Formulación PDN 2027'!$AK$7:$AK$506,0))&amp;"","")</f>
        <v/>
      </c>
      <c r="I241" s="15" t="str">
        <f>IFERROR(INDEX('Formulación PDN 2027'!$S$7:$S$506,MATCH(ROW()-5,'Formulación PDN 2027'!$AK$7:$AK$506,0))&amp;"","")</f>
        <v/>
      </c>
      <c r="J241" s="15" t="str">
        <f>IFERROR(INDEX('Formulación PDN 2027'!$T$7:$T$506,MATCH(ROW()-5,'Formulación PDN 2027'!$AK$7:$AK$506,0))&amp;"","")</f>
        <v/>
      </c>
      <c r="K241" s="43" t="str">
        <f>IFERROR(INDEX('Formulación PDN 2027'!$W$7:$W$506,MATCH(ROW()-5,'Formulación PDN 2027'!$AK$7:$AK$506,0)),"")</f>
        <v/>
      </c>
      <c r="L241" s="43" t="str">
        <f>IFERROR(INDEX('Formulación PDN 2027'!$X$7:$X$506,MATCH(ROW()-5,'Formulación PDN 2027'!$AK$7:$AK$506,0)),"")</f>
        <v/>
      </c>
      <c r="M241" s="15" t="str">
        <f>IFERROR(INDEX('Formulación PDN 2027'!$Y$7:$Y$506,MATCH(ROW()-5,'Formulación PDN 2027'!$AK$7:$AK$506,0))&amp;"","")</f>
        <v/>
      </c>
      <c r="N241" s="15" t="str">
        <f>IFERROR(INDEX('Formulación PDN 2027'!$Z$7:$Z$506,MATCH(ROW()-5,'Formulación PDN 2027'!$AK$7:$AK$506,0))&amp;"","")</f>
        <v/>
      </c>
      <c r="O241" s="15"/>
      <c r="P241" s="15" t="str">
        <f>IFERROR(INDEX('Formulación PDN 2027'!$AA$7:$AA$506,MATCH(ROW()-5,'Formulación PDN 2027'!$AK$7:$AK$506,0))&amp;"","")</f>
        <v/>
      </c>
      <c r="Q241" s="15" t="str">
        <f>IFERROR(INDEX('Formulación PDN 2027'!$AB$7:$AB$506,MATCH(ROW()-5,'Formulación PDN 2027'!$AK$7:$AK$506,0))&amp;"","")</f>
        <v/>
      </c>
      <c r="R241" s="15" t="str">
        <f>IFERROR(INDEX('Formulación PDN 2027'!$AD$7:$AD$506,MATCH(ROW()-5,'Formulación PDN 2027'!$AK$7:$AK$506,0))&amp;"","")</f>
        <v/>
      </c>
      <c r="S241" s="15" t="str">
        <f>IFERROR(INDEX('Formulación PDN 2027'!$AE$7:$AE$506,MATCH(ROW()-5,'Formulación PDN 2027'!$AK$7:$AK$506,0))&amp;"","")</f>
        <v/>
      </c>
      <c r="T241" s="15" t="str">
        <f>IFERROR(INDEX('Formulación PDN 2027'!$C$7:$C$506,MATCH(ROW()-5,'Formulación PDN 2027'!$AK$7:$AK$506,0))&amp;"","")</f>
        <v/>
      </c>
      <c r="U241" s="15" t="str">
        <f>IFERROR(INDEX('Formulación PDN 2027'!$B$7:$B$506,MATCH(ROW()-5,'Formulación PDN 2027'!$AK$7:$AK$506,0))&amp;"","")</f>
        <v/>
      </c>
      <c r="V241" s="15" t="str">
        <f>IFERROR(LEFT(INDEX('Formulación PDN 2027'!$E$7:$E$506,MATCH(ROW()-5,'Formulación PDN 2027'!$AK$7:$AK$506,0)),7),"")</f>
        <v/>
      </c>
      <c r="W241" s="15" t="str">
        <f>IFERROR(INDEX('Formulación PDN 2027'!$H$7:$H$506,MATCH(ROW()-5,'Formulación PDN 2027'!$AK$7:$AK$506,0))&amp;"","")</f>
        <v/>
      </c>
      <c r="X241" s="15" t="str">
        <f>IFERROR(INDEX('Formulación PDN 2027'!$U$7:$U$506,MATCH(ROW()-5,'Formulación PDN 2027'!$AK$7:$AK$506,0))&amp;"","")</f>
        <v/>
      </c>
      <c r="Y241" s="15" t="str">
        <f>IFERROR(INDEX('Formulación PDN 2027'!$AH$7:$AH$506,MATCH(ROW()-5,'Formulación PDN 2027'!$AK$7:$AK$506,0))&amp;"","")</f>
        <v/>
      </c>
    </row>
    <row r="242" spans="1:25" x14ac:dyDescent="0.3">
      <c r="A242" s="15" t="str">
        <f>IFERROR(INDEX('Formulación PDN 2027'!$A$7:$A$506,MATCH(ROW()-5,'Formulación PDN 2027'!$AK$7:$AK$506,0))&amp;"","")</f>
        <v/>
      </c>
      <c r="B242" s="20" t="str">
        <f>IFERROR(INDEX('Formulación PDN 2027'!$M$7:$M$506,MATCH(ROW()-5,'Formulación PDN 2027'!$AK$7:$AK$506,0)),"")</f>
        <v/>
      </c>
      <c r="C242" s="15" t="str">
        <f>IFERROR(INDEX('Formulación PDN 2027'!$N$7:$N$506,MATCH(ROW()-5,'Formulación PDN 2027'!$AK$7:$AK$506,0))&amp;"","")</f>
        <v/>
      </c>
      <c r="D242" s="15" t="str">
        <f>IFERROR(INDEX('Formulación PDN 2027'!$L$7:$L$506,MATCH(ROW()-5,'Formulación PDN 2027'!$AK$7:$AK$506,0))&amp;"","")</f>
        <v/>
      </c>
      <c r="E242" s="15" t="str">
        <f>IFERROR(MATCH(INDEX('Formulación PDN 2027'!$O$7:$O$506,MATCH(ROW()-5,'Formulación PDN 2027'!$AK$7:$AK$506,0)),L_MESES,0),"")</f>
        <v/>
      </c>
      <c r="F242" s="15" t="str">
        <f>IFERROR(MATCH(INDEX('Formulación PDN 2027'!$P$7:$P$506,MATCH(ROW()-5,'Formulación PDN 2027'!$AK$7:$AK$506,0)),L_MESES,0),"")</f>
        <v/>
      </c>
      <c r="G242" s="15" t="str">
        <f>IFERROR(INDEX('Formulación PDN 2027'!$Q$7:$Q$506,MATCH(ROW()-5,'Formulación PDN 2027'!$AK$7:$AK$506,0)),"")</f>
        <v/>
      </c>
      <c r="H242" s="15" t="str">
        <f>IFERROR(INDEX('Formulación PDN 2027'!$R$7:$R$506,MATCH(ROW()-5,'Formulación PDN 2027'!$AK$7:$AK$506,0))&amp;"","")</f>
        <v/>
      </c>
      <c r="I242" s="15" t="str">
        <f>IFERROR(INDEX('Formulación PDN 2027'!$S$7:$S$506,MATCH(ROW()-5,'Formulación PDN 2027'!$AK$7:$AK$506,0))&amp;"","")</f>
        <v/>
      </c>
      <c r="J242" s="15" t="str">
        <f>IFERROR(INDEX('Formulación PDN 2027'!$T$7:$T$506,MATCH(ROW()-5,'Formulación PDN 2027'!$AK$7:$AK$506,0))&amp;"","")</f>
        <v/>
      </c>
      <c r="K242" s="43" t="str">
        <f>IFERROR(INDEX('Formulación PDN 2027'!$W$7:$W$506,MATCH(ROW()-5,'Formulación PDN 2027'!$AK$7:$AK$506,0)),"")</f>
        <v/>
      </c>
      <c r="L242" s="43" t="str">
        <f>IFERROR(INDEX('Formulación PDN 2027'!$X$7:$X$506,MATCH(ROW()-5,'Formulación PDN 2027'!$AK$7:$AK$506,0)),"")</f>
        <v/>
      </c>
      <c r="M242" s="15" t="str">
        <f>IFERROR(INDEX('Formulación PDN 2027'!$Y$7:$Y$506,MATCH(ROW()-5,'Formulación PDN 2027'!$AK$7:$AK$506,0))&amp;"","")</f>
        <v/>
      </c>
      <c r="N242" s="15" t="str">
        <f>IFERROR(INDEX('Formulación PDN 2027'!$Z$7:$Z$506,MATCH(ROW()-5,'Formulación PDN 2027'!$AK$7:$AK$506,0))&amp;"","")</f>
        <v/>
      </c>
      <c r="O242" s="15"/>
      <c r="P242" s="15" t="str">
        <f>IFERROR(INDEX('Formulación PDN 2027'!$AA$7:$AA$506,MATCH(ROW()-5,'Formulación PDN 2027'!$AK$7:$AK$506,0))&amp;"","")</f>
        <v/>
      </c>
      <c r="Q242" s="15" t="str">
        <f>IFERROR(INDEX('Formulación PDN 2027'!$AB$7:$AB$506,MATCH(ROW()-5,'Formulación PDN 2027'!$AK$7:$AK$506,0))&amp;"","")</f>
        <v/>
      </c>
      <c r="R242" s="15" t="str">
        <f>IFERROR(INDEX('Formulación PDN 2027'!$AD$7:$AD$506,MATCH(ROW()-5,'Formulación PDN 2027'!$AK$7:$AK$506,0))&amp;"","")</f>
        <v/>
      </c>
      <c r="S242" s="15" t="str">
        <f>IFERROR(INDEX('Formulación PDN 2027'!$AE$7:$AE$506,MATCH(ROW()-5,'Formulación PDN 2027'!$AK$7:$AK$506,0))&amp;"","")</f>
        <v/>
      </c>
      <c r="T242" s="15" t="str">
        <f>IFERROR(INDEX('Formulación PDN 2027'!$C$7:$C$506,MATCH(ROW()-5,'Formulación PDN 2027'!$AK$7:$AK$506,0))&amp;"","")</f>
        <v/>
      </c>
      <c r="U242" s="15" t="str">
        <f>IFERROR(INDEX('Formulación PDN 2027'!$B$7:$B$506,MATCH(ROW()-5,'Formulación PDN 2027'!$AK$7:$AK$506,0))&amp;"","")</f>
        <v/>
      </c>
      <c r="V242" s="15" t="str">
        <f>IFERROR(LEFT(INDEX('Formulación PDN 2027'!$E$7:$E$506,MATCH(ROW()-5,'Formulación PDN 2027'!$AK$7:$AK$506,0)),7),"")</f>
        <v/>
      </c>
      <c r="W242" s="15" t="str">
        <f>IFERROR(INDEX('Formulación PDN 2027'!$H$7:$H$506,MATCH(ROW()-5,'Formulación PDN 2027'!$AK$7:$AK$506,0))&amp;"","")</f>
        <v/>
      </c>
      <c r="X242" s="15" t="str">
        <f>IFERROR(INDEX('Formulación PDN 2027'!$U$7:$U$506,MATCH(ROW()-5,'Formulación PDN 2027'!$AK$7:$AK$506,0))&amp;"","")</f>
        <v/>
      </c>
      <c r="Y242" s="15" t="str">
        <f>IFERROR(INDEX('Formulación PDN 2027'!$AH$7:$AH$506,MATCH(ROW()-5,'Formulación PDN 2027'!$AK$7:$AK$506,0))&amp;"","")</f>
        <v/>
      </c>
    </row>
    <row r="243" spans="1:25" x14ac:dyDescent="0.3">
      <c r="A243" s="15" t="str">
        <f>IFERROR(INDEX('Formulación PDN 2027'!$A$7:$A$506,MATCH(ROW()-5,'Formulación PDN 2027'!$AK$7:$AK$506,0))&amp;"","")</f>
        <v/>
      </c>
      <c r="B243" s="20" t="str">
        <f>IFERROR(INDEX('Formulación PDN 2027'!$M$7:$M$506,MATCH(ROW()-5,'Formulación PDN 2027'!$AK$7:$AK$506,0)),"")</f>
        <v/>
      </c>
      <c r="C243" s="15" t="str">
        <f>IFERROR(INDEX('Formulación PDN 2027'!$N$7:$N$506,MATCH(ROW()-5,'Formulación PDN 2027'!$AK$7:$AK$506,0))&amp;"","")</f>
        <v/>
      </c>
      <c r="D243" s="15" t="str">
        <f>IFERROR(INDEX('Formulación PDN 2027'!$L$7:$L$506,MATCH(ROW()-5,'Formulación PDN 2027'!$AK$7:$AK$506,0))&amp;"","")</f>
        <v/>
      </c>
      <c r="E243" s="15" t="str">
        <f>IFERROR(MATCH(INDEX('Formulación PDN 2027'!$O$7:$O$506,MATCH(ROW()-5,'Formulación PDN 2027'!$AK$7:$AK$506,0)),L_MESES,0),"")</f>
        <v/>
      </c>
      <c r="F243" s="15" t="str">
        <f>IFERROR(MATCH(INDEX('Formulación PDN 2027'!$P$7:$P$506,MATCH(ROW()-5,'Formulación PDN 2027'!$AK$7:$AK$506,0)),L_MESES,0),"")</f>
        <v/>
      </c>
      <c r="G243" s="15" t="str">
        <f>IFERROR(INDEX('Formulación PDN 2027'!$Q$7:$Q$506,MATCH(ROW()-5,'Formulación PDN 2027'!$AK$7:$AK$506,0)),"")</f>
        <v/>
      </c>
      <c r="H243" s="15" t="str">
        <f>IFERROR(INDEX('Formulación PDN 2027'!$R$7:$R$506,MATCH(ROW()-5,'Formulación PDN 2027'!$AK$7:$AK$506,0))&amp;"","")</f>
        <v/>
      </c>
      <c r="I243" s="15" t="str">
        <f>IFERROR(INDEX('Formulación PDN 2027'!$S$7:$S$506,MATCH(ROW()-5,'Formulación PDN 2027'!$AK$7:$AK$506,0))&amp;"","")</f>
        <v/>
      </c>
      <c r="J243" s="15" t="str">
        <f>IFERROR(INDEX('Formulación PDN 2027'!$T$7:$T$506,MATCH(ROW()-5,'Formulación PDN 2027'!$AK$7:$AK$506,0))&amp;"","")</f>
        <v/>
      </c>
      <c r="K243" s="43" t="str">
        <f>IFERROR(INDEX('Formulación PDN 2027'!$W$7:$W$506,MATCH(ROW()-5,'Formulación PDN 2027'!$AK$7:$AK$506,0)),"")</f>
        <v/>
      </c>
      <c r="L243" s="43" t="str">
        <f>IFERROR(INDEX('Formulación PDN 2027'!$X$7:$X$506,MATCH(ROW()-5,'Formulación PDN 2027'!$AK$7:$AK$506,0)),"")</f>
        <v/>
      </c>
      <c r="M243" s="15" t="str">
        <f>IFERROR(INDEX('Formulación PDN 2027'!$Y$7:$Y$506,MATCH(ROW()-5,'Formulación PDN 2027'!$AK$7:$AK$506,0))&amp;"","")</f>
        <v/>
      </c>
      <c r="N243" s="15" t="str">
        <f>IFERROR(INDEX('Formulación PDN 2027'!$Z$7:$Z$506,MATCH(ROW()-5,'Formulación PDN 2027'!$AK$7:$AK$506,0))&amp;"","")</f>
        <v/>
      </c>
      <c r="O243" s="15"/>
      <c r="P243" s="15" t="str">
        <f>IFERROR(INDEX('Formulación PDN 2027'!$AA$7:$AA$506,MATCH(ROW()-5,'Formulación PDN 2027'!$AK$7:$AK$506,0))&amp;"","")</f>
        <v/>
      </c>
      <c r="Q243" s="15" t="str">
        <f>IFERROR(INDEX('Formulación PDN 2027'!$AB$7:$AB$506,MATCH(ROW()-5,'Formulación PDN 2027'!$AK$7:$AK$506,0))&amp;"","")</f>
        <v/>
      </c>
      <c r="R243" s="15" t="str">
        <f>IFERROR(INDEX('Formulación PDN 2027'!$AD$7:$AD$506,MATCH(ROW()-5,'Formulación PDN 2027'!$AK$7:$AK$506,0))&amp;"","")</f>
        <v/>
      </c>
      <c r="S243" s="15" t="str">
        <f>IFERROR(INDEX('Formulación PDN 2027'!$AE$7:$AE$506,MATCH(ROW()-5,'Formulación PDN 2027'!$AK$7:$AK$506,0))&amp;"","")</f>
        <v/>
      </c>
      <c r="T243" s="15" t="str">
        <f>IFERROR(INDEX('Formulación PDN 2027'!$C$7:$C$506,MATCH(ROW()-5,'Formulación PDN 2027'!$AK$7:$AK$506,0))&amp;"","")</f>
        <v/>
      </c>
      <c r="U243" s="15" t="str">
        <f>IFERROR(INDEX('Formulación PDN 2027'!$B$7:$B$506,MATCH(ROW()-5,'Formulación PDN 2027'!$AK$7:$AK$506,0))&amp;"","")</f>
        <v/>
      </c>
      <c r="V243" s="15" t="str">
        <f>IFERROR(LEFT(INDEX('Formulación PDN 2027'!$E$7:$E$506,MATCH(ROW()-5,'Formulación PDN 2027'!$AK$7:$AK$506,0)),7),"")</f>
        <v/>
      </c>
      <c r="W243" s="15" t="str">
        <f>IFERROR(INDEX('Formulación PDN 2027'!$H$7:$H$506,MATCH(ROW()-5,'Formulación PDN 2027'!$AK$7:$AK$506,0))&amp;"","")</f>
        <v/>
      </c>
      <c r="X243" s="15" t="str">
        <f>IFERROR(INDEX('Formulación PDN 2027'!$U$7:$U$506,MATCH(ROW()-5,'Formulación PDN 2027'!$AK$7:$AK$506,0))&amp;"","")</f>
        <v/>
      </c>
      <c r="Y243" s="15" t="str">
        <f>IFERROR(INDEX('Formulación PDN 2027'!$AH$7:$AH$506,MATCH(ROW()-5,'Formulación PDN 2027'!$AK$7:$AK$506,0))&amp;"","")</f>
        <v/>
      </c>
    </row>
    <row r="244" spans="1:25" x14ac:dyDescent="0.3">
      <c r="A244" s="15" t="str">
        <f>IFERROR(INDEX('Formulación PDN 2027'!$A$7:$A$506,MATCH(ROW()-5,'Formulación PDN 2027'!$AK$7:$AK$506,0))&amp;"","")</f>
        <v/>
      </c>
      <c r="B244" s="20" t="str">
        <f>IFERROR(INDEX('Formulación PDN 2027'!$M$7:$M$506,MATCH(ROW()-5,'Formulación PDN 2027'!$AK$7:$AK$506,0)),"")</f>
        <v/>
      </c>
      <c r="C244" s="15" t="str">
        <f>IFERROR(INDEX('Formulación PDN 2027'!$N$7:$N$506,MATCH(ROW()-5,'Formulación PDN 2027'!$AK$7:$AK$506,0))&amp;"","")</f>
        <v/>
      </c>
      <c r="D244" s="15" t="str">
        <f>IFERROR(INDEX('Formulación PDN 2027'!$L$7:$L$506,MATCH(ROW()-5,'Formulación PDN 2027'!$AK$7:$AK$506,0))&amp;"","")</f>
        <v/>
      </c>
      <c r="E244" s="15" t="str">
        <f>IFERROR(MATCH(INDEX('Formulación PDN 2027'!$O$7:$O$506,MATCH(ROW()-5,'Formulación PDN 2027'!$AK$7:$AK$506,0)),L_MESES,0),"")</f>
        <v/>
      </c>
      <c r="F244" s="15" t="str">
        <f>IFERROR(MATCH(INDEX('Formulación PDN 2027'!$P$7:$P$506,MATCH(ROW()-5,'Formulación PDN 2027'!$AK$7:$AK$506,0)),L_MESES,0),"")</f>
        <v/>
      </c>
      <c r="G244" s="15" t="str">
        <f>IFERROR(INDEX('Formulación PDN 2027'!$Q$7:$Q$506,MATCH(ROW()-5,'Formulación PDN 2027'!$AK$7:$AK$506,0)),"")</f>
        <v/>
      </c>
      <c r="H244" s="15" t="str">
        <f>IFERROR(INDEX('Formulación PDN 2027'!$R$7:$R$506,MATCH(ROW()-5,'Formulación PDN 2027'!$AK$7:$AK$506,0))&amp;"","")</f>
        <v/>
      </c>
      <c r="I244" s="15" t="str">
        <f>IFERROR(INDEX('Formulación PDN 2027'!$S$7:$S$506,MATCH(ROW()-5,'Formulación PDN 2027'!$AK$7:$AK$506,0))&amp;"","")</f>
        <v/>
      </c>
      <c r="J244" s="15" t="str">
        <f>IFERROR(INDEX('Formulación PDN 2027'!$T$7:$T$506,MATCH(ROW()-5,'Formulación PDN 2027'!$AK$7:$AK$506,0))&amp;"","")</f>
        <v/>
      </c>
      <c r="K244" s="43" t="str">
        <f>IFERROR(INDEX('Formulación PDN 2027'!$W$7:$W$506,MATCH(ROW()-5,'Formulación PDN 2027'!$AK$7:$AK$506,0)),"")</f>
        <v/>
      </c>
      <c r="L244" s="43" t="str">
        <f>IFERROR(INDEX('Formulación PDN 2027'!$X$7:$X$506,MATCH(ROW()-5,'Formulación PDN 2027'!$AK$7:$AK$506,0)),"")</f>
        <v/>
      </c>
      <c r="M244" s="15" t="str">
        <f>IFERROR(INDEX('Formulación PDN 2027'!$Y$7:$Y$506,MATCH(ROW()-5,'Formulación PDN 2027'!$AK$7:$AK$506,0))&amp;"","")</f>
        <v/>
      </c>
      <c r="N244" s="15" t="str">
        <f>IFERROR(INDEX('Formulación PDN 2027'!$Z$7:$Z$506,MATCH(ROW()-5,'Formulación PDN 2027'!$AK$7:$AK$506,0))&amp;"","")</f>
        <v/>
      </c>
      <c r="O244" s="15"/>
      <c r="P244" s="15" t="str">
        <f>IFERROR(INDEX('Formulación PDN 2027'!$AA$7:$AA$506,MATCH(ROW()-5,'Formulación PDN 2027'!$AK$7:$AK$506,0))&amp;"","")</f>
        <v/>
      </c>
      <c r="Q244" s="15" t="str">
        <f>IFERROR(INDEX('Formulación PDN 2027'!$AB$7:$AB$506,MATCH(ROW()-5,'Formulación PDN 2027'!$AK$7:$AK$506,0))&amp;"","")</f>
        <v/>
      </c>
      <c r="R244" s="15" t="str">
        <f>IFERROR(INDEX('Formulación PDN 2027'!$AD$7:$AD$506,MATCH(ROW()-5,'Formulación PDN 2027'!$AK$7:$AK$506,0))&amp;"","")</f>
        <v/>
      </c>
      <c r="S244" s="15" t="str">
        <f>IFERROR(INDEX('Formulación PDN 2027'!$AE$7:$AE$506,MATCH(ROW()-5,'Formulación PDN 2027'!$AK$7:$AK$506,0))&amp;"","")</f>
        <v/>
      </c>
      <c r="T244" s="15" t="str">
        <f>IFERROR(INDEX('Formulación PDN 2027'!$C$7:$C$506,MATCH(ROW()-5,'Formulación PDN 2027'!$AK$7:$AK$506,0))&amp;"","")</f>
        <v/>
      </c>
      <c r="U244" s="15" t="str">
        <f>IFERROR(INDEX('Formulación PDN 2027'!$B$7:$B$506,MATCH(ROW()-5,'Formulación PDN 2027'!$AK$7:$AK$506,0))&amp;"","")</f>
        <v/>
      </c>
      <c r="V244" s="15" t="str">
        <f>IFERROR(LEFT(INDEX('Formulación PDN 2027'!$E$7:$E$506,MATCH(ROW()-5,'Formulación PDN 2027'!$AK$7:$AK$506,0)),7),"")</f>
        <v/>
      </c>
      <c r="W244" s="15" t="str">
        <f>IFERROR(INDEX('Formulación PDN 2027'!$H$7:$H$506,MATCH(ROW()-5,'Formulación PDN 2027'!$AK$7:$AK$506,0))&amp;"","")</f>
        <v/>
      </c>
      <c r="X244" s="15" t="str">
        <f>IFERROR(INDEX('Formulación PDN 2027'!$U$7:$U$506,MATCH(ROW()-5,'Formulación PDN 2027'!$AK$7:$AK$506,0))&amp;"","")</f>
        <v/>
      </c>
      <c r="Y244" s="15" t="str">
        <f>IFERROR(INDEX('Formulación PDN 2027'!$AH$7:$AH$506,MATCH(ROW()-5,'Formulación PDN 2027'!$AK$7:$AK$506,0))&amp;"","")</f>
        <v/>
      </c>
    </row>
    <row r="245" spans="1:25" x14ac:dyDescent="0.3">
      <c r="A245" s="15" t="str">
        <f>IFERROR(INDEX('Formulación PDN 2027'!$A$7:$A$506,MATCH(ROW()-5,'Formulación PDN 2027'!$AK$7:$AK$506,0))&amp;"","")</f>
        <v/>
      </c>
      <c r="B245" s="20" t="str">
        <f>IFERROR(INDEX('Formulación PDN 2027'!$M$7:$M$506,MATCH(ROW()-5,'Formulación PDN 2027'!$AK$7:$AK$506,0)),"")</f>
        <v/>
      </c>
      <c r="C245" s="15" t="str">
        <f>IFERROR(INDEX('Formulación PDN 2027'!$N$7:$N$506,MATCH(ROW()-5,'Formulación PDN 2027'!$AK$7:$AK$506,0))&amp;"","")</f>
        <v/>
      </c>
      <c r="D245" s="15" t="str">
        <f>IFERROR(INDEX('Formulación PDN 2027'!$L$7:$L$506,MATCH(ROW()-5,'Formulación PDN 2027'!$AK$7:$AK$506,0))&amp;"","")</f>
        <v/>
      </c>
      <c r="E245" s="15" t="str">
        <f>IFERROR(MATCH(INDEX('Formulación PDN 2027'!$O$7:$O$506,MATCH(ROW()-5,'Formulación PDN 2027'!$AK$7:$AK$506,0)),L_MESES,0),"")</f>
        <v/>
      </c>
      <c r="F245" s="15" t="str">
        <f>IFERROR(MATCH(INDEX('Formulación PDN 2027'!$P$7:$P$506,MATCH(ROW()-5,'Formulación PDN 2027'!$AK$7:$AK$506,0)),L_MESES,0),"")</f>
        <v/>
      </c>
      <c r="G245" s="15" t="str">
        <f>IFERROR(INDEX('Formulación PDN 2027'!$Q$7:$Q$506,MATCH(ROW()-5,'Formulación PDN 2027'!$AK$7:$AK$506,0)),"")</f>
        <v/>
      </c>
      <c r="H245" s="15" t="str">
        <f>IFERROR(INDEX('Formulación PDN 2027'!$R$7:$R$506,MATCH(ROW()-5,'Formulación PDN 2027'!$AK$7:$AK$506,0))&amp;"","")</f>
        <v/>
      </c>
      <c r="I245" s="15" t="str">
        <f>IFERROR(INDEX('Formulación PDN 2027'!$S$7:$S$506,MATCH(ROW()-5,'Formulación PDN 2027'!$AK$7:$AK$506,0))&amp;"","")</f>
        <v/>
      </c>
      <c r="J245" s="15" t="str">
        <f>IFERROR(INDEX('Formulación PDN 2027'!$T$7:$T$506,MATCH(ROW()-5,'Formulación PDN 2027'!$AK$7:$AK$506,0))&amp;"","")</f>
        <v/>
      </c>
      <c r="K245" s="43" t="str">
        <f>IFERROR(INDEX('Formulación PDN 2027'!$W$7:$W$506,MATCH(ROW()-5,'Formulación PDN 2027'!$AK$7:$AK$506,0)),"")</f>
        <v/>
      </c>
      <c r="L245" s="43" t="str">
        <f>IFERROR(INDEX('Formulación PDN 2027'!$X$7:$X$506,MATCH(ROW()-5,'Formulación PDN 2027'!$AK$7:$AK$506,0)),"")</f>
        <v/>
      </c>
      <c r="M245" s="15" t="str">
        <f>IFERROR(INDEX('Formulación PDN 2027'!$Y$7:$Y$506,MATCH(ROW()-5,'Formulación PDN 2027'!$AK$7:$AK$506,0))&amp;"","")</f>
        <v/>
      </c>
      <c r="N245" s="15" t="str">
        <f>IFERROR(INDEX('Formulación PDN 2027'!$Z$7:$Z$506,MATCH(ROW()-5,'Formulación PDN 2027'!$AK$7:$AK$506,0))&amp;"","")</f>
        <v/>
      </c>
      <c r="O245" s="15"/>
      <c r="P245" s="15" t="str">
        <f>IFERROR(INDEX('Formulación PDN 2027'!$AA$7:$AA$506,MATCH(ROW()-5,'Formulación PDN 2027'!$AK$7:$AK$506,0))&amp;"","")</f>
        <v/>
      </c>
      <c r="Q245" s="15" t="str">
        <f>IFERROR(INDEX('Formulación PDN 2027'!$AB$7:$AB$506,MATCH(ROW()-5,'Formulación PDN 2027'!$AK$7:$AK$506,0))&amp;"","")</f>
        <v/>
      </c>
      <c r="R245" s="15" t="str">
        <f>IFERROR(INDEX('Formulación PDN 2027'!$AD$7:$AD$506,MATCH(ROW()-5,'Formulación PDN 2027'!$AK$7:$AK$506,0))&amp;"","")</f>
        <v/>
      </c>
      <c r="S245" s="15" t="str">
        <f>IFERROR(INDEX('Formulación PDN 2027'!$AE$7:$AE$506,MATCH(ROW()-5,'Formulación PDN 2027'!$AK$7:$AK$506,0))&amp;"","")</f>
        <v/>
      </c>
      <c r="T245" s="15" t="str">
        <f>IFERROR(INDEX('Formulación PDN 2027'!$C$7:$C$506,MATCH(ROW()-5,'Formulación PDN 2027'!$AK$7:$AK$506,0))&amp;"","")</f>
        <v/>
      </c>
      <c r="U245" s="15" t="str">
        <f>IFERROR(INDEX('Formulación PDN 2027'!$B$7:$B$506,MATCH(ROW()-5,'Formulación PDN 2027'!$AK$7:$AK$506,0))&amp;"","")</f>
        <v/>
      </c>
      <c r="V245" s="15" t="str">
        <f>IFERROR(LEFT(INDEX('Formulación PDN 2027'!$E$7:$E$506,MATCH(ROW()-5,'Formulación PDN 2027'!$AK$7:$AK$506,0)),7),"")</f>
        <v/>
      </c>
      <c r="W245" s="15" t="str">
        <f>IFERROR(INDEX('Formulación PDN 2027'!$H$7:$H$506,MATCH(ROW()-5,'Formulación PDN 2027'!$AK$7:$AK$506,0))&amp;"","")</f>
        <v/>
      </c>
      <c r="X245" s="15" t="str">
        <f>IFERROR(INDEX('Formulación PDN 2027'!$U$7:$U$506,MATCH(ROW()-5,'Formulación PDN 2027'!$AK$7:$AK$506,0))&amp;"","")</f>
        <v/>
      </c>
      <c r="Y245" s="15" t="str">
        <f>IFERROR(INDEX('Formulación PDN 2027'!$AH$7:$AH$506,MATCH(ROW()-5,'Formulación PDN 2027'!$AK$7:$AK$506,0))&amp;"","")</f>
        <v/>
      </c>
    </row>
    <row r="246" spans="1:25" x14ac:dyDescent="0.3">
      <c r="A246" s="15" t="str">
        <f>IFERROR(INDEX('Formulación PDN 2027'!$A$7:$A$506,MATCH(ROW()-5,'Formulación PDN 2027'!$AK$7:$AK$506,0))&amp;"","")</f>
        <v/>
      </c>
      <c r="B246" s="20" t="str">
        <f>IFERROR(INDEX('Formulación PDN 2027'!$M$7:$M$506,MATCH(ROW()-5,'Formulación PDN 2027'!$AK$7:$AK$506,0)),"")</f>
        <v/>
      </c>
      <c r="C246" s="15" t="str">
        <f>IFERROR(INDEX('Formulación PDN 2027'!$N$7:$N$506,MATCH(ROW()-5,'Formulación PDN 2027'!$AK$7:$AK$506,0))&amp;"","")</f>
        <v/>
      </c>
      <c r="D246" s="15" t="str">
        <f>IFERROR(INDEX('Formulación PDN 2027'!$L$7:$L$506,MATCH(ROW()-5,'Formulación PDN 2027'!$AK$7:$AK$506,0))&amp;"","")</f>
        <v/>
      </c>
      <c r="E246" s="15" t="str">
        <f>IFERROR(MATCH(INDEX('Formulación PDN 2027'!$O$7:$O$506,MATCH(ROW()-5,'Formulación PDN 2027'!$AK$7:$AK$506,0)),L_MESES,0),"")</f>
        <v/>
      </c>
      <c r="F246" s="15" t="str">
        <f>IFERROR(MATCH(INDEX('Formulación PDN 2027'!$P$7:$P$506,MATCH(ROW()-5,'Formulación PDN 2027'!$AK$7:$AK$506,0)),L_MESES,0),"")</f>
        <v/>
      </c>
      <c r="G246" s="15" t="str">
        <f>IFERROR(INDEX('Formulación PDN 2027'!$Q$7:$Q$506,MATCH(ROW()-5,'Formulación PDN 2027'!$AK$7:$AK$506,0)),"")</f>
        <v/>
      </c>
      <c r="H246" s="15" t="str">
        <f>IFERROR(INDEX('Formulación PDN 2027'!$R$7:$R$506,MATCH(ROW()-5,'Formulación PDN 2027'!$AK$7:$AK$506,0))&amp;"","")</f>
        <v/>
      </c>
      <c r="I246" s="15" t="str">
        <f>IFERROR(INDEX('Formulación PDN 2027'!$S$7:$S$506,MATCH(ROW()-5,'Formulación PDN 2027'!$AK$7:$AK$506,0))&amp;"","")</f>
        <v/>
      </c>
      <c r="J246" s="15" t="str">
        <f>IFERROR(INDEX('Formulación PDN 2027'!$T$7:$T$506,MATCH(ROW()-5,'Formulación PDN 2027'!$AK$7:$AK$506,0))&amp;"","")</f>
        <v/>
      </c>
      <c r="K246" s="43" t="str">
        <f>IFERROR(INDEX('Formulación PDN 2027'!$W$7:$W$506,MATCH(ROW()-5,'Formulación PDN 2027'!$AK$7:$AK$506,0)),"")</f>
        <v/>
      </c>
      <c r="L246" s="43" t="str">
        <f>IFERROR(INDEX('Formulación PDN 2027'!$X$7:$X$506,MATCH(ROW()-5,'Formulación PDN 2027'!$AK$7:$AK$506,0)),"")</f>
        <v/>
      </c>
      <c r="M246" s="15" t="str">
        <f>IFERROR(INDEX('Formulación PDN 2027'!$Y$7:$Y$506,MATCH(ROW()-5,'Formulación PDN 2027'!$AK$7:$AK$506,0))&amp;"","")</f>
        <v/>
      </c>
      <c r="N246" s="15" t="str">
        <f>IFERROR(INDEX('Formulación PDN 2027'!$Z$7:$Z$506,MATCH(ROW()-5,'Formulación PDN 2027'!$AK$7:$AK$506,0))&amp;"","")</f>
        <v/>
      </c>
      <c r="O246" s="15"/>
      <c r="P246" s="15" t="str">
        <f>IFERROR(INDEX('Formulación PDN 2027'!$AA$7:$AA$506,MATCH(ROW()-5,'Formulación PDN 2027'!$AK$7:$AK$506,0))&amp;"","")</f>
        <v/>
      </c>
      <c r="Q246" s="15" t="str">
        <f>IFERROR(INDEX('Formulación PDN 2027'!$AB$7:$AB$506,MATCH(ROW()-5,'Formulación PDN 2027'!$AK$7:$AK$506,0))&amp;"","")</f>
        <v/>
      </c>
      <c r="R246" s="15" t="str">
        <f>IFERROR(INDEX('Formulación PDN 2027'!$AD$7:$AD$506,MATCH(ROW()-5,'Formulación PDN 2027'!$AK$7:$AK$506,0))&amp;"","")</f>
        <v/>
      </c>
      <c r="S246" s="15" t="str">
        <f>IFERROR(INDEX('Formulación PDN 2027'!$AE$7:$AE$506,MATCH(ROW()-5,'Formulación PDN 2027'!$AK$7:$AK$506,0))&amp;"","")</f>
        <v/>
      </c>
      <c r="T246" s="15" t="str">
        <f>IFERROR(INDEX('Formulación PDN 2027'!$C$7:$C$506,MATCH(ROW()-5,'Formulación PDN 2027'!$AK$7:$AK$506,0))&amp;"","")</f>
        <v/>
      </c>
      <c r="U246" s="15" t="str">
        <f>IFERROR(INDEX('Formulación PDN 2027'!$B$7:$B$506,MATCH(ROW()-5,'Formulación PDN 2027'!$AK$7:$AK$506,0))&amp;"","")</f>
        <v/>
      </c>
      <c r="V246" s="15" t="str">
        <f>IFERROR(LEFT(INDEX('Formulación PDN 2027'!$E$7:$E$506,MATCH(ROW()-5,'Formulación PDN 2027'!$AK$7:$AK$506,0)),7),"")</f>
        <v/>
      </c>
      <c r="W246" s="15" t="str">
        <f>IFERROR(INDEX('Formulación PDN 2027'!$H$7:$H$506,MATCH(ROW()-5,'Formulación PDN 2027'!$AK$7:$AK$506,0))&amp;"","")</f>
        <v/>
      </c>
      <c r="X246" s="15" t="str">
        <f>IFERROR(INDEX('Formulación PDN 2027'!$U$7:$U$506,MATCH(ROW()-5,'Formulación PDN 2027'!$AK$7:$AK$506,0))&amp;"","")</f>
        <v/>
      </c>
      <c r="Y246" s="15" t="str">
        <f>IFERROR(INDEX('Formulación PDN 2027'!$AH$7:$AH$506,MATCH(ROW()-5,'Formulación PDN 2027'!$AK$7:$AK$506,0))&amp;"","")</f>
        <v/>
      </c>
    </row>
    <row r="247" spans="1:25" x14ac:dyDescent="0.3">
      <c r="A247" s="15" t="str">
        <f>IFERROR(INDEX('Formulación PDN 2027'!$A$7:$A$506,MATCH(ROW()-5,'Formulación PDN 2027'!$AK$7:$AK$506,0))&amp;"","")</f>
        <v/>
      </c>
      <c r="B247" s="20" t="str">
        <f>IFERROR(INDEX('Formulación PDN 2027'!$M$7:$M$506,MATCH(ROW()-5,'Formulación PDN 2027'!$AK$7:$AK$506,0)),"")</f>
        <v/>
      </c>
      <c r="C247" s="15" t="str">
        <f>IFERROR(INDEX('Formulación PDN 2027'!$N$7:$N$506,MATCH(ROW()-5,'Formulación PDN 2027'!$AK$7:$AK$506,0))&amp;"","")</f>
        <v/>
      </c>
      <c r="D247" s="15" t="str">
        <f>IFERROR(INDEX('Formulación PDN 2027'!$L$7:$L$506,MATCH(ROW()-5,'Formulación PDN 2027'!$AK$7:$AK$506,0))&amp;"","")</f>
        <v/>
      </c>
      <c r="E247" s="15" t="str">
        <f>IFERROR(MATCH(INDEX('Formulación PDN 2027'!$O$7:$O$506,MATCH(ROW()-5,'Formulación PDN 2027'!$AK$7:$AK$506,0)),L_MESES,0),"")</f>
        <v/>
      </c>
      <c r="F247" s="15" t="str">
        <f>IFERROR(MATCH(INDEX('Formulación PDN 2027'!$P$7:$P$506,MATCH(ROW()-5,'Formulación PDN 2027'!$AK$7:$AK$506,0)),L_MESES,0),"")</f>
        <v/>
      </c>
      <c r="G247" s="15" t="str">
        <f>IFERROR(INDEX('Formulación PDN 2027'!$Q$7:$Q$506,MATCH(ROW()-5,'Formulación PDN 2027'!$AK$7:$AK$506,0)),"")</f>
        <v/>
      </c>
      <c r="H247" s="15" t="str">
        <f>IFERROR(INDEX('Formulación PDN 2027'!$R$7:$R$506,MATCH(ROW()-5,'Formulación PDN 2027'!$AK$7:$AK$506,0))&amp;"","")</f>
        <v/>
      </c>
      <c r="I247" s="15" t="str">
        <f>IFERROR(INDEX('Formulación PDN 2027'!$S$7:$S$506,MATCH(ROW()-5,'Formulación PDN 2027'!$AK$7:$AK$506,0))&amp;"","")</f>
        <v/>
      </c>
      <c r="J247" s="15" t="str">
        <f>IFERROR(INDEX('Formulación PDN 2027'!$T$7:$T$506,MATCH(ROW()-5,'Formulación PDN 2027'!$AK$7:$AK$506,0))&amp;"","")</f>
        <v/>
      </c>
      <c r="K247" s="43" t="str">
        <f>IFERROR(INDEX('Formulación PDN 2027'!$W$7:$W$506,MATCH(ROW()-5,'Formulación PDN 2027'!$AK$7:$AK$506,0)),"")</f>
        <v/>
      </c>
      <c r="L247" s="43" t="str">
        <f>IFERROR(INDEX('Formulación PDN 2027'!$X$7:$X$506,MATCH(ROW()-5,'Formulación PDN 2027'!$AK$7:$AK$506,0)),"")</f>
        <v/>
      </c>
      <c r="M247" s="15" t="str">
        <f>IFERROR(INDEX('Formulación PDN 2027'!$Y$7:$Y$506,MATCH(ROW()-5,'Formulación PDN 2027'!$AK$7:$AK$506,0))&amp;"","")</f>
        <v/>
      </c>
      <c r="N247" s="15" t="str">
        <f>IFERROR(INDEX('Formulación PDN 2027'!$Z$7:$Z$506,MATCH(ROW()-5,'Formulación PDN 2027'!$AK$7:$AK$506,0))&amp;"","")</f>
        <v/>
      </c>
      <c r="O247" s="15"/>
      <c r="P247" s="15" t="str">
        <f>IFERROR(INDEX('Formulación PDN 2027'!$AA$7:$AA$506,MATCH(ROW()-5,'Formulación PDN 2027'!$AK$7:$AK$506,0))&amp;"","")</f>
        <v/>
      </c>
      <c r="Q247" s="15" t="str">
        <f>IFERROR(INDEX('Formulación PDN 2027'!$AB$7:$AB$506,MATCH(ROW()-5,'Formulación PDN 2027'!$AK$7:$AK$506,0))&amp;"","")</f>
        <v/>
      </c>
      <c r="R247" s="15" t="str">
        <f>IFERROR(INDEX('Formulación PDN 2027'!$AD$7:$AD$506,MATCH(ROW()-5,'Formulación PDN 2027'!$AK$7:$AK$506,0))&amp;"","")</f>
        <v/>
      </c>
      <c r="S247" s="15" t="str">
        <f>IFERROR(INDEX('Formulación PDN 2027'!$AE$7:$AE$506,MATCH(ROW()-5,'Formulación PDN 2027'!$AK$7:$AK$506,0))&amp;"","")</f>
        <v/>
      </c>
      <c r="T247" s="15" t="str">
        <f>IFERROR(INDEX('Formulación PDN 2027'!$C$7:$C$506,MATCH(ROW()-5,'Formulación PDN 2027'!$AK$7:$AK$506,0))&amp;"","")</f>
        <v/>
      </c>
      <c r="U247" s="15" t="str">
        <f>IFERROR(INDEX('Formulación PDN 2027'!$B$7:$B$506,MATCH(ROW()-5,'Formulación PDN 2027'!$AK$7:$AK$506,0))&amp;"","")</f>
        <v/>
      </c>
      <c r="V247" s="15" t="str">
        <f>IFERROR(LEFT(INDEX('Formulación PDN 2027'!$E$7:$E$506,MATCH(ROW()-5,'Formulación PDN 2027'!$AK$7:$AK$506,0)),7),"")</f>
        <v/>
      </c>
      <c r="W247" s="15" t="str">
        <f>IFERROR(INDEX('Formulación PDN 2027'!$H$7:$H$506,MATCH(ROW()-5,'Formulación PDN 2027'!$AK$7:$AK$506,0))&amp;"","")</f>
        <v/>
      </c>
      <c r="X247" s="15" t="str">
        <f>IFERROR(INDEX('Formulación PDN 2027'!$U$7:$U$506,MATCH(ROW()-5,'Formulación PDN 2027'!$AK$7:$AK$506,0))&amp;"","")</f>
        <v/>
      </c>
      <c r="Y247" s="15" t="str">
        <f>IFERROR(INDEX('Formulación PDN 2027'!$AH$7:$AH$506,MATCH(ROW()-5,'Formulación PDN 2027'!$AK$7:$AK$506,0))&amp;"","")</f>
        <v/>
      </c>
    </row>
    <row r="248" spans="1:25" x14ac:dyDescent="0.3">
      <c r="A248" s="15" t="str">
        <f>IFERROR(INDEX('Formulación PDN 2027'!$A$7:$A$506,MATCH(ROW()-5,'Formulación PDN 2027'!$AK$7:$AK$506,0))&amp;"","")</f>
        <v/>
      </c>
      <c r="B248" s="20" t="str">
        <f>IFERROR(INDEX('Formulación PDN 2027'!$M$7:$M$506,MATCH(ROW()-5,'Formulación PDN 2027'!$AK$7:$AK$506,0)),"")</f>
        <v/>
      </c>
      <c r="C248" s="15" t="str">
        <f>IFERROR(INDEX('Formulación PDN 2027'!$N$7:$N$506,MATCH(ROW()-5,'Formulación PDN 2027'!$AK$7:$AK$506,0))&amp;"","")</f>
        <v/>
      </c>
      <c r="D248" s="15" t="str">
        <f>IFERROR(INDEX('Formulación PDN 2027'!$L$7:$L$506,MATCH(ROW()-5,'Formulación PDN 2027'!$AK$7:$AK$506,0))&amp;"","")</f>
        <v/>
      </c>
      <c r="E248" s="15" t="str">
        <f>IFERROR(MATCH(INDEX('Formulación PDN 2027'!$O$7:$O$506,MATCH(ROW()-5,'Formulación PDN 2027'!$AK$7:$AK$506,0)),L_MESES,0),"")</f>
        <v/>
      </c>
      <c r="F248" s="15" t="str">
        <f>IFERROR(MATCH(INDEX('Formulación PDN 2027'!$P$7:$P$506,MATCH(ROW()-5,'Formulación PDN 2027'!$AK$7:$AK$506,0)),L_MESES,0),"")</f>
        <v/>
      </c>
      <c r="G248" s="15" t="str">
        <f>IFERROR(INDEX('Formulación PDN 2027'!$Q$7:$Q$506,MATCH(ROW()-5,'Formulación PDN 2027'!$AK$7:$AK$506,0)),"")</f>
        <v/>
      </c>
      <c r="H248" s="15" t="str">
        <f>IFERROR(INDEX('Formulación PDN 2027'!$R$7:$R$506,MATCH(ROW()-5,'Formulación PDN 2027'!$AK$7:$AK$506,0))&amp;"","")</f>
        <v/>
      </c>
      <c r="I248" s="15" t="str">
        <f>IFERROR(INDEX('Formulación PDN 2027'!$S$7:$S$506,MATCH(ROW()-5,'Formulación PDN 2027'!$AK$7:$AK$506,0))&amp;"","")</f>
        <v/>
      </c>
      <c r="J248" s="15" t="str">
        <f>IFERROR(INDEX('Formulación PDN 2027'!$T$7:$T$506,MATCH(ROW()-5,'Formulación PDN 2027'!$AK$7:$AK$506,0))&amp;"","")</f>
        <v/>
      </c>
      <c r="K248" s="43" t="str">
        <f>IFERROR(INDEX('Formulación PDN 2027'!$W$7:$W$506,MATCH(ROW()-5,'Formulación PDN 2027'!$AK$7:$AK$506,0)),"")</f>
        <v/>
      </c>
      <c r="L248" s="43" t="str">
        <f>IFERROR(INDEX('Formulación PDN 2027'!$X$7:$X$506,MATCH(ROW()-5,'Formulación PDN 2027'!$AK$7:$AK$506,0)),"")</f>
        <v/>
      </c>
      <c r="M248" s="15" t="str">
        <f>IFERROR(INDEX('Formulación PDN 2027'!$Y$7:$Y$506,MATCH(ROW()-5,'Formulación PDN 2027'!$AK$7:$AK$506,0))&amp;"","")</f>
        <v/>
      </c>
      <c r="N248" s="15" t="str">
        <f>IFERROR(INDEX('Formulación PDN 2027'!$Z$7:$Z$506,MATCH(ROW()-5,'Formulación PDN 2027'!$AK$7:$AK$506,0))&amp;"","")</f>
        <v/>
      </c>
      <c r="O248" s="15"/>
      <c r="P248" s="15" t="str">
        <f>IFERROR(INDEX('Formulación PDN 2027'!$AA$7:$AA$506,MATCH(ROW()-5,'Formulación PDN 2027'!$AK$7:$AK$506,0))&amp;"","")</f>
        <v/>
      </c>
      <c r="Q248" s="15" t="str">
        <f>IFERROR(INDEX('Formulación PDN 2027'!$AB$7:$AB$506,MATCH(ROW()-5,'Formulación PDN 2027'!$AK$7:$AK$506,0))&amp;"","")</f>
        <v/>
      </c>
      <c r="R248" s="15" t="str">
        <f>IFERROR(INDEX('Formulación PDN 2027'!$AD$7:$AD$506,MATCH(ROW()-5,'Formulación PDN 2027'!$AK$7:$AK$506,0))&amp;"","")</f>
        <v/>
      </c>
      <c r="S248" s="15" t="str">
        <f>IFERROR(INDEX('Formulación PDN 2027'!$AE$7:$AE$506,MATCH(ROW()-5,'Formulación PDN 2027'!$AK$7:$AK$506,0))&amp;"","")</f>
        <v/>
      </c>
      <c r="T248" s="15" t="str">
        <f>IFERROR(INDEX('Formulación PDN 2027'!$C$7:$C$506,MATCH(ROW()-5,'Formulación PDN 2027'!$AK$7:$AK$506,0))&amp;"","")</f>
        <v/>
      </c>
      <c r="U248" s="15" t="str">
        <f>IFERROR(INDEX('Formulación PDN 2027'!$B$7:$B$506,MATCH(ROW()-5,'Formulación PDN 2027'!$AK$7:$AK$506,0))&amp;"","")</f>
        <v/>
      </c>
      <c r="V248" s="15" t="str">
        <f>IFERROR(LEFT(INDEX('Formulación PDN 2027'!$E$7:$E$506,MATCH(ROW()-5,'Formulación PDN 2027'!$AK$7:$AK$506,0)),7),"")</f>
        <v/>
      </c>
      <c r="W248" s="15" t="str">
        <f>IFERROR(INDEX('Formulación PDN 2027'!$H$7:$H$506,MATCH(ROW()-5,'Formulación PDN 2027'!$AK$7:$AK$506,0))&amp;"","")</f>
        <v/>
      </c>
      <c r="X248" s="15" t="str">
        <f>IFERROR(INDEX('Formulación PDN 2027'!$U$7:$U$506,MATCH(ROW()-5,'Formulación PDN 2027'!$AK$7:$AK$506,0))&amp;"","")</f>
        <v/>
      </c>
      <c r="Y248" s="15" t="str">
        <f>IFERROR(INDEX('Formulación PDN 2027'!$AH$7:$AH$506,MATCH(ROW()-5,'Formulación PDN 2027'!$AK$7:$AK$506,0))&amp;"","")</f>
        <v/>
      </c>
    </row>
    <row r="249" spans="1:25" x14ac:dyDescent="0.3">
      <c r="A249" s="15" t="str">
        <f>IFERROR(INDEX('Formulación PDN 2027'!$A$7:$A$506,MATCH(ROW()-5,'Formulación PDN 2027'!$AK$7:$AK$506,0))&amp;"","")</f>
        <v/>
      </c>
      <c r="B249" s="20" t="str">
        <f>IFERROR(INDEX('Formulación PDN 2027'!$M$7:$M$506,MATCH(ROW()-5,'Formulación PDN 2027'!$AK$7:$AK$506,0)),"")</f>
        <v/>
      </c>
      <c r="C249" s="15" t="str">
        <f>IFERROR(INDEX('Formulación PDN 2027'!$N$7:$N$506,MATCH(ROW()-5,'Formulación PDN 2027'!$AK$7:$AK$506,0))&amp;"","")</f>
        <v/>
      </c>
      <c r="D249" s="15" t="str">
        <f>IFERROR(INDEX('Formulación PDN 2027'!$L$7:$L$506,MATCH(ROW()-5,'Formulación PDN 2027'!$AK$7:$AK$506,0))&amp;"","")</f>
        <v/>
      </c>
      <c r="E249" s="15" t="str">
        <f>IFERROR(MATCH(INDEX('Formulación PDN 2027'!$O$7:$O$506,MATCH(ROW()-5,'Formulación PDN 2027'!$AK$7:$AK$506,0)),L_MESES,0),"")</f>
        <v/>
      </c>
      <c r="F249" s="15" t="str">
        <f>IFERROR(MATCH(INDEX('Formulación PDN 2027'!$P$7:$P$506,MATCH(ROW()-5,'Formulación PDN 2027'!$AK$7:$AK$506,0)),L_MESES,0),"")</f>
        <v/>
      </c>
      <c r="G249" s="15" t="str">
        <f>IFERROR(INDEX('Formulación PDN 2027'!$Q$7:$Q$506,MATCH(ROW()-5,'Formulación PDN 2027'!$AK$7:$AK$506,0)),"")</f>
        <v/>
      </c>
      <c r="H249" s="15" t="str">
        <f>IFERROR(INDEX('Formulación PDN 2027'!$R$7:$R$506,MATCH(ROW()-5,'Formulación PDN 2027'!$AK$7:$AK$506,0))&amp;"","")</f>
        <v/>
      </c>
      <c r="I249" s="15" t="str">
        <f>IFERROR(INDEX('Formulación PDN 2027'!$S$7:$S$506,MATCH(ROW()-5,'Formulación PDN 2027'!$AK$7:$AK$506,0))&amp;"","")</f>
        <v/>
      </c>
      <c r="J249" s="15" t="str">
        <f>IFERROR(INDEX('Formulación PDN 2027'!$T$7:$T$506,MATCH(ROW()-5,'Formulación PDN 2027'!$AK$7:$AK$506,0))&amp;"","")</f>
        <v/>
      </c>
      <c r="K249" s="43" t="str">
        <f>IFERROR(INDEX('Formulación PDN 2027'!$W$7:$W$506,MATCH(ROW()-5,'Formulación PDN 2027'!$AK$7:$AK$506,0)),"")</f>
        <v/>
      </c>
      <c r="L249" s="43" t="str">
        <f>IFERROR(INDEX('Formulación PDN 2027'!$X$7:$X$506,MATCH(ROW()-5,'Formulación PDN 2027'!$AK$7:$AK$506,0)),"")</f>
        <v/>
      </c>
      <c r="M249" s="15" t="str">
        <f>IFERROR(INDEX('Formulación PDN 2027'!$Y$7:$Y$506,MATCH(ROW()-5,'Formulación PDN 2027'!$AK$7:$AK$506,0))&amp;"","")</f>
        <v/>
      </c>
      <c r="N249" s="15" t="str">
        <f>IFERROR(INDEX('Formulación PDN 2027'!$Z$7:$Z$506,MATCH(ROW()-5,'Formulación PDN 2027'!$AK$7:$AK$506,0))&amp;"","")</f>
        <v/>
      </c>
      <c r="O249" s="15"/>
      <c r="P249" s="15" t="str">
        <f>IFERROR(INDEX('Formulación PDN 2027'!$AA$7:$AA$506,MATCH(ROW()-5,'Formulación PDN 2027'!$AK$7:$AK$506,0))&amp;"","")</f>
        <v/>
      </c>
      <c r="Q249" s="15" t="str">
        <f>IFERROR(INDEX('Formulación PDN 2027'!$AB$7:$AB$506,MATCH(ROW()-5,'Formulación PDN 2027'!$AK$7:$AK$506,0))&amp;"","")</f>
        <v/>
      </c>
      <c r="R249" s="15" t="str">
        <f>IFERROR(INDEX('Formulación PDN 2027'!$AD$7:$AD$506,MATCH(ROW()-5,'Formulación PDN 2027'!$AK$7:$AK$506,0))&amp;"","")</f>
        <v/>
      </c>
      <c r="S249" s="15" t="str">
        <f>IFERROR(INDEX('Formulación PDN 2027'!$AE$7:$AE$506,MATCH(ROW()-5,'Formulación PDN 2027'!$AK$7:$AK$506,0))&amp;"","")</f>
        <v/>
      </c>
      <c r="T249" s="15" t="str">
        <f>IFERROR(INDEX('Formulación PDN 2027'!$C$7:$C$506,MATCH(ROW()-5,'Formulación PDN 2027'!$AK$7:$AK$506,0))&amp;"","")</f>
        <v/>
      </c>
      <c r="U249" s="15" t="str">
        <f>IFERROR(INDEX('Formulación PDN 2027'!$B$7:$B$506,MATCH(ROW()-5,'Formulación PDN 2027'!$AK$7:$AK$506,0))&amp;"","")</f>
        <v/>
      </c>
      <c r="V249" s="15" t="str">
        <f>IFERROR(LEFT(INDEX('Formulación PDN 2027'!$E$7:$E$506,MATCH(ROW()-5,'Formulación PDN 2027'!$AK$7:$AK$506,0)),7),"")</f>
        <v/>
      </c>
      <c r="W249" s="15" t="str">
        <f>IFERROR(INDEX('Formulación PDN 2027'!$H$7:$H$506,MATCH(ROW()-5,'Formulación PDN 2027'!$AK$7:$AK$506,0))&amp;"","")</f>
        <v/>
      </c>
      <c r="X249" s="15" t="str">
        <f>IFERROR(INDEX('Formulación PDN 2027'!$U$7:$U$506,MATCH(ROW()-5,'Formulación PDN 2027'!$AK$7:$AK$506,0))&amp;"","")</f>
        <v/>
      </c>
      <c r="Y249" s="15" t="str">
        <f>IFERROR(INDEX('Formulación PDN 2027'!$AH$7:$AH$506,MATCH(ROW()-5,'Formulación PDN 2027'!$AK$7:$AK$506,0))&amp;"","")</f>
        <v/>
      </c>
    </row>
    <row r="250" spans="1:25" x14ac:dyDescent="0.3">
      <c r="A250" s="15" t="str">
        <f>IFERROR(INDEX('Formulación PDN 2027'!$A$7:$A$506,MATCH(ROW()-5,'Formulación PDN 2027'!$AK$7:$AK$506,0))&amp;"","")</f>
        <v/>
      </c>
      <c r="B250" s="20" t="str">
        <f>IFERROR(INDEX('Formulación PDN 2027'!$M$7:$M$506,MATCH(ROW()-5,'Formulación PDN 2027'!$AK$7:$AK$506,0)),"")</f>
        <v/>
      </c>
      <c r="C250" s="15" t="str">
        <f>IFERROR(INDEX('Formulación PDN 2027'!$N$7:$N$506,MATCH(ROW()-5,'Formulación PDN 2027'!$AK$7:$AK$506,0))&amp;"","")</f>
        <v/>
      </c>
      <c r="D250" s="15" t="str">
        <f>IFERROR(INDEX('Formulación PDN 2027'!$L$7:$L$506,MATCH(ROW()-5,'Formulación PDN 2027'!$AK$7:$AK$506,0))&amp;"","")</f>
        <v/>
      </c>
      <c r="E250" s="15" t="str">
        <f>IFERROR(MATCH(INDEX('Formulación PDN 2027'!$O$7:$O$506,MATCH(ROW()-5,'Formulación PDN 2027'!$AK$7:$AK$506,0)),L_MESES,0),"")</f>
        <v/>
      </c>
      <c r="F250" s="15" t="str">
        <f>IFERROR(MATCH(INDEX('Formulación PDN 2027'!$P$7:$P$506,MATCH(ROW()-5,'Formulación PDN 2027'!$AK$7:$AK$506,0)),L_MESES,0),"")</f>
        <v/>
      </c>
      <c r="G250" s="15" t="str">
        <f>IFERROR(INDEX('Formulación PDN 2027'!$Q$7:$Q$506,MATCH(ROW()-5,'Formulación PDN 2027'!$AK$7:$AK$506,0)),"")</f>
        <v/>
      </c>
      <c r="H250" s="15" t="str">
        <f>IFERROR(INDEX('Formulación PDN 2027'!$R$7:$R$506,MATCH(ROW()-5,'Formulación PDN 2027'!$AK$7:$AK$506,0))&amp;"","")</f>
        <v/>
      </c>
      <c r="I250" s="15" t="str">
        <f>IFERROR(INDEX('Formulación PDN 2027'!$S$7:$S$506,MATCH(ROW()-5,'Formulación PDN 2027'!$AK$7:$AK$506,0))&amp;"","")</f>
        <v/>
      </c>
      <c r="J250" s="15" t="str">
        <f>IFERROR(INDEX('Formulación PDN 2027'!$T$7:$T$506,MATCH(ROW()-5,'Formulación PDN 2027'!$AK$7:$AK$506,0))&amp;"","")</f>
        <v/>
      </c>
      <c r="K250" s="43" t="str">
        <f>IFERROR(INDEX('Formulación PDN 2027'!$W$7:$W$506,MATCH(ROW()-5,'Formulación PDN 2027'!$AK$7:$AK$506,0)),"")</f>
        <v/>
      </c>
      <c r="L250" s="43" t="str">
        <f>IFERROR(INDEX('Formulación PDN 2027'!$X$7:$X$506,MATCH(ROW()-5,'Formulación PDN 2027'!$AK$7:$AK$506,0)),"")</f>
        <v/>
      </c>
      <c r="M250" s="15" t="str">
        <f>IFERROR(INDEX('Formulación PDN 2027'!$Y$7:$Y$506,MATCH(ROW()-5,'Formulación PDN 2027'!$AK$7:$AK$506,0))&amp;"","")</f>
        <v/>
      </c>
      <c r="N250" s="15" t="str">
        <f>IFERROR(INDEX('Formulación PDN 2027'!$Z$7:$Z$506,MATCH(ROW()-5,'Formulación PDN 2027'!$AK$7:$AK$506,0))&amp;"","")</f>
        <v/>
      </c>
      <c r="O250" s="15"/>
      <c r="P250" s="15" t="str">
        <f>IFERROR(INDEX('Formulación PDN 2027'!$AA$7:$AA$506,MATCH(ROW()-5,'Formulación PDN 2027'!$AK$7:$AK$506,0))&amp;"","")</f>
        <v/>
      </c>
      <c r="Q250" s="15" t="str">
        <f>IFERROR(INDEX('Formulación PDN 2027'!$AB$7:$AB$506,MATCH(ROW()-5,'Formulación PDN 2027'!$AK$7:$AK$506,0))&amp;"","")</f>
        <v/>
      </c>
      <c r="R250" s="15" t="str">
        <f>IFERROR(INDEX('Formulación PDN 2027'!$AD$7:$AD$506,MATCH(ROW()-5,'Formulación PDN 2027'!$AK$7:$AK$506,0))&amp;"","")</f>
        <v/>
      </c>
      <c r="S250" s="15" t="str">
        <f>IFERROR(INDEX('Formulación PDN 2027'!$AE$7:$AE$506,MATCH(ROW()-5,'Formulación PDN 2027'!$AK$7:$AK$506,0))&amp;"","")</f>
        <v/>
      </c>
      <c r="T250" s="15" t="str">
        <f>IFERROR(INDEX('Formulación PDN 2027'!$C$7:$C$506,MATCH(ROW()-5,'Formulación PDN 2027'!$AK$7:$AK$506,0))&amp;"","")</f>
        <v/>
      </c>
      <c r="U250" s="15" t="str">
        <f>IFERROR(INDEX('Formulación PDN 2027'!$B$7:$B$506,MATCH(ROW()-5,'Formulación PDN 2027'!$AK$7:$AK$506,0))&amp;"","")</f>
        <v/>
      </c>
      <c r="V250" s="15" t="str">
        <f>IFERROR(LEFT(INDEX('Formulación PDN 2027'!$E$7:$E$506,MATCH(ROW()-5,'Formulación PDN 2027'!$AK$7:$AK$506,0)),7),"")</f>
        <v/>
      </c>
      <c r="W250" s="15" t="str">
        <f>IFERROR(INDEX('Formulación PDN 2027'!$H$7:$H$506,MATCH(ROW()-5,'Formulación PDN 2027'!$AK$7:$AK$506,0))&amp;"","")</f>
        <v/>
      </c>
      <c r="X250" s="15" t="str">
        <f>IFERROR(INDEX('Formulación PDN 2027'!$U$7:$U$506,MATCH(ROW()-5,'Formulación PDN 2027'!$AK$7:$AK$506,0))&amp;"","")</f>
        <v/>
      </c>
      <c r="Y250" s="15" t="str">
        <f>IFERROR(INDEX('Formulación PDN 2027'!$AH$7:$AH$506,MATCH(ROW()-5,'Formulación PDN 2027'!$AK$7:$AK$506,0))&amp;"","")</f>
        <v/>
      </c>
    </row>
    <row r="251" spans="1:25" x14ac:dyDescent="0.3">
      <c r="A251" s="15" t="str">
        <f>IFERROR(INDEX('Formulación PDN 2027'!$A$7:$A$506,MATCH(ROW()-5,'Formulación PDN 2027'!$AK$7:$AK$506,0))&amp;"","")</f>
        <v/>
      </c>
      <c r="B251" s="20" t="str">
        <f>IFERROR(INDEX('Formulación PDN 2027'!$M$7:$M$506,MATCH(ROW()-5,'Formulación PDN 2027'!$AK$7:$AK$506,0)),"")</f>
        <v/>
      </c>
      <c r="C251" s="15" t="str">
        <f>IFERROR(INDEX('Formulación PDN 2027'!$N$7:$N$506,MATCH(ROW()-5,'Formulación PDN 2027'!$AK$7:$AK$506,0))&amp;"","")</f>
        <v/>
      </c>
      <c r="D251" s="15" t="str">
        <f>IFERROR(INDEX('Formulación PDN 2027'!$L$7:$L$506,MATCH(ROW()-5,'Formulación PDN 2027'!$AK$7:$AK$506,0))&amp;"","")</f>
        <v/>
      </c>
      <c r="E251" s="15" t="str">
        <f>IFERROR(MATCH(INDEX('Formulación PDN 2027'!$O$7:$O$506,MATCH(ROW()-5,'Formulación PDN 2027'!$AK$7:$AK$506,0)),L_MESES,0),"")</f>
        <v/>
      </c>
      <c r="F251" s="15" t="str">
        <f>IFERROR(MATCH(INDEX('Formulación PDN 2027'!$P$7:$P$506,MATCH(ROW()-5,'Formulación PDN 2027'!$AK$7:$AK$506,0)),L_MESES,0),"")</f>
        <v/>
      </c>
      <c r="G251" s="15" t="str">
        <f>IFERROR(INDEX('Formulación PDN 2027'!$Q$7:$Q$506,MATCH(ROW()-5,'Formulación PDN 2027'!$AK$7:$AK$506,0)),"")</f>
        <v/>
      </c>
      <c r="H251" s="15" t="str">
        <f>IFERROR(INDEX('Formulación PDN 2027'!$R$7:$R$506,MATCH(ROW()-5,'Formulación PDN 2027'!$AK$7:$AK$506,0))&amp;"","")</f>
        <v/>
      </c>
      <c r="I251" s="15" t="str">
        <f>IFERROR(INDEX('Formulación PDN 2027'!$S$7:$S$506,MATCH(ROW()-5,'Formulación PDN 2027'!$AK$7:$AK$506,0))&amp;"","")</f>
        <v/>
      </c>
      <c r="J251" s="15" t="str">
        <f>IFERROR(INDEX('Formulación PDN 2027'!$T$7:$T$506,MATCH(ROW()-5,'Formulación PDN 2027'!$AK$7:$AK$506,0))&amp;"","")</f>
        <v/>
      </c>
      <c r="K251" s="43" t="str">
        <f>IFERROR(INDEX('Formulación PDN 2027'!$W$7:$W$506,MATCH(ROW()-5,'Formulación PDN 2027'!$AK$7:$AK$506,0)),"")</f>
        <v/>
      </c>
      <c r="L251" s="43" t="str">
        <f>IFERROR(INDEX('Formulación PDN 2027'!$X$7:$X$506,MATCH(ROW()-5,'Formulación PDN 2027'!$AK$7:$AK$506,0)),"")</f>
        <v/>
      </c>
      <c r="M251" s="15" t="str">
        <f>IFERROR(INDEX('Formulación PDN 2027'!$Y$7:$Y$506,MATCH(ROW()-5,'Formulación PDN 2027'!$AK$7:$AK$506,0))&amp;"","")</f>
        <v/>
      </c>
      <c r="N251" s="15" t="str">
        <f>IFERROR(INDEX('Formulación PDN 2027'!$Z$7:$Z$506,MATCH(ROW()-5,'Formulación PDN 2027'!$AK$7:$AK$506,0))&amp;"","")</f>
        <v/>
      </c>
      <c r="O251" s="15"/>
      <c r="P251" s="15" t="str">
        <f>IFERROR(INDEX('Formulación PDN 2027'!$AA$7:$AA$506,MATCH(ROW()-5,'Formulación PDN 2027'!$AK$7:$AK$506,0))&amp;"","")</f>
        <v/>
      </c>
      <c r="Q251" s="15" t="str">
        <f>IFERROR(INDEX('Formulación PDN 2027'!$AB$7:$AB$506,MATCH(ROW()-5,'Formulación PDN 2027'!$AK$7:$AK$506,0))&amp;"","")</f>
        <v/>
      </c>
      <c r="R251" s="15" t="str">
        <f>IFERROR(INDEX('Formulación PDN 2027'!$AD$7:$AD$506,MATCH(ROW()-5,'Formulación PDN 2027'!$AK$7:$AK$506,0))&amp;"","")</f>
        <v/>
      </c>
      <c r="S251" s="15" t="str">
        <f>IFERROR(INDEX('Formulación PDN 2027'!$AE$7:$AE$506,MATCH(ROW()-5,'Formulación PDN 2027'!$AK$7:$AK$506,0))&amp;"","")</f>
        <v/>
      </c>
      <c r="T251" s="15" t="str">
        <f>IFERROR(INDEX('Formulación PDN 2027'!$C$7:$C$506,MATCH(ROW()-5,'Formulación PDN 2027'!$AK$7:$AK$506,0))&amp;"","")</f>
        <v/>
      </c>
      <c r="U251" s="15" t="str">
        <f>IFERROR(INDEX('Formulación PDN 2027'!$B$7:$B$506,MATCH(ROW()-5,'Formulación PDN 2027'!$AK$7:$AK$506,0))&amp;"","")</f>
        <v/>
      </c>
      <c r="V251" s="15" t="str">
        <f>IFERROR(LEFT(INDEX('Formulación PDN 2027'!$E$7:$E$506,MATCH(ROW()-5,'Formulación PDN 2027'!$AK$7:$AK$506,0)),7),"")</f>
        <v/>
      </c>
      <c r="W251" s="15" t="str">
        <f>IFERROR(INDEX('Formulación PDN 2027'!$H$7:$H$506,MATCH(ROW()-5,'Formulación PDN 2027'!$AK$7:$AK$506,0))&amp;"","")</f>
        <v/>
      </c>
      <c r="X251" s="15" t="str">
        <f>IFERROR(INDEX('Formulación PDN 2027'!$U$7:$U$506,MATCH(ROW()-5,'Formulación PDN 2027'!$AK$7:$AK$506,0))&amp;"","")</f>
        <v/>
      </c>
      <c r="Y251" s="15" t="str">
        <f>IFERROR(INDEX('Formulación PDN 2027'!$AH$7:$AH$506,MATCH(ROW()-5,'Formulación PDN 2027'!$AK$7:$AK$506,0))&amp;"","")</f>
        <v/>
      </c>
    </row>
    <row r="252" spans="1:25" x14ac:dyDescent="0.3">
      <c r="A252" s="15" t="str">
        <f>IFERROR(INDEX('Formulación PDN 2027'!$A$7:$A$506,MATCH(ROW()-5,'Formulación PDN 2027'!$AK$7:$AK$506,0))&amp;"","")</f>
        <v/>
      </c>
      <c r="B252" s="20" t="str">
        <f>IFERROR(INDEX('Formulación PDN 2027'!$M$7:$M$506,MATCH(ROW()-5,'Formulación PDN 2027'!$AK$7:$AK$506,0)),"")</f>
        <v/>
      </c>
      <c r="C252" s="15" t="str">
        <f>IFERROR(INDEX('Formulación PDN 2027'!$N$7:$N$506,MATCH(ROW()-5,'Formulación PDN 2027'!$AK$7:$AK$506,0))&amp;"","")</f>
        <v/>
      </c>
      <c r="D252" s="15" t="str">
        <f>IFERROR(INDEX('Formulación PDN 2027'!$L$7:$L$506,MATCH(ROW()-5,'Formulación PDN 2027'!$AK$7:$AK$506,0))&amp;"","")</f>
        <v/>
      </c>
      <c r="E252" s="15" t="str">
        <f>IFERROR(MATCH(INDEX('Formulación PDN 2027'!$O$7:$O$506,MATCH(ROW()-5,'Formulación PDN 2027'!$AK$7:$AK$506,0)),L_MESES,0),"")</f>
        <v/>
      </c>
      <c r="F252" s="15" t="str">
        <f>IFERROR(MATCH(INDEX('Formulación PDN 2027'!$P$7:$P$506,MATCH(ROW()-5,'Formulación PDN 2027'!$AK$7:$AK$506,0)),L_MESES,0),"")</f>
        <v/>
      </c>
      <c r="G252" s="15" t="str">
        <f>IFERROR(INDEX('Formulación PDN 2027'!$Q$7:$Q$506,MATCH(ROW()-5,'Formulación PDN 2027'!$AK$7:$AK$506,0)),"")</f>
        <v/>
      </c>
      <c r="H252" s="15" t="str">
        <f>IFERROR(INDEX('Formulación PDN 2027'!$R$7:$R$506,MATCH(ROW()-5,'Formulación PDN 2027'!$AK$7:$AK$506,0))&amp;"","")</f>
        <v/>
      </c>
      <c r="I252" s="15" t="str">
        <f>IFERROR(INDEX('Formulación PDN 2027'!$S$7:$S$506,MATCH(ROW()-5,'Formulación PDN 2027'!$AK$7:$AK$506,0))&amp;"","")</f>
        <v/>
      </c>
      <c r="J252" s="15" t="str">
        <f>IFERROR(INDEX('Formulación PDN 2027'!$T$7:$T$506,MATCH(ROW()-5,'Formulación PDN 2027'!$AK$7:$AK$506,0))&amp;"","")</f>
        <v/>
      </c>
      <c r="K252" s="43" t="str">
        <f>IFERROR(INDEX('Formulación PDN 2027'!$W$7:$W$506,MATCH(ROW()-5,'Formulación PDN 2027'!$AK$7:$AK$506,0)),"")</f>
        <v/>
      </c>
      <c r="L252" s="43" t="str">
        <f>IFERROR(INDEX('Formulación PDN 2027'!$X$7:$X$506,MATCH(ROW()-5,'Formulación PDN 2027'!$AK$7:$AK$506,0)),"")</f>
        <v/>
      </c>
      <c r="M252" s="15" t="str">
        <f>IFERROR(INDEX('Formulación PDN 2027'!$Y$7:$Y$506,MATCH(ROW()-5,'Formulación PDN 2027'!$AK$7:$AK$506,0))&amp;"","")</f>
        <v/>
      </c>
      <c r="N252" s="15" t="str">
        <f>IFERROR(INDEX('Formulación PDN 2027'!$Z$7:$Z$506,MATCH(ROW()-5,'Formulación PDN 2027'!$AK$7:$AK$506,0))&amp;"","")</f>
        <v/>
      </c>
      <c r="O252" s="15"/>
      <c r="P252" s="15" t="str">
        <f>IFERROR(INDEX('Formulación PDN 2027'!$AA$7:$AA$506,MATCH(ROW()-5,'Formulación PDN 2027'!$AK$7:$AK$506,0))&amp;"","")</f>
        <v/>
      </c>
      <c r="Q252" s="15" t="str">
        <f>IFERROR(INDEX('Formulación PDN 2027'!$AB$7:$AB$506,MATCH(ROW()-5,'Formulación PDN 2027'!$AK$7:$AK$506,0))&amp;"","")</f>
        <v/>
      </c>
      <c r="R252" s="15" t="str">
        <f>IFERROR(INDEX('Formulación PDN 2027'!$AD$7:$AD$506,MATCH(ROW()-5,'Formulación PDN 2027'!$AK$7:$AK$506,0))&amp;"","")</f>
        <v/>
      </c>
      <c r="S252" s="15" t="str">
        <f>IFERROR(INDEX('Formulación PDN 2027'!$AE$7:$AE$506,MATCH(ROW()-5,'Formulación PDN 2027'!$AK$7:$AK$506,0))&amp;"","")</f>
        <v/>
      </c>
      <c r="T252" s="15" t="str">
        <f>IFERROR(INDEX('Formulación PDN 2027'!$C$7:$C$506,MATCH(ROW()-5,'Formulación PDN 2027'!$AK$7:$AK$506,0))&amp;"","")</f>
        <v/>
      </c>
      <c r="U252" s="15" t="str">
        <f>IFERROR(INDEX('Formulación PDN 2027'!$B$7:$B$506,MATCH(ROW()-5,'Formulación PDN 2027'!$AK$7:$AK$506,0))&amp;"","")</f>
        <v/>
      </c>
      <c r="V252" s="15" t="str">
        <f>IFERROR(LEFT(INDEX('Formulación PDN 2027'!$E$7:$E$506,MATCH(ROW()-5,'Formulación PDN 2027'!$AK$7:$AK$506,0)),7),"")</f>
        <v/>
      </c>
      <c r="W252" s="15" t="str">
        <f>IFERROR(INDEX('Formulación PDN 2027'!$H$7:$H$506,MATCH(ROW()-5,'Formulación PDN 2027'!$AK$7:$AK$506,0))&amp;"","")</f>
        <v/>
      </c>
      <c r="X252" s="15" t="str">
        <f>IFERROR(INDEX('Formulación PDN 2027'!$U$7:$U$506,MATCH(ROW()-5,'Formulación PDN 2027'!$AK$7:$AK$506,0))&amp;"","")</f>
        <v/>
      </c>
      <c r="Y252" s="15" t="str">
        <f>IFERROR(INDEX('Formulación PDN 2027'!$AH$7:$AH$506,MATCH(ROW()-5,'Formulación PDN 2027'!$AK$7:$AK$506,0))&amp;"","")</f>
        <v/>
      </c>
    </row>
    <row r="253" spans="1:25" x14ac:dyDescent="0.3">
      <c r="A253" s="15" t="str">
        <f>IFERROR(INDEX('Formulación PDN 2027'!$A$7:$A$506,MATCH(ROW()-5,'Formulación PDN 2027'!$AK$7:$AK$506,0))&amp;"","")</f>
        <v/>
      </c>
      <c r="B253" s="20" t="str">
        <f>IFERROR(INDEX('Formulación PDN 2027'!$M$7:$M$506,MATCH(ROW()-5,'Formulación PDN 2027'!$AK$7:$AK$506,0)),"")</f>
        <v/>
      </c>
      <c r="C253" s="15" t="str">
        <f>IFERROR(INDEX('Formulación PDN 2027'!$N$7:$N$506,MATCH(ROW()-5,'Formulación PDN 2027'!$AK$7:$AK$506,0))&amp;"","")</f>
        <v/>
      </c>
      <c r="D253" s="15" t="str">
        <f>IFERROR(INDEX('Formulación PDN 2027'!$L$7:$L$506,MATCH(ROW()-5,'Formulación PDN 2027'!$AK$7:$AK$506,0))&amp;"","")</f>
        <v/>
      </c>
      <c r="E253" s="15" t="str">
        <f>IFERROR(MATCH(INDEX('Formulación PDN 2027'!$O$7:$O$506,MATCH(ROW()-5,'Formulación PDN 2027'!$AK$7:$AK$506,0)),L_MESES,0),"")</f>
        <v/>
      </c>
      <c r="F253" s="15" t="str">
        <f>IFERROR(MATCH(INDEX('Formulación PDN 2027'!$P$7:$P$506,MATCH(ROW()-5,'Formulación PDN 2027'!$AK$7:$AK$506,0)),L_MESES,0),"")</f>
        <v/>
      </c>
      <c r="G253" s="15" t="str">
        <f>IFERROR(INDEX('Formulación PDN 2027'!$Q$7:$Q$506,MATCH(ROW()-5,'Formulación PDN 2027'!$AK$7:$AK$506,0)),"")</f>
        <v/>
      </c>
      <c r="H253" s="15" t="str">
        <f>IFERROR(INDEX('Formulación PDN 2027'!$R$7:$R$506,MATCH(ROW()-5,'Formulación PDN 2027'!$AK$7:$AK$506,0))&amp;"","")</f>
        <v/>
      </c>
      <c r="I253" s="15" t="str">
        <f>IFERROR(INDEX('Formulación PDN 2027'!$S$7:$S$506,MATCH(ROW()-5,'Formulación PDN 2027'!$AK$7:$AK$506,0))&amp;"","")</f>
        <v/>
      </c>
      <c r="J253" s="15" t="str">
        <f>IFERROR(INDEX('Formulación PDN 2027'!$T$7:$T$506,MATCH(ROW()-5,'Formulación PDN 2027'!$AK$7:$AK$506,0))&amp;"","")</f>
        <v/>
      </c>
      <c r="K253" s="43" t="str">
        <f>IFERROR(INDEX('Formulación PDN 2027'!$W$7:$W$506,MATCH(ROW()-5,'Formulación PDN 2027'!$AK$7:$AK$506,0)),"")</f>
        <v/>
      </c>
      <c r="L253" s="43" t="str">
        <f>IFERROR(INDEX('Formulación PDN 2027'!$X$7:$X$506,MATCH(ROW()-5,'Formulación PDN 2027'!$AK$7:$AK$506,0)),"")</f>
        <v/>
      </c>
      <c r="M253" s="15" t="str">
        <f>IFERROR(INDEX('Formulación PDN 2027'!$Y$7:$Y$506,MATCH(ROW()-5,'Formulación PDN 2027'!$AK$7:$AK$506,0))&amp;"","")</f>
        <v/>
      </c>
      <c r="N253" s="15" t="str">
        <f>IFERROR(INDEX('Formulación PDN 2027'!$Z$7:$Z$506,MATCH(ROW()-5,'Formulación PDN 2027'!$AK$7:$AK$506,0))&amp;"","")</f>
        <v/>
      </c>
      <c r="O253" s="15"/>
      <c r="P253" s="15" t="str">
        <f>IFERROR(INDEX('Formulación PDN 2027'!$AA$7:$AA$506,MATCH(ROW()-5,'Formulación PDN 2027'!$AK$7:$AK$506,0))&amp;"","")</f>
        <v/>
      </c>
      <c r="Q253" s="15" t="str">
        <f>IFERROR(INDEX('Formulación PDN 2027'!$AB$7:$AB$506,MATCH(ROW()-5,'Formulación PDN 2027'!$AK$7:$AK$506,0))&amp;"","")</f>
        <v/>
      </c>
      <c r="R253" s="15" t="str">
        <f>IFERROR(INDEX('Formulación PDN 2027'!$AD$7:$AD$506,MATCH(ROW()-5,'Formulación PDN 2027'!$AK$7:$AK$506,0))&amp;"","")</f>
        <v/>
      </c>
      <c r="S253" s="15" t="str">
        <f>IFERROR(INDEX('Formulación PDN 2027'!$AE$7:$AE$506,MATCH(ROW()-5,'Formulación PDN 2027'!$AK$7:$AK$506,0))&amp;"","")</f>
        <v/>
      </c>
      <c r="T253" s="15" t="str">
        <f>IFERROR(INDEX('Formulación PDN 2027'!$C$7:$C$506,MATCH(ROW()-5,'Formulación PDN 2027'!$AK$7:$AK$506,0))&amp;"","")</f>
        <v/>
      </c>
      <c r="U253" s="15" t="str">
        <f>IFERROR(INDEX('Formulación PDN 2027'!$B$7:$B$506,MATCH(ROW()-5,'Formulación PDN 2027'!$AK$7:$AK$506,0))&amp;"","")</f>
        <v/>
      </c>
      <c r="V253" s="15" t="str">
        <f>IFERROR(LEFT(INDEX('Formulación PDN 2027'!$E$7:$E$506,MATCH(ROW()-5,'Formulación PDN 2027'!$AK$7:$AK$506,0)),7),"")</f>
        <v/>
      </c>
      <c r="W253" s="15" t="str">
        <f>IFERROR(INDEX('Formulación PDN 2027'!$H$7:$H$506,MATCH(ROW()-5,'Formulación PDN 2027'!$AK$7:$AK$506,0))&amp;"","")</f>
        <v/>
      </c>
      <c r="X253" s="15" t="str">
        <f>IFERROR(INDEX('Formulación PDN 2027'!$U$7:$U$506,MATCH(ROW()-5,'Formulación PDN 2027'!$AK$7:$AK$506,0))&amp;"","")</f>
        <v/>
      </c>
      <c r="Y253" s="15" t="str">
        <f>IFERROR(INDEX('Formulación PDN 2027'!$AH$7:$AH$506,MATCH(ROW()-5,'Formulación PDN 2027'!$AK$7:$AK$506,0))&amp;"","")</f>
        <v/>
      </c>
    </row>
    <row r="254" spans="1:25" x14ac:dyDescent="0.3">
      <c r="A254" s="15" t="str">
        <f>IFERROR(INDEX('Formulación PDN 2027'!$A$7:$A$506,MATCH(ROW()-5,'Formulación PDN 2027'!$AK$7:$AK$506,0))&amp;"","")</f>
        <v/>
      </c>
      <c r="B254" s="20" t="str">
        <f>IFERROR(INDEX('Formulación PDN 2027'!$M$7:$M$506,MATCH(ROW()-5,'Formulación PDN 2027'!$AK$7:$AK$506,0)),"")</f>
        <v/>
      </c>
      <c r="C254" s="15" t="str">
        <f>IFERROR(INDEX('Formulación PDN 2027'!$N$7:$N$506,MATCH(ROW()-5,'Formulación PDN 2027'!$AK$7:$AK$506,0))&amp;"","")</f>
        <v/>
      </c>
      <c r="D254" s="15" t="str">
        <f>IFERROR(INDEX('Formulación PDN 2027'!$L$7:$L$506,MATCH(ROW()-5,'Formulación PDN 2027'!$AK$7:$AK$506,0))&amp;"","")</f>
        <v/>
      </c>
      <c r="E254" s="15" t="str">
        <f>IFERROR(MATCH(INDEX('Formulación PDN 2027'!$O$7:$O$506,MATCH(ROW()-5,'Formulación PDN 2027'!$AK$7:$AK$506,0)),L_MESES,0),"")</f>
        <v/>
      </c>
      <c r="F254" s="15" t="str">
        <f>IFERROR(MATCH(INDEX('Formulación PDN 2027'!$P$7:$P$506,MATCH(ROW()-5,'Formulación PDN 2027'!$AK$7:$AK$506,0)),L_MESES,0),"")</f>
        <v/>
      </c>
      <c r="G254" s="15" t="str">
        <f>IFERROR(INDEX('Formulación PDN 2027'!$Q$7:$Q$506,MATCH(ROW()-5,'Formulación PDN 2027'!$AK$7:$AK$506,0)),"")</f>
        <v/>
      </c>
      <c r="H254" s="15" t="str">
        <f>IFERROR(INDEX('Formulación PDN 2027'!$R$7:$R$506,MATCH(ROW()-5,'Formulación PDN 2027'!$AK$7:$AK$506,0))&amp;"","")</f>
        <v/>
      </c>
      <c r="I254" s="15" t="str">
        <f>IFERROR(INDEX('Formulación PDN 2027'!$S$7:$S$506,MATCH(ROW()-5,'Formulación PDN 2027'!$AK$7:$AK$506,0))&amp;"","")</f>
        <v/>
      </c>
      <c r="J254" s="15" t="str">
        <f>IFERROR(INDEX('Formulación PDN 2027'!$T$7:$T$506,MATCH(ROW()-5,'Formulación PDN 2027'!$AK$7:$AK$506,0))&amp;"","")</f>
        <v/>
      </c>
      <c r="K254" s="43" t="str">
        <f>IFERROR(INDEX('Formulación PDN 2027'!$W$7:$W$506,MATCH(ROW()-5,'Formulación PDN 2027'!$AK$7:$AK$506,0)),"")</f>
        <v/>
      </c>
      <c r="L254" s="43" t="str">
        <f>IFERROR(INDEX('Formulación PDN 2027'!$X$7:$X$506,MATCH(ROW()-5,'Formulación PDN 2027'!$AK$7:$AK$506,0)),"")</f>
        <v/>
      </c>
      <c r="M254" s="15" t="str">
        <f>IFERROR(INDEX('Formulación PDN 2027'!$Y$7:$Y$506,MATCH(ROW()-5,'Formulación PDN 2027'!$AK$7:$AK$506,0))&amp;"","")</f>
        <v/>
      </c>
      <c r="N254" s="15" t="str">
        <f>IFERROR(INDEX('Formulación PDN 2027'!$Z$7:$Z$506,MATCH(ROW()-5,'Formulación PDN 2027'!$AK$7:$AK$506,0))&amp;"","")</f>
        <v/>
      </c>
      <c r="O254" s="15"/>
      <c r="P254" s="15" t="str">
        <f>IFERROR(INDEX('Formulación PDN 2027'!$AA$7:$AA$506,MATCH(ROW()-5,'Formulación PDN 2027'!$AK$7:$AK$506,0))&amp;"","")</f>
        <v/>
      </c>
      <c r="Q254" s="15" t="str">
        <f>IFERROR(INDEX('Formulación PDN 2027'!$AB$7:$AB$506,MATCH(ROW()-5,'Formulación PDN 2027'!$AK$7:$AK$506,0))&amp;"","")</f>
        <v/>
      </c>
      <c r="R254" s="15" t="str">
        <f>IFERROR(INDEX('Formulación PDN 2027'!$AD$7:$AD$506,MATCH(ROW()-5,'Formulación PDN 2027'!$AK$7:$AK$506,0))&amp;"","")</f>
        <v/>
      </c>
      <c r="S254" s="15" t="str">
        <f>IFERROR(INDEX('Formulación PDN 2027'!$AE$7:$AE$506,MATCH(ROW()-5,'Formulación PDN 2027'!$AK$7:$AK$506,0))&amp;"","")</f>
        <v/>
      </c>
      <c r="T254" s="15" t="str">
        <f>IFERROR(INDEX('Formulación PDN 2027'!$C$7:$C$506,MATCH(ROW()-5,'Formulación PDN 2027'!$AK$7:$AK$506,0))&amp;"","")</f>
        <v/>
      </c>
      <c r="U254" s="15" t="str">
        <f>IFERROR(INDEX('Formulación PDN 2027'!$B$7:$B$506,MATCH(ROW()-5,'Formulación PDN 2027'!$AK$7:$AK$506,0))&amp;"","")</f>
        <v/>
      </c>
      <c r="V254" s="15" t="str">
        <f>IFERROR(LEFT(INDEX('Formulación PDN 2027'!$E$7:$E$506,MATCH(ROW()-5,'Formulación PDN 2027'!$AK$7:$AK$506,0)),7),"")</f>
        <v/>
      </c>
      <c r="W254" s="15" t="str">
        <f>IFERROR(INDEX('Formulación PDN 2027'!$H$7:$H$506,MATCH(ROW()-5,'Formulación PDN 2027'!$AK$7:$AK$506,0))&amp;"","")</f>
        <v/>
      </c>
      <c r="X254" s="15" t="str">
        <f>IFERROR(INDEX('Formulación PDN 2027'!$U$7:$U$506,MATCH(ROW()-5,'Formulación PDN 2027'!$AK$7:$AK$506,0))&amp;"","")</f>
        <v/>
      </c>
      <c r="Y254" s="15" t="str">
        <f>IFERROR(INDEX('Formulación PDN 2027'!$AH$7:$AH$506,MATCH(ROW()-5,'Formulación PDN 2027'!$AK$7:$AK$506,0))&amp;"","")</f>
        <v/>
      </c>
    </row>
    <row r="255" spans="1:25" x14ac:dyDescent="0.3">
      <c r="A255" s="15" t="str">
        <f>IFERROR(INDEX('Formulación PDN 2027'!$A$7:$A$506,MATCH(ROW()-5,'Formulación PDN 2027'!$AK$7:$AK$506,0))&amp;"","")</f>
        <v/>
      </c>
      <c r="B255" s="20" t="str">
        <f>IFERROR(INDEX('Formulación PDN 2027'!$M$7:$M$506,MATCH(ROW()-5,'Formulación PDN 2027'!$AK$7:$AK$506,0)),"")</f>
        <v/>
      </c>
      <c r="C255" s="15" t="str">
        <f>IFERROR(INDEX('Formulación PDN 2027'!$N$7:$N$506,MATCH(ROW()-5,'Formulación PDN 2027'!$AK$7:$AK$506,0))&amp;"","")</f>
        <v/>
      </c>
      <c r="D255" s="15" t="str">
        <f>IFERROR(INDEX('Formulación PDN 2027'!$L$7:$L$506,MATCH(ROW()-5,'Formulación PDN 2027'!$AK$7:$AK$506,0))&amp;"","")</f>
        <v/>
      </c>
      <c r="E255" s="15" t="str">
        <f>IFERROR(MATCH(INDEX('Formulación PDN 2027'!$O$7:$O$506,MATCH(ROW()-5,'Formulación PDN 2027'!$AK$7:$AK$506,0)),L_MESES,0),"")</f>
        <v/>
      </c>
      <c r="F255" s="15" t="str">
        <f>IFERROR(MATCH(INDEX('Formulación PDN 2027'!$P$7:$P$506,MATCH(ROW()-5,'Formulación PDN 2027'!$AK$7:$AK$506,0)),L_MESES,0),"")</f>
        <v/>
      </c>
      <c r="G255" s="15" t="str">
        <f>IFERROR(INDEX('Formulación PDN 2027'!$Q$7:$Q$506,MATCH(ROW()-5,'Formulación PDN 2027'!$AK$7:$AK$506,0)),"")</f>
        <v/>
      </c>
      <c r="H255" s="15" t="str">
        <f>IFERROR(INDEX('Formulación PDN 2027'!$R$7:$R$506,MATCH(ROW()-5,'Formulación PDN 2027'!$AK$7:$AK$506,0))&amp;"","")</f>
        <v/>
      </c>
      <c r="I255" s="15" t="str">
        <f>IFERROR(INDEX('Formulación PDN 2027'!$S$7:$S$506,MATCH(ROW()-5,'Formulación PDN 2027'!$AK$7:$AK$506,0))&amp;"","")</f>
        <v/>
      </c>
      <c r="J255" s="15" t="str">
        <f>IFERROR(INDEX('Formulación PDN 2027'!$T$7:$T$506,MATCH(ROW()-5,'Formulación PDN 2027'!$AK$7:$AK$506,0))&amp;"","")</f>
        <v/>
      </c>
      <c r="K255" s="43" t="str">
        <f>IFERROR(INDEX('Formulación PDN 2027'!$W$7:$W$506,MATCH(ROW()-5,'Formulación PDN 2027'!$AK$7:$AK$506,0)),"")</f>
        <v/>
      </c>
      <c r="L255" s="43" t="str">
        <f>IFERROR(INDEX('Formulación PDN 2027'!$X$7:$X$506,MATCH(ROW()-5,'Formulación PDN 2027'!$AK$7:$AK$506,0)),"")</f>
        <v/>
      </c>
      <c r="M255" s="15" t="str">
        <f>IFERROR(INDEX('Formulación PDN 2027'!$Y$7:$Y$506,MATCH(ROW()-5,'Formulación PDN 2027'!$AK$7:$AK$506,0))&amp;"","")</f>
        <v/>
      </c>
      <c r="N255" s="15" t="str">
        <f>IFERROR(INDEX('Formulación PDN 2027'!$Z$7:$Z$506,MATCH(ROW()-5,'Formulación PDN 2027'!$AK$7:$AK$506,0))&amp;"","")</f>
        <v/>
      </c>
      <c r="O255" s="15"/>
      <c r="P255" s="15" t="str">
        <f>IFERROR(INDEX('Formulación PDN 2027'!$AA$7:$AA$506,MATCH(ROW()-5,'Formulación PDN 2027'!$AK$7:$AK$506,0))&amp;"","")</f>
        <v/>
      </c>
      <c r="Q255" s="15" t="str">
        <f>IFERROR(INDEX('Formulación PDN 2027'!$AB$7:$AB$506,MATCH(ROW()-5,'Formulación PDN 2027'!$AK$7:$AK$506,0))&amp;"","")</f>
        <v/>
      </c>
      <c r="R255" s="15" t="str">
        <f>IFERROR(INDEX('Formulación PDN 2027'!$AD$7:$AD$506,MATCH(ROW()-5,'Formulación PDN 2027'!$AK$7:$AK$506,0))&amp;"","")</f>
        <v/>
      </c>
      <c r="S255" s="15" t="str">
        <f>IFERROR(INDEX('Formulación PDN 2027'!$AE$7:$AE$506,MATCH(ROW()-5,'Formulación PDN 2027'!$AK$7:$AK$506,0))&amp;"","")</f>
        <v/>
      </c>
      <c r="T255" s="15" t="str">
        <f>IFERROR(INDEX('Formulación PDN 2027'!$C$7:$C$506,MATCH(ROW()-5,'Formulación PDN 2027'!$AK$7:$AK$506,0))&amp;"","")</f>
        <v/>
      </c>
      <c r="U255" s="15" t="str">
        <f>IFERROR(INDEX('Formulación PDN 2027'!$B$7:$B$506,MATCH(ROW()-5,'Formulación PDN 2027'!$AK$7:$AK$506,0))&amp;"","")</f>
        <v/>
      </c>
      <c r="V255" s="15" t="str">
        <f>IFERROR(LEFT(INDEX('Formulación PDN 2027'!$E$7:$E$506,MATCH(ROW()-5,'Formulación PDN 2027'!$AK$7:$AK$506,0)),7),"")</f>
        <v/>
      </c>
      <c r="W255" s="15" t="str">
        <f>IFERROR(INDEX('Formulación PDN 2027'!$H$7:$H$506,MATCH(ROW()-5,'Formulación PDN 2027'!$AK$7:$AK$506,0))&amp;"","")</f>
        <v/>
      </c>
      <c r="X255" s="15" t="str">
        <f>IFERROR(INDEX('Formulación PDN 2027'!$U$7:$U$506,MATCH(ROW()-5,'Formulación PDN 2027'!$AK$7:$AK$506,0))&amp;"","")</f>
        <v/>
      </c>
      <c r="Y255" s="15" t="str">
        <f>IFERROR(INDEX('Formulación PDN 2027'!$AH$7:$AH$506,MATCH(ROW()-5,'Formulación PDN 2027'!$AK$7:$AK$506,0))&amp;"","")</f>
        <v/>
      </c>
    </row>
    <row r="256" spans="1:25" x14ac:dyDescent="0.3">
      <c r="A256" s="15" t="str">
        <f>IFERROR(INDEX('Formulación PDN 2027'!$A$7:$A$506,MATCH(ROW()-5,'Formulación PDN 2027'!$AK$7:$AK$506,0))&amp;"","")</f>
        <v/>
      </c>
      <c r="B256" s="20" t="str">
        <f>IFERROR(INDEX('Formulación PDN 2027'!$M$7:$M$506,MATCH(ROW()-5,'Formulación PDN 2027'!$AK$7:$AK$506,0)),"")</f>
        <v/>
      </c>
      <c r="C256" s="15" t="str">
        <f>IFERROR(INDEX('Formulación PDN 2027'!$N$7:$N$506,MATCH(ROW()-5,'Formulación PDN 2027'!$AK$7:$AK$506,0))&amp;"","")</f>
        <v/>
      </c>
      <c r="D256" s="15" t="str">
        <f>IFERROR(INDEX('Formulación PDN 2027'!$L$7:$L$506,MATCH(ROW()-5,'Formulación PDN 2027'!$AK$7:$AK$506,0))&amp;"","")</f>
        <v/>
      </c>
      <c r="E256" s="15" t="str">
        <f>IFERROR(MATCH(INDEX('Formulación PDN 2027'!$O$7:$O$506,MATCH(ROW()-5,'Formulación PDN 2027'!$AK$7:$AK$506,0)),L_MESES,0),"")</f>
        <v/>
      </c>
      <c r="F256" s="15" t="str">
        <f>IFERROR(MATCH(INDEX('Formulación PDN 2027'!$P$7:$P$506,MATCH(ROW()-5,'Formulación PDN 2027'!$AK$7:$AK$506,0)),L_MESES,0),"")</f>
        <v/>
      </c>
      <c r="G256" s="15" t="str">
        <f>IFERROR(INDEX('Formulación PDN 2027'!$Q$7:$Q$506,MATCH(ROW()-5,'Formulación PDN 2027'!$AK$7:$AK$506,0)),"")</f>
        <v/>
      </c>
      <c r="H256" s="15" t="str">
        <f>IFERROR(INDEX('Formulación PDN 2027'!$R$7:$R$506,MATCH(ROW()-5,'Formulación PDN 2027'!$AK$7:$AK$506,0))&amp;"","")</f>
        <v/>
      </c>
      <c r="I256" s="15" t="str">
        <f>IFERROR(INDEX('Formulación PDN 2027'!$S$7:$S$506,MATCH(ROW()-5,'Formulación PDN 2027'!$AK$7:$AK$506,0))&amp;"","")</f>
        <v/>
      </c>
      <c r="J256" s="15" t="str">
        <f>IFERROR(INDEX('Formulación PDN 2027'!$T$7:$T$506,MATCH(ROW()-5,'Formulación PDN 2027'!$AK$7:$AK$506,0))&amp;"","")</f>
        <v/>
      </c>
      <c r="K256" s="43" t="str">
        <f>IFERROR(INDEX('Formulación PDN 2027'!$W$7:$W$506,MATCH(ROW()-5,'Formulación PDN 2027'!$AK$7:$AK$506,0)),"")</f>
        <v/>
      </c>
      <c r="L256" s="43" t="str">
        <f>IFERROR(INDEX('Formulación PDN 2027'!$X$7:$X$506,MATCH(ROW()-5,'Formulación PDN 2027'!$AK$7:$AK$506,0)),"")</f>
        <v/>
      </c>
      <c r="M256" s="15" t="str">
        <f>IFERROR(INDEX('Formulación PDN 2027'!$Y$7:$Y$506,MATCH(ROW()-5,'Formulación PDN 2027'!$AK$7:$AK$506,0))&amp;"","")</f>
        <v/>
      </c>
      <c r="N256" s="15" t="str">
        <f>IFERROR(INDEX('Formulación PDN 2027'!$Z$7:$Z$506,MATCH(ROW()-5,'Formulación PDN 2027'!$AK$7:$AK$506,0))&amp;"","")</f>
        <v/>
      </c>
      <c r="O256" s="15"/>
      <c r="P256" s="15" t="str">
        <f>IFERROR(INDEX('Formulación PDN 2027'!$AA$7:$AA$506,MATCH(ROW()-5,'Formulación PDN 2027'!$AK$7:$AK$506,0))&amp;"","")</f>
        <v/>
      </c>
      <c r="Q256" s="15" t="str">
        <f>IFERROR(INDEX('Formulación PDN 2027'!$AB$7:$AB$506,MATCH(ROW()-5,'Formulación PDN 2027'!$AK$7:$AK$506,0))&amp;"","")</f>
        <v/>
      </c>
      <c r="R256" s="15" t="str">
        <f>IFERROR(INDEX('Formulación PDN 2027'!$AD$7:$AD$506,MATCH(ROW()-5,'Formulación PDN 2027'!$AK$7:$AK$506,0))&amp;"","")</f>
        <v/>
      </c>
      <c r="S256" s="15" t="str">
        <f>IFERROR(INDEX('Formulación PDN 2027'!$AE$7:$AE$506,MATCH(ROW()-5,'Formulación PDN 2027'!$AK$7:$AK$506,0))&amp;"","")</f>
        <v/>
      </c>
      <c r="T256" s="15" t="str">
        <f>IFERROR(INDEX('Formulación PDN 2027'!$C$7:$C$506,MATCH(ROW()-5,'Formulación PDN 2027'!$AK$7:$AK$506,0))&amp;"","")</f>
        <v/>
      </c>
      <c r="U256" s="15" t="str">
        <f>IFERROR(INDEX('Formulación PDN 2027'!$B$7:$B$506,MATCH(ROW()-5,'Formulación PDN 2027'!$AK$7:$AK$506,0))&amp;"","")</f>
        <v/>
      </c>
      <c r="V256" s="15" t="str">
        <f>IFERROR(LEFT(INDEX('Formulación PDN 2027'!$E$7:$E$506,MATCH(ROW()-5,'Formulación PDN 2027'!$AK$7:$AK$506,0)),7),"")</f>
        <v/>
      </c>
      <c r="W256" s="15" t="str">
        <f>IFERROR(INDEX('Formulación PDN 2027'!$H$7:$H$506,MATCH(ROW()-5,'Formulación PDN 2027'!$AK$7:$AK$506,0))&amp;"","")</f>
        <v/>
      </c>
      <c r="X256" s="15" t="str">
        <f>IFERROR(INDEX('Formulación PDN 2027'!$U$7:$U$506,MATCH(ROW()-5,'Formulación PDN 2027'!$AK$7:$AK$506,0))&amp;"","")</f>
        <v/>
      </c>
      <c r="Y256" s="15" t="str">
        <f>IFERROR(INDEX('Formulación PDN 2027'!$AH$7:$AH$506,MATCH(ROW()-5,'Formulación PDN 2027'!$AK$7:$AK$506,0))&amp;"","")</f>
        <v/>
      </c>
    </row>
    <row r="257" spans="1:25" x14ac:dyDescent="0.3">
      <c r="A257" s="15" t="str">
        <f>IFERROR(INDEX('Formulación PDN 2027'!$A$7:$A$506,MATCH(ROW()-5,'Formulación PDN 2027'!$AK$7:$AK$506,0))&amp;"","")</f>
        <v/>
      </c>
      <c r="B257" s="20" t="str">
        <f>IFERROR(INDEX('Formulación PDN 2027'!$M$7:$M$506,MATCH(ROW()-5,'Formulación PDN 2027'!$AK$7:$AK$506,0)),"")</f>
        <v/>
      </c>
      <c r="C257" s="15" t="str">
        <f>IFERROR(INDEX('Formulación PDN 2027'!$N$7:$N$506,MATCH(ROW()-5,'Formulación PDN 2027'!$AK$7:$AK$506,0))&amp;"","")</f>
        <v/>
      </c>
      <c r="D257" s="15" t="str">
        <f>IFERROR(INDEX('Formulación PDN 2027'!$L$7:$L$506,MATCH(ROW()-5,'Formulación PDN 2027'!$AK$7:$AK$506,0))&amp;"","")</f>
        <v/>
      </c>
      <c r="E257" s="15" t="str">
        <f>IFERROR(MATCH(INDEX('Formulación PDN 2027'!$O$7:$O$506,MATCH(ROW()-5,'Formulación PDN 2027'!$AK$7:$AK$506,0)),L_MESES,0),"")</f>
        <v/>
      </c>
      <c r="F257" s="15" t="str">
        <f>IFERROR(MATCH(INDEX('Formulación PDN 2027'!$P$7:$P$506,MATCH(ROW()-5,'Formulación PDN 2027'!$AK$7:$AK$506,0)),L_MESES,0),"")</f>
        <v/>
      </c>
      <c r="G257" s="15" t="str">
        <f>IFERROR(INDEX('Formulación PDN 2027'!$Q$7:$Q$506,MATCH(ROW()-5,'Formulación PDN 2027'!$AK$7:$AK$506,0)),"")</f>
        <v/>
      </c>
      <c r="H257" s="15" t="str">
        <f>IFERROR(INDEX('Formulación PDN 2027'!$R$7:$R$506,MATCH(ROW()-5,'Formulación PDN 2027'!$AK$7:$AK$506,0))&amp;"","")</f>
        <v/>
      </c>
      <c r="I257" s="15" t="str">
        <f>IFERROR(INDEX('Formulación PDN 2027'!$S$7:$S$506,MATCH(ROW()-5,'Formulación PDN 2027'!$AK$7:$AK$506,0))&amp;"","")</f>
        <v/>
      </c>
      <c r="J257" s="15" t="str">
        <f>IFERROR(INDEX('Formulación PDN 2027'!$T$7:$T$506,MATCH(ROW()-5,'Formulación PDN 2027'!$AK$7:$AK$506,0))&amp;"","")</f>
        <v/>
      </c>
      <c r="K257" s="43" t="str">
        <f>IFERROR(INDEX('Formulación PDN 2027'!$W$7:$W$506,MATCH(ROW()-5,'Formulación PDN 2027'!$AK$7:$AK$506,0)),"")</f>
        <v/>
      </c>
      <c r="L257" s="43" t="str">
        <f>IFERROR(INDEX('Formulación PDN 2027'!$X$7:$X$506,MATCH(ROW()-5,'Formulación PDN 2027'!$AK$7:$AK$506,0)),"")</f>
        <v/>
      </c>
      <c r="M257" s="15" t="str">
        <f>IFERROR(INDEX('Formulación PDN 2027'!$Y$7:$Y$506,MATCH(ROW()-5,'Formulación PDN 2027'!$AK$7:$AK$506,0))&amp;"","")</f>
        <v/>
      </c>
      <c r="N257" s="15" t="str">
        <f>IFERROR(INDEX('Formulación PDN 2027'!$Z$7:$Z$506,MATCH(ROW()-5,'Formulación PDN 2027'!$AK$7:$AK$506,0))&amp;"","")</f>
        <v/>
      </c>
      <c r="O257" s="15"/>
      <c r="P257" s="15" t="str">
        <f>IFERROR(INDEX('Formulación PDN 2027'!$AA$7:$AA$506,MATCH(ROW()-5,'Formulación PDN 2027'!$AK$7:$AK$506,0))&amp;"","")</f>
        <v/>
      </c>
      <c r="Q257" s="15" t="str">
        <f>IFERROR(INDEX('Formulación PDN 2027'!$AB$7:$AB$506,MATCH(ROW()-5,'Formulación PDN 2027'!$AK$7:$AK$506,0))&amp;"","")</f>
        <v/>
      </c>
      <c r="R257" s="15" t="str">
        <f>IFERROR(INDEX('Formulación PDN 2027'!$AD$7:$AD$506,MATCH(ROW()-5,'Formulación PDN 2027'!$AK$7:$AK$506,0))&amp;"","")</f>
        <v/>
      </c>
      <c r="S257" s="15" t="str">
        <f>IFERROR(INDEX('Formulación PDN 2027'!$AE$7:$AE$506,MATCH(ROW()-5,'Formulación PDN 2027'!$AK$7:$AK$506,0))&amp;"","")</f>
        <v/>
      </c>
      <c r="T257" s="15" t="str">
        <f>IFERROR(INDEX('Formulación PDN 2027'!$C$7:$C$506,MATCH(ROW()-5,'Formulación PDN 2027'!$AK$7:$AK$506,0))&amp;"","")</f>
        <v/>
      </c>
      <c r="U257" s="15" t="str">
        <f>IFERROR(INDEX('Formulación PDN 2027'!$B$7:$B$506,MATCH(ROW()-5,'Formulación PDN 2027'!$AK$7:$AK$506,0))&amp;"","")</f>
        <v/>
      </c>
      <c r="V257" s="15" t="str">
        <f>IFERROR(LEFT(INDEX('Formulación PDN 2027'!$E$7:$E$506,MATCH(ROW()-5,'Formulación PDN 2027'!$AK$7:$AK$506,0)),7),"")</f>
        <v/>
      </c>
      <c r="W257" s="15" t="str">
        <f>IFERROR(INDEX('Formulación PDN 2027'!$H$7:$H$506,MATCH(ROW()-5,'Formulación PDN 2027'!$AK$7:$AK$506,0))&amp;"","")</f>
        <v/>
      </c>
      <c r="X257" s="15" t="str">
        <f>IFERROR(INDEX('Formulación PDN 2027'!$U$7:$U$506,MATCH(ROW()-5,'Formulación PDN 2027'!$AK$7:$AK$506,0))&amp;"","")</f>
        <v/>
      </c>
      <c r="Y257" s="15" t="str">
        <f>IFERROR(INDEX('Formulación PDN 2027'!$AH$7:$AH$506,MATCH(ROW()-5,'Formulación PDN 2027'!$AK$7:$AK$506,0))&amp;"","")</f>
        <v/>
      </c>
    </row>
    <row r="258" spans="1:25" x14ac:dyDescent="0.3">
      <c r="A258" s="15" t="str">
        <f>IFERROR(INDEX('Formulación PDN 2027'!$A$7:$A$506,MATCH(ROW()-5,'Formulación PDN 2027'!$AK$7:$AK$506,0))&amp;"","")</f>
        <v/>
      </c>
      <c r="B258" s="20" t="str">
        <f>IFERROR(INDEX('Formulación PDN 2027'!$M$7:$M$506,MATCH(ROW()-5,'Formulación PDN 2027'!$AK$7:$AK$506,0)),"")</f>
        <v/>
      </c>
      <c r="C258" s="15" t="str">
        <f>IFERROR(INDEX('Formulación PDN 2027'!$N$7:$N$506,MATCH(ROW()-5,'Formulación PDN 2027'!$AK$7:$AK$506,0))&amp;"","")</f>
        <v/>
      </c>
      <c r="D258" s="15" t="str">
        <f>IFERROR(INDEX('Formulación PDN 2027'!$L$7:$L$506,MATCH(ROW()-5,'Formulación PDN 2027'!$AK$7:$AK$506,0))&amp;"","")</f>
        <v/>
      </c>
      <c r="E258" s="15" t="str">
        <f>IFERROR(MATCH(INDEX('Formulación PDN 2027'!$O$7:$O$506,MATCH(ROW()-5,'Formulación PDN 2027'!$AK$7:$AK$506,0)),L_MESES,0),"")</f>
        <v/>
      </c>
      <c r="F258" s="15" t="str">
        <f>IFERROR(MATCH(INDEX('Formulación PDN 2027'!$P$7:$P$506,MATCH(ROW()-5,'Formulación PDN 2027'!$AK$7:$AK$506,0)),L_MESES,0),"")</f>
        <v/>
      </c>
      <c r="G258" s="15" t="str">
        <f>IFERROR(INDEX('Formulación PDN 2027'!$Q$7:$Q$506,MATCH(ROW()-5,'Formulación PDN 2027'!$AK$7:$AK$506,0)),"")</f>
        <v/>
      </c>
      <c r="H258" s="15" t="str">
        <f>IFERROR(INDEX('Formulación PDN 2027'!$R$7:$R$506,MATCH(ROW()-5,'Formulación PDN 2027'!$AK$7:$AK$506,0))&amp;"","")</f>
        <v/>
      </c>
      <c r="I258" s="15" t="str">
        <f>IFERROR(INDEX('Formulación PDN 2027'!$S$7:$S$506,MATCH(ROW()-5,'Formulación PDN 2027'!$AK$7:$AK$506,0))&amp;"","")</f>
        <v/>
      </c>
      <c r="J258" s="15" t="str">
        <f>IFERROR(INDEX('Formulación PDN 2027'!$T$7:$T$506,MATCH(ROW()-5,'Formulación PDN 2027'!$AK$7:$AK$506,0))&amp;"","")</f>
        <v/>
      </c>
      <c r="K258" s="43" t="str">
        <f>IFERROR(INDEX('Formulación PDN 2027'!$W$7:$W$506,MATCH(ROW()-5,'Formulación PDN 2027'!$AK$7:$AK$506,0)),"")</f>
        <v/>
      </c>
      <c r="L258" s="43" t="str">
        <f>IFERROR(INDEX('Formulación PDN 2027'!$X$7:$X$506,MATCH(ROW()-5,'Formulación PDN 2027'!$AK$7:$AK$506,0)),"")</f>
        <v/>
      </c>
      <c r="M258" s="15" t="str">
        <f>IFERROR(INDEX('Formulación PDN 2027'!$Y$7:$Y$506,MATCH(ROW()-5,'Formulación PDN 2027'!$AK$7:$AK$506,0))&amp;"","")</f>
        <v/>
      </c>
      <c r="N258" s="15" t="str">
        <f>IFERROR(INDEX('Formulación PDN 2027'!$Z$7:$Z$506,MATCH(ROW()-5,'Formulación PDN 2027'!$AK$7:$AK$506,0))&amp;"","")</f>
        <v/>
      </c>
      <c r="O258" s="15"/>
      <c r="P258" s="15" t="str">
        <f>IFERROR(INDEX('Formulación PDN 2027'!$AA$7:$AA$506,MATCH(ROW()-5,'Formulación PDN 2027'!$AK$7:$AK$506,0))&amp;"","")</f>
        <v/>
      </c>
      <c r="Q258" s="15" t="str">
        <f>IFERROR(INDEX('Formulación PDN 2027'!$AB$7:$AB$506,MATCH(ROW()-5,'Formulación PDN 2027'!$AK$7:$AK$506,0))&amp;"","")</f>
        <v/>
      </c>
      <c r="R258" s="15" t="str">
        <f>IFERROR(INDEX('Formulación PDN 2027'!$AD$7:$AD$506,MATCH(ROW()-5,'Formulación PDN 2027'!$AK$7:$AK$506,0))&amp;"","")</f>
        <v/>
      </c>
      <c r="S258" s="15" t="str">
        <f>IFERROR(INDEX('Formulación PDN 2027'!$AE$7:$AE$506,MATCH(ROW()-5,'Formulación PDN 2027'!$AK$7:$AK$506,0))&amp;"","")</f>
        <v/>
      </c>
      <c r="T258" s="15" t="str">
        <f>IFERROR(INDEX('Formulación PDN 2027'!$C$7:$C$506,MATCH(ROW()-5,'Formulación PDN 2027'!$AK$7:$AK$506,0))&amp;"","")</f>
        <v/>
      </c>
      <c r="U258" s="15" t="str">
        <f>IFERROR(INDEX('Formulación PDN 2027'!$B$7:$B$506,MATCH(ROW()-5,'Formulación PDN 2027'!$AK$7:$AK$506,0))&amp;"","")</f>
        <v/>
      </c>
      <c r="V258" s="15" t="str">
        <f>IFERROR(LEFT(INDEX('Formulación PDN 2027'!$E$7:$E$506,MATCH(ROW()-5,'Formulación PDN 2027'!$AK$7:$AK$506,0)),7),"")</f>
        <v/>
      </c>
      <c r="W258" s="15" t="str">
        <f>IFERROR(INDEX('Formulación PDN 2027'!$H$7:$H$506,MATCH(ROW()-5,'Formulación PDN 2027'!$AK$7:$AK$506,0))&amp;"","")</f>
        <v/>
      </c>
      <c r="X258" s="15" t="str">
        <f>IFERROR(INDEX('Formulación PDN 2027'!$U$7:$U$506,MATCH(ROW()-5,'Formulación PDN 2027'!$AK$7:$AK$506,0))&amp;"","")</f>
        <v/>
      </c>
      <c r="Y258" s="15" t="str">
        <f>IFERROR(INDEX('Formulación PDN 2027'!$AH$7:$AH$506,MATCH(ROW()-5,'Formulación PDN 2027'!$AK$7:$AK$506,0))&amp;"","")</f>
        <v/>
      </c>
    </row>
    <row r="259" spans="1:25" x14ac:dyDescent="0.3">
      <c r="A259" s="15" t="str">
        <f>IFERROR(INDEX('Formulación PDN 2027'!$A$7:$A$506,MATCH(ROW()-5,'Formulación PDN 2027'!$AK$7:$AK$506,0))&amp;"","")</f>
        <v/>
      </c>
      <c r="B259" s="20" t="str">
        <f>IFERROR(INDEX('Formulación PDN 2027'!$M$7:$M$506,MATCH(ROW()-5,'Formulación PDN 2027'!$AK$7:$AK$506,0)),"")</f>
        <v/>
      </c>
      <c r="C259" s="15" t="str">
        <f>IFERROR(INDEX('Formulación PDN 2027'!$N$7:$N$506,MATCH(ROW()-5,'Formulación PDN 2027'!$AK$7:$AK$506,0))&amp;"","")</f>
        <v/>
      </c>
      <c r="D259" s="15" t="str">
        <f>IFERROR(INDEX('Formulación PDN 2027'!$L$7:$L$506,MATCH(ROW()-5,'Formulación PDN 2027'!$AK$7:$AK$506,0))&amp;"","")</f>
        <v/>
      </c>
      <c r="E259" s="15" t="str">
        <f>IFERROR(MATCH(INDEX('Formulación PDN 2027'!$O$7:$O$506,MATCH(ROW()-5,'Formulación PDN 2027'!$AK$7:$AK$506,0)),L_MESES,0),"")</f>
        <v/>
      </c>
      <c r="F259" s="15" t="str">
        <f>IFERROR(MATCH(INDEX('Formulación PDN 2027'!$P$7:$P$506,MATCH(ROW()-5,'Formulación PDN 2027'!$AK$7:$AK$506,0)),L_MESES,0),"")</f>
        <v/>
      </c>
      <c r="G259" s="15" t="str">
        <f>IFERROR(INDEX('Formulación PDN 2027'!$Q$7:$Q$506,MATCH(ROW()-5,'Formulación PDN 2027'!$AK$7:$AK$506,0)),"")</f>
        <v/>
      </c>
      <c r="H259" s="15" t="str">
        <f>IFERROR(INDEX('Formulación PDN 2027'!$R$7:$R$506,MATCH(ROW()-5,'Formulación PDN 2027'!$AK$7:$AK$506,0))&amp;"","")</f>
        <v/>
      </c>
      <c r="I259" s="15" t="str">
        <f>IFERROR(INDEX('Formulación PDN 2027'!$S$7:$S$506,MATCH(ROW()-5,'Formulación PDN 2027'!$AK$7:$AK$506,0))&amp;"","")</f>
        <v/>
      </c>
      <c r="J259" s="15" t="str">
        <f>IFERROR(INDEX('Formulación PDN 2027'!$T$7:$T$506,MATCH(ROW()-5,'Formulación PDN 2027'!$AK$7:$AK$506,0))&amp;"","")</f>
        <v/>
      </c>
      <c r="K259" s="43" t="str">
        <f>IFERROR(INDEX('Formulación PDN 2027'!$W$7:$W$506,MATCH(ROW()-5,'Formulación PDN 2027'!$AK$7:$AK$506,0)),"")</f>
        <v/>
      </c>
      <c r="L259" s="43" t="str">
        <f>IFERROR(INDEX('Formulación PDN 2027'!$X$7:$X$506,MATCH(ROW()-5,'Formulación PDN 2027'!$AK$7:$AK$506,0)),"")</f>
        <v/>
      </c>
      <c r="M259" s="15" t="str">
        <f>IFERROR(INDEX('Formulación PDN 2027'!$Y$7:$Y$506,MATCH(ROW()-5,'Formulación PDN 2027'!$AK$7:$AK$506,0))&amp;"","")</f>
        <v/>
      </c>
      <c r="N259" s="15" t="str">
        <f>IFERROR(INDEX('Formulación PDN 2027'!$Z$7:$Z$506,MATCH(ROW()-5,'Formulación PDN 2027'!$AK$7:$AK$506,0))&amp;"","")</f>
        <v/>
      </c>
      <c r="O259" s="15"/>
      <c r="P259" s="15" t="str">
        <f>IFERROR(INDEX('Formulación PDN 2027'!$AA$7:$AA$506,MATCH(ROW()-5,'Formulación PDN 2027'!$AK$7:$AK$506,0))&amp;"","")</f>
        <v/>
      </c>
      <c r="Q259" s="15" t="str">
        <f>IFERROR(INDEX('Formulación PDN 2027'!$AB$7:$AB$506,MATCH(ROW()-5,'Formulación PDN 2027'!$AK$7:$AK$506,0))&amp;"","")</f>
        <v/>
      </c>
      <c r="R259" s="15" t="str">
        <f>IFERROR(INDEX('Formulación PDN 2027'!$AD$7:$AD$506,MATCH(ROW()-5,'Formulación PDN 2027'!$AK$7:$AK$506,0))&amp;"","")</f>
        <v/>
      </c>
      <c r="S259" s="15" t="str">
        <f>IFERROR(INDEX('Formulación PDN 2027'!$AE$7:$AE$506,MATCH(ROW()-5,'Formulación PDN 2027'!$AK$7:$AK$506,0))&amp;"","")</f>
        <v/>
      </c>
      <c r="T259" s="15" t="str">
        <f>IFERROR(INDEX('Formulación PDN 2027'!$C$7:$C$506,MATCH(ROW()-5,'Formulación PDN 2027'!$AK$7:$AK$506,0))&amp;"","")</f>
        <v/>
      </c>
      <c r="U259" s="15" t="str">
        <f>IFERROR(INDEX('Formulación PDN 2027'!$B$7:$B$506,MATCH(ROW()-5,'Formulación PDN 2027'!$AK$7:$AK$506,0))&amp;"","")</f>
        <v/>
      </c>
      <c r="V259" s="15" t="str">
        <f>IFERROR(LEFT(INDEX('Formulación PDN 2027'!$E$7:$E$506,MATCH(ROW()-5,'Formulación PDN 2027'!$AK$7:$AK$506,0)),7),"")</f>
        <v/>
      </c>
      <c r="W259" s="15" t="str">
        <f>IFERROR(INDEX('Formulación PDN 2027'!$H$7:$H$506,MATCH(ROW()-5,'Formulación PDN 2027'!$AK$7:$AK$506,0))&amp;"","")</f>
        <v/>
      </c>
      <c r="X259" s="15" t="str">
        <f>IFERROR(INDEX('Formulación PDN 2027'!$U$7:$U$506,MATCH(ROW()-5,'Formulación PDN 2027'!$AK$7:$AK$506,0))&amp;"","")</f>
        <v/>
      </c>
      <c r="Y259" s="15" t="str">
        <f>IFERROR(INDEX('Formulación PDN 2027'!$AH$7:$AH$506,MATCH(ROW()-5,'Formulación PDN 2027'!$AK$7:$AK$506,0))&amp;"","")</f>
        <v/>
      </c>
    </row>
    <row r="260" spans="1:25" x14ac:dyDescent="0.3">
      <c r="A260" s="15" t="str">
        <f>IFERROR(INDEX('Formulación PDN 2027'!$A$7:$A$506,MATCH(ROW()-5,'Formulación PDN 2027'!$AK$7:$AK$506,0))&amp;"","")</f>
        <v/>
      </c>
      <c r="B260" s="20" t="str">
        <f>IFERROR(INDEX('Formulación PDN 2027'!$M$7:$M$506,MATCH(ROW()-5,'Formulación PDN 2027'!$AK$7:$AK$506,0)),"")</f>
        <v/>
      </c>
      <c r="C260" s="15" t="str">
        <f>IFERROR(INDEX('Formulación PDN 2027'!$N$7:$N$506,MATCH(ROW()-5,'Formulación PDN 2027'!$AK$7:$AK$506,0))&amp;"","")</f>
        <v/>
      </c>
      <c r="D260" s="15" t="str">
        <f>IFERROR(INDEX('Formulación PDN 2027'!$L$7:$L$506,MATCH(ROW()-5,'Formulación PDN 2027'!$AK$7:$AK$506,0))&amp;"","")</f>
        <v/>
      </c>
      <c r="E260" s="15" t="str">
        <f>IFERROR(MATCH(INDEX('Formulación PDN 2027'!$O$7:$O$506,MATCH(ROW()-5,'Formulación PDN 2027'!$AK$7:$AK$506,0)),L_MESES,0),"")</f>
        <v/>
      </c>
      <c r="F260" s="15" t="str">
        <f>IFERROR(MATCH(INDEX('Formulación PDN 2027'!$P$7:$P$506,MATCH(ROW()-5,'Formulación PDN 2027'!$AK$7:$AK$506,0)),L_MESES,0),"")</f>
        <v/>
      </c>
      <c r="G260" s="15" t="str">
        <f>IFERROR(INDEX('Formulación PDN 2027'!$Q$7:$Q$506,MATCH(ROW()-5,'Formulación PDN 2027'!$AK$7:$AK$506,0)),"")</f>
        <v/>
      </c>
      <c r="H260" s="15" t="str">
        <f>IFERROR(INDEX('Formulación PDN 2027'!$R$7:$R$506,MATCH(ROW()-5,'Formulación PDN 2027'!$AK$7:$AK$506,0))&amp;"","")</f>
        <v/>
      </c>
      <c r="I260" s="15" t="str">
        <f>IFERROR(INDEX('Formulación PDN 2027'!$S$7:$S$506,MATCH(ROW()-5,'Formulación PDN 2027'!$AK$7:$AK$506,0))&amp;"","")</f>
        <v/>
      </c>
      <c r="J260" s="15" t="str">
        <f>IFERROR(INDEX('Formulación PDN 2027'!$T$7:$T$506,MATCH(ROW()-5,'Formulación PDN 2027'!$AK$7:$AK$506,0))&amp;"","")</f>
        <v/>
      </c>
      <c r="K260" s="43" t="str">
        <f>IFERROR(INDEX('Formulación PDN 2027'!$W$7:$W$506,MATCH(ROW()-5,'Formulación PDN 2027'!$AK$7:$AK$506,0)),"")</f>
        <v/>
      </c>
      <c r="L260" s="43" t="str">
        <f>IFERROR(INDEX('Formulación PDN 2027'!$X$7:$X$506,MATCH(ROW()-5,'Formulación PDN 2027'!$AK$7:$AK$506,0)),"")</f>
        <v/>
      </c>
      <c r="M260" s="15" t="str">
        <f>IFERROR(INDEX('Formulación PDN 2027'!$Y$7:$Y$506,MATCH(ROW()-5,'Formulación PDN 2027'!$AK$7:$AK$506,0))&amp;"","")</f>
        <v/>
      </c>
      <c r="N260" s="15" t="str">
        <f>IFERROR(INDEX('Formulación PDN 2027'!$Z$7:$Z$506,MATCH(ROW()-5,'Formulación PDN 2027'!$AK$7:$AK$506,0))&amp;"","")</f>
        <v/>
      </c>
      <c r="O260" s="15"/>
      <c r="P260" s="15" t="str">
        <f>IFERROR(INDEX('Formulación PDN 2027'!$AA$7:$AA$506,MATCH(ROW()-5,'Formulación PDN 2027'!$AK$7:$AK$506,0))&amp;"","")</f>
        <v/>
      </c>
      <c r="Q260" s="15" t="str">
        <f>IFERROR(INDEX('Formulación PDN 2027'!$AB$7:$AB$506,MATCH(ROW()-5,'Formulación PDN 2027'!$AK$7:$AK$506,0))&amp;"","")</f>
        <v/>
      </c>
      <c r="R260" s="15" t="str">
        <f>IFERROR(INDEX('Formulación PDN 2027'!$AD$7:$AD$506,MATCH(ROW()-5,'Formulación PDN 2027'!$AK$7:$AK$506,0))&amp;"","")</f>
        <v/>
      </c>
      <c r="S260" s="15" t="str">
        <f>IFERROR(INDEX('Formulación PDN 2027'!$AE$7:$AE$506,MATCH(ROW()-5,'Formulación PDN 2027'!$AK$7:$AK$506,0))&amp;"","")</f>
        <v/>
      </c>
      <c r="T260" s="15" t="str">
        <f>IFERROR(INDEX('Formulación PDN 2027'!$C$7:$C$506,MATCH(ROW()-5,'Formulación PDN 2027'!$AK$7:$AK$506,0))&amp;"","")</f>
        <v/>
      </c>
      <c r="U260" s="15" t="str">
        <f>IFERROR(INDEX('Formulación PDN 2027'!$B$7:$B$506,MATCH(ROW()-5,'Formulación PDN 2027'!$AK$7:$AK$506,0))&amp;"","")</f>
        <v/>
      </c>
      <c r="V260" s="15" t="str">
        <f>IFERROR(LEFT(INDEX('Formulación PDN 2027'!$E$7:$E$506,MATCH(ROW()-5,'Formulación PDN 2027'!$AK$7:$AK$506,0)),7),"")</f>
        <v/>
      </c>
      <c r="W260" s="15" t="str">
        <f>IFERROR(INDEX('Formulación PDN 2027'!$H$7:$H$506,MATCH(ROW()-5,'Formulación PDN 2027'!$AK$7:$AK$506,0))&amp;"","")</f>
        <v/>
      </c>
      <c r="X260" s="15" t="str">
        <f>IFERROR(INDEX('Formulación PDN 2027'!$U$7:$U$506,MATCH(ROW()-5,'Formulación PDN 2027'!$AK$7:$AK$506,0))&amp;"","")</f>
        <v/>
      </c>
      <c r="Y260" s="15" t="str">
        <f>IFERROR(INDEX('Formulación PDN 2027'!$AH$7:$AH$506,MATCH(ROW()-5,'Formulación PDN 2027'!$AK$7:$AK$506,0))&amp;"","")</f>
        <v/>
      </c>
    </row>
    <row r="261" spans="1:25" x14ac:dyDescent="0.3">
      <c r="A261" s="15" t="str">
        <f>IFERROR(INDEX('Formulación PDN 2027'!$A$7:$A$506,MATCH(ROW()-5,'Formulación PDN 2027'!$AK$7:$AK$506,0))&amp;"","")</f>
        <v/>
      </c>
      <c r="B261" s="20" t="str">
        <f>IFERROR(INDEX('Formulación PDN 2027'!$M$7:$M$506,MATCH(ROW()-5,'Formulación PDN 2027'!$AK$7:$AK$506,0)),"")</f>
        <v/>
      </c>
      <c r="C261" s="15" t="str">
        <f>IFERROR(INDEX('Formulación PDN 2027'!$N$7:$N$506,MATCH(ROW()-5,'Formulación PDN 2027'!$AK$7:$AK$506,0))&amp;"","")</f>
        <v/>
      </c>
      <c r="D261" s="15" t="str">
        <f>IFERROR(INDEX('Formulación PDN 2027'!$L$7:$L$506,MATCH(ROW()-5,'Formulación PDN 2027'!$AK$7:$AK$506,0))&amp;"","")</f>
        <v/>
      </c>
      <c r="E261" s="15" t="str">
        <f>IFERROR(MATCH(INDEX('Formulación PDN 2027'!$O$7:$O$506,MATCH(ROW()-5,'Formulación PDN 2027'!$AK$7:$AK$506,0)),L_MESES,0),"")</f>
        <v/>
      </c>
      <c r="F261" s="15" t="str">
        <f>IFERROR(MATCH(INDEX('Formulación PDN 2027'!$P$7:$P$506,MATCH(ROW()-5,'Formulación PDN 2027'!$AK$7:$AK$506,0)),L_MESES,0),"")</f>
        <v/>
      </c>
      <c r="G261" s="15" t="str">
        <f>IFERROR(INDEX('Formulación PDN 2027'!$Q$7:$Q$506,MATCH(ROW()-5,'Formulación PDN 2027'!$AK$7:$AK$506,0)),"")</f>
        <v/>
      </c>
      <c r="H261" s="15" t="str">
        <f>IFERROR(INDEX('Formulación PDN 2027'!$R$7:$R$506,MATCH(ROW()-5,'Formulación PDN 2027'!$AK$7:$AK$506,0))&amp;"","")</f>
        <v/>
      </c>
      <c r="I261" s="15" t="str">
        <f>IFERROR(INDEX('Formulación PDN 2027'!$S$7:$S$506,MATCH(ROW()-5,'Formulación PDN 2027'!$AK$7:$AK$506,0))&amp;"","")</f>
        <v/>
      </c>
      <c r="J261" s="15" t="str">
        <f>IFERROR(INDEX('Formulación PDN 2027'!$T$7:$T$506,MATCH(ROW()-5,'Formulación PDN 2027'!$AK$7:$AK$506,0))&amp;"","")</f>
        <v/>
      </c>
      <c r="K261" s="43" t="str">
        <f>IFERROR(INDEX('Formulación PDN 2027'!$W$7:$W$506,MATCH(ROW()-5,'Formulación PDN 2027'!$AK$7:$AK$506,0)),"")</f>
        <v/>
      </c>
      <c r="L261" s="43" t="str">
        <f>IFERROR(INDEX('Formulación PDN 2027'!$X$7:$X$506,MATCH(ROW()-5,'Formulación PDN 2027'!$AK$7:$AK$506,0)),"")</f>
        <v/>
      </c>
      <c r="M261" s="15" t="str">
        <f>IFERROR(INDEX('Formulación PDN 2027'!$Y$7:$Y$506,MATCH(ROW()-5,'Formulación PDN 2027'!$AK$7:$AK$506,0))&amp;"","")</f>
        <v/>
      </c>
      <c r="N261" s="15" t="str">
        <f>IFERROR(INDEX('Formulación PDN 2027'!$Z$7:$Z$506,MATCH(ROW()-5,'Formulación PDN 2027'!$AK$7:$AK$506,0))&amp;"","")</f>
        <v/>
      </c>
      <c r="O261" s="15"/>
      <c r="P261" s="15" t="str">
        <f>IFERROR(INDEX('Formulación PDN 2027'!$AA$7:$AA$506,MATCH(ROW()-5,'Formulación PDN 2027'!$AK$7:$AK$506,0))&amp;"","")</f>
        <v/>
      </c>
      <c r="Q261" s="15" t="str">
        <f>IFERROR(INDEX('Formulación PDN 2027'!$AB$7:$AB$506,MATCH(ROW()-5,'Formulación PDN 2027'!$AK$7:$AK$506,0))&amp;"","")</f>
        <v/>
      </c>
      <c r="R261" s="15" t="str">
        <f>IFERROR(INDEX('Formulación PDN 2027'!$AD$7:$AD$506,MATCH(ROW()-5,'Formulación PDN 2027'!$AK$7:$AK$506,0))&amp;"","")</f>
        <v/>
      </c>
      <c r="S261" s="15" t="str">
        <f>IFERROR(INDEX('Formulación PDN 2027'!$AE$7:$AE$506,MATCH(ROW()-5,'Formulación PDN 2027'!$AK$7:$AK$506,0))&amp;"","")</f>
        <v/>
      </c>
      <c r="T261" s="15" t="str">
        <f>IFERROR(INDEX('Formulación PDN 2027'!$C$7:$C$506,MATCH(ROW()-5,'Formulación PDN 2027'!$AK$7:$AK$506,0))&amp;"","")</f>
        <v/>
      </c>
      <c r="U261" s="15" t="str">
        <f>IFERROR(INDEX('Formulación PDN 2027'!$B$7:$B$506,MATCH(ROW()-5,'Formulación PDN 2027'!$AK$7:$AK$506,0))&amp;"","")</f>
        <v/>
      </c>
      <c r="V261" s="15" t="str">
        <f>IFERROR(LEFT(INDEX('Formulación PDN 2027'!$E$7:$E$506,MATCH(ROW()-5,'Formulación PDN 2027'!$AK$7:$AK$506,0)),7),"")</f>
        <v/>
      </c>
      <c r="W261" s="15" t="str">
        <f>IFERROR(INDEX('Formulación PDN 2027'!$H$7:$H$506,MATCH(ROW()-5,'Formulación PDN 2027'!$AK$7:$AK$506,0))&amp;"","")</f>
        <v/>
      </c>
      <c r="X261" s="15" t="str">
        <f>IFERROR(INDEX('Formulación PDN 2027'!$U$7:$U$506,MATCH(ROW()-5,'Formulación PDN 2027'!$AK$7:$AK$506,0))&amp;"","")</f>
        <v/>
      </c>
      <c r="Y261" s="15" t="str">
        <f>IFERROR(INDEX('Formulación PDN 2027'!$AH$7:$AH$506,MATCH(ROW()-5,'Formulación PDN 2027'!$AK$7:$AK$506,0))&amp;"","")</f>
        <v/>
      </c>
    </row>
    <row r="262" spans="1:25" x14ac:dyDescent="0.3">
      <c r="A262" s="15" t="str">
        <f>IFERROR(INDEX('Formulación PDN 2027'!$A$7:$A$506,MATCH(ROW()-5,'Formulación PDN 2027'!$AK$7:$AK$506,0))&amp;"","")</f>
        <v/>
      </c>
      <c r="B262" s="20" t="str">
        <f>IFERROR(INDEX('Formulación PDN 2027'!$M$7:$M$506,MATCH(ROW()-5,'Formulación PDN 2027'!$AK$7:$AK$506,0)),"")</f>
        <v/>
      </c>
      <c r="C262" s="15" t="str">
        <f>IFERROR(INDEX('Formulación PDN 2027'!$N$7:$N$506,MATCH(ROW()-5,'Formulación PDN 2027'!$AK$7:$AK$506,0))&amp;"","")</f>
        <v/>
      </c>
      <c r="D262" s="15" t="str">
        <f>IFERROR(INDEX('Formulación PDN 2027'!$L$7:$L$506,MATCH(ROW()-5,'Formulación PDN 2027'!$AK$7:$AK$506,0))&amp;"","")</f>
        <v/>
      </c>
      <c r="E262" s="15" t="str">
        <f>IFERROR(MATCH(INDEX('Formulación PDN 2027'!$O$7:$O$506,MATCH(ROW()-5,'Formulación PDN 2027'!$AK$7:$AK$506,0)),L_MESES,0),"")</f>
        <v/>
      </c>
      <c r="F262" s="15" t="str">
        <f>IFERROR(MATCH(INDEX('Formulación PDN 2027'!$P$7:$P$506,MATCH(ROW()-5,'Formulación PDN 2027'!$AK$7:$AK$506,0)),L_MESES,0),"")</f>
        <v/>
      </c>
      <c r="G262" s="15" t="str">
        <f>IFERROR(INDEX('Formulación PDN 2027'!$Q$7:$Q$506,MATCH(ROW()-5,'Formulación PDN 2027'!$AK$7:$AK$506,0)),"")</f>
        <v/>
      </c>
      <c r="H262" s="15" t="str">
        <f>IFERROR(INDEX('Formulación PDN 2027'!$R$7:$R$506,MATCH(ROW()-5,'Formulación PDN 2027'!$AK$7:$AK$506,0))&amp;"","")</f>
        <v/>
      </c>
      <c r="I262" s="15" t="str">
        <f>IFERROR(INDEX('Formulación PDN 2027'!$S$7:$S$506,MATCH(ROW()-5,'Formulación PDN 2027'!$AK$7:$AK$506,0))&amp;"","")</f>
        <v/>
      </c>
      <c r="J262" s="15" t="str">
        <f>IFERROR(INDEX('Formulación PDN 2027'!$T$7:$T$506,MATCH(ROW()-5,'Formulación PDN 2027'!$AK$7:$AK$506,0))&amp;"","")</f>
        <v/>
      </c>
      <c r="K262" s="43" t="str">
        <f>IFERROR(INDEX('Formulación PDN 2027'!$W$7:$W$506,MATCH(ROW()-5,'Formulación PDN 2027'!$AK$7:$AK$506,0)),"")</f>
        <v/>
      </c>
      <c r="L262" s="43" t="str">
        <f>IFERROR(INDEX('Formulación PDN 2027'!$X$7:$X$506,MATCH(ROW()-5,'Formulación PDN 2027'!$AK$7:$AK$506,0)),"")</f>
        <v/>
      </c>
      <c r="M262" s="15" t="str">
        <f>IFERROR(INDEX('Formulación PDN 2027'!$Y$7:$Y$506,MATCH(ROW()-5,'Formulación PDN 2027'!$AK$7:$AK$506,0))&amp;"","")</f>
        <v/>
      </c>
      <c r="N262" s="15" t="str">
        <f>IFERROR(INDEX('Formulación PDN 2027'!$Z$7:$Z$506,MATCH(ROW()-5,'Formulación PDN 2027'!$AK$7:$AK$506,0))&amp;"","")</f>
        <v/>
      </c>
      <c r="O262" s="15"/>
      <c r="P262" s="15" t="str">
        <f>IFERROR(INDEX('Formulación PDN 2027'!$AA$7:$AA$506,MATCH(ROW()-5,'Formulación PDN 2027'!$AK$7:$AK$506,0))&amp;"","")</f>
        <v/>
      </c>
      <c r="Q262" s="15" t="str">
        <f>IFERROR(INDEX('Formulación PDN 2027'!$AB$7:$AB$506,MATCH(ROW()-5,'Formulación PDN 2027'!$AK$7:$AK$506,0))&amp;"","")</f>
        <v/>
      </c>
      <c r="R262" s="15" t="str">
        <f>IFERROR(INDEX('Formulación PDN 2027'!$AD$7:$AD$506,MATCH(ROW()-5,'Formulación PDN 2027'!$AK$7:$AK$506,0))&amp;"","")</f>
        <v/>
      </c>
      <c r="S262" s="15" t="str">
        <f>IFERROR(INDEX('Formulación PDN 2027'!$AE$7:$AE$506,MATCH(ROW()-5,'Formulación PDN 2027'!$AK$7:$AK$506,0))&amp;"","")</f>
        <v/>
      </c>
      <c r="T262" s="15" t="str">
        <f>IFERROR(INDEX('Formulación PDN 2027'!$C$7:$C$506,MATCH(ROW()-5,'Formulación PDN 2027'!$AK$7:$AK$506,0))&amp;"","")</f>
        <v/>
      </c>
      <c r="U262" s="15" t="str">
        <f>IFERROR(INDEX('Formulación PDN 2027'!$B$7:$B$506,MATCH(ROW()-5,'Formulación PDN 2027'!$AK$7:$AK$506,0))&amp;"","")</f>
        <v/>
      </c>
      <c r="V262" s="15" t="str">
        <f>IFERROR(LEFT(INDEX('Formulación PDN 2027'!$E$7:$E$506,MATCH(ROW()-5,'Formulación PDN 2027'!$AK$7:$AK$506,0)),7),"")</f>
        <v/>
      </c>
      <c r="W262" s="15" t="str">
        <f>IFERROR(INDEX('Formulación PDN 2027'!$H$7:$H$506,MATCH(ROW()-5,'Formulación PDN 2027'!$AK$7:$AK$506,0))&amp;"","")</f>
        <v/>
      </c>
      <c r="X262" s="15" t="str">
        <f>IFERROR(INDEX('Formulación PDN 2027'!$U$7:$U$506,MATCH(ROW()-5,'Formulación PDN 2027'!$AK$7:$AK$506,0))&amp;"","")</f>
        <v/>
      </c>
      <c r="Y262" s="15" t="str">
        <f>IFERROR(INDEX('Formulación PDN 2027'!$AH$7:$AH$506,MATCH(ROW()-5,'Formulación PDN 2027'!$AK$7:$AK$506,0))&amp;"","")</f>
        <v/>
      </c>
    </row>
    <row r="263" spans="1:25" x14ac:dyDescent="0.3">
      <c r="A263" s="15" t="str">
        <f>IFERROR(INDEX('Formulación PDN 2027'!$A$7:$A$506,MATCH(ROW()-5,'Formulación PDN 2027'!$AK$7:$AK$506,0))&amp;"","")</f>
        <v/>
      </c>
      <c r="B263" s="20" t="str">
        <f>IFERROR(INDEX('Formulación PDN 2027'!$M$7:$M$506,MATCH(ROW()-5,'Formulación PDN 2027'!$AK$7:$AK$506,0)),"")</f>
        <v/>
      </c>
      <c r="C263" s="15" t="str">
        <f>IFERROR(INDEX('Formulación PDN 2027'!$N$7:$N$506,MATCH(ROW()-5,'Formulación PDN 2027'!$AK$7:$AK$506,0))&amp;"","")</f>
        <v/>
      </c>
      <c r="D263" s="15" t="str">
        <f>IFERROR(INDEX('Formulación PDN 2027'!$L$7:$L$506,MATCH(ROW()-5,'Formulación PDN 2027'!$AK$7:$AK$506,0))&amp;"","")</f>
        <v/>
      </c>
      <c r="E263" s="15" t="str">
        <f>IFERROR(MATCH(INDEX('Formulación PDN 2027'!$O$7:$O$506,MATCH(ROW()-5,'Formulación PDN 2027'!$AK$7:$AK$506,0)),L_MESES,0),"")</f>
        <v/>
      </c>
      <c r="F263" s="15" t="str">
        <f>IFERROR(MATCH(INDEX('Formulación PDN 2027'!$P$7:$P$506,MATCH(ROW()-5,'Formulación PDN 2027'!$AK$7:$AK$506,0)),L_MESES,0),"")</f>
        <v/>
      </c>
      <c r="G263" s="15" t="str">
        <f>IFERROR(INDEX('Formulación PDN 2027'!$Q$7:$Q$506,MATCH(ROW()-5,'Formulación PDN 2027'!$AK$7:$AK$506,0)),"")</f>
        <v/>
      </c>
      <c r="H263" s="15" t="str">
        <f>IFERROR(INDEX('Formulación PDN 2027'!$R$7:$R$506,MATCH(ROW()-5,'Formulación PDN 2027'!$AK$7:$AK$506,0))&amp;"","")</f>
        <v/>
      </c>
      <c r="I263" s="15" t="str">
        <f>IFERROR(INDEX('Formulación PDN 2027'!$S$7:$S$506,MATCH(ROW()-5,'Formulación PDN 2027'!$AK$7:$AK$506,0))&amp;"","")</f>
        <v/>
      </c>
      <c r="J263" s="15" t="str">
        <f>IFERROR(INDEX('Formulación PDN 2027'!$T$7:$T$506,MATCH(ROW()-5,'Formulación PDN 2027'!$AK$7:$AK$506,0))&amp;"","")</f>
        <v/>
      </c>
      <c r="K263" s="43" t="str">
        <f>IFERROR(INDEX('Formulación PDN 2027'!$W$7:$W$506,MATCH(ROW()-5,'Formulación PDN 2027'!$AK$7:$AK$506,0)),"")</f>
        <v/>
      </c>
      <c r="L263" s="43" t="str">
        <f>IFERROR(INDEX('Formulación PDN 2027'!$X$7:$X$506,MATCH(ROW()-5,'Formulación PDN 2027'!$AK$7:$AK$506,0)),"")</f>
        <v/>
      </c>
      <c r="M263" s="15" t="str">
        <f>IFERROR(INDEX('Formulación PDN 2027'!$Y$7:$Y$506,MATCH(ROW()-5,'Formulación PDN 2027'!$AK$7:$AK$506,0))&amp;"","")</f>
        <v/>
      </c>
      <c r="N263" s="15" t="str">
        <f>IFERROR(INDEX('Formulación PDN 2027'!$Z$7:$Z$506,MATCH(ROW()-5,'Formulación PDN 2027'!$AK$7:$AK$506,0))&amp;"","")</f>
        <v/>
      </c>
      <c r="O263" s="15"/>
      <c r="P263" s="15" t="str">
        <f>IFERROR(INDEX('Formulación PDN 2027'!$AA$7:$AA$506,MATCH(ROW()-5,'Formulación PDN 2027'!$AK$7:$AK$506,0))&amp;"","")</f>
        <v/>
      </c>
      <c r="Q263" s="15" t="str">
        <f>IFERROR(INDEX('Formulación PDN 2027'!$AB$7:$AB$506,MATCH(ROW()-5,'Formulación PDN 2027'!$AK$7:$AK$506,0))&amp;"","")</f>
        <v/>
      </c>
      <c r="R263" s="15" t="str">
        <f>IFERROR(INDEX('Formulación PDN 2027'!$AD$7:$AD$506,MATCH(ROW()-5,'Formulación PDN 2027'!$AK$7:$AK$506,0))&amp;"","")</f>
        <v/>
      </c>
      <c r="S263" s="15" t="str">
        <f>IFERROR(INDEX('Formulación PDN 2027'!$AE$7:$AE$506,MATCH(ROW()-5,'Formulación PDN 2027'!$AK$7:$AK$506,0))&amp;"","")</f>
        <v/>
      </c>
      <c r="T263" s="15" t="str">
        <f>IFERROR(INDEX('Formulación PDN 2027'!$C$7:$C$506,MATCH(ROW()-5,'Formulación PDN 2027'!$AK$7:$AK$506,0))&amp;"","")</f>
        <v/>
      </c>
      <c r="U263" s="15" t="str">
        <f>IFERROR(INDEX('Formulación PDN 2027'!$B$7:$B$506,MATCH(ROW()-5,'Formulación PDN 2027'!$AK$7:$AK$506,0))&amp;"","")</f>
        <v/>
      </c>
      <c r="V263" s="15" t="str">
        <f>IFERROR(LEFT(INDEX('Formulación PDN 2027'!$E$7:$E$506,MATCH(ROW()-5,'Formulación PDN 2027'!$AK$7:$AK$506,0)),7),"")</f>
        <v/>
      </c>
      <c r="W263" s="15" t="str">
        <f>IFERROR(INDEX('Formulación PDN 2027'!$H$7:$H$506,MATCH(ROW()-5,'Formulación PDN 2027'!$AK$7:$AK$506,0))&amp;"","")</f>
        <v/>
      </c>
      <c r="X263" s="15" t="str">
        <f>IFERROR(INDEX('Formulación PDN 2027'!$U$7:$U$506,MATCH(ROW()-5,'Formulación PDN 2027'!$AK$7:$AK$506,0))&amp;"","")</f>
        <v/>
      </c>
      <c r="Y263" s="15" t="str">
        <f>IFERROR(INDEX('Formulación PDN 2027'!$AH$7:$AH$506,MATCH(ROW()-5,'Formulación PDN 2027'!$AK$7:$AK$506,0))&amp;"","")</f>
        <v/>
      </c>
    </row>
    <row r="264" spans="1:25" x14ac:dyDescent="0.3">
      <c r="A264" s="15" t="str">
        <f>IFERROR(INDEX('Formulación PDN 2027'!$A$7:$A$506,MATCH(ROW()-5,'Formulación PDN 2027'!$AK$7:$AK$506,0))&amp;"","")</f>
        <v/>
      </c>
      <c r="B264" s="20" t="str">
        <f>IFERROR(INDEX('Formulación PDN 2027'!$M$7:$M$506,MATCH(ROW()-5,'Formulación PDN 2027'!$AK$7:$AK$506,0)),"")</f>
        <v/>
      </c>
      <c r="C264" s="15" t="str">
        <f>IFERROR(INDEX('Formulación PDN 2027'!$N$7:$N$506,MATCH(ROW()-5,'Formulación PDN 2027'!$AK$7:$AK$506,0))&amp;"","")</f>
        <v/>
      </c>
      <c r="D264" s="15" t="str">
        <f>IFERROR(INDEX('Formulación PDN 2027'!$L$7:$L$506,MATCH(ROW()-5,'Formulación PDN 2027'!$AK$7:$AK$506,0))&amp;"","")</f>
        <v/>
      </c>
      <c r="E264" s="15" t="str">
        <f>IFERROR(MATCH(INDEX('Formulación PDN 2027'!$O$7:$O$506,MATCH(ROW()-5,'Formulación PDN 2027'!$AK$7:$AK$506,0)),L_MESES,0),"")</f>
        <v/>
      </c>
      <c r="F264" s="15" t="str">
        <f>IFERROR(MATCH(INDEX('Formulación PDN 2027'!$P$7:$P$506,MATCH(ROW()-5,'Formulación PDN 2027'!$AK$7:$AK$506,0)),L_MESES,0),"")</f>
        <v/>
      </c>
      <c r="G264" s="15" t="str">
        <f>IFERROR(INDEX('Formulación PDN 2027'!$Q$7:$Q$506,MATCH(ROW()-5,'Formulación PDN 2027'!$AK$7:$AK$506,0)),"")</f>
        <v/>
      </c>
      <c r="H264" s="15" t="str">
        <f>IFERROR(INDEX('Formulación PDN 2027'!$R$7:$R$506,MATCH(ROW()-5,'Formulación PDN 2027'!$AK$7:$AK$506,0))&amp;"","")</f>
        <v/>
      </c>
      <c r="I264" s="15" t="str">
        <f>IFERROR(INDEX('Formulación PDN 2027'!$S$7:$S$506,MATCH(ROW()-5,'Formulación PDN 2027'!$AK$7:$AK$506,0))&amp;"","")</f>
        <v/>
      </c>
      <c r="J264" s="15" t="str">
        <f>IFERROR(INDEX('Formulación PDN 2027'!$T$7:$T$506,MATCH(ROW()-5,'Formulación PDN 2027'!$AK$7:$AK$506,0))&amp;"","")</f>
        <v/>
      </c>
      <c r="K264" s="43" t="str">
        <f>IFERROR(INDEX('Formulación PDN 2027'!$W$7:$W$506,MATCH(ROW()-5,'Formulación PDN 2027'!$AK$7:$AK$506,0)),"")</f>
        <v/>
      </c>
      <c r="L264" s="43" t="str">
        <f>IFERROR(INDEX('Formulación PDN 2027'!$X$7:$X$506,MATCH(ROW()-5,'Formulación PDN 2027'!$AK$7:$AK$506,0)),"")</f>
        <v/>
      </c>
      <c r="M264" s="15" t="str">
        <f>IFERROR(INDEX('Formulación PDN 2027'!$Y$7:$Y$506,MATCH(ROW()-5,'Formulación PDN 2027'!$AK$7:$AK$506,0))&amp;"","")</f>
        <v/>
      </c>
      <c r="N264" s="15" t="str">
        <f>IFERROR(INDEX('Formulación PDN 2027'!$Z$7:$Z$506,MATCH(ROW()-5,'Formulación PDN 2027'!$AK$7:$AK$506,0))&amp;"","")</f>
        <v/>
      </c>
      <c r="O264" s="15"/>
      <c r="P264" s="15" t="str">
        <f>IFERROR(INDEX('Formulación PDN 2027'!$AA$7:$AA$506,MATCH(ROW()-5,'Formulación PDN 2027'!$AK$7:$AK$506,0))&amp;"","")</f>
        <v/>
      </c>
      <c r="Q264" s="15" t="str">
        <f>IFERROR(INDEX('Formulación PDN 2027'!$AB$7:$AB$506,MATCH(ROW()-5,'Formulación PDN 2027'!$AK$7:$AK$506,0))&amp;"","")</f>
        <v/>
      </c>
      <c r="R264" s="15" t="str">
        <f>IFERROR(INDEX('Formulación PDN 2027'!$AD$7:$AD$506,MATCH(ROW()-5,'Formulación PDN 2027'!$AK$7:$AK$506,0))&amp;"","")</f>
        <v/>
      </c>
      <c r="S264" s="15" t="str">
        <f>IFERROR(INDEX('Formulación PDN 2027'!$AE$7:$AE$506,MATCH(ROW()-5,'Formulación PDN 2027'!$AK$7:$AK$506,0))&amp;"","")</f>
        <v/>
      </c>
      <c r="T264" s="15" t="str">
        <f>IFERROR(INDEX('Formulación PDN 2027'!$C$7:$C$506,MATCH(ROW()-5,'Formulación PDN 2027'!$AK$7:$AK$506,0))&amp;"","")</f>
        <v/>
      </c>
      <c r="U264" s="15" t="str">
        <f>IFERROR(INDEX('Formulación PDN 2027'!$B$7:$B$506,MATCH(ROW()-5,'Formulación PDN 2027'!$AK$7:$AK$506,0))&amp;"","")</f>
        <v/>
      </c>
      <c r="V264" s="15" t="str">
        <f>IFERROR(LEFT(INDEX('Formulación PDN 2027'!$E$7:$E$506,MATCH(ROW()-5,'Formulación PDN 2027'!$AK$7:$AK$506,0)),7),"")</f>
        <v/>
      </c>
      <c r="W264" s="15" t="str">
        <f>IFERROR(INDEX('Formulación PDN 2027'!$H$7:$H$506,MATCH(ROW()-5,'Formulación PDN 2027'!$AK$7:$AK$506,0))&amp;"","")</f>
        <v/>
      </c>
      <c r="X264" s="15" t="str">
        <f>IFERROR(INDEX('Formulación PDN 2027'!$U$7:$U$506,MATCH(ROW()-5,'Formulación PDN 2027'!$AK$7:$AK$506,0))&amp;"","")</f>
        <v/>
      </c>
      <c r="Y264" s="15" t="str">
        <f>IFERROR(INDEX('Formulación PDN 2027'!$AH$7:$AH$506,MATCH(ROW()-5,'Formulación PDN 2027'!$AK$7:$AK$506,0))&amp;"","")</f>
        <v/>
      </c>
    </row>
    <row r="265" spans="1:25" x14ac:dyDescent="0.3">
      <c r="A265" s="15" t="str">
        <f>IFERROR(INDEX('Formulación PDN 2027'!$A$7:$A$506,MATCH(ROW()-5,'Formulación PDN 2027'!$AK$7:$AK$506,0))&amp;"","")</f>
        <v/>
      </c>
      <c r="B265" s="20" t="str">
        <f>IFERROR(INDEX('Formulación PDN 2027'!$M$7:$M$506,MATCH(ROW()-5,'Formulación PDN 2027'!$AK$7:$AK$506,0)),"")</f>
        <v/>
      </c>
      <c r="C265" s="15" t="str">
        <f>IFERROR(INDEX('Formulación PDN 2027'!$N$7:$N$506,MATCH(ROW()-5,'Formulación PDN 2027'!$AK$7:$AK$506,0))&amp;"","")</f>
        <v/>
      </c>
      <c r="D265" s="15" t="str">
        <f>IFERROR(INDEX('Formulación PDN 2027'!$L$7:$L$506,MATCH(ROW()-5,'Formulación PDN 2027'!$AK$7:$AK$506,0))&amp;"","")</f>
        <v/>
      </c>
      <c r="E265" s="15" t="str">
        <f>IFERROR(MATCH(INDEX('Formulación PDN 2027'!$O$7:$O$506,MATCH(ROW()-5,'Formulación PDN 2027'!$AK$7:$AK$506,0)),L_MESES,0),"")</f>
        <v/>
      </c>
      <c r="F265" s="15" t="str">
        <f>IFERROR(MATCH(INDEX('Formulación PDN 2027'!$P$7:$P$506,MATCH(ROW()-5,'Formulación PDN 2027'!$AK$7:$AK$506,0)),L_MESES,0),"")</f>
        <v/>
      </c>
      <c r="G265" s="15" t="str">
        <f>IFERROR(INDEX('Formulación PDN 2027'!$Q$7:$Q$506,MATCH(ROW()-5,'Formulación PDN 2027'!$AK$7:$AK$506,0)),"")</f>
        <v/>
      </c>
      <c r="H265" s="15" t="str">
        <f>IFERROR(INDEX('Formulación PDN 2027'!$R$7:$R$506,MATCH(ROW()-5,'Formulación PDN 2027'!$AK$7:$AK$506,0))&amp;"","")</f>
        <v/>
      </c>
      <c r="I265" s="15" t="str">
        <f>IFERROR(INDEX('Formulación PDN 2027'!$S$7:$S$506,MATCH(ROW()-5,'Formulación PDN 2027'!$AK$7:$AK$506,0))&amp;"","")</f>
        <v/>
      </c>
      <c r="J265" s="15" t="str">
        <f>IFERROR(INDEX('Formulación PDN 2027'!$T$7:$T$506,MATCH(ROW()-5,'Formulación PDN 2027'!$AK$7:$AK$506,0))&amp;"","")</f>
        <v/>
      </c>
      <c r="K265" s="43" t="str">
        <f>IFERROR(INDEX('Formulación PDN 2027'!$W$7:$W$506,MATCH(ROW()-5,'Formulación PDN 2027'!$AK$7:$AK$506,0)),"")</f>
        <v/>
      </c>
      <c r="L265" s="43" t="str">
        <f>IFERROR(INDEX('Formulación PDN 2027'!$X$7:$X$506,MATCH(ROW()-5,'Formulación PDN 2027'!$AK$7:$AK$506,0)),"")</f>
        <v/>
      </c>
      <c r="M265" s="15" t="str">
        <f>IFERROR(INDEX('Formulación PDN 2027'!$Y$7:$Y$506,MATCH(ROW()-5,'Formulación PDN 2027'!$AK$7:$AK$506,0))&amp;"","")</f>
        <v/>
      </c>
      <c r="N265" s="15" t="str">
        <f>IFERROR(INDEX('Formulación PDN 2027'!$Z$7:$Z$506,MATCH(ROW()-5,'Formulación PDN 2027'!$AK$7:$AK$506,0))&amp;"","")</f>
        <v/>
      </c>
      <c r="O265" s="15"/>
      <c r="P265" s="15" t="str">
        <f>IFERROR(INDEX('Formulación PDN 2027'!$AA$7:$AA$506,MATCH(ROW()-5,'Formulación PDN 2027'!$AK$7:$AK$506,0))&amp;"","")</f>
        <v/>
      </c>
      <c r="Q265" s="15" t="str">
        <f>IFERROR(INDEX('Formulación PDN 2027'!$AB$7:$AB$506,MATCH(ROW()-5,'Formulación PDN 2027'!$AK$7:$AK$506,0))&amp;"","")</f>
        <v/>
      </c>
      <c r="R265" s="15" t="str">
        <f>IFERROR(INDEX('Formulación PDN 2027'!$AD$7:$AD$506,MATCH(ROW()-5,'Formulación PDN 2027'!$AK$7:$AK$506,0))&amp;"","")</f>
        <v/>
      </c>
      <c r="S265" s="15" t="str">
        <f>IFERROR(INDEX('Formulación PDN 2027'!$AE$7:$AE$506,MATCH(ROW()-5,'Formulación PDN 2027'!$AK$7:$AK$506,0))&amp;"","")</f>
        <v/>
      </c>
      <c r="T265" s="15" t="str">
        <f>IFERROR(INDEX('Formulación PDN 2027'!$C$7:$C$506,MATCH(ROW()-5,'Formulación PDN 2027'!$AK$7:$AK$506,0))&amp;"","")</f>
        <v/>
      </c>
      <c r="U265" s="15" t="str">
        <f>IFERROR(INDEX('Formulación PDN 2027'!$B$7:$B$506,MATCH(ROW()-5,'Formulación PDN 2027'!$AK$7:$AK$506,0))&amp;"","")</f>
        <v/>
      </c>
      <c r="V265" s="15" t="str">
        <f>IFERROR(LEFT(INDEX('Formulación PDN 2027'!$E$7:$E$506,MATCH(ROW()-5,'Formulación PDN 2027'!$AK$7:$AK$506,0)),7),"")</f>
        <v/>
      </c>
      <c r="W265" s="15" t="str">
        <f>IFERROR(INDEX('Formulación PDN 2027'!$H$7:$H$506,MATCH(ROW()-5,'Formulación PDN 2027'!$AK$7:$AK$506,0))&amp;"","")</f>
        <v/>
      </c>
      <c r="X265" s="15" t="str">
        <f>IFERROR(INDEX('Formulación PDN 2027'!$U$7:$U$506,MATCH(ROW()-5,'Formulación PDN 2027'!$AK$7:$AK$506,0))&amp;"","")</f>
        <v/>
      </c>
      <c r="Y265" s="15" t="str">
        <f>IFERROR(INDEX('Formulación PDN 2027'!$AH$7:$AH$506,MATCH(ROW()-5,'Formulación PDN 2027'!$AK$7:$AK$506,0))&amp;"","")</f>
        <v/>
      </c>
    </row>
    <row r="266" spans="1:25" x14ac:dyDescent="0.3">
      <c r="A266" s="15" t="str">
        <f>IFERROR(INDEX('Formulación PDN 2027'!$A$7:$A$506,MATCH(ROW()-5,'Formulación PDN 2027'!$AK$7:$AK$506,0))&amp;"","")</f>
        <v/>
      </c>
      <c r="B266" s="20" t="str">
        <f>IFERROR(INDEX('Formulación PDN 2027'!$M$7:$M$506,MATCH(ROW()-5,'Formulación PDN 2027'!$AK$7:$AK$506,0)),"")</f>
        <v/>
      </c>
      <c r="C266" s="15" t="str">
        <f>IFERROR(INDEX('Formulación PDN 2027'!$N$7:$N$506,MATCH(ROW()-5,'Formulación PDN 2027'!$AK$7:$AK$506,0))&amp;"","")</f>
        <v/>
      </c>
      <c r="D266" s="15" t="str">
        <f>IFERROR(INDEX('Formulación PDN 2027'!$L$7:$L$506,MATCH(ROW()-5,'Formulación PDN 2027'!$AK$7:$AK$506,0))&amp;"","")</f>
        <v/>
      </c>
      <c r="E266" s="15" t="str">
        <f>IFERROR(MATCH(INDEX('Formulación PDN 2027'!$O$7:$O$506,MATCH(ROW()-5,'Formulación PDN 2027'!$AK$7:$AK$506,0)),L_MESES,0),"")</f>
        <v/>
      </c>
      <c r="F266" s="15" t="str">
        <f>IFERROR(MATCH(INDEX('Formulación PDN 2027'!$P$7:$P$506,MATCH(ROW()-5,'Formulación PDN 2027'!$AK$7:$AK$506,0)),L_MESES,0),"")</f>
        <v/>
      </c>
      <c r="G266" s="15" t="str">
        <f>IFERROR(INDEX('Formulación PDN 2027'!$Q$7:$Q$506,MATCH(ROW()-5,'Formulación PDN 2027'!$AK$7:$AK$506,0)),"")</f>
        <v/>
      </c>
      <c r="H266" s="15" t="str">
        <f>IFERROR(INDEX('Formulación PDN 2027'!$R$7:$R$506,MATCH(ROW()-5,'Formulación PDN 2027'!$AK$7:$AK$506,0))&amp;"","")</f>
        <v/>
      </c>
      <c r="I266" s="15" t="str">
        <f>IFERROR(INDEX('Formulación PDN 2027'!$S$7:$S$506,MATCH(ROW()-5,'Formulación PDN 2027'!$AK$7:$AK$506,0))&amp;"","")</f>
        <v/>
      </c>
      <c r="J266" s="15" t="str">
        <f>IFERROR(INDEX('Formulación PDN 2027'!$T$7:$T$506,MATCH(ROW()-5,'Formulación PDN 2027'!$AK$7:$AK$506,0))&amp;"","")</f>
        <v/>
      </c>
      <c r="K266" s="43" t="str">
        <f>IFERROR(INDEX('Formulación PDN 2027'!$W$7:$W$506,MATCH(ROW()-5,'Formulación PDN 2027'!$AK$7:$AK$506,0)),"")</f>
        <v/>
      </c>
      <c r="L266" s="43" t="str">
        <f>IFERROR(INDEX('Formulación PDN 2027'!$X$7:$X$506,MATCH(ROW()-5,'Formulación PDN 2027'!$AK$7:$AK$506,0)),"")</f>
        <v/>
      </c>
      <c r="M266" s="15" t="str">
        <f>IFERROR(INDEX('Formulación PDN 2027'!$Y$7:$Y$506,MATCH(ROW()-5,'Formulación PDN 2027'!$AK$7:$AK$506,0))&amp;"","")</f>
        <v/>
      </c>
      <c r="N266" s="15" t="str">
        <f>IFERROR(INDEX('Formulación PDN 2027'!$Z$7:$Z$506,MATCH(ROW()-5,'Formulación PDN 2027'!$AK$7:$AK$506,0))&amp;"","")</f>
        <v/>
      </c>
      <c r="O266" s="15"/>
      <c r="P266" s="15" t="str">
        <f>IFERROR(INDEX('Formulación PDN 2027'!$AA$7:$AA$506,MATCH(ROW()-5,'Formulación PDN 2027'!$AK$7:$AK$506,0))&amp;"","")</f>
        <v/>
      </c>
      <c r="Q266" s="15" t="str">
        <f>IFERROR(INDEX('Formulación PDN 2027'!$AB$7:$AB$506,MATCH(ROW()-5,'Formulación PDN 2027'!$AK$7:$AK$506,0))&amp;"","")</f>
        <v/>
      </c>
      <c r="R266" s="15" t="str">
        <f>IFERROR(INDEX('Formulación PDN 2027'!$AD$7:$AD$506,MATCH(ROW()-5,'Formulación PDN 2027'!$AK$7:$AK$506,0))&amp;"","")</f>
        <v/>
      </c>
      <c r="S266" s="15" t="str">
        <f>IFERROR(INDEX('Formulación PDN 2027'!$AE$7:$AE$506,MATCH(ROW()-5,'Formulación PDN 2027'!$AK$7:$AK$506,0))&amp;"","")</f>
        <v/>
      </c>
      <c r="T266" s="15" t="str">
        <f>IFERROR(INDEX('Formulación PDN 2027'!$C$7:$C$506,MATCH(ROW()-5,'Formulación PDN 2027'!$AK$7:$AK$506,0))&amp;"","")</f>
        <v/>
      </c>
      <c r="U266" s="15" t="str">
        <f>IFERROR(INDEX('Formulación PDN 2027'!$B$7:$B$506,MATCH(ROW()-5,'Formulación PDN 2027'!$AK$7:$AK$506,0))&amp;"","")</f>
        <v/>
      </c>
      <c r="V266" s="15" t="str">
        <f>IFERROR(LEFT(INDEX('Formulación PDN 2027'!$E$7:$E$506,MATCH(ROW()-5,'Formulación PDN 2027'!$AK$7:$AK$506,0)),7),"")</f>
        <v/>
      </c>
      <c r="W266" s="15" t="str">
        <f>IFERROR(INDEX('Formulación PDN 2027'!$H$7:$H$506,MATCH(ROW()-5,'Formulación PDN 2027'!$AK$7:$AK$506,0))&amp;"","")</f>
        <v/>
      </c>
      <c r="X266" s="15" t="str">
        <f>IFERROR(INDEX('Formulación PDN 2027'!$U$7:$U$506,MATCH(ROW()-5,'Formulación PDN 2027'!$AK$7:$AK$506,0))&amp;"","")</f>
        <v/>
      </c>
      <c r="Y266" s="15" t="str">
        <f>IFERROR(INDEX('Formulación PDN 2027'!$AH$7:$AH$506,MATCH(ROW()-5,'Formulación PDN 2027'!$AK$7:$AK$506,0))&amp;"","")</f>
        <v/>
      </c>
    </row>
    <row r="267" spans="1:25" x14ac:dyDescent="0.3">
      <c r="A267" s="15" t="str">
        <f>IFERROR(INDEX('Formulación PDN 2027'!$A$7:$A$506,MATCH(ROW()-5,'Formulación PDN 2027'!$AK$7:$AK$506,0))&amp;"","")</f>
        <v/>
      </c>
      <c r="B267" s="20" t="str">
        <f>IFERROR(INDEX('Formulación PDN 2027'!$M$7:$M$506,MATCH(ROW()-5,'Formulación PDN 2027'!$AK$7:$AK$506,0)),"")</f>
        <v/>
      </c>
      <c r="C267" s="15" t="str">
        <f>IFERROR(INDEX('Formulación PDN 2027'!$N$7:$N$506,MATCH(ROW()-5,'Formulación PDN 2027'!$AK$7:$AK$506,0))&amp;"","")</f>
        <v/>
      </c>
      <c r="D267" s="15" t="str">
        <f>IFERROR(INDEX('Formulación PDN 2027'!$L$7:$L$506,MATCH(ROW()-5,'Formulación PDN 2027'!$AK$7:$AK$506,0))&amp;"","")</f>
        <v/>
      </c>
      <c r="E267" s="15" t="str">
        <f>IFERROR(MATCH(INDEX('Formulación PDN 2027'!$O$7:$O$506,MATCH(ROW()-5,'Formulación PDN 2027'!$AK$7:$AK$506,0)),L_MESES,0),"")</f>
        <v/>
      </c>
      <c r="F267" s="15" t="str">
        <f>IFERROR(MATCH(INDEX('Formulación PDN 2027'!$P$7:$P$506,MATCH(ROW()-5,'Formulación PDN 2027'!$AK$7:$AK$506,0)),L_MESES,0),"")</f>
        <v/>
      </c>
      <c r="G267" s="15" t="str">
        <f>IFERROR(INDEX('Formulación PDN 2027'!$Q$7:$Q$506,MATCH(ROW()-5,'Formulación PDN 2027'!$AK$7:$AK$506,0)),"")</f>
        <v/>
      </c>
      <c r="H267" s="15" t="str">
        <f>IFERROR(INDEX('Formulación PDN 2027'!$R$7:$R$506,MATCH(ROW()-5,'Formulación PDN 2027'!$AK$7:$AK$506,0))&amp;"","")</f>
        <v/>
      </c>
      <c r="I267" s="15" t="str">
        <f>IFERROR(INDEX('Formulación PDN 2027'!$S$7:$S$506,MATCH(ROW()-5,'Formulación PDN 2027'!$AK$7:$AK$506,0))&amp;"","")</f>
        <v/>
      </c>
      <c r="J267" s="15" t="str">
        <f>IFERROR(INDEX('Formulación PDN 2027'!$T$7:$T$506,MATCH(ROW()-5,'Formulación PDN 2027'!$AK$7:$AK$506,0))&amp;"","")</f>
        <v/>
      </c>
      <c r="K267" s="43" t="str">
        <f>IFERROR(INDEX('Formulación PDN 2027'!$W$7:$W$506,MATCH(ROW()-5,'Formulación PDN 2027'!$AK$7:$AK$506,0)),"")</f>
        <v/>
      </c>
      <c r="L267" s="43" t="str">
        <f>IFERROR(INDEX('Formulación PDN 2027'!$X$7:$X$506,MATCH(ROW()-5,'Formulación PDN 2027'!$AK$7:$AK$506,0)),"")</f>
        <v/>
      </c>
      <c r="M267" s="15" t="str">
        <f>IFERROR(INDEX('Formulación PDN 2027'!$Y$7:$Y$506,MATCH(ROW()-5,'Formulación PDN 2027'!$AK$7:$AK$506,0))&amp;"","")</f>
        <v/>
      </c>
      <c r="N267" s="15" t="str">
        <f>IFERROR(INDEX('Formulación PDN 2027'!$Z$7:$Z$506,MATCH(ROW()-5,'Formulación PDN 2027'!$AK$7:$AK$506,0))&amp;"","")</f>
        <v/>
      </c>
      <c r="O267" s="15"/>
      <c r="P267" s="15" t="str">
        <f>IFERROR(INDEX('Formulación PDN 2027'!$AA$7:$AA$506,MATCH(ROW()-5,'Formulación PDN 2027'!$AK$7:$AK$506,0))&amp;"","")</f>
        <v/>
      </c>
      <c r="Q267" s="15" t="str">
        <f>IFERROR(INDEX('Formulación PDN 2027'!$AB$7:$AB$506,MATCH(ROW()-5,'Formulación PDN 2027'!$AK$7:$AK$506,0))&amp;"","")</f>
        <v/>
      </c>
      <c r="R267" s="15" t="str">
        <f>IFERROR(INDEX('Formulación PDN 2027'!$AD$7:$AD$506,MATCH(ROW()-5,'Formulación PDN 2027'!$AK$7:$AK$506,0))&amp;"","")</f>
        <v/>
      </c>
      <c r="S267" s="15" t="str">
        <f>IFERROR(INDEX('Formulación PDN 2027'!$AE$7:$AE$506,MATCH(ROW()-5,'Formulación PDN 2027'!$AK$7:$AK$506,0))&amp;"","")</f>
        <v/>
      </c>
      <c r="T267" s="15" t="str">
        <f>IFERROR(INDEX('Formulación PDN 2027'!$C$7:$C$506,MATCH(ROW()-5,'Formulación PDN 2027'!$AK$7:$AK$506,0))&amp;"","")</f>
        <v/>
      </c>
      <c r="U267" s="15" t="str">
        <f>IFERROR(INDEX('Formulación PDN 2027'!$B$7:$B$506,MATCH(ROW()-5,'Formulación PDN 2027'!$AK$7:$AK$506,0))&amp;"","")</f>
        <v/>
      </c>
      <c r="V267" s="15" t="str">
        <f>IFERROR(LEFT(INDEX('Formulación PDN 2027'!$E$7:$E$506,MATCH(ROW()-5,'Formulación PDN 2027'!$AK$7:$AK$506,0)),7),"")</f>
        <v/>
      </c>
      <c r="W267" s="15" t="str">
        <f>IFERROR(INDEX('Formulación PDN 2027'!$H$7:$H$506,MATCH(ROW()-5,'Formulación PDN 2027'!$AK$7:$AK$506,0))&amp;"","")</f>
        <v/>
      </c>
      <c r="X267" s="15" t="str">
        <f>IFERROR(INDEX('Formulación PDN 2027'!$U$7:$U$506,MATCH(ROW()-5,'Formulación PDN 2027'!$AK$7:$AK$506,0))&amp;"","")</f>
        <v/>
      </c>
      <c r="Y267" s="15" t="str">
        <f>IFERROR(INDEX('Formulación PDN 2027'!$AH$7:$AH$506,MATCH(ROW()-5,'Formulación PDN 2027'!$AK$7:$AK$506,0))&amp;"","")</f>
        <v/>
      </c>
    </row>
    <row r="268" spans="1:25" x14ac:dyDescent="0.3">
      <c r="A268" s="15" t="str">
        <f>IFERROR(INDEX('Formulación PDN 2027'!$A$7:$A$506,MATCH(ROW()-5,'Formulación PDN 2027'!$AK$7:$AK$506,0))&amp;"","")</f>
        <v/>
      </c>
      <c r="B268" s="20" t="str">
        <f>IFERROR(INDEX('Formulación PDN 2027'!$M$7:$M$506,MATCH(ROW()-5,'Formulación PDN 2027'!$AK$7:$AK$506,0)),"")</f>
        <v/>
      </c>
      <c r="C268" s="15" t="str">
        <f>IFERROR(INDEX('Formulación PDN 2027'!$N$7:$N$506,MATCH(ROW()-5,'Formulación PDN 2027'!$AK$7:$AK$506,0))&amp;"","")</f>
        <v/>
      </c>
      <c r="D268" s="15" t="str">
        <f>IFERROR(INDEX('Formulación PDN 2027'!$L$7:$L$506,MATCH(ROW()-5,'Formulación PDN 2027'!$AK$7:$AK$506,0))&amp;"","")</f>
        <v/>
      </c>
      <c r="E268" s="15" t="str">
        <f>IFERROR(MATCH(INDEX('Formulación PDN 2027'!$O$7:$O$506,MATCH(ROW()-5,'Formulación PDN 2027'!$AK$7:$AK$506,0)),L_MESES,0),"")</f>
        <v/>
      </c>
      <c r="F268" s="15" t="str">
        <f>IFERROR(MATCH(INDEX('Formulación PDN 2027'!$P$7:$P$506,MATCH(ROW()-5,'Formulación PDN 2027'!$AK$7:$AK$506,0)),L_MESES,0),"")</f>
        <v/>
      </c>
      <c r="G268" s="15" t="str">
        <f>IFERROR(INDEX('Formulación PDN 2027'!$Q$7:$Q$506,MATCH(ROW()-5,'Formulación PDN 2027'!$AK$7:$AK$506,0)),"")</f>
        <v/>
      </c>
      <c r="H268" s="15" t="str">
        <f>IFERROR(INDEX('Formulación PDN 2027'!$R$7:$R$506,MATCH(ROW()-5,'Formulación PDN 2027'!$AK$7:$AK$506,0))&amp;"","")</f>
        <v/>
      </c>
      <c r="I268" s="15" t="str">
        <f>IFERROR(INDEX('Formulación PDN 2027'!$S$7:$S$506,MATCH(ROW()-5,'Formulación PDN 2027'!$AK$7:$AK$506,0))&amp;"","")</f>
        <v/>
      </c>
      <c r="J268" s="15" t="str">
        <f>IFERROR(INDEX('Formulación PDN 2027'!$T$7:$T$506,MATCH(ROW()-5,'Formulación PDN 2027'!$AK$7:$AK$506,0))&amp;"","")</f>
        <v/>
      </c>
      <c r="K268" s="43" t="str">
        <f>IFERROR(INDEX('Formulación PDN 2027'!$W$7:$W$506,MATCH(ROW()-5,'Formulación PDN 2027'!$AK$7:$AK$506,0)),"")</f>
        <v/>
      </c>
      <c r="L268" s="43" t="str">
        <f>IFERROR(INDEX('Formulación PDN 2027'!$X$7:$X$506,MATCH(ROW()-5,'Formulación PDN 2027'!$AK$7:$AK$506,0)),"")</f>
        <v/>
      </c>
      <c r="M268" s="15" t="str">
        <f>IFERROR(INDEX('Formulación PDN 2027'!$Y$7:$Y$506,MATCH(ROW()-5,'Formulación PDN 2027'!$AK$7:$AK$506,0))&amp;"","")</f>
        <v/>
      </c>
      <c r="N268" s="15" t="str">
        <f>IFERROR(INDEX('Formulación PDN 2027'!$Z$7:$Z$506,MATCH(ROW()-5,'Formulación PDN 2027'!$AK$7:$AK$506,0))&amp;"","")</f>
        <v/>
      </c>
      <c r="O268" s="15"/>
      <c r="P268" s="15" t="str">
        <f>IFERROR(INDEX('Formulación PDN 2027'!$AA$7:$AA$506,MATCH(ROW()-5,'Formulación PDN 2027'!$AK$7:$AK$506,0))&amp;"","")</f>
        <v/>
      </c>
      <c r="Q268" s="15" t="str">
        <f>IFERROR(INDEX('Formulación PDN 2027'!$AB$7:$AB$506,MATCH(ROW()-5,'Formulación PDN 2027'!$AK$7:$AK$506,0))&amp;"","")</f>
        <v/>
      </c>
      <c r="R268" s="15" t="str">
        <f>IFERROR(INDEX('Formulación PDN 2027'!$AD$7:$AD$506,MATCH(ROW()-5,'Formulación PDN 2027'!$AK$7:$AK$506,0))&amp;"","")</f>
        <v/>
      </c>
      <c r="S268" s="15" t="str">
        <f>IFERROR(INDEX('Formulación PDN 2027'!$AE$7:$AE$506,MATCH(ROW()-5,'Formulación PDN 2027'!$AK$7:$AK$506,0))&amp;"","")</f>
        <v/>
      </c>
      <c r="T268" s="15" t="str">
        <f>IFERROR(INDEX('Formulación PDN 2027'!$C$7:$C$506,MATCH(ROW()-5,'Formulación PDN 2027'!$AK$7:$AK$506,0))&amp;"","")</f>
        <v/>
      </c>
      <c r="U268" s="15" t="str">
        <f>IFERROR(INDEX('Formulación PDN 2027'!$B$7:$B$506,MATCH(ROW()-5,'Formulación PDN 2027'!$AK$7:$AK$506,0))&amp;"","")</f>
        <v/>
      </c>
      <c r="V268" s="15" t="str">
        <f>IFERROR(LEFT(INDEX('Formulación PDN 2027'!$E$7:$E$506,MATCH(ROW()-5,'Formulación PDN 2027'!$AK$7:$AK$506,0)),7),"")</f>
        <v/>
      </c>
      <c r="W268" s="15" t="str">
        <f>IFERROR(INDEX('Formulación PDN 2027'!$H$7:$H$506,MATCH(ROW()-5,'Formulación PDN 2027'!$AK$7:$AK$506,0))&amp;"","")</f>
        <v/>
      </c>
      <c r="X268" s="15" t="str">
        <f>IFERROR(INDEX('Formulación PDN 2027'!$U$7:$U$506,MATCH(ROW()-5,'Formulación PDN 2027'!$AK$7:$AK$506,0))&amp;"","")</f>
        <v/>
      </c>
      <c r="Y268" s="15" t="str">
        <f>IFERROR(INDEX('Formulación PDN 2027'!$AH$7:$AH$506,MATCH(ROW()-5,'Formulación PDN 2027'!$AK$7:$AK$506,0))&amp;"","")</f>
        <v/>
      </c>
    </row>
    <row r="269" spans="1:25" x14ac:dyDescent="0.3">
      <c r="A269" s="15" t="str">
        <f>IFERROR(INDEX('Formulación PDN 2027'!$A$7:$A$506,MATCH(ROW()-5,'Formulación PDN 2027'!$AK$7:$AK$506,0))&amp;"","")</f>
        <v/>
      </c>
      <c r="B269" s="20" t="str">
        <f>IFERROR(INDEX('Formulación PDN 2027'!$M$7:$M$506,MATCH(ROW()-5,'Formulación PDN 2027'!$AK$7:$AK$506,0)),"")</f>
        <v/>
      </c>
      <c r="C269" s="15" t="str">
        <f>IFERROR(INDEX('Formulación PDN 2027'!$N$7:$N$506,MATCH(ROW()-5,'Formulación PDN 2027'!$AK$7:$AK$506,0))&amp;"","")</f>
        <v/>
      </c>
      <c r="D269" s="15" t="str">
        <f>IFERROR(INDEX('Formulación PDN 2027'!$L$7:$L$506,MATCH(ROW()-5,'Formulación PDN 2027'!$AK$7:$AK$506,0))&amp;"","")</f>
        <v/>
      </c>
      <c r="E269" s="15" t="str">
        <f>IFERROR(MATCH(INDEX('Formulación PDN 2027'!$O$7:$O$506,MATCH(ROW()-5,'Formulación PDN 2027'!$AK$7:$AK$506,0)),L_MESES,0),"")</f>
        <v/>
      </c>
      <c r="F269" s="15" t="str">
        <f>IFERROR(MATCH(INDEX('Formulación PDN 2027'!$P$7:$P$506,MATCH(ROW()-5,'Formulación PDN 2027'!$AK$7:$AK$506,0)),L_MESES,0),"")</f>
        <v/>
      </c>
      <c r="G269" s="15" t="str">
        <f>IFERROR(INDEX('Formulación PDN 2027'!$Q$7:$Q$506,MATCH(ROW()-5,'Formulación PDN 2027'!$AK$7:$AK$506,0)),"")</f>
        <v/>
      </c>
      <c r="H269" s="15" t="str">
        <f>IFERROR(INDEX('Formulación PDN 2027'!$R$7:$R$506,MATCH(ROW()-5,'Formulación PDN 2027'!$AK$7:$AK$506,0))&amp;"","")</f>
        <v/>
      </c>
      <c r="I269" s="15" t="str">
        <f>IFERROR(INDEX('Formulación PDN 2027'!$S$7:$S$506,MATCH(ROW()-5,'Formulación PDN 2027'!$AK$7:$AK$506,0))&amp;"","")</f>
        <v/>
      </c>
      <c r="J269" s="15" t="str">
        <f>IFERROR(INDEX('Formulación PDN 2027'!$T$7:$T$506,MATCH(ROW()-5,'Formulación PDN 2027'!$AK$7:$AK$506,0))&amp;"","")</f>
        <v/>
      </c>
      <c r="K269" s="43" t="str">
        <f>IFERROR(INDEX('Formulación PDN 2027'!$W$7:$W$506,MATCH(ROW()-5,'Formulación PDN 2027'!$AK$7:$AK$506,0)),"")</f>
        <v/>
      </c>
      <c r="L269" s="43" t="str">
        <f>IFERROR(INDEX('Formulación PDN 2027'!$X$7:$X$506,MATCH(ROW()-5,'Formulación PDN 2027'!$AK$7:$AK$506,0)),"")</f>
        <v/>
      </c>
      <c r="M269" s="15" t="str">
        <f>IFERROR(INDEX('Formulación PDN 2027'!$Y$7:$Y$506,MATCH(ROW()-5,'Formulación PDN 2027'!$AK$7:$AK$506,0))&amp;"","")</f>
        <v/>
      </c>
      <c r="N269" s="15" t="str">
        <f>IFERROR(INDEX('Formulación PDN 2027'!$Z$7:$Z$506,MATCH(ROW()-5,'Formulación PDN 2027'!$AK$7:$AK$506,0))&amp;"","")</f>
        <v/>
      </c>
      <c r="O269" s="15"/>
      <c r="P269" s="15" t="str">
        <f>IFERROR(INDEX('Formulación PDN 2027'!$AA$7:$AA$506,MATCH(ROW()-5,'Formulación PDN 2027'!$AK$7:$AK$506,0))&amp;"","")</f>
        <v/>
      </c>
      <c r="Q269" s="15" t="str">
        <f>IFERROR(INDEX('Formulación PDN 2027'!$AB$7:$AB$506,MATCH(ROW()-5,'Formulación PDN 2027'!$AK$7:$AK$506,0))&amp;"","")</f>
        <v/>
      </c>
      <c r="R269" s="15" t="str">
        <f>IFERROR(INDEX('Formulación PDN 2027'!$AD$7:$AD$506,MATCH(ROW()-5,'Formulación PDN 2027'!$AK$7:$AK$506,0))&amp;"","")</f>
        <v/>
      </c>
      <c r="S269" s="15" t="str">
        <f>IFERROR(INDEX('Formulación PDN 2027'!$AE$7:$AE$506,MATCH(ROW()-5,'Formulación PDN 2027'!$AK$7:$AK$506,0))&amp;"","")</f>
        <v/>
      </c>
      <c r="T269" s="15" t="str">
        <f>IFERROR(INDEX('Formulación PDN 2027'!$C$7:$C$506,MATCH(ROW()-5,'Formulación PDN 2027'!$AK$7:$AK$506,0))&amp;"","")</f>
        <v/>
      </c>
      <c r="U269" s="15" t="str">
        <f>IFERROR(INDEX('Formulación PDN 2027'!$B$7:$B$506,MATCH(ROW()-5,'Formulación PDN 2027'!$AK$7:$AK$506,0))&amp;"","")</f>
        <v/>
      </c>
      <c r="V269" s="15" t="str">
        <f>IFERROR(LEFT(INDEX('Formulación PDN 2027'!$E$7:$E$506,MATCH(ROW()-5,'Formulación PDN 2027'!$AK$7:$AK$506,0)),7),"")</f>
        <v/>
      </c>
      <c r="W269" s="15" t="str">
        <f>IFERROR(INDEX('Formulación PDN 2027'!$H$7:$H$506,MATCH(ROW()-5,'Formulación PDN 2027'!$AK$7:$AK$506,0))&amp;"","")</f>
        <v/>
      </c>
      <c r="X269" s="15" t="str">
        <f>IFERROR(INDEX('Formulación PDN 2027'!$U$7:$U$506,MATCH(ROW()-5,'Formulación PDN 2027'!$AK$7:$AK$506,0))&amp;"","")</f>
        <v/>
      </c>
      <c r="Y269" s="15" t="str">
        <f>IFERROR(INDEX('Formulación PDN 2027'!$AH$7:$AH$506,MATCH(ROW()-5,'Formulación PDN 2027'!$AK$7:$AK$506,0))&amp;"","")</f>
        <v/>
      </c>
    </row>
    <row r="270" spans="1:25" x14ac:dyDescent="0.3">
      <c r="A270" s="15" t="str">
        <f>IFERROR(INDEX('Formulación PDN 2027'!$A$7:$A$506,MATCH(ROW()-5,'Formulación PDN 2027'!$AK$7:$AK$506,0))&amp;"","")</f>
        <v/>
      </c>
      <c r="B270" s="20" t="str">
        <f>IFERROR(INDEX('Formulación PDN 2027'!$M$7:$M$506,MATCH(ROW()-5,'Formulación PDN 2027'!$AK$7:$AK$506,0)),"")</f>
        <v/>
      </c>
      <c r="C270" s="15" t="str">
        <f>IFERROR(INDEX('Formulación PDN 2027'!$N$7:$N$506,MATCH(ROW()-5,'Formulación PDN 2027'!$AK$7:$AK$506,0))&amp;"","")</f>
        <v/>
      </c>
      <c r="D270" s="15" t="str">
        <f>IFERROR(INDEX('Formulación PDN 2027'!$L$7:$L$506,MATCH(ROW()-5,'Formulación PDN 2027'!$AK$7:$AK$506,0))&amp;"","")</f>
        <v/>
      </c>
      <c r="E270" s="15" t="str">
        <f>IFERROR(MATCH(INDEX('Formulación PDN 2027'!$O$7:$O$506,MATCH(ROW()-5,'Formulación PDN 2027'!$AK$7:$AK$506,0)),L_MESES,0),"")</f>
        <v/>
      </c>
      <c r="F270" s="15" t="str">
        <f>IFERROR(MATCH(INDEX('Formulación PDN 2027'!$P$7:$P$506,MATCH(ROW()-5,'Formulación PDN 2027'!$AK$7:$AK$506,0)),L_MESES,0),"")</f>
        <v/>
      </c>
      <c r="G270" s="15" t="str">
        <f>IFERROR(INDEX('Formulación PDN 2027'!$Q$7:$Q$506,MATCH(ROW()-5,'Formulación PDN 2027'!$AK$7:$AK$506,0)),"")</f>
        <v/>
      </c>
      <c r="H270" s="15" t="str">
        <f>IFERROR(INDEX('Formulación PDN 2027'!$R$7:$R$506,MATCH(ROW()-5,'Formulación PDN 2027'!$AK$7:$AK$506,0))&amp;"","")</f>
        <v/>
      </c>
      <c r="I270" s="15" t="str">
        <f>IFERROR(INDEX('Formulación PDN 2027'!$S$7:$S$506,MATCH(ROW()-5,'Formulación PDN 2027'!$AK$7:$AK$506,0))&amp;"","")</f>
        <v/>
      </c>
      <c r="J270" s="15" t="str">
        <f>IFERROR(INDEX('Formulación PDN 2027'!$T$7:$T$506,MATCH(ROW()-5,'Formulación PDN 2027'!$AK$7:$AK$506,0))&amp;"","")</f>
        <v/>
      </c>
      <c r="K270" s="43" t="str">
        <f>IFERROR(INDEX('Formulación PDN 2027'!$W$7:$W$506,MATCH(ROW()-5,'Formulación PDN 2027'!$AK$7:$AK$506,0)),"")</f>
        <v/>
      </c>
      <c r="L270" s="43" t="str">
        <f>IFERROR(INDEX('Formulación PDN 2027'!$X$7:$X$506,MATCH(ROW()-5,'Formulación PDN 2027'!$AK$7:$AK$506,0)),"")</f>
        <v/>
      </c>
      <c r="M270" s="15" t="str">
        <f>IFERROR(INDEX('Formulación PDN 2027'!$Y$7:$Y$506,MATCH(ROW()-5,'Formulación PDN 2027'!$AK$7:$AK$506,0))&amp;"","")</f>
        <v/>
      </c>
      <c r="N270" s="15" t="str">
        <f>IFERROR(INDEX('Formulación PDN 2027'!$Z$7:$Z$506,MATCH(ROW()-5,'Formulación PDN 2027'!$AK$7:$AK$506,0))&amp;"","")</f>
        <v/>
      </c>
      <c r="O270" s="15"/>
      <c r="P270" s="15" t="str">
        <f>IFERROR(INDEX('Formulación PDN 2027'!$AA$7:$AA$506,MATCH(ROW()-5,'Formulación PDN 2027'!$AK$7:$AK$506,0))&amp;"","")</f>
        <v/>
      </c>
      <c r="Q270" s="15" t="str">
        <f>IFERROR(INDEX('Formulación PDN 2027'!$AB$7:$AB$506,MATCH(ROW()-5,'Formulación PDN 2027'!$AK$7:$AK$506,0))&amp;"","")</f>
        <v/>
      </c>
      <c r="R270" s="15" t="str">
        <f>IFERROR(INDEX('Formulación PDN 2027'!$AD$7:$AD$506,MATCH(ROW()-5,'Formulación PDN 2027'!$AK$7:$AK$506,0))&amp;"","")</f>
        <v/>
      </c>
      <c r="S270" s="15" t="str">
        <f>IFERROR(INDEX('Formulación PDN 2027'!$AE$7:$AE$506,MATCH(ROW()-5,'Formulación PDN 2027'!$AK$7:$AK$506,0))&amp;"","")</f>
        <v/>
      </c>
      <c r="T270" s="15" t="str">
        <f>IFERROR(INDEX('Formulación PDN 2027'!$C$7:$C$506,MATCH(ROW()-5,'Formulación PDN 2027'!$AK$7:$AK$506,0))&amp;"","")</f>
        <v/>
      </c>
      <c r="U270" s="15" t="str">
        <f>IFERROR(INDEX('Formulación PDN 2027'!$B$7:$B$506,MATCH(ROW()-5,'Formulación PDN 2027'!$AK$7:$AK$506,0))&amp;"","")</f>
        <v/>
      </c>
      <c r="V270" s="15" t="str">
        <f>IFERROR(LEFT(INDEX('Formulación PDN 2027'!$E$7:$E$506,MATCH(ROW()-5,'Formulación PDN 2027'!$AK$7:$AK$506,0)),7),"")</f>
        <v/>
      </c>
      <c r="W270" s="15" t="str">
        <f>IFERROR(INDEX('Formulación PDN 2027'!$H$7:$H$506,MATCH(ROW()-5,'Formulación PDN 2027'!$AK$7:$AK$506,0))&amp;"","")</f>
        <v/>
      </c>
      <c r="X270" s="15" t="str">
        <f>IFERROR(INDEX('Formulación PDN 2027'!$U$7:$U$506,MATCH(ROW()-5,'Formulación PDN 2027'!$AK$7:$AK$506,0))&amp;"","")</f>
        <v/>
      </c>
      <c r="Y270" s="15" t="str">
        <f>IFERROR(INDEX('Formulación PDN 2027'!$AH$7:$AH$506,MATCH(ROW()-5,'Formulación PDN 2027'!$AK$7:$AK$506,0))&amp;"","")</f>
        <v/>
      </c>
    </row>
    <row r="271" spans="1:25" x14ac:dyDescent="0.3">
      <c r="A271" s="15" t="str">
        <f>IFERROR(INDEX('Formulación PDN 2027'!$A$7:$A$506,MATCH(ROW()-5,'Formulación PDN 2027'!$AK$7:$AK$506,0))&amp;"","")</f>
        <v/>
      </c>
      <c r="B271" s="20" t="str">
        <f>IFERROR(INDEX('Formulación PDN 2027'!$M$7:$M$506,MATCH(ROW()-5,'Formulación PDN 2027'!$AK$7:$AK$506,0)),"")</f>
        <v/>
      </c>
      <c r="C271" s="15" t="str">
        <f>IFERROR(INDEX('Formulación PDN 2027'!$N$7:$N$506,MATCH(ROW()-5,'Formulación PDN 2027'!$AK$7:$AK$506,0))&amp;"","")</f>
        <v/>
      </c>
      <c r="D271" s="15" t="str">
        <f>IFERROR(INDEX('Formulación PDN 2027'!$L$7:$L$506,MATCH(ROW()-5,'Formulación PDN 2027'!$AK$7:$AK$506,0))&amp;"","")</f>
        <v/>
      </c>
      <c r="E271" s="15" t="str">
        <f>IFERROR(MATCH(INDEX('Formulación PDN 2027'!$O$7:$O$506,MATCH(ROW()-5,'Formulación PDN 2027'!$AK$7:$AK$506,0)),L_MESES,0),"")</f>
        <v/>
      </c>
      <c r="F271" s="15" t="str">
        <f>IFERROR(MATCH(INDEX('Formulación PDN 2027'!$P$7:$P$506,MATCH(ROW()-5,'Formulación PDN 2027'!$AK$7:$AK$506,0)),L_MESES,0),"")</f>
        <v/>
      </c>
      <c r="G271" s="15" t="str">
        <f>IFERROR(INDEX('Formulación PDN 2027'!$Q$7:$Q$506,MATCH(ROW()-5,'Formulación PDN 2027'!$AK$7:$AK$506,0)),"")</f>
        <v/>
      </c>
      <c r="H271" s="15" t="str">
        <f>IFERROR(INDEX('Formulación PDN 2027'!$R$7:$R$506,MATCH(ROW()-5,'Formulación PDN 2027'!$AK$7:$AK$506,0))&amp;"","")</f>
        <v/>
      </c>
      <c r="I271" s="15" t="str">
        <f>IFERROR(INDEX('Formulación PDN 2027'!$S$7:$S$506,MATCH(ROW()-5,'Formulación PDN 2027'!$AK$7:$AK$506,0))&amp;"","")</f>
        <v/>
      </c>
      <c r="J271" s="15" t="str">
        <f>IFERROR(INDEX('Formulación PDN 2027'!$T$7:$T$506,MATCH(ROW()-5,'Formulación PDN 2027'!$AK$7:$AK$506,0))&amp;"","")</f>
        <v/>
      </c>
      <c r="K271" s="43" t="str">
        <f>IFERROR(INDEX('Formulación PDN 2027'!$W$7:$W$506,MATCH(ROW()-5,'Formulación PDN 2027'!$AK$7:$AK$506,0)),"")</f>
        <v/>
      </c>
      <c r="L271" s="43" t="str">
        <f>IFERROR(INDEX('Formulación PDN 2027'!$X$7:$X$506,MATCH(ROW()-5,'Formulación PDN 2027'!$AK$7:$AK$506,0)),"")</f>
        <v/>
      </c>
      <c r="M271" s="15" t="str">
        <f>IFERROR(INDEX('Formulación PDN 2027'!$Y$7:$Y$506,MATCH(ROW()-5,'Formulación PDN 2027'!$AK$7:$AK$506,0))&amp;"","")</f>
        <v/>
      </c>
      <c r="N271" s="15" t="str">
        <f>IFERROR(INDEX('Formulación PDN 2027'!$Z$7:$Z$506,MATCH(ROW()-5,'Formulación PDN 2027'!$AK$7:$AK$506,0))&amp;"","")</f>
        <v/>
      </c>
      <c r="O271" s="15"/>
      <c r="P271" s="15" t="str">
        <f>IFERROR(INDEX('Formulación PDN 2027'!$AA$7:$AA$506,MATCH(ROW()-5,'Formulación PDN 2027'!$AK$7:$AK$506,0))&amp;"","")</f>
        <v/>
      </c>
      <c r="Q271" s="15" t="str">
        <f>IFERROR(INDEX('Formulación PDN 2027'!$AB$7:$AB$506,MATCH(ROW()-5,'Formulación PDN 2027'!$AK$7:$AK$506,0))&amp;"","")</f>
        <v/>
      </c>
      <c r="R271" s="15" t="str">
        <f>IFERROR(INDEX('Formulación PDN 2027'!$AD$7:$AD$506,MATCH(ROW()-5,'Formulación PDN 2027'!$AK$7:$AK$506,0))&amp;"","")</f>
        <v/>
      </c>
      <c r="S271" s="15" t="str">
        <f>IFERROR(INDEX('Formulación PDN 2027'!$AE$7:$AE$506,MATCH(ROW()-5,'Formulación PDN 2027'!$AK$7:$AK$506,0))&amp;"","")</f>
        <v/>
      </c>
      <c r="T271" s="15" t="str">
        <f>IFERROR(INDEX('Formulación PDN 2027'!$C$7:$C$506,MATCH(ROW()-5,'Formulación PDN 2027'!$AK$7:$AK$506,0))&amp;"","")</f>
        <v/>
      </c>
      <c r="U271" s="15" t="str">
        <f>IFERROR(INDEX('Formulación PDN 2027'!$B$7:$B$506,MATCH(ROW()-5,'Formulación PDN 2027'!$AK$7:$AK$506,0))&amp;"","")</f>
        <v/>
      </c>
      <c r="V271" s="15" t="str">
        <f>IFERROR(LEFT(INDEX('Formulación PDN 2027'!$E$7:$E$506,MATCH(ROW()-5,'Formulación PDN 2027'!$AK$7:$AK$506,0)),7),"")</f>
        <v/>
      </c>
      <c r="W271" s="15" t="str">
        <f>IFERROR(INDEX('Formulación PDN 2027'!$H$7:$H$506,MATCH(ROW()-5,'Formulación PDN 2027'!$AK$7:$AK$506,0))&amp;"","")</f>
        <v/>
      </c>
      <c r="X271" s="15" t="str">
        <f>IFERROR(INDEX('Formulación PDN 2027'!$U$7:$U$506,MATCH(ROW()-5,'Formulación PDN 2027'!$AK$7:$AK$506,0))&amp;"","")</f>
        <v/>
      </c>
      <c r="Y271" s="15" t="str">
        <f>IFERROR(INDEX('Formulación PDN 2027'!$AH$7:$AH$506,MATCH(ROW()-5,'Formulación PDN 2027'!$AK$7:$AK$506,0))&amp;"","")</f>
        <v/>
      </c>
    </row>
    <row r="272" spans="1:25" x14ac:dyDescent="0.3">
      <c r="A272" s="15" t="str">
        <f>IFERROR(INDEX('Formulación PDN 2027'!$A$7:$A$506,MATCH(ROW()-5,'Formulación PDN 2027'!$AK$7:$AK$506,0))&amp;"","")</f>
        <v/>
      </c>
      <c r="B272" s="20" t="str">
        <f>IFERROR(INDEX('Formulación PDN 2027'!$M$7:$M$506,MATCH(ROW()-5,'Formulación PDN 2027'!$AK$7:$AK$506,0)),"")</f>
        <v/>
      </c>
      <c r="C272" s="15" t="str">
        <f>IFERROR(INDEX('Formulación PDN 2027'!$N$7:$N$506,MATCH(ROW()-5,'Formulación PDN 2027'!$AK$7:$AK$506,0))&amp;"","")</f>
        <v/>
      </c>
      <c r="D272" s="15" t="str">
        <f>IFERROR(INDEX('Formulación PDN 2027'!$L$7:$L$506,MATCH(ROW()-5,'Formulación PDN 2027'!$AK$7:$AK$506,0))&amp;"","")</f>
        <v/>
      </c>
      <c r="E272" s="15" t="str">
        <f>IFERROR(MATCH(INDEX('Formulación PDN 2027'!$O$7:$O$506,MATCH(ROW()-5,'Formulación PDN 2027'!$AK$7:$AK$506,0)),L_MESES,0),"")</f>
        <v/>
      </c>
      <c r="F272" s="15" t="str">
        <f>IFERROR(MATCH(INDEX('Formulación PDN 2027'!$P$7:$P$506,MATCH(ROW()-5,'Formulación PDN 2027'!$AK$7:$AK$506,0)),L_MESES,0),"")</f>
        <v/>
      </c>
      <c r="G272" s="15" t="str">
        <f>IFERROR(INDEX('Formulación PDN 2027'!$Q$7:$Q$506,MATCH(ROW()-5,'Formulación PDN 2027'!$AK$7:$AK$506,0)),"")</f>
        <v/>
      </c>
      <c r="H272" s="15" t="str">
        <f>IFERROR(INDEX('Formulación PDN 2027'!$R$7:$R$506,MATCH(ROW()-5,'Formulación PDN 2027'!$AK$7:$AK$506,0))&amp;"","")</f>
        <v/>
      </c>
      <c r="I272" s="15" t="str">
        <f>IFERROR(INDEX('Formulación PDN 2027'!$S$7:$S$506,MATCH(ROW()-5,'Formulación PDN 2027'!$AK$7:$AK$506,0))&amp;"","")</f>
        <v/>
      </c>
      <c r="J272" s="15" t="str">
        <f>IFERROR(INDEX('Formulación PDN 2027'!$T$7:$T$506,MATCH(ROW()-5,'Formulación PDN 2027'!$AK$7:$AK$506,0))&amp;"","")</f>
        <v/>
      </c>
      <c r="K272" s="43" t="str">
        <f>IFERROR(INDEX('Formulación PDN 2027'!$W$7:$W$506,MATCH(ROW()-5,'Formulación PDN 2027'!$AK$7:$AK$506,0)),"")</f>
        <v/>
      </c>
      <c r="L272" s="43" t="str">
        <f>IFERROR(INDEX('Formulación PDN 2027'!$X$7:$X$506,MATCH(ROW()-5,'Formulación PDN 2027'!$AK$7:$AK$506,0)),"")</f>
        <v/>
      </c>
      <c r="M272" s="15" t="str">
        <f>IFERROR(INDEX('Formulación PDN 2027'!$Y$7:$Y$506,MATCH(ROW()-5,'Formulación PDN 2027'!$AK$7:$AK$506,0))&amp;"","")</f>
        <v/>
      </c>
      <c r="N272" s="15" t="str">
        <f>IFERROR(INDEX('Formulación PDN 2027'!$Z$7:$Z$506,MATCH(ROW()-5,'Formulación PDN 2027'!$AK$7:$AK$506,0))&amp;"","")</f>
        <v/>
      </c>
      <c r="O272" s="15"/>
      <c r="P272" s="15" t="str">
        <f>IFERROR(INDEX('Formulación PDN 2027'!$AA$7:$AA$506,MATCH(ROW()-5,'Formulación PDN 2027'!$AK$7:$AK$506,0))&amp;"","")</f>
        <v/>
      </c>
      <c r="Q272" s="15" t="str">
        <f>IFERROR(INDEX('Formulación PDN 2027'!$AB$7:$AB$506,MATCH(ROW()-5,'Formulación PDN 2027'!$AK$7:$AK$506,0))&amp;"","")</f>
        <v/>
      </c>
      <c r="R272" s="15" t="str">
        <f>IFERROR(INDEX('Formulación PDN 2027'!$AD$7:$AD$506,MATCH(ROW()-5,'Formulación PDN 2027'!$AK$7:$AK$506,0))&amp;"","")</f>
        <v/>
      </c>
      <c r="S272" s="15" t="str">
        <f>IFERROR(INDEX('Formulación PDN 2027'!$AE$7:$AE$506,MATCH(ROW()-5,'Formulación PDN 2027'!$AK$7:$AK$506,0))&amp;"","")</f>
        <v/>
      </c>
      <c r="T272" s="15" t="str">
        <f>IFERROR(INDEX('Formulación PDN 2027'!$C$7:$C$506,MATCH(ROW()-5,'Formulación PDN 2027'!$AK$7:$AK$506,0))&amp;"","")</f>
        <v/>
      </c>
      <c r="U272" s="15" t="str">
        <f>IFERROR(INDEX('Formulación PDN 2027'!$B$7:$B$506,MATCH(ROW()-5,'Formulación PDN 2027'!$AK$7:$AK$506,0))&amp;"","")</f>
        <v/>
      </c>
      <c r="V272" s="15" t="str">
        <f>IFERROR(LEFT(INDEX('Formulación PDN 2027'!$E$7:$E$506,MATCH(ROW()-5,'Formulación PDN 2027'!$AK$7:$AK$506,0)),7),"")</f>
        <v/>
      </c>
      <c r="W272" s="15" t="str">
        <f>IFERROR(INDEX('Formulación PDN 2027'!$H$7:$H$506,MATCH(ROW()-5,'Formulación PDN 2027'!$AK$7:$AK$506,0))&amp;"","")</f>
        <v/>
      </c>
      <c r="X272" s="15" t="str">
        <f>IFERROR(INDEX('Formulación PDN 2027'!$U$7:$U$506,MATCH(ROW()-5,'Formulación PDN 2027'!$AK$7:$AK$506,0))&amp;"","")</f>
        <v/>
      </c>
      <c r="Y272" s="15" t="str">
        <f>IFERROR(INDEX('Formulación PDN 2027'!$AH$7:$AH$506,MATCH(ROW()-5,'Formulación PDN 2027'!$AK$7:$AK$506,0))&amp;"","")</f>
        <v/>
      </c>
    </row>
    <row r="273" spans="1:25" x14ac:dyDescent="0.3">
      <c r="A273" s="15" t="str">
        <f>IFERROR(INDEX('Formulación PDN 2027'!$A$7:$A$506,MATCH(ROW()-5,'Formulación PDN 2027'!$AK$7:$AK$506,0))&amp;"","")</f>
        <v/>
      </c>
      <c r="B273" s="20" t="str">
        <f>IFERROR(INDEX('Formulación PDN 2027'!$M$7:$M$506,MATCH(ROW()-5,'Formulación PDN 2027'!$AK$7:$AK$506,0)),"")</f>
        <v/>
      </c>
      <c r="C273" s="15" t="str">
        <f>IFERROR(INDEX('Formulación PDN 2027'!$N$7:$N$506,MATCH(ROW()-5,'Formulación PDN 2027'!$AK$7:$AK$506,0))&amp;"","")</f>
        <v/>
      </c>
      <c r="D273" s="15" t="str">
        <f>IFERROR(INDEX('Formulación PDN 2027'!$L$7:$L$506,MATCH(ROW()-5,'Formulación PDN 2027'!$AK$7:$AK$506,0))&amp;"","")</f>
        <v/>
      </c>
      <c r="E273" s="15" t="str">
        <f>IFERROR(MATCH(INDEX('Formulación PDN 2027'!$O$7:$O$506,MATCH(ROW()-5,'Formulación PDN 2027'!$AK$7:$AK$506,0)),L_MESES,0),"")</f>
        <v/>
      </c>
      <c r="F273" s="15" t="str">
        <f>IFERROR(MATCH(INDEX('Formulación PDN 2027'!$P$7:$P$506,MATCH(ROW()-5,'Formulación PDN 2027'!$AK$7:$AK$506,0)),L_MESES,0),"")</f>
        <v/>
      </c>
      <c r="G273" s="15" t="str">
        <f>IFERROR(INDEX('Formulación PDN 2027'!$Q$7:$Q$506,MATCH(ROW()-5,'Formulación PDN 2027'!$AK$7:$AK$506,0)),"")</f>
        <v/>
      </c>
      <c r="H273" s="15" t="str">
        <f>IFERROR(INDEX('Formulación PDN 2027'!$R$7:$R$506,MATCH(ROW()-5,'Formulación PDN 2027'!$AK$7:$AK$506,0))&amp;"","")</f>
        <v/>
      </c>
      <c r="I273" s="15" t="str">
        <f>IFERROR(INDEX('Formulación PDN 2027'!$S$7:$S$506,MATCH(ROW()-5,'Formulación PDN 2027'!$AK$7:$AK$506,0))&amp;"","")</f>
        <v/>
      </c>
      <c r="J273" s="15" t="str">
        <f>IFERROR(INDEX('Formulación PDN 2027'!$T$7:$T$506,MATCH(ROW()-5,'Formulación PDN 2027'!$AK$7:$AK$506,0))&amp;"","")</f>
        <v/>
      </c>
      <c r="K273" s="43" t="str">
        <f>IFERROR(INDEX('Formulación PDN 2027'!$W$7:$W$506,MATCH(ROW()-5,'Formulación PDN 2027'!$AK$7:$AK$506,0)),"")</f>
        <v/>
      </c>
      <c r="L273" s="43" t="str">
        <f>IFERROR(INDEX('Formulación PDN 2027'!$X$7:$X$506,MATCH(ROW()-5,'Formulación PDN 2027'!$AK$7:$AK$506,0)),"")</f>
        <v/>
      </c>
      <c r="M273" s="15" t="str">
        <f>IFERROR(INDEX('Formulación PDN 2027'!$Y$7:$Y$506,MATCH(ROW()-5,'Formulación PDN 2027'!$AK$7:$AK$506,0))&amp;"","")</f>
        <v/>
      </c>
      <c r="N273" s="15" t="str">
        <f>IFERROR(INDEX('Formulación PDN 2027'!$Z$7:$Z$506,MATCH(ROW()-5,'Formulación PDN 2027'!$AK$7:$AK$506,0))&amp;"","")</f>
        <v/>
      </c>
      <c r="O273" s="15"/>
      <c r="P273" s="15" t="str">
        <f>IFERROR(INDEX('Formulación PDN 2027'!$AA$7:$AA$506,MATCH(ROW()-5,'Formulación PDN 2027'!$AK$7:$AK$506,0))&amp;"","")</f>
        <v/>
      </c>
      <c r="Q273" s="15" t="str">
        <f>IFERROR(INDEX('Formulación PDN 2027'!$AB$7:$AB$506,MATCH(ROW()-5,'Formulación PDN 2027'!$AK$7:$AK$506,0))&amp;"","")</f>
        <v/>
      </c>
      <c r="R273" s="15" t="str">
        <f>IFERROR(INDEX('Formulación PDN 2027'!$AD$7:$AD$506,MATCH(ROW()-5,'Formulación PDN 2027'!$AK$7:$AK$506,0))&amp;"","")</f>
        <v/>
      </c>
      <c r="S273" s="15" t="str">
        <f>IFERROR(INDEX('Formulación PDN 2027'!$AE$7:$AE$506,MATCH(ROW()-5,'Formulación PDN 2027'!$AK$7:$AK$506,0))&amp;"","")</f>
        <v/>
      </c>
      <c r="T273" s="15" t="str">
        <f>IFERROR(INDEX('Formulación PDN 2027'!$C$7:$C$506,MATCH(ROW()-5,'Formulación PDN 2027'!$AK$7:$AK$506,0))&amp;"","")</f>
        <v/>
      </c>
      <c r="U273" s="15" t="str">
        <f>IFERROR(INDEX('Formulación PDN 2027'!$B$7:$B$506,MATCH(ROW()-5,'Formulación PDN 2027'!$AK$7:$AK$506,0))&amp;"","")</f>
        <v/>
      </c>
      <c r="V273" s="15" t="str">
        <f>IFERROR(LEFT(INDEX('Formulación PDN 2027'!$E$7:$E$506,MATCH(ROW()-5,'Formulación PDN 2027'!$AK$7:$AK$506,0)),7),"")</f>
        <v/>
      </c>
      <c r="W273" s="15" t="str">
        <f>IFERROR(INDEX('Formulación PDN 2027'!$H$7:$H$506,MATCH(ROW()-5,'Formulación PDN 2027'!$AK$7:$AK$506,0))&amp;"","")</f>
        <v/>
      </c>
      <c r="X273" s="15" t="str">
        <f>IFERROR(INDEX('Formulación PDN 2027'!$U$7:$U$506,MATCH(ROW()-5,'Formulación PDN 2027'!$AK$7:$AK$506,0))&amp;"","")</f>
        <v/>
      </c>
      <c r="Y273" s="15" t="str">
        <f>IFERROR(INDEX('Formulación PDN 2027'!$AH$7:$AH$506,MATCH(ROW()-5,'Formulación PDN 2027'!$AK$7:$AK$506,0))&amp;"","")</f>
        <v/>
      </c>
    </row>
    <row r="274" spans="1:25" x14ac:dyDescent="0.3">
      <c r="A274" s="15" t="str">
        <f>IFERROR(INDEX('Formulación PDN 2027'!$A$7:$A$506,MATCH(ROW()-5,'Formulación PDN 2027'!$AK$7:$AK$506,0))&amp;"","")</f>
        <v/>
      </c>
      <c r="B274" s="20" t="str">
        <f>IFERROR(INDEX('Formulación PDN 2027'!$M$7:$M$506,MATCH(ROW()-5,'Formulación PDN 2027'!$AK$7:$AK$506,0)),"")</f>
        <v/>
      </c>
      <c r="C274" s="15" t="str">
        <f>IFERROR(INDEX('Formulación PDN 2027'!$N$7:$N$506,MATCH(ROW()-5,'Formulación PDN 2027'!$AK$7:$AK$506,0))&amp;"","")</f>
        <v/>
      </c>
      <c r="D274" s="15" t="str">
        <f>IFERROR(INDEX('Formulación PDN 2027'!$L$7:$L$506,MATCH(ROW()-5,'Formulación PDN 2027'!$AK$7:$AK$506,0))&amp;"","")</f>
        <v/>
      </c>
      <c r="E274" s="15" t="str">
        <f>IFERROR(MATCH(INDEX('Formulación PDN 2027'!$O$7:$O$506,MATCH(ROW()-5,'Formulación PDN 2027'!$AK$7:$AK$506,0)),L_MESES,0),"")</f>
        <v/>
      </c>
      <c r="F274" s="15" t="str">
        <f>IFERROR(MATCH(INDEX('Formulación PDN 2027'!$P$7:$P$506,MATCH(ROW()-5,'Formulación PDN 2027'!$AK$7:$AK$506,0)),L_MESES,0),"")</f>
        <v/>
      </c>
      <c r="G274" s="15" t="str">
        <f>IFERROR(INDEX('Formulación PDN 2027'!$Q$7:$Q$506,MATCH(ROW()-5,'Formulación PDN 2027'!$AK$7:$AK$506,0)),"")</f>
        <v/>
      </c>
      <c r="H274" s="15" t="str">
        <f>IFERROR(INDEX('Formulación PDN 2027'!$R$7:$R$506,MATCH(ROW()-5,'Formulación PDN 2027'!$AK$7:$AK$506,0))&amp;"","")</f>
        <v/>
      </c>
      <c r="I274" s="15" t="str">
        <f>IFERROR(INDEX('Formulación PDN 2027'!$S$7:$S$506,MATCH(ROW()-5,'Formulación PDN 2027'!$AK$7:$AK$506,0))&amp;"","")</f>
        <v/>
      </c>
      <c r="J274" s="15" t="str">
        <f>IFERROR(INDEX('Formulación PDN 2027'!$T$7:$T$506,MATCH(ROW()-5,'Formulación PDN 2027'!$AK$7:$AK$506,0))&amp;"","")</f>
        <v/>
      </c>
      <c r="K274" s="43" t="str">
        <f>IFERROR(INDEX('Formulación PDN 2027'!$W$7:$W$506,MATCH(ROW()-5,'Formulación PDN 2027'!$AK$7:$AK$506,0)),"")</f>
        <v/>
      </c>
      <c r="L274" s="43" t="str">
        <f>IFERROR(INDEX('Formulación PDN 2027'!$X$7:$X$506,MATCH(ROW()-5,'Formulación PDN 2027'!$AK$7:$AK$506,0)),"")</f>
        <v/>
      </c>
      <c r="M274" s="15" t="str">
        <f>IFERROR(INDEX('Formulación PDN 2027'!$Y$7:$Y$506,MATCH(ROW()-5,'Formulación PDN 2027'!$AK$7:$AK$506,0))&amp;"","")</f>
        <v/>
      </c>
      <c r="N274" s="15" t="str">
        <f>IFERROR(INDEX('Formulación PDN 2027'!$Z$7:$Z$506,MATCH(ROW()-5,'Formulación PDN 2027'!$AK$7:$AK$506,0))&amp;"","")</f>
        <v/>
      </c>
      <c r="O274" s="15"/>
      <c r="P274" s="15" t="str">
        <f>IFERROR(INDEX('Formulación PDN 2027'!$AA$7:$AA$506,MATCH(ROW()-5,'Formulación PDN 2027'!$AK$7:$AK$506,0))&amp;"","")</f>
        <v/>
      </c>
      <c r="Q274" s="15" t="str">
        <f>IFERROR(INDEX('Formulación PDN 2027'!$AB$7:$AB$506,MATCH(ROW()-5,'Formulación PDN 2027'!$AK$7:$AK$506,0))&amp;"","")</f>
        <v/>
      </c>
      <c r="R274" s="15" t="str">
        <f>IFERROR(INDEX('Formulación PDN 2027'!$AD$7:$AD$506,MATCH(ROW()-5,'Formulación PDN 2027'!$AK$7:$AK$506,0))&amp;"","")</f>
        <v/>
      </c>
      <c r="S274" s="15" t="str">
        <f>IFERROR(INDEX('Formulación PDN 2027'!$AE$7:$AE$506,MATCH(ROW()-5,'Formulación PDN 2027'!$AK$7:$AK$506,0))&amp;"","")</f>
        <v/>
      </c>
      <c r="T274" s="15" t="str">
        <f>IFERROR(INDEX('Formulación PDN 2027'!$C$7:$C$506,MATCH(ROW()-5,'Formulación PDN 2027'!$AK$7:$AK$506,0))&amp;"","")</f>
        <v/>
      </c>
      <c r="U274" s="15" t="str">
        <f>IFERROR(INDEX('Formulación PDN 2027'!$B$7:$B$506,MATCH(ROW()-5,'Formulación PDN 2027'!$AK$7:$AK$506,0))&amp;"","")</f>
        <v/>
      </c>
      <c r="V274" s="15" t="str">
        <f>IFERROR(LEFT(INDEX('Formulación PDN 2027'!$E$7:$E$506,MATCH(ROW()-5,'Formulación PDN 2027'!$AK$7:$AK$506,0)),7),"")</f>
        <v/>
      </c>
      <c r="W274" s="15" t="str">
        <f>IFERROR(INDEX('Formulación PDN 2027'!$H$7:$H$506,MATCH(ROW()-5,'Formulación PDN 2027'!$AK$7:$AK$506,0))&amp;"","")</f>
        <v/>
      </c>
      <c r="X274" s="15" t="str">
        <f>IFERROR(INDEX('Formulación PDN 2027'!$U$7:$U$506,MATCH(ROW()-5,'Formulación PDN 2027'!$AK$7:$AK$506,0))&amp;"","")</f>
        <v/>
      </c>
      <c r="Y274" s="15" t="str">
        <f>IFERROR(INDEX('Formulación PDN 2027'!$AH$7:$AH$506,MATCH(ROW()-5,'Formulación PDN 2027'!$AK$7:$AK$506,0))&amp;"","")</f>
        <v/>
      </c>
    </row>
    <row r="275" spans="1:25" x14ac:dyDescent="0.3">
      <c r="A275" s="15" t="str">
        <f>IFERROR(INDEX('Formulación PDN 2027'!$A$7:$A$506,MATCH(ROW()-5,'Formulación PDN 2027'!$AK$7:$AK$506,0))&amp;"","")</f>
        <v/>
      </c>
      <c r="B275" s="20" t="str">
        <f>IFERROR(INDEX('Formulación PDN 2027'!$M$7:$M$506,MATCH(ROW()-5,'Formulación PDN 2027'!$AK$7:$AK$506,0)),"")</f>
        <v/>
      </c>
      <c r="C275" s="15" t="str">
        <f>IFERROR(INDEX('Formulación PDN 2027'!$N$7:$N$506,MATCH(ROW()-5,'Formulación PDN 2027'!$AK$7:$AK$506,0))&amp;"","")</f>
        <v/>
      </c>
      <c r="D275" s="15" t="str">
        <f>IFERROR(INDEX('Formulación PDN 2027'!$L$7:$L$506,MATCH(ROW()-5,'Formulación PDN 2027'!$AK$7:$AK$506,0))&amp;"","")</f>
        <v/>
      </c>
      <c r="E275" s="15" t="str">
        <f>IFERROR(MATCH(INDEX('Formulación PDN 2027'!$O$7:$O$506,MATCH(ROW()-5,'Formulación PDN 2027'!$AK$7:$AK$506,0)),L_MESES,0),"")</f>
        <v/>
      </c>
      <c r="F275" s="15" t="str">
        <f>IFERROR(MATCH(INDEX('Formulación PDN 2027'!$P$7:$P$506,MATCH(ROW()-5,'Formulación PDN 2027'!$AK$7:$AK$506,0)),L_MESES,0),"")</f>
        <v/>
      </c>
      <c r="G275" s="15" t="str">
        <f>IFERROR(INDEX('Formulación PDN 2027'!$Q$7:$Q$506,MATCH(ROW()-5,'Formulación PDN 2027'!$AK$7:$AK$506,0)),"")</f>
        <v/>
      </c>
      <c r="H275" s="15" t="str">
        <f>IFERROR(INDEX('Formulación PDN 2027'!$R$7:$R$506,MATCH(ROW()-5,'Formulación PDN 2027'!$AK$7:$AK$506,0))&amp;"","")</f>
        <v/>
      </c>
      <c r="I275" s="15" t="str">
        <f>IFERROR(INDEX('Formulación PDN 2027'!$S$7:$S$506,MATCH(ROW()-5,'Formulación PDN 2027'!$AK$7:$AK$506,0))&amp;"","")</f>
        <v/>
      </c>
      <c r="J275" s="15" t="str">
        <f>IFERROR(INDEX('Formulación PDN 2027'!$T$7:$T$506,MATCH(ROW()-5,'Formulación PDN 2027'!$AK$7:$AK$506,0))&amp;"","")</f>
        <v/>
      </c>
      <c r="K275" s="43" t="str">
        <f>IFERROR(INDEX('Formulación PDN 2027'!$W$7:$W$506,MATCH(ROW()-5,'Formulación PDN 2027'!$AK$7:$AK$506,0)),"")</f>
        <v/>
      </c>
      <c r="L275" s="43" t="str">
        <f>IFERROR(INDEX('Formulación PDN 2027'!$X$7:$X$506,MATCH(ROW()-5,'Formulación PDN 2027'!$AK$7:$AK$506,0)),"")</f>
        <v/>
      </c>
      <c r="M275" s="15" t="str">
        <f>IFERROR(INDEX('Formulación PDN 2027'!$Y$7:$Y$506,MATCH(ROW()-5,'Formulación PDN 2027'!$AK$7:$AK$506,0))&amp;"","")</f>
        <v/>
      </c>
      <c r="N275" s="15" t="str">
        <f>IFERROR(INDEX('Formulación PDN 2027'!$Z$7:$Z$506,MATCH(ROW()-5,'Formulación PDN 2027'!$AK$7:$AK$506,0))&amp;"","")</f>
        <v/>
      </c>
      <c r="O275" s="15"/>
      <c r="P275" s="15" t="str">
        <f>IFERROR(INDEX('Formulación PDN 2027'!$AA$7:$AA$506,MATCH(ROW()-5,'Formulación PDN 2027'!$AK$7:$AK$506,0))&amp;"","")</f>
        <v/>
      </c>
      <c r="Q275" s="15" t="str">
        <f>IFERROR(INDEX('Formulación PDN 2027'!$AB$7:$AB$506,MATCH(ROW()-5,'Formulación PDN 2027'!$AK$7:$AK$506,0))&amp;"","")</f>
        <v/>
      </c>
      <c r="R275" s="15" t="str">
        <f>IFERROR(INDEX('Formulación PDN 2027'!$AD$7:$AD$506,MATCH(ROW()-5,'Formulación PDN 2027'!$AK$7:$AK$506,0))&amp;"","")</f>
        <v/>
      </c>
      <c r="S275" s="15" t="str">
        <f>IFERROR(INDEX('Formulación PDN 2027'!$AE$7:$AE$506,MATCH(ROW()-5,'Formulación PDN 2027'!$AK$7:$AK$506,0))&amp;"","")</f>
        <v/>
      </c>
      <c r="T275" s="15" t="str">
        <f>IFERROR(INDEX('Formulación PDN 2027'!$C$7:$C$506,MATCH(ROW()-5,'Formulación PDN 2027'!$AK$7:$AK$506,0))&amp;"","")</f>
        <v/>
      </c>
      <c r="U275" s="15" t="str">
        <f>IFERROR(INDEX('Formulación PDN 2027'!$B$7:$B$506,MATCH(ROW()-5,'Formulación PDN 2027'!$AK$7:$AK$506,0))&amp;"","")</f>
        <v/>
      </c>
      <c r="V275" s="15" t="str">
        <f>IFERROR(LEFT(INDEX('Formulación PDN 2027'!$E$7:$E$506,MATCH(ROW()-5,'Formulación PDN 2027'!$AK$7:$AK$506,0)),7),"")</f>
        <v/>
      </c>
      <c r="W275" s="15" t="str">
        <f>IFERROR(INDEX('Formulación PDN 2027'!$H$7:$H$506,MATCH(ROW()-5,'Formulación PDN 2027'!$AK$7:$AK$506,0))&amp;"","")</f>
        <v/>
      </c>
      <c r="X275" s="15" t="str">
        <f>IFERROR(INDEX('Formulación PDN 2027'!$U$7:$U$506,MATCH(ROW()-5,'Formulación PDN 2027'!$AK$7:$AK$506,0))&amp;"","")</f>
        <v/>
      </c>
      <c r="Y275" s="15" t="str">
        <f>IFERROR(INDEX('Formulación PDN 2027'!$AH$7:$AH$506,MATCH(ROW()-5,'Formulación PDN 2027'!$AK$7:$AK$506,0))&amp;"","")</f>
        <v/>
      </c>
    </row>
    <row r="276" spans="1:25" x14ac:dyDescent="0.3">
      <c r="A276" s="15" t="str">
        <f>IFERROR(INDEX('Formulación PDN 2027'!$A$7:$A$506,MATCH(ROW()-5,'Formulación PDN 2027'!$AK$7:$AK$506,0))&amp;"","")</f>
        <v/>
      </c>
      <c r="B276" s="20" t="str">
        <f>IFERROR(INDEX('Formulación PDN 2027'!$M$7:$M$506,MATCH(ROW()-5,'Formulación PDN 2027'!$AK$7:$AK$506,0)),"")</f>
        <v/>
      </c>
      <c r="C276" s="15" t="str">
        <f>IFERROR(INDEX('Formulación PDN 2027'!$N$7:$N$506,MATCH(ROW()-5,'Formulación PDN 2027'!$AK$7:$AK$506,0))&amp;"","")</f>
        <v/>
      </c>
      <c r="D276" s="15" t="str">
        <f>IFERROR(INDEX('Formulación PDN 2027'!$L$7:$L$506,MATCH(ROW()-5,'Formulación PDN 2027'!$AK$7:$AK$506,0))&amp;"","")</f>
        <v/>
      </c>
      <c r="E276" s="15" t="str">
        <f>IFERROR(MATCH(INDEX('Formulación PDN 2027'!$O$7:$O$506,MATCH(ROW()-5,'Formulación PDN 2027'!$AK$7:$AK$506,0)),L_MESES,0),"")</f>
        <v/>
      </c>
      <c r="F276" s="15" t="str">
        <f>IFERROR(MATCH(INDEX('Formulación PDN 2027'!$P$7:$P$506,MATCH(ROW()-5,'Formulación PDN 2027'!$AK$7:$AK$506,0)),L_MESES,0),"")</f>
        <v/>
      </c>
      <c r="G276" s="15" t="str">
        <f>IFERROR(INDEX('Formulación PDN 2027'!$Q$7:$Q$506,MATCH(ROW()-5,'Formulación PDN 2027'!$AK$7:$AK$506,0)),"")</f>
        <v/>
      </c>
      <c r="H276" s="15" t="str">
        <f>IFERROR(INDEX('Formulación PDN 2027'!$R$7:$R$506,MATCH(ROW()-5,'Formulación PDN 2027'!$AK$7:$AK$506,0))&amp;"","")</f>
        <v/>
      </c>
      <c r="I276" s="15" t="str">
        <f>IFERROR(INDEX('Formulación PDN 2027'!$S$7:$S$506,MATCH(ROW()-5,'Formulación PDN 2027'!$AK$7:$AK$506,0))&amp;"","")</f>
        <v/>
      </c>
      <c r="J276" s="15" t="str">
        <f>IFERROR(INDEX('Formulación PDN 2027'!$T$7:$T$506,MATCH(ROW()-5,'Formulación PDN 2027'!$AK$7:$AK$506,0))&amp;"","")</f>
        <v/>
      </c>
      <c r="K276" s="43" t="str">
        <f>IFERROR(INDEX('Formulación PDN 2027'!$W$7:$W$506,MATCH(ROW()-5,'Formulación PDN 2027'!$AK$7:$AK$506,0)),"")</f>
        <v/>
      </c>
      <c r="L276" s="43" t="str">
        <f>IFERROR(INDEX('Formulación PDN 2027'!$X$7:$X$506,MATCH(ROW()-5,'Formulación PDN 2027'!$AK$7:$AK$506,0)),"")</f>
        <v/>
      </c>
      <c r="M276" s="15" t="str">
        <f>IFERROR(INDEX('Formulación PDN 2027'!$Y$7:$Y$506,MATCH(ROW()-5,'Formulación PDN 2027'!$AK$7:$AK$506,0))&amp;"","")</f>
        <v/>
      </c>
      <c r="N276" s="15" t="str">
        <f>IFERROR(INDEX('Formulación PDN 2027'!$Z$7:$Z$506,MATCH(ROW()-5,'Formulación PDN 2027'!$AK$7:$AK$506,0))&amp;"","")</f>
        <v/>
      </c>
      <c r="O276" s="15"/>
      <c r="P276" s="15" t="str">
        <f>IFERROR(INDEX('Formulación PDN 2027'!$AA$7:$AA$506,MATCH(ROW()-5,'Formulación PDN 2027'!$AK$7:$AK$506,0))&amp;"","")</f>
        <v/>
      </c>
      <c r="Q276" s="15" t="str">
        <f>IFERROR(INDEX('Formulación PDN 2027'!$AB$7:$AB$506,MATCH(ROW()-5,'Formulación PDN 2027'!$AK$7:$AK$506,0))&amp;"","")</f>
        <v/>
      </c>
      <c r="R276" s="15" t="str">
        <f>IFERROR(INDEX('Formulación PDN 2027'!$AD$7:$AD$506,MATCH(ROW()-5,'Formulación PDN 2027'!$AK$7:$AK$506,0))&amp;"","")</f>
        <v/>
      </c>
      <c r="S276" s="15" t="str">
        <f>IFERROR(INDEX('Formulación PDN 2027'!$AE$7:$AE$506,MATCH(ROW()-5,'Formulación PDN 2027'!$AK$7:$AK$506,0))&amp;"","")</f>
        <v/>
      </c>
      <c r="T276" s="15" t="str">
        <f>IFERROR(INDEX('Formulación PDN 2027'!$C$7:$C$506,MATCH(ROW()-5,'Formulación PDN 2027'!$AK$7:$AK$506,0))&amp;"","")</f>
        <v/>
      </c>
      <c r="U276" s="15" t="str">
        <f>IFERROR(INDEX('Formulación PDN 2027'!$B$7:$B$506,MATCH(ROW()-5,'Formulación PDN 2027'!$AK$7:$AK$506,0))&amp;"","")</f>
        <v/>
      </c>
      <c r="V276" s="15" t="str">
        <f>IFERROR(LEFT(INDEX('Formulación PDN 2027'!$E$7:$E$506,MATCH(ROW()-5,'Formulación PDN 2027'!$AK$7:$AK$506,0)),7),"")</f>
        <v/>
      </c>
      <c r="W276" s="15" t="str">
        <f>IFERROR(INDEX('Formulación PDN 2027'!$H$7:$H$506,MATCH(ROW()-5,'Formulación PDN 2027'!$AK$7:$AK$506,0))&amp;"","")</f>
        <v/>
      </c>
      <c r="X276" s="15" t="str">
        <f>IFERROR(INDEX('Formulación PDN 2027'!$U$7:$U$506,MATCH(ROW()-5,'Formulación PDN 2027'!$AK$7:$AK$506,0))&amp;"","")</f>
        <v/>
      </c>
      <c r="Y276" s="15" t="str">
        <f>IFERROR(INDEX('Formulación PDN 2027'!$AH$7:$AH$506,MATCH(ROW()-5,'Formulación PDN 2027'!$AK$7:$AK$506,0))&amp;"","")</f>
        <v/>
      </c>
    </row>
    <row r="277" spans="1:25" x14ac:dyDescent="0.3">
      <c r="A277" s="15" t="str">
        <f>IFERROR(INDEX('Formulación PDN 2027'!$A$7:$A$506,MATCH(ROW()-5,'Formulación PDN 2027'!$AK$7:$AK$506,0))&amp;"","")</f>
        <v/>
      </c>
      <c r="B277" s="20" t="str">
        <f>IFERROR(INDEX('Formulación PDN 2027'!$M$7:$M$506,MATCH(ROW()-5,'Formulación PDN 2027'!$AK$7:$AK$506,0)),"")</f>
        <v/>
      </c>
      <c r="C277" s="15" t="str">
        <f>IFERROR(INDEX('Formulación PDN 2027'!$N$7:$N$506,MATCH(ROW()-5,'Formulación PDN 2027'!$AK$7:$AK$506,0))&amp;"","")</f>
        <v/>
      </c>
      <c r="D277" s="15" t="str">
        <f>IFERROR(INDEX('Formulación PDN 2027'!$L$7:$L$506,MATCH(ROW()-5,'Formulación PDN 2027'!$AK$7:$AK$506,0))&amp;"","")</f>
        <v/>
      </c>
      <c r="E277" s="15" t="str">
        <f>IFERROR(MATCH(INDEX('Formulación PDN 2027'!$O$7:$O$506,MATCH(ROW()-5,'Formulación PDN 2027'!$AK$7:$AK$506,0)),L_MESES,0),"")</f>
        <v/>
      </c>
      <c r="F277" s="15" t="str">
        <f>IFERROR(MATCH(INDEX('Formulación PDN 2027'!$P$7:$P$506,MATCH(ROW()-5,'Formulación PDN 2027'!$AK$7:$AK$506,0)),L_MESES,0),"")</f>
        <v/>
      </c>
      <c r="G277" s="15" t="str">
        <f>IFERROR(INDEX('Formulación PDN 2027'!$Q$7:$Q$506,MATCH(ROW()-5,'Formulación PDN 2027'!$AK$7:$AK$506,0)),"")</f>
        <v/>
      </c>
      <c r="H277" s="15" t="str">
        <f>IFERROR(INDEX('Formulación PDN 2027'!$R$7:$R$506,MATCH(ROW()-5,'Formulación PDN 2027'!$AK$7:$AK$506,0))&amp;"","")</f>
        <v/>
      </c>
      <c r="I277" s="15" t="str">
        <f>IFERROR(INDEX('Formulación PDN 2027'!$S$7:$S$506,MATCH(ROW()-5,'Formulación PDN 2027'!$AK$7:$AK$506,0))&amp;"","")</f>
        <v/>
      </c>
      <c r="J277" s="15" t="str">
        <f>IFERROR(INDEX('Formulación PDN 2027'!$T$7:$T$506,MATCH(ROW()-5,'Formulación PDN 2027'!$AK$7:$AK$506,0))&amp;"","")</f>
        <v/>
      </c>
      <c r="K277" s="43" t="str">
        <f>IFERROR(INDEX('Formulación PDN 2027'!$W$7:$W$506,MATCH(ROW()-5,'Formulación PDN 2027'!$AK$7:$AK$506,0)),"")</f>
        <v/>
      </c>
      <c r="L277" s="43" t="str">
        <f>IFERROR(INDEX('Formulación PDN 2027'!$X$7:$X$506,MATCH(ROW()-5,'Formulación PDN 2027'!$AK$7:$AK$506,0)),"")</f>
        <v/>
      </c>
      <c r="M277" s="15" t="str">
        <f>IFERROR(INDEX('Formulación PDN 2027'!$Y$7:$Y$506,MATCH(ROW()-5,'Formulación PDN 2027'!$AK$7:$AK$506,0))&amp;"","")</f>
        <v/>
      </c>
      <c r="N277" s="15" t="str">
        <f>IFERROR(INDEX('Formulación PDN 2027'!$Z$7:$Z$506,MATCH(ROW()-5,'Formulación PDN 2027'!$AK$7:$AK$506,0))&amp;"","")</f>
        <v/>
      </c>
      <c r="O277" s="15"/>
      <c r="P277" s="15" t="str">
        <f>IFERROR(INDEX('Formulación PDN 2027'!$AA$7:$AA$506,MATCH(ROW()-5,'Formulación PDN 2027'!$AK$7:$AK$506,0))&amp;"","")</f>
        <v/>
      </c>
      <c r="Q277" s="15" t="str">
        <f>IFERROR(INDEX('Formulación PDN 2027'!$AB$7:$AB$506,MATCH(ROW()-5,'Formulación PDN 2027'!$AK$7:$AK$506,0))&amp;"","")</f>
        <v/>
      </c>
      <c r="R277" s="15" t="str">
        <f>IFERROR(INDEX('Formulación PDN 2027'!$AD$7:$AD$506,MATCH(ROW()-5,'Formulación PDN 2027'!$AK$7:$AK$506,0))&amp;"","")</f>
        <v/>
      </c>
      <c r="S277" s="15" t="str">
        <f>IFERROR(INDEX('Formulación PDN 2027'!$AE$7:$AE$506,MATCH(ROW()-5,'Formulación PDN 2027'!$AK$7:$AK$506,0))&amp;"","")</f>
        <v/>
      </c>
      <c r="T277" s="15" t="str">
        <f>IFERROR(INDEX('Formulación PDN 2027'!$C$7:$C$506,MATCH(ROW()-5,'Formulación PDN 2027'!$AK$7:$AK$506,0))&amp;"","")</f>
        <v/>
      </c>
      <c r="U277" s="15" t="str">
        <f>IFERROR(INDEX('Formulación PDN 2027'!$B$7:$B$506,MATCH(ROW()-5,'Formulación PDN 2027'!$AK$7:$AK$506,0))&amp;"","")</f>
        <v/>
      </c>
      <c r="V277" s="15" t="str">
        <f>IFERROR(LEFT(INDEX('Formulación PDN 2027'!$E$7:$E$506,MATCH(ROW()-5,'Formulación PDN 2027'!$AK$7:$AK$506,0)),7),"")</f>
        <v/>
      </c>
      <c r="W277" s="15" t="str">
        <f>IFERROR(INDEX('Formulación PDN 2027'!$H$7:$H$506,MATCH(ROW()-5,'Formulación PDN 2027'!$AK$7:$AK$506,0))&amp;"","")</f>
        <v/>
      </c>
      <c r="X277" s="15" t="str">
        <f>IFERROR(INDEX('Formulación PDN 2027'!$U$7:$U$506,MATCH(ROW()-5,'Formulación PDN 2027'!$AK$7:$AK$506,0))&amp;"","")</f>
        <v/>
      </c>
      <c r="Y277" s="15" t="str">
        <f>IFERROR(INDEX('Formulación PDN 2027'!$AH$7:$AH$506,MATCH(ROW()-5,'Formulación PDN 2027'!$AK$7:$AK$506,0))&amp;"","")</f>
        <v/>
      </c>
    </row>
    <row r="278" spans="1:25" x14ac:dyDescent="0.3">
      <c r="A278" s="15" t="str">
        <f>IFERROR(INDEX('Formulación PDN 2027'!$A$7:$A$506,MATCH(ROW()-5,'Formulación PDN 2027'!$AK$7:$AK$506,0))&amp;"","")</f>
        <v/>
      </c>
      <c r="B278" s="20" t="str">
        <f>IFERROR(INDEX('Formulación PDN 2027'!$M$7:$M$506,MATCH(ROW()-5,'Formulación PDN 2027'!$AK$7:$AK$506,0)),"")</f>
        <v/>
      </c>
      <c r="C278" s="15" t="str">
        <f>IFERROR(INDEX('Formulación PDN 2027'!$N$7:$N$506,MATCH(ROW()-5,'Formulación PDN 2027'!$AK$7:$AK$506,0))&amp;"","")</f>
        <v/>
      </c>
      <c r="D278" s="15" t="str">
        <f>IFERROR(INDEX('Formulación PDN 2027'!$L$7:$L$506,MATCH(ROW()-5,'Formulación PDN 2027'!$AK$7:$AK$506,0))&amp;"","")</f>
        <v/>
      </c>
      <c r="E278" s="15" t="str">
        <f>IFERROR(MATCH(INDEX('Formulación PDN 2027'!$O$7:$O$506,MATCH(ROW()-5,'Formulación PDN 2027'!$AK$7:$AK$506,0)),L_MESES,0),"")</f>
        <v/>
      </c>
      <c r="F278" s="15" t="str">
        <f>IFERROR(MATCH(INDEX('Formulación PDN 2027'!$P$7:$P$506,MATCH(ROW()-5,'Formulación PDN 2027'!$AK$7:$AK$506,0)),L_MESES,0),"")</f>
        <v/>
      </c>
      <c r="G278" s="15" t="str">
        <f>IFERROR(INDEX('Formulación PDN 2027'!$Q$7:$Q$506,MATCH(ROW()-5,'Formulación PDN 2027'!$AK$7:$AK$506,0)),"")</f>
        <v/>
      </c>
      <c r="H278" s="15" t="str">
        <f>IFERROR(INDEX('Formulación PDN 2027'!$R$7:$R$506,MATCH(ROW()-5,'Formulación PDN 2027'!$AK$7:$AK$506,0))&amp;"","")</f>
        <v/>
      </c>
      <c r="I278" s="15" t="str">
        <f>IFERROR(INDEX('Formulación PDN 2027'!$S$7:$S$506,MATCH(ROW()-5,'Formulación PDN 2027'!$AK$7:$AK$506,0))&amp;"","")</f>
        <v/>
      </c>
      <c r="J278" s="15" t="str">
        <f>IFERROR(INDEX('Formulación PDN 2027'!$T$7:$T$506,MATCH(ROW()-5,'Formulación PDN 2027'!$AK$7:$AK$506,0))&amp;"","")</f>
        <v/>
      </c>
      <c r="K278" s="43" t="str">
        <f>IFERROR(INDEX('Formulación PDN 2027'!$W$7:$W$506,MATCH(ROW()-5,'Formulación PDN 2027'!$AK$7:$AK$506,0)),"")</f>
        <v/>
      </c>
      <c r="L278" s="43" t="str">
        <f>IFERROR(INDEX('Formulación PDN 2027'!$X$7:$X$506,MATCH(ROW()-5,'Formulación PDN 2027'!$AK$7:$AK$506,0)),"")</f>
        <v/>
      </c>
      <c r="M278" s="15" t="str">
        <f>IFERROR(INDEX('Formulación PDN 2027'!$Y$7:$Y$506,MATCH(ROW()-5,'Formulación PDN 2027'!$AK$7:$AK$506,0))&amp;"","")</f>
        <v/>
      </c>
      <c r="N278" s="15" t="str">
        <f>IFERROR(INDEX('Formulación PDN 2027'!$Z$7:$Z$506,MATCH(ROW()-5,'Formulación PDN 2027'!$AK$7:$AK$506,0))&amp;"","")</f>
        <v/>
      </c>
      <c r="O278" s="15"/>
      <c r="P278" s="15" t="str">
        <f>IFERROR(INDEX('Formulación PDN 2027'!$AA$7:$AA$506,MATCH(ROW()-5,'Formulación PDN 2027'!$AK$7:$AK$506,0))&amp;"","")</f>
        <v/>
      </c>
      <c r="Q278" s="15" t="str">
        <f>IFERROR(INDEX('Formulación PDN 2027'!$AB$7:$AB$506,MATCH(ROW()-5,'Formulación PDN 2027'!$AK$7:$AK$506,0))&amp;"","")</f>
        <v/>
      </c>
      <c r="R278" s="15" t="str">
        <f>IFERROR(INDEX('Formulación PDN 2027'!$AD$7:$AD$506,MATCH(ROW()-5,'Formulación PDN 2027'!$AK$7:$AK$506,0))&amp;"","")</f>
        <v/>
      </c>
      <c r="S278" s="15" t="str">
        <f>IFERROR(INDEX('Formulación PDN 2027'!$AE$7:$AE$506,MATCH(ROW()-5,'Formulación PDN 2027'!$AK$7:$AK$506,0))&amp;"","")</f>
        <v/>
      </c>
      <c r="T278" s="15" t="str">
        <f>IFERROR(INDEX('Formulación PDN 2027'!$C$7:$C$506,MATCH(ROW()-5,'Formulación PDN 2027'!$AK$7:$AK$506,0))&amp;"","")</f>
        <v/>
      </c>
      <c r="U278" s="15" t="str">
        <f>IFERROR(INDEX('Formulación PDN 2027'!$B$7:$B$506,MATCH(ROW()-5,'Formulación PDN 2027'!$AK$7:$AK$506,0))&amp;"","")</f>
        <v/>
      </c>
      <c r="V278" s="15" t="str">
        <f>IFERROR(LEFT(INDEX('Formulación PDN 2027'!$E$7:$E$506,MATCH(ROW()-5,'Formulación PDN 2027'!$AK$7:$AK$506,0)),7),"")</f>
        <v/>
      </c>
      <c r="W278" s="15" t="str">
        <f>IFERROR(INDEX('Formulación PDN 2027'!$H$7:$H$506,MATCH(ROW()-5,'Formulación PDN 2027'!$AK$7:$AK$506,0))&amp;"","")</f>
        <v/>
      </c>
      <c r="X278" s="15" t="str">
        <f>IFERROR(INDEX('Formulación PDN 2027'!$U$7:$U$506,MATCH(ROW()-5,'Formulación PDN 2027'!$AK$7:$AK$506,0))&amp;"","")</f>
        <v/>
      </c>
      <c r="Y278" s="15" t="str">
        <f>IFERROR(INDEX('Formulación PDN 2027'!$AH$7:$AH$506,MATCH(ROW()-5,'Formulación PDN 2027'!$AK$7:$AK$506,0))&amp;"","")</f>
        <v/>
      </c>
    </row>
    <row r="279" spans="1:25" x14ac:dyDescent="0.3">
      <c r="A279" s="15" t="str">
        <f>IFERROR(INDEX('Formulación PDN 2027'!$A$7:$A$506,MATCH(ROW()-5,'Formulación PDN 2027'!$AK$7:$AK$506,0))&amp;"","")</f>
        <v/>
      </c>
      <c r="B279" s="20" t="str">
        <f>IFERROR(INDEX('Formulación PDN 2027'!$M$7:$M$506,MATCH(ROW()-5,'Formulación PDN 2027'!$AK$7:$AK$506,0)),"")</f>
        <v/>
      </c>
      <c r="C279" s="15" t="str">
        <f>IFERROR(INDEX('Formulación PDN 2027'!$N$7:$N$506,MATCH(ROW()-5,'Formulación PDN 2027'!$AK$7:$AK$506,0))&amp;"","")</f>
        <v/>
      </c>
      <c r="D279" s="15" t="str">
        <f>IFERROR(INDEX('Formulación PDN 2027'!$L$7:$L$506,MATCH(ROW()-5,'Formulación PDN 2027'!$AK$7:$AK$506,0))&amp;"","")</f>
        <v/>
      </c>
      <c r="E279" s="15" t="str">
        <f>IFERROR(MATCH(INDEX('Formulación PDN 2027'!$O$7:$O$506,MATCH(ROW()-5,'Formulación PDN 2027'!$AK$7:$AK$506,0)),L_MESES,0),"")</f>
        <v/>
      </c>
      <c r="F279" s="15" t="str">
        <f>IFERROR(MATCH(INDEX('Formulación PDN 2027'!$P$7:$P$506,MATCH(ROW()-5,'Formulación PDN 2027'!$AK$7:$AK$506,0)),L_MESES,0),"")</f>
        <v/>
      </c>
      <c r="G279" s="15" t="str">
        <f>IFERROR(INDEX('Formulación PDN 2027'!$Q$7:$Q$506,MATCH(ROW()-5,'Formulación PDN 2027'!$AK$7:$AK$506,0)),"")</f>
        <v/>
      </c>
      <c r="H279" s="15" t="str">
        <f>IFERROR(INDEX('Formulación PDN 2027'!$R$7:$R$506,MATCH(ROW()-5,'Formulación PDN 2027'!$AK$7:$AK$506,0))&amp;"","")</f>
        <v/>
      </c>
      <c r="I279" s="15" t="str">
        <f>IFERROR(INDEX('Formulación PDN 2027'!$S$7:$S$506,MATCH(ROW()-5,'Formulación PDN 2027'!$AK$7:$AK$506,0))&amp;"","")</f>
        <v/>
      </c>
      <c r="J279" s="15" t="str">
        <f>IFERROR(INDEX('Formulación PDN 2027'!$T$7:$T$506,MATCH(ROW()-5,'Formulación PDN 2027'!$AK$7:$AK$506,0))&amp;"","")</f>
        <v/>
      </c>
      <c r="K279" s="43" t="str">
        <f>IFERROR(INDEX('Formulación PDN 2027'!$W$7:$W$506,MATCH(ROW()-5,'Formulación PDN 2027'!$AK$7:$AK$506,0)),"")</f>
        <v/>
      </c>
      <c r="L279" s="43" t="str">
        <f>IFERROR(INDEX('Formulación PDN 2027'!$X$7:$X$506,MATCH(ROW()-5,'Formulación PDN 2027'!$AK$7:$AK$506,0)),"")</f>
        <v/>
      </c>
      <c r="M279" s="15" t="str">
        <f>IFERROR(INDEX('Formulación PDN 2027'!$Y$7:$Y$506,MATCH(ROW()-5,'Formulación PDN 2027'!$AK$7:$AK$506,0))&amp;"","")</f>
        <v/>
      </c>
      <c r="N279" s="15" t="str">
        <f>IFERROR(INDEX('Formulación PDN 2027'!$Z$7:$Z$506,MATCH(ROW()-5,'Formulación PDN 2027'!$AK$7:$AK$506,0))&amp;"","")</f>
        <v/>
      </c>
      <c r="O279" s="15"/>
      <c r="P279" s="15" t="str">
        <f>IFERROR(INDEX('Formulación PDN 2027'!$AA$7:$AA$506,MATCH(ROW()-5,'Formulación PDN 2027'!$AK$7:$AK$506,0))&amp;"","")</f>
        <v/>
      </c>
      <c r="Q279" s="15" t="str">
        <f>IFERROR(INDEX('Formulación PDN 2027'!$AB$7:$AB$506,MATCH(ROW()-5,'Formulación PDN 2027'!$AK$7:$AK$506,0))&amp;"","")</f>
        <v/>
      </c>
      <c r="R279" s="15" t="str">
        <f>IFERROR(INDEX('Formulación PDN 2027'!$AD$7:$AD$506,MATCH(ROW()-5,'Formulación PDN 2027'!$AK$7:$AK$506,0))&amp;"","")</f>
        <v/>
      </c>
      <c r="S279" s="15" t="str">
        <f>IFERROR(INDEX('Formulación PDN 2027'!$AE$7:$AE$506,MATCH(ROW()-5,'Formulación PDN 2027'!$AK$7:$AK$506,0))&amp;"","")</f>
        <v/>
      </c>
      <c r="T279" s="15" t="str">
        <f>IFERROR(INDEX('Formulación PDN 2027'!$C$7:$C$506,MATCH(ROW()-5,'Formulación PDN 2027'!$AK$7:$AK$506,0))&amp;"","")</f>
        <v/>
      </c>
      <c r="U279" s="15" t="str">
        <f>IFERROR(INDEX('Formulación PDN 2027'!$B$7:$B$506,MATCH(ROW()-5,'Formulación PDN 2027'!$AK$7:$AK$506,0))&amp;"","")</f>
        <v/>
      </c>
      <c r="V279" s="15" t="str">
        <f>IFERROR(LEFT(INDEX('Formulación PDN 2027'!$E$7:$E$506,MATCH(ROW()-5,'Formulación PDN 2027'!$AK$7:$AK$506,0)),7),"")</f>
        <v/>
      </c>
      <c r="W279" s="15" t="str">
        <f>IFERROR(INDEX('Formulación PDN 2027'!$H$7:$H$506,MATCH(ROW()-5,'Formulación PDN 2027'!$AK$7:$AK$506,0))&amp;"","")</f>
        <v/>
      </c>
      <c r="X279" s="15" t="str">
        <f>IFERROR(INDEX('Formulación PDN 2027'!$U$7:$U$506,MATCH(ROW()-5,'Formulación PDN 2027'!$AK$7:$AK$506,0))&amp;"","")</f>
        <v/>
      </c>
      <c r="Y279" s="15" t="str">
        <f>IFERROR(INDEX('Formulación PDN 2027'!$AH$7:$AH$506,MATCH(ROW()-5,'Formulación PDN 2027'!$AK$7:$AK$506,0))&amp;"","")</f>
        <v/>
      </c>
    </row>
    <row r="280" spans="1:25" x14ac:dyDescent="0.3">
      <c r="A280" s="15" t="str">
        <f>IFERROR(INDEX('Formulación PDN 2027'!$A$7:$A$506,MATCH(ROW()-5,'Formulación PDN 2027'!$AK$7:$AK$506,0))&amp;"","")</f>
        <v/>
      </c>
      <c r="B280" s="20" t="str">
        <f>IFERROR(INDEX('Formulación PDN 2027'!$M$7:$M$506,MATCH(ROW()-5,'Formulación PDN 2027'!$AK$7:$AK$506,0)),"")</f>
        <v/>
      </c>
      <c r="C280" s="15" t="str">
        <f>IFERROR(INDEX('Formulación PDN 2027'!$N$7:$N$506,MATCH(ROW()-5,'Formulación PDN 2027'!$AK$7:$AK$506,0))&amp;"","")</f>
        <v/>
      </c>
      <c r="D280" s="15" t="str">
        <f>IFERROR(INDEX('Formulación PDN 2027'!$L$7:$L$506,MATCH(ROW()-5,'Formulación PDN 2027'!$AK$7:$AK$506,0))&amp;"","")</f>
        <v/>
      </c>
      <c r="E280" s="15" t="str">
        <f>IFERROR(MATCH(INDEX('Formulación PDN 2027'!$O$7:$O$506,MATCH(ROW()-5,'Formulación PDN 2027'!$AK$7:$AK$506,0)),L_MESES,0),"")</f>
        <v/>
      </c>
      <c r="F280" s="15" t="str">
        <f>IFERROR(MATCH(INDEX('Formulación PDN 2027'!$P$7:$P$506,MATCH(ROW()-5,'Formulación PDN 2027'!$AK$7:$AK$506,0)),L_MESES,0),"")</f>
        <v/>
      </c>
      <c r="G280" s="15" t="str">
        <f>IFERROR(INDEX('Formulación PDN 2027'!$Q$7:$Q$506,MATCH(ROW()-5,'Formulación PDN 2027'!$AK$7:$AK$506,0)),"")</f>
        <v/>
      </c>
      <c r="H280" s="15" t="str">
        <f>IFERROR(INDEX('Formulación PDN 2027'!$R$7:$R$506,MATCH(ROW()-5,'Formulación PDN 2027'!$AK$7:$AK$506,0))&amp;"","")</f>
        <v/>
      </c>
      <c r="I280" s="15" t="str">
        <f>IFERROR(INDEX('Formulación PDN 2027'!$S$7:$S$506,MATCH(ROW()-5,'Formulación PDN 2027'!$AK$7:$AK$506,0))&amp;"","")</f>
        <v/>
      </c>
      <c r="J280" s="15" t="str">
        <f>IFERROR(INDEX('Formulación PDN 2027'!$T$7:$T$506,MATCH(ROW()-5,'Formulación PDN 2027'!$AK$7:$AK$506,0))&amp;"","")</f>
        <v/>
      </c>
      <c r="K280" s="43" t="str">
        <f>IFERROR(INDEX('Formulación PDN 2027'!$W$7:$W$506,MATCH(ROW()-5,'Formulación PDN 2027'!$AK$7:$AK$506,0)),"")</f>
        <v/>
      </c>
      <c r="L280" s="43" t="str">
        <f>IFERROR(INDEX('Formulación PDN 2027'!$X$7:$X$506,MATCH(ROW()-5,'Formulación PDN 2027'!$AK$7:$AK$506,0)),"")</f>
        <v/>
      </c>
      <c r="M280" s="15" t="str">
        <f>IFERROR(INDEX('Formulación PDN 2027'!$Y$7:$Y$506,MATCH(ROW()-5,'Formulación PDN 2027'!$AK$7:$AK$506,0))&amp;"","")</f>
        <v/>
      </c>
      <c r="N280" s="15" t="str">
        <f>IFERROR(INDEX('Formulación PDN 2027'!$Z$7:$Z$506,MATCH(ROW()-5,'Formulación PDN 2027'!$AK$7:$AK$506,0))&amp;"","")</f>
        <v/>
      </c>
      <c r="O280" s="15"/>
      <c r="P280" s="15" t="str">
        <f>IFERROR(INDEX('Formulación PDN 2027'!$AA$7:$AA$506,MATCH(ROW()-5,'Formulación PDN 2027'!$AK$7:$AK$506,0))&amp;"","")</f>
        <v/>
      </c>
      <c r="Q280" s="15" t="str">
        <f>IFERROR(INDEX('Formulación PDN 2027'!$AB$7:$AB$506,MATCH(ROW()-5,'Formulación PDN 2027'!$AK$7:$AK$506,0))&amp;"","")</f>
        <v/>
      </c>
      <c r="R280" s="15" t="str">
        <f>IFERROR(INDEX('Formulación PDN 2027'!$AD$7:$AD$506,MATCH(ROW()-5,'Formulación PDN 2027'!$AK$7:$AK$506,0))&amp;"","")</f>
        <v/>
      </c>
      <c r="S280" s="15" t="str">
        <f>IFERROR(INDEX('Formulación PDN 2027'!$AE$7:$AE$506,MATCH(ROW()-5,'Formulación PDN 2027'!$AK$7:$AK$506,0))&amp;"","")</f>
        <v/>
      </c>
      <c r="T280" s="15" t="str">
        <f>IFERROR(INDEX('Formulación PDN 2027'!$C$7:$C$506,MATCH(ROW()-5,'Formulación PDN 2027'!$AK$7:$AK$506,0))&amp;"","")</f>
        <v/>
      </c>
      <c r="U280" s="15" t="str">
        <f>IFERROR(INDEX('Formulación PDN 2027'!$B$7:$B$506,MATCH(ROW()-5,'Formulación PDN 2027'!$AK$7:$AK$506,0))&amp;"","")</f>
        <v/>
      </c>
      <c r="V280" s="15" t="str">
        <f>IFERROR(LEFT(INDEX('Formulación PDN 2027'!$E$7:$E$506,MATCH(ROW()-5,'Formulación PDN 2027'!$AK$7:$AK$506,0)),7),"")</f>
        <v/>
      </c>
      <c r="W280" s="15" t="str">
        <f>IFERROR(INDEX('Formulación PDN 2027'!$H$7:$H$506,MATCH(ROW()-5,'Formulación PDN 2027'!$AK$7:$AK$506,0))&amp;"","")</f>
        <v/>
      </c>
      <c r="X280" s="15" t="str">
        <f>IFERROR(INDEX('Formulación PDN 2027'!$U$7:$U$506,MATCH(ROW()-5,'Formulación PDN 2027'!$AK$7:$AK$506,0))&amp;"","")</f>
        <v/>
      </c>
      <c r="Y280" s="15" t="str">
        <f>IFERROR(INDEX('Formulación PDN 2027'!$AH$7:$AH$506,MATCH(ROW()-5,'Formulación PDN 2027'!$AK$7:$AK$506,0))&amp;"","")</f>
        <v/>
      </c>
    </row>
    <row r="281" spans="1:25" x14ac:dyDescent="0.3">
      <c r="A281" s="15" t="str">
        <f>IFERROR(INDEX('Formulación PDN 2027'!$A$7:$A$506,MATCH(ROW()-5,'Formulación PDN 2027'!$AK$7:$AK$506,0))&amp;"","")</f>
        <v/>
      </c>
      <c r="B281" s="20" t="str">
        <f>IFERROR(INDEX('Formulación PDN 2027'!$M$7:$M$506,MATCH(ROW()-5,'Formulación PDN 2027'!$AK$7:$AK$506,0)),"")</f>
        <v/>
      </c>
      <c r="C281" s="15" t="str">
        <f>IFERROR(INDEX('Formulación PDN 2027'!$N$7:$N$506,MATCH(ROW()-5,'Formulación PDN 2027'!$AK$7:$AK$506,0))&amp;"","")</f>
        <v/>
      </c>
      <c r="D281" s="15" t="str">
        <f>IFERROR(INDEX('Formulación PDN 2027'!$L$7:$L$506,MATCH(ROW()-5,'Formulación PDN 2027'!$AK$7:$AK$506,0))&amp;"","")</f>
        <v/>
      </c>
      <c r="E281" s="15" t="str">
        <f>IFERROR(MATCH(INDEX('Formulación PDN 2027'!$O$7:$O$506,MATCH(ROW()-5,'Formulación PDN 2027'!$AK$7:$AK$506,0)),L_MESES,0),"")</f>
        <v/>
      </c>
      <c r="F281" s="15" t="str">
        <f>IFERROR(MATCH(INDEX('Formulación PDN 2027'!$P$7:$P$506,MATCH(ROW()-5,'Formulación PDN 2027'!$AK$7:$AK$506,0)),L_MESES,0),"")</f>
        <v/>
      </c>
      <c r="G281" s="15" t="str">
        <f>IFERROR(INDEX('Formulación PDN 2027'!$Q$7:$Q$506,MATCH(ROW()-5,'Formulación PDN 2027'!$AK$7:$AK$506,0)),"")</f>
        <v/>
      </c>
      <c r="H281" s="15" t="str">
        <f>IFERROR(INDEX('Formulación PDN 2027'!$R$7:$R$506,MATCH(ROW()-5,'Formulación PDN 2027'!$AK$7:$AK$506,0))&amp;"","")</f>
        <v/>
      </c>
      <c r="I281" s="15" t="str">
        <f>IFERROR(INDEX('Formulación PDN 2027'!$S$7:$S$506,MATCH(ROW()-5,'Formulación PDN 2027'!$AK$7:$AK$506,0))&amp;"","")</f>
        <v/>
      </c>
      <c r="J281" s="15" t="str">
        <f>IFERROR(INDEX('Formulación PDN 2027'!$T$7:$T$506,MATCH(ROW()-5,'Formulación PDN 2027'!$AK$7:$AK$506,0))&amp;"","")</f>
        <v/>
      </c>
      <c r="K281" s="43" t="str">
        <f>IFERROR(INDEX('Formulación PDN 2027'!$W$7:$W$506,MATCH(ROW()-5,'Formulación PDN 2027'!$AK$7:$AK$506,0)),"")</f>
        <v/>
      </c>
      <c r="L281" s="43" t="str">
        <f>IFERROR(INDEX('Formulación PDN 2027'!$X$7:$X$506,MATCH(ROW()-5,'Formulación PDN 2027'!$AK$7:$AK$506,0)),"")</f>
        <v/>
      </c>
      <c r="M281" s="15" t="str">
        <f>IFERROR(INDEX('Formulación PDN 2027'!$Y$7:$Y$506,MATCH(ROW()-5,'Formulación PDN 2027'!$AK$7:$AK$506,0))&amp;"","")</f>
        <v/>
      </c>
      <c r="N281" s="15" t="str">
        <f>IFERROR(INDEX('Formulación PDN 2027'!$Z$7:$Z$506,MATCH(ROW()-5,'Formulación PDN 2027'!$AK$7:$AK$506,0))&amp;"","")</f>
        <v/>
      </c>
      <c r="O281" s="15"/>
      <c r="P281" s="15" t="str">
        <f>IFERROR(INDEX('Formulación PDN 2027'!$AA$7:$AA$506,MATCH(ROW()-5,'Formulación PDN 2027'!$AK$7:$AK$506,0))&amp;"","")</f>
        <v/>
      </c>
      <c r="Q281" s="15" t="str">
        <f>IFERROR(INDEX('Formulación PDN 2027'!$AB$7:$AB$506,MATCH(ROW()-5,'Formulación PDN 2027'!$AK$7:$AK$506,0))&amp;"","")</f>
        <v/>
      </c>
      <c r="R281" s="15" t="str">
        <f>IFERROR(INDEX('Formulación PDN 2027'!$AD$7:$AD$506,MATCH(ROW()-5,'Formulación PDN 2027'!$AK$7:$AK$506,0))&amp;"","")</f>
        <v/>
      </c>
      <c r="S281" s="15" t="str">
        <f>IFERROR(INDEX('Formulación PDN 2027'!$AE$7:$AE$506,MATCH(ROW()-5,'Formulación PDN 2027'!$AK$7:$AK$506,0))&amp;"","")</f>
        <v/>
      </c>
      <c r="T281" s="15" t="str">
        <f>IFERROR(INDEX('Formulación PDN 2027'!$C$7:$C$506,MATCH(ROW()-5,'Formulación PDN 2027'!$AK$7:$AK$506,0))&amp;"","")</f>
        <v/>
      </c>
      <c r="U281" s="15" t="str">
        <f>IFERROR(INDEX('Formulación PDN 2027'!$B$7:$B$506,MATCH(ROW()-5,'Formulación PDN 2027'!$AK$7:$AK$506,0))&amp;"","")</f>
        <v/>
      </c>
      <c r="V281" s="15" t="str">
        <f>IFERROR(LEFT(INDEX('Formulación PDN 2027'!$E$7:$E$506,MATCH(ROW()-5,'Formulación PDN 2027'!$AK$7:$AK$506,0)),7),"")</f>
        <v/>
      </c>
      <c r="W281" s="15" t="str">
        <f>IFERROR(INDEX('Formulación PDN 2027'!$H$7:$H$506,MATCH(ROW()-5,'Formulación PDN 2027'!$AK$7:$AK$506,0))&amp;"","")</f>
        <v/>
      </c>
      <c r="X281" s="15" t="str">
        <f>IFERROR(INDEX('Formulación PDN 2027'!$U$7:$U$506,MATCH(ROW()-5,'Formulación PDN 2027'!$AK$7:$AK$506,0))&amp;"","")</f>
        <v/>
      </c>
      <c r="Y281" s="15" t="str">
        <f>IFERROR(INDEX('Formulación PDN 2027'!$AH$7:$AH$506,MATCH(ROW()-5,'Formulación PDN 2027'!$AK$7:$AK$506,0))&amp;"","")</f>
        <v/>
      </c>
    </row>
    <row r="282" spans="1:25" x14ac:dyDescent="0.3">
      <c r="A282" s="15" t="str">
        <f>IFERROR(INDEX('Formulación PDN 2027'!$A$7:$A$506,MATCH(ROW()-5,'Formulación PDN 2027'!$AK$7:$AK$506,0))&amp;"","")</f>
        <v/>
      </c>
      <c r="B282" s="20" t="str">
        <f>IFERROR(INDEX('Formulación PDN 2027'!$M$7:$M$506,MATCH(ROW()-5,'Formulación PDN 2027'!$AK$7:$AK$506,0)),"")</f>
        <v/>
      </c>
      <c r="C282" s="15" t="str">
        <f>IFERROR(INDEX('Formulación PDN 2027'!$N$7:$N$506,MATCH(ROW()-5,'Formulación PDN 2027'!$AK$7:$AK$506,0))&amp;"","")</f>
        <v/>
      </c>
      <c r="D282" s="15" t="str">
        <f>IFERROR(INDEX('Formulación PDN 2027'!$L$7:$L$506,MATCH(ROW()-5,'Formulación PDN 2027'!$AK$7:$AK$506,0))&amp;"","")</f>
        <v/>
      </c>
      <c r="E282" s="15" t="str">
        <f>IFERROR(MATCH(INDEX('Formulación PDN 2027'!$O$7:$O$506,MATCH(ROW()-5,'Formulación PDN 2027'!$AK$7:$AK$506,0)),L_MESES,0),"")</f>
        <v/>
      </c>
      <c r="F282" s="15" t="str">
        <f>IFERROR(MATCH(INDEX('Formulación PDN 2027'!$P$7:$P$506,MATCH(ROW()-5,'Formulación PDN 2027'!$AK$7:$AK$506,0)),L_MESES,0),"")</f>
        <v/>
      </c>
      <c r="G282" s="15" t="str">
        <f>IFERROR(INDEX('Formulación PDN 2027'!$Q$7:$Q$506,MATCH(ROW()-5,'Formulación PDN 2027'!$AK$7:$AK$506,0)),"")</f>
        <v/>
      </c>
      <c r="H282" s="15" t="str">
        <f>IFERROR(INDEX('Formulación PDN 2027'!$R$7:$R$506,MATCH(ROW()-5,'Formulación PDN 2027'!$AK$7:$AK$506,0))&amp;"","")</f>
        <v/>
      </c>
      <c r="I282" s="15" t="str">
        <f>IFERROR(INDEX('Formulación PDN 2027'!$S$7:$S$506,MATCH(ROW()-5,'Formulación PDN 2027'!$AK$7:$AK$506,0))&amp;"","")</f>
        <v/>
      </c>
      <c r="J282" s="15" t="str">
        <f>IFERROR(INDEX('Formulación PDN 2027'!$T$7:$T$506,MATCH(ROW()-5,'Formulación PDN 2027'!$AK$7:$AK$506,0))&amp;"","")</f>
        <v/>
      </c>
      <c r="K282" s="43" t="str">
        <f>IFERROR(INDEX('Formulación PDN 2027'!$W$7:$W$506,MATCH(ROW()-5,'Formulación PDN 2027'!$AK$7:$AK$506,0)),"")</f>
        <v/>
      </c>
      <c r="L282" s="43" t="str">
        <f>IFERROR(INDEX('Formulación PDN 2027'!$X$7:$X$506,MATCH(ROW()-5,'Formulación PDN 2027'!$AK$7:$AK$506,0)),"")</f>
        <v/>
      </c>
      <c r="M282" s="15" t="str">
        <f>IFERROR(INDEX('Formulación PDN 2027'!$Y$7:$Y$506,MATCH(ROW()-5,'Formulación PDN 2027'!$AK$7:$AK$506,0))&amp;"","")</f>
        <v/>
      </c>
      <c r="N282" s="15" t="str">
        <f>IFERROR(INDEX('Formulación PDN 2027'!$Z$7:$Z$506,MATCH(ROW()-5,'Formulación PDN 2027'!$AK$7:$AK$506,0))&amp;"","")</f>
        <v/>
      </c>
      <c r="O282" s="15"/>
      <c r="P282" s="15" t="str">
        <f>IFERROR(INDEX('Formulación PDN 2027'!$AA$7:$AA$506,MATCH(ROW()-5,'Formulación PDN 2027'!$AK$7:$AK$506,0))&amp;"","")</f>
        <v/>
      </c>
      <c r="Q282" s="15" t="str">
        <f>IFERROR(INDEX('Formulación PDN 2027'!$AB$7:$AB$506,MATCH(ROW()-5,'Formulación PDN 2027'!$AK$7:$AK$506,0))&amp;"","")</f>
        <v/>
      </c>
      <c r="R282" s="15" t="str">
        <f>IFERROR(INDEX('Formulación PDN 2027'!$AD$7:$AD$506,MATCH(ROW()-5,'Formulación PDN 2027'!$AK$7:$AK$506,0))&amp;"","")</f>
        <v/>
      </c>
      <c r="S282" s="15" t="str">
        <f>IFERROR(INDEX('Formulación PDN 2027'!$AE$7:$AE$506,MATCH(ROW()-5,'Formulación PDN 2027'!$AK$7:$AK$506,0))&amp;"","")</f>
        <v/>
      </c>
      <c r="T282" s="15" t="str">
        <f>IFERROR(INDEX('Formulación PDN 2027'!$C$7:$C$506,MATCH(ROW()-5,'Formulación PDN 2027'!$AK$7:$AK$506,0))&amp;"","")</f>
        <v/>
      </c>
      <c r="U282" s="15" t="str">
        <f>IFERROR(INDEX('Formulación PDN 2027'!$B$7:$B$506,MATCH(ROW()-5,'Formulación PDN 2027'!$AK$7:$AK$506,0))&amp;"","")</f>
        <v/>
      </c>
      <c r="V282" s="15" t="str">
        <f>IFERROR(LEFT(INDEX('Formulación PDN 2027'!$E$7:$E$506,MATCH(ROW()-5,'Formulación PDN 2027'!$AK$7:$AK$506,0)),7),"")</f>
        <v/>
      </c>
      <c r="W282" s="15" t="str">
        <f>IFERROR(INDEX('Formulación PDN 2027'!$H$7:$H$506,MATCH(ROW()-5,'Formulación PDN 2027'!$AK$7:$AK$506,0))&amp;"","")</f>
        <v/>
      </c>
      <c r="X282" s="15" t="str">
        <f>IFERROR(INDEX('Formulación PDN 2027'!$U$7:$U$506,MATCH(ROW()-5,'Formulación PDN 2027'!$AK$7:$AK$506,0))&amp;"","")</f>
        <v/>
      </c>
      <c r="Y282" s="15" t="str">
        <f>IFERROR(INDEX('Formulación PDN 2027'!$AH$7:$AH$506,MATCH(ROW()-5,'Formulación PDN 2027'!$AK$7:$AK$506,0))&amp;"","")</f>
        <v/>
      </c>
    </row>
    <row r="283" spans="1:25" x14ac:dyDescent="0.3">
      <c r="A283" s="15" t="str">
        <f>IFERROR(INDEX('Formulación PDN 2027'!$A$7:$A$506,MATCH(ROW()-5,'Formulación PDN 2027'!$AK$7:$AK$506,0))&amp;"","")</f>
        <v/>
      </c>
      <c r="B283" s="20" t="str">
        <f>IFERROR(INDEX('Formulación PDN 2027'!$M$7:$M$506,MATCH(ROW()-5,'Formulación PDN 2027'!$AK$7:$AK$506,0)),"")</f>
        <v/>
      </c>
      <c r="C283" s="15" t="str">
        <f>IFERROR(INDEX('Formulación PDN 2027'!$N$7:$N$506,MATCH(ROW()-5,'Formulación PDN 2027'!$AK$7:$AK$506,0))&amp;"","")</f>
        <v/>
      </c>
      <c r="D283" s="15" t="str">
        <f>IFERROR(INDEX('Formulación PDN 2027'!$L$7:$L$506,MATCH(ROW()-5,'Formulación PDN 2027'!$AK$7:$AK$506,0))&amp;"","")</f>
        <v/>
      </c>
      <c r="E283" s="15" t="str">
        <f>IFERROR(MATCH(INDEX('Formulación PDN 2027'!$O$7:$O$506,MATCH(ROW()-5,'Formulación PDN 2027'!$AK$7:$AK$506,0)),L_MESES,0),"")</f>
        <v/>
      </c>
      <c r="F283" s="15" t="str">
        <f>IFERROR(MATCH(INDEX('Formulación PDN 2027'!$P$7:$P$506,MATCH(ROW()-5,'Formulación PDN 2027'!$AK$7:$AK$506,0)),L_MESES,0),"")</f>
        <v/>
      </c>
      <c r="G283" s="15" t="str">
        <f>IFERROR(INDEX('Formulación PDN 2027'!$Q$7:$Q$506,MATCH(ROW()-5,'Formulación PDN 2027'!$AK$7:$AK$506,0)),"")</f>
        <v/>
      </c>
      <c r="H283" s="15" t="str">
        <f>IFERROR(INDEX('Formulación PDN 2027'!$R$7:$R$506,MATCH(ROW()-5,'Formulación PDN 2027'!$AK$7:$AK$506,0))&amp;"","")</f>
        <v/>
      </c>
      <c r="I283" s="15" t="str">
        <f>IFERROR(INDEX('Formulación PDN 2027'!$S$7:$S$506,MATCH(ROW()-5,'Formulación PDN 2027'!$AK$7:$AK$506,0))&amp;"","")</f>
        <v/>
      </c>
      <c r="J283" s="15" t="str">
        <f>IFERROR(INDEX('Formulación PDN 2027'!$T$7:$T$506,MATCH(ROW()-5,'Formulación PDN 2027'!$AK$7:$AK$506,0))&amp;"","")</f>
        <v/>
      </c>
      <c r="K283" s="43" t="str">
        <f>IFERROR(INDEX('Formulación PDN 2027'!$W$7:$W$506,MATCH(ROW()-5,'Formulación PDN 2027'!$AK$7:$AK$506,0)),"")</f>
        <v/>
      </c>
      <c r="L283" s="43" t="str">
        <f>IFERROR(INDEX('Formulación PDN 2027'!$X$7:$X$506,MATCH(ROW()-5,'Formulación PDN 2027'!$AK$7:$AK$506,0)),"")</f>
        <v/>
      </c>
      <c r="M283" s="15" t="str">
        <f>IFERROR(INDEX('Formulación PDN 2027'!$Y$7:$Y$506,MATCH(ROW()-5,'Formulación PDN 2027'!$AK$7:$AK$506,0))&amp;"","")</f>
        <v/>
      </c>
      <c r="N283" s="15" t="str">
        <f>IFERROR(INDEX('Formulación PDN 2027'!$Z$7:$Z$506,MATCH(ROW()-5,'Formulación PDN 2027'!$AK$7:$AK$506,0))&amp;"","")</f>
        <v/>
      </c>
      <c r="O283" s="15"/>
      <c r="P283" s="15" t="str">
        <f>IFERROR(INDEX('Formulación PDN 2027'!$AA$7:$AA$506,MATCH(ROW()-5,'Formulación PDN 2027'!$AK$7:$AK$506,0))&amp;"","")</f>
        <v/>
      </c>
      <c r="Q283" s="15" t="str">
        <f>IFERROR(INDEX('Formulación PDN 2027'!$AB$7:$AB$506,MATCH(ROW()-5,'Formulación PDN 2027'!$AK$7:$AK$506,0))&amp;"","")</f>
        <v/>
      </c>
      <c r="R283" s="15" t="str">
        <f>IFERROR(INDEX('Formulación PDN 2027'!$AD$7:$AD$506,MATCH(ROW()-5,'Formulación PDN 2027'!$AK$7:$AK$506,0))&amp;"","")</f>
        <v/>
      </c>
      <c r="S283" s="15" t="str">
        <f>IFERROR(INDEX('Formulación PDN 2027'!$AE$7:$AE$506,MATCH(ROW()-5,'Formulación PDN 2027'!$AK$7:$AK$506,0))&amp;"","")</f>
        <v/>
      </c>
      <c r="T283" s="15" t="str">
        <f>IFERROR(INDEX('Formulación PDN 2027'!$C$7:$C$506,MATCH(ROW()-5,'Formulación PDN 2027'!$AK$7:$AK$506,0))&amp;"","")</f>
        <v/>
      </c>
      <c r="U283" s="15" t="str">
        <f>IFERROR(INDEX('Formulación PDN 2027'!$B$7:$B$506,MATCH(ROW()-5,'Formulación PDN 2027'!$AK$7:$AK$506,0))&amp;"","")</f>
        <v/>
      </c>
      <c r="V283" s="15" t="str">
        <f>IFERROR(LEFT(INDEX('Formulación PDN 2027'!$E$7:$E$506,MATCH(ROW()-5,'Formulación PDN 2027'!$AK$7:$AK$506,0)),7),"")</f>
        <v/>
      </c>
      <c r="W283" s="15" t="str">
        <f>IFERROR(INDEX('Formulación PDN 2027'!$H$7:$H$506,MATCH(ROW()-5,'Formulación PDN 2027'!$AK$7:$AK$506,0))&amp;"","")</f>
        <v/>
      </c>
      <c r="X283" s="15" t="str">
        <f>IFERROR(INDEX('Formulación PDN 2027'!$U$7:$U$506,MATCH(ROW()-5,'Formulación PDN 2027'!$AK$7:$AK$506,0))&amp;"","")</f>
        <v/>
      </c>
      <c r="Y283" s="15" t="str">
        <f>IFERROR(INDEX('Formulación PDN 2027'!$AH$7:$AH$506,MATCH(ROW()-5,'Formulación PDN 2027'!$AK$7:$AK$506,0))&amp;"","")</f>
        <v/>
      </c>
    </row>
    <row r="284" spans="1:25" x14ac:dyDescent="0.3">
      <c r="A284" s="15" t="str">
        <f>IFERROR(INDEX('Formulación PDN 2027'!$A$7:$A$506,MATCH(ROW()-5,'Formulación PDN 2027'!$AK$7:$AK$506,0))&amp;"","")</f>
        <v/>
      </c>
      <c r="B284" s="20" t="str">
        <f>IFERROR(INDEX('Formulación PDN 2027'!$M$7:$M$506,MATCH(ROW()-5,'Formulación PDN 2027'!$AK$7:$AK$506,0)),"")</f>
        <v/>
      </c>
      <c r="C284" s="15" t="str">
        <f>IFERROR(INDEX('Formulación PDN 2027'!$N$7:$N$506,MATCH(ROW()-5,'Formulación PDN 2027'!$AK$7:$AK$506,0))&amp;"","")</f>
        <v/>
      </c>
      <c r="D284" s="15" t="str">
        <f>IFERROR(INDEX('Formulación PDN 2027'!$L$7:$L$506,MATCH(ROW()-5,'Formulación PDN 2027'!$AK$7:$AK$506,0))&amp;"","")</f>
        <v/>
      </c>
      <c r="E284" s="15" t="str">
        <f>IFERROR(MATCH(INDEX('Formulación PDN 2027'!$O$7:$O$506,MATCH(ROW()-5,'Formulación PDN 2027'!$AK$7:$AK$506,0)),L_MESES,0),"")</f>
        <v/>
      </c>
      <c r="F284" s="15" t="str">
        <f>IFERROR(MATCH(INDEX('Formulación PDN 2027'!$P$7:$P$506,MATCH(ROW()-5,'Formulación PDN 2027'!$AK$7:$AK$506,0)),L_MESES,0),"")</f>
        <v/>
      </c>
      <c r="G284" s="15" t="str">
        <f>IFERROR(INDEX('Formulación PDN 2027'!$Q$7:$Q$506,MATCH(ROW()-5,'Formulación PDN 2027'!$AK$7:$AK$506,0)),"")</f>
        <v/>
      </c>
      <c r="H284" s="15" t="str">
        <f>IFERROR(INDEX('Formulación PDN 2027'!$R$7:$R$506,MATCH(ROW()-5,'Formulación PDN 2027'!$AK$7:$AK$506,0))&amp;"","")</f>
        <v/>
      </c>
      <c r="I284" s="15" t="str">
        <f>IFERROR(INDEX('Formulación PDN 2027'!$S$7:$S$506,MATCH(ROW()-5,'Formulación PDN 2027'!$AK$7:$AK$506,0))&amp;"","")</f>
        <v/>
      </c>
      <c r="J284" s="15" t="str">
        <f>IFERROR(INDEX('Formulación PDN 2027'!$T$7:$T$506,MATCH(ROW()-5,'Formulación PDN 2027'!$AK$7:$AK$506,0))&amp;"","")</f>
        <v/>
      </c>
      <c r="K284" s="43" t="str">
        <f>IFERROR(INDEX('Formulación PDN 2027'!$W$7:$W$506,MATCH(ROW()-5,'Formulación PDN 2027'!$AK$7:$AK$506,0)),"")</f>
        <v/>
      </c>
      <c r="L284" s="43" t="str">
        <f>IFERROR(INDEX('Formulación PDN 2027'!$X$7:$X$506,MATCH(ROW()-5,'Formulación PDN 2027'!$AK$7:$AK$506,0)),"")</f>
        <v/>
      </c>
      <c r="M284" s="15" t="str">
        <f>IFERROR(INDEX('Formulación PDN 2027'!$Y$7:$Y$506,MATCH(ROW()-5,'Formulación PDN 2027'!$AK$7:$AK$506,0))&amp;"","")</f>
        <v/>
      </c>
      <c r="N284" s="15" t="str">
        <f>IFERROR(INDEX('Formulación PDN 2027'!$Z$7:$Z$506,MATCH(ROW()-5,'Formulación PDN 2027'!$AK$7:$AK$506,0))&amp;"","")</f>
        <v/>
      </c>
      <c r="O284" s="15"/>
      <c r="P284" s="15" t="str">
        <f>IFERROR(INDEX('Formulación PDN 2027'!$AA$7:$AA$506,MATCH(ROW()-5,'Formulación PDN 2027'!$AK$7:$AK$506,0))&amp;"","")</f>
        <v/>
      </c>
      <c r="Q284" s="15" t="str">
        <f>IFERROR(INDEX('Formulación PDN 2027'!$AB$7:$AB$506,MATCH(ROW()-5,'Formulación PDN 2027'!$AK$7:$AK$506,0))&amp;"","")</f>
        <v/>
      </c>
      <c r="R284" s="15" t="str">
        <f>IFERROR(INDEX('Formulación PDN 2027'!$AD$7:$AD$506,MATCH(ROW()-5,'Formulación PDN 2027'!$AK$7:$AK$506,0))&amp;"","")</f>
        <v/>
      </c>
      <c r="S284" s="15" t="str">
        <f>IFERROR(INDEX('Formulación PDN 2027'!$AE$7:$AE$506,MATCH(ROW()-5,'Formulación PDN 2027'!$AK$7:$AK$506,0))&amp;"","")</f>
        <v/>
      </c>
      <c r="T284" s="15" t="str">
        <f>IFERROR(INDEX('Formulación PDN 2027'!$C$7:$C$506,MATCH(ROW()-5,'Formulación PDN 2027'!$AK$7:$AK$506,0))&amp;"","")</f>
        <v/>
      </c>
      <c r="U284" s="15" t="str">
        <f>IFERROR(INDEX('Formulación PDN 2027'!$B$7:$B$506,MATCH(ROW()-5,'Formulación PDN 2027'!$AK$7:$AK$506,0))&amp;"","")</f>
        <v/>
      </c>
      <c r="V284" s="15" t="str">
        <f>IFERROR(LEFT(INDEX('Formulación PDN 2027'!$E$7:$E$506,MATCH(ROW()-5,'Formulación PDN 2027'!$AK$7:$AK$506,0)),7),"")</f>
        <v/>
      </c>
      <c r="W284" s="15" t="str">
        <f>IFERROR(INDEX('Formulación PDN 2027'!$H$7:$H$506,MATCH(ROW()-5,'Formulación PDN 2027'!$AK$7:$AK$506,0))&amp;"","")</f>
        <v/>
      </c>
      <c r="X284" s="15" t="str">
        <f>IFERROR(INDEX('Formulación PDN 2027'!$U$7:$U$506,MATCH(ROW()-5,'Formulación PDN 2027'!$AK$7:$AK$506,0))&amp;"","")</f>
        <v/>
      </c>
      <c r="Y284" s="15" t="str">
        <f>IFERROR(INDEX('Formulación PDN 2027'!$AH$7:$AH$506,MATCH(ROW()-5,'Formulación PDN 2027'!$AK$7:$AK$506,0))&amp;"","")</f>
        <v/>
      </c>
    </row>
    <row r="285" spans="1:25" x14ac:dyDescent="0.3">
      <c r="A285" s="15" t="str">
        <f>IFERROR(INDEX('Formulación PDN 2027'!$A$7:$A$506,MATCH(ROW()-5,'Formulación PDN 2027'!$AK$7:$AK$506,0))&amp;"","")</f>
        <v/>
      </c>
      <c r="B285" s="20" t="str">
        <f>IFERROR(INDEX('Formulación PDN 2027'!$M$7:$M$506,MATCH(ROW()-5,'Formulación PDN 2027'!$AK$7:$AK$506,0)),"")</f>
        <v/>
      </c>
      <c r="C285" s="15" t="str">
        <f>IFERROR(INDEX('Formulación PDN 2027'!$N$7:$N$506,MATCH(ROW()-5,'Formulación PDN 2027'!$AK$7:$AK$506,0))&amp;"","")</f>
        <v/>
      </c>
      <c r="D285" s="15" t="str">
        <f>IFERROR(INDEX('Formulación PDN 2027'!$L$7:$L$506,MATCH(ROW()-5,'Formulación PDN 2027'!$AK$7:$AK$506,0))&amp;"","")</f>
        <v/>
      </c>
      <c r="E285" s="15" t="str">
        <f>IFERROR(MATCH(INDEX('Formulación PDN 2027'!$O$7:$O$506,MATCH(ROW()-5,'Formulación PDN 2027'!$AK$7:$AK$506,0)),L_MESES,0),"")</f>
        <v/>
      </c>
      <c r="F285" s="15" t="str">
        <f>IFERROR(MATCH(INDEX('Formulación PDN 2027'!$P$7:$P$506,MATCH(ROW()-5,'Formulación PDN 2027'!$AK$7:$AK$506,0)),L_MESES,0),"")</f>
        <v/>
      </c>
      <c r="G285" s="15" t="str">
        <f>IFERROR(INDEX('Formulación PDN 2027'!$Q$7:$Q$506,MATCH(ROW()-5,'Formulación PDN 2027'!$AK$7:$AK$506,0)),"")</f>
        <v/>
      </c>
      <c r="H285" s="15" t="str">
        <f>IFERROR(INDEX('Formulación PDN 2027'!$R$7:$R$506,MATCH(ROW()-5,'Formulación PDN 2027'!$AK$7:$AK$506,0))&amp;"","")</f>
        <v/>
      </c>
      <c r="I285" s="15" t="str">
        <f>IFERROR(INDEX('Formulación PDN 2027'!$S$7:$S$506,MATCH(ROW()-5,'Formulación PDN 2027'!$AK$7:$AK$506,0))&amp;"","")</f>
        <v/>
      </c>
      <c r="J285" s="15" t="str">
        <f>IFERROR(INDEX('Formulación PDN 2027'!$T$7:$T$506,MATCH(ROW()-5,'Formulación PDN 2027'!$AK$7:$AK$506,0))&amp;"","")</f>
        <v/>
      </c>
      <c r="K285" s="43" t="str">
        <f>IFERROR(INDEX('Formulación PDN 2027'!$W$7:$W$506,MATCH(ROW()-5,'Formulación PDN 2027'!$AK$7:$AK$506,0)),"")</f>
        <v/>
      </c>
      <c r="L285" s="43" t="str">
        <f>IFERROR(INDEX('Formulación PDN 2027'!$X$7:$X$506,MATCH(ROW()-5,'Formulación PDN 2027'!$AK$7:$AK$506,0)),"")</f>
        <v/>
      </c>
      <c r="M285" s="15" t="str">
        <f>IFERROR(INDEX('Formulación PDN 2027'!$Y$7:$Y$506,MATCH(ROW()-5,'Formulación PDN 2027'!$AK$7:$AK$506,0))&amp;"","")</f>
        <v/>
      </c>
      <c r="N285" s="15" t="str">
        <f>IFERROR(INDEX('Formulación PDN 2027'!$Z$7:$Z$506,MATCH(ROW()-5,'Formulación PDN 2027'!$AK$7:$AK$506,0))&amp;"","")</f>
        <v/>
      </c>
      <c r="O285" s="15"/>
      <c r="P285" s="15" t="str">
        <f>IFERROR(INDEX('Formulación PDN 2027'!$AA$7:$AA$506,MATCH(ROW()-5,'Formulación PDN 2027'!$AK$7:$AK$506,0))&amp;"","")</f>
        <v/>
      </c>
      <c r="Q285" s="15" t="str">
        <f>IFERROR(INDEX('Formulación PDN 2027'!$AB$7:$AB$506,MATCH(ROW()-5,'Formulación PDN 2027'!$AK$7:$AK$506,0))&amp;"","")</f>
        <v/>
      </c>
      <c r="R285" s="15" t="str">
        <f>IFERROR(INDEX('Formulación PDN 2027'!$AD$7:$AD$506,MATCH(ROW()-5,'Formulación PDN 2027'!$AK$7:$AK$506,0))&amp;"","")</f>
        <v/>
      </c>
      <c r="S285" s="15" t="str">
        <f>IFERROR(INDEX('Formulación PDN 2027'!$AE$7:$AE$506,MATCH(ROW()-5,'Formulación PDN 2027'!$AK$7:$AK$506,0))&amp;"","")</f>
        <v/>
      </c>
      <c r="T285" s="15" t="str">
        <f>IFERROR(INDEX('Formulación PDN 2027'!$C$7:$C$506,MATCH(ROW()-5,'Formulación PDN 2027'!$AK$7:$AK$506,0))&amp;"","")</f>
        <v/>
      </c>
      <c r="U285" s="15" t="str">
        <f>IFERROR(INDEX('Formulación PDN 2027'!$B$7:$B$506,MATCH(ROW()-5,'Formulación PDN 2027'!$AK$7:$AK$506,0))&amp;"","")</f>
        <v/>
      </c>
      <c r="V285" s="15" t="str">
        <f>IFERROR(LEFT(INDEX('Formulación PDN 2027'!$E$7:$E$506,MATCH(ROW()-5,'Formulación PDN 2027'!$AK$7:$AK$506,0)),7),"")</f>
        <v/>
      </c>
      <c r="W285" s="15" t="str">
        <f>IFERROR(INDEX('Formulación PDN 2027'!$H$7:$H$506,MATCH(ROW()-5,'Formulación PDN 2027'!$AK$7:$AK$506,0))&amp;"","")</f>
        <v/>
      </c>
      <c r="X285" s="15" t="str">
        <f>IFERROR(INDEX('Formulación PDN 2027'!$U$7:$U$506,MATCH(ROW()-5,'Formulación PDN 2027'!$AK$7:$AK$506,0))&amp;"","")</f>
        <v/>
      </c>
      <c r="Y285" s="15" t="str">
        <f>IFERROR(INDEX('Formulación PDN 2027'!$AH$7:$AH$506,MATCH(ROW()-5,'Formulación PDN 2027'!$AK$7:$AK$506,0))&amp;"","")</f>
        <v/>
      </c>
    </row>
    <row r="286" spans="1:25" x14ac:dyDescent="0.3">
      <c r="A286" s="15" t="str">
        <f>IFERROR(INDEX('Formulación PDN 2027'!$A$7:$A$506,MATCH(ROW()-5,'Formulación PDN 2027'!$AK$7:$AK$506,0))&amp;"","")</f>
        <v/>
      </c>
      <c r="B286" s="20" t="str">
        <f>IFERROR(INDEX('Formulación PDN 2027'!$M$7:$M$506,MATCH(ROW()-5,'Formulación PDN 2027'!$AK$7:$AK$506,0)),"")</f>
        <v/>
      </c>
      <c r="C286" s="15" t="str">
        <f>IFERROR(INDEX('Formulación PDN 2027'!$N$7:$N$506,MATCH(ROW()-5,'Formulación PDN 2027'!$AK$7:$AK$506,0))&amp;"","")</f>
        <v/>
      </c>
      <c r="D286" s="15" t="str">
        <f>IFERROR(INDEX('Formulación PDN 2027'!$L$7:$L$506,MATCH(ROW()-5,'Formulación PDN 2027'!$AK$7:$AK$506,0))&amp;"","")</f>
        <v/>
      </c>
      <c r="E286" s="15" t="str">
        <f>IFERROR(MATCH(INDEX('Formulación PDN 2027'!$O$7:$O$506,MATCH(ROW()-5,'Formulación PDN 2027'!$AK$7:$AK$506,0)),L_MESES,0),"")</f>
        <v/>
      </c>
      <c r="F286" s="15" t="str">
        <f>IFERROR(MATCH(INDEX('Formulación PDN 2027'!$P$7:$P$506,MATCH(ROW()-5,'Formulación PDN 2027'!$AK$7:$AK$506,0)),L_MESES,0),"")</f>
        <v/>
      </c>
      <c r="G286" s="15" t="str">
        <f>IFERROR(INDEX('Formulación PDN 2027'!$Q$7:$Q$506,MATCH(ROW()-5,'Formulación PDN 2027'!$AK$7:$AK$506,0)),"")</f>
        <v/>
      </c>
      <c r="H286" s="15" t="str">
        <f>IFERROR(INDEX('Formulación PDN 2027'!$R$7:$R$506,MATCH(ROW()-5,'Formulación PDN 2027'!$AK$7:$AK$506,0))&amp;"","")</f>
        <v/>
      </c>
      <c r="I286" s="15" t="str">
        <f>IFERROR(INDEX('Formulación PDN 2027'!$S$7:$S$506,MATCH(ROW()-5,'Formulación PDN 2027'!$AK$7:$AK$506,0))&amp;"","")</f>
        <v/>
      </c>
      <c r="J286" s="15" t="str">
        <f>IFERROR(INDEX('Formulación PDN 2027'!$T$7:$T$506,MATCH(ROW()-5,'Formulación PDN 2027'!$AK$7:$AK$506,0))&amp;"","")</f>
        <v/>
      </c>
      <c r="K286" s="43" t="str">
        <f>IFERROR(INDEX('Formulación PDN 2027'!$W$7:$W$506,MATCH(ROW()-5,'Formulación PDN 2027'!$AK$7:$AK$506,0)),"")</f>
        <v/>
      </c>
      <c r="L286" s="43" t="str">
        <f>IFERROR(INDEX('Formulación PDN 2027'!$X$7:$X$506,MATCH(ROW()-5,'Formulación PDN 2027'!$AK$7:$AK$506,0)),"")</f>
        <v/>
      </c>
      <c r="M286" s="15" t="str">
        <f>IFERROR(INDEX('Formulación PDN 2027'!$Y$7:$Y$506,MATCH(ROW()-5,'Formulación PDN 2027'!$AK$7:$AK$506,0))&amp;"","")</f>
        <v/>
      </c>
      <c r="N286" s="15" t="str">
        <f>IFERROR(INDEX('Formulación PDN 2027'!$Z$7:$Z$506,MATCH(ROW()-5,'Formulación PDN 2027'!$AK$7:$AK$506,0))&amp;"","")</f>
        <v/>
      </c>
      <c r="O286" s="15"/>
      <c r="P286" s="15" t="str">
        <f>IFERROR(INDEX('Formulación PDN 2027'!$AA$7:$AA$506,MATCH(ROW()-5,'Formulación PDN 2027'!$AK$7:$AK$506,0))&amp;"","")</f>
        <v/>
      </c>
      <c r="Q286" s="15" t="str">
        <f>IFERROR(INDEX('Formulación PDN 2027'!$AB$7:$AB$506,MATCH(ROW()-5,'Formulación PDN 2027'!$AK$7:$AK$506,0))&amp;"","")</f>
        <v/>
      </c>
      <c r="R286" s="15" t="str">
        <f>IFERROR(INDEX('Formulación PDN 2027'!$AD$7:$AD$506,MATCH(ROW()-5,'Formulación PDN 2027'!$AK$7:$AK$506,0))&amp;"","")</f>
        <v/>
      </c>
      <c r="S286" s="15" t="str">
        <f>IFERROR(INDEX('Formulación PDN 2027'!$AE$7:$AE$506,MATCH(ROW()-5,'Formulación PDN 2027'!$AK$7:$AK$506,0))&amp;"","")</f>
        <v/>
      </c>
      <c r="T286" s="15" t="str">
        <f>IFERROR(INDEX('Formulación PDN 2027'!$C$7:$C$506,MATCH(ROW()-5,'Formulación PDN 2027'!$AK$7:$AK$506,0))&amp;"","")</f>
        <v/>
      </c>
      <c r="U286" s="15" t="str">
        <f>IFERROR(INDEX('Formulación PDN 2027'!$B$7:$B$506,MATCH(ROW()-5,'Formulación PDN 2027'!$AK$7:$AK$506,0))&amp;"","")</f>
        <v/>
      </c>
      <c r="V286" s="15" t="str">
        <f>IFERROR(LEFT(INDEX('Formulación PDN 2027'!$E$7:$E$506,MATCH(ROW()-5,'Formulación PDN 2027'!$AK$7:$AK$506,0)),7),"")</f>
        <v/>
      </c>
      <c r="W286" s="15" t="str">
        <f>IFERROR(INDEX('Formulación PDN 2027'!$H$7:$H$506,MATCH(ROW()-5,'Formulación PDN 2027'!$AK$7:$AK$506,0))&amp;"","")</f>
        <v/>
      </c>
      <c r="X286" s="15" t="str">
        <f>IFERROR(INDEX('Formulación PDN 2027'!$U$7:$U$506,MATCH(ROW()-5,'Formulación PDN 2027'!$AK$7:$AK$506,0))&amp;"","")</f>
        <v/>
      </c>
      <c r="Y286" s="15" t="str">
        <f>IFERROR(INDEX('Formulación PDN 2027'!$AH$7:$AH$506,MATCH(ROW()-5,'Formulación PDN 2027'!$AK$7:$AK$506,0))&amp;"","")</f>
        <v/>
      </c>
    </row>
    <row r="287" spans="1:25" x14ac:dyDescent="0.3">
      <c r="A287" s="15" t="str">
        <f>IFERROR(INDEX('Formulación PDN 2027'!$A$7:$A$506,MATCH(ROW()-5,'Formulación PDN 2027'!$AK$7:$AK$506,0))&amp;"","")</f>
        <v/>
      </c>
      <c r="B287" s="20" t="str">
        <f>IFERROR(INDEX('Formulación PDN 2027'!$M$7:$M$506,MATCH(ROW()-5,'Formulación PDN 2027'!$AK$7:$AK$506,0)),"")</f>
        <v/>
      </c>
      <c r="C287" s="15" t="str">
        <f>IFERROR(INDEX('Formulación PDN 2027'!$N$7:$N$506,MATCH(ROW()-5,'Formulación PDN 2027'!$AK$7:$AK$506,0))&amp;"","")</f>
        <v/>
      </c>
      <c r="D287" s="15" t="str">
        <f>IFERROR(INDEX('Formulación PDN 2027'!$L$7:$L$506,MATCH(ROW()-5,'Formulación PDN 2027'!$AK$7:$AK$506,0))&amp;"","")</f>
        <v/>
      </c>
      <c r="E287" s="15" t="str">
        <f>IFERROR(MATCH(INDEX('Formulación PDN 2027'!$O$7:$O$506,MATCH(ROW()-5,'Formulación PDN 2027'!$AK$7:$AK$506,0)),L_MESES,0),"")</f>
        <v/>
      </c>
      <c r="F287" s="15" t="str">
        <f>IFERROR(MATCH(INDEX('Formulación PDN 2027'!$P$7:$P$506,MATCH(ROW()-5,'Formulación PDN 2027'!$AK$7:$AK$506,0)),L_MESES,0),"")</f>
        <v/>
      </c>
      <c r="G287" s="15" t="str">
        <f>IFERROR(INDEX('Formulación PDN 2027'!$Q$7:$Q$506,MATCH(ROW()-5,'Formulación PDN 2027'!$AK$7:$AK$506,0)),"")</f>
        <v/>
      </c>
      <c r="H287" s="15" t="str">
        <f>IFERROR(INDEX('Formulación PDN 2027'!$R$7:$R$506,MATCH(ROW()-5,'Formulación PDN 2027'!$AK$7:$AK$506,0))&amp;"","")</f>
        <v/>
      </c>
      <c r="I287" s="15" t="str">
        <f>IFERROR(INDEX('Formulación PDN 2027'!$S$7:$S$506,MATCH(ROW()-5,'Formulación PDN 2027'!$AK$7:$AK$506,0))&amp;"","")</f>
        <v/>
      </c>
      <c r="J287" s="15" t="str">
        <f>IFERROR(INDEX('Formulación PDN 2027'!$T$7:$T$506,MATCH(ROW()-5,'Formulación PDN 2027'!$AK$7:$AK$506,0))&amp;"","")</f>
        <v/>
      </c>
      <c r="K287" s="43" t="str">
        <f>IFERROR(INDEX('Formulación PDN 2027'!$W$7:$W$506,MATCH(ROW()-5,'Formulación PDN 2027'!$AK$7:$AK$506,0)),"")</f>
        <v/>
      </c>
      <c r="L287" s="43" t="str">
        <f>IFERROR(INDEX('Formulación PDN 2027'!$X$7:$X$506,MATCH(ROW()-5,'Formulación PDN 2027'!$AK$7:$AK$506,0)),"")</f>
        <v/>
      </c>
      <c r="M287" s="15" t="str">
        <f>IFERROR(INDEX('Formulación PDN 2027'!$Y$7:$Y$506,MATCH(ROW()-5,'Formulación PDN 2027'!$AK$7:$AK$506,0))&amp;"","")</f>
        <v/>
      </c>
      <c r="N287" s="15" t="str">
        <f>IFERROR(INDEX('Formulación PDN 2027'!$Z$7:$Z$506,MATCH(ROW()-5,'Formulación PDN 2027'!$AK$7:$AK$506,0))&amp;"","")</f>
        <v/>
      </c>
      <c r="O287" s="15"/>
      <c r="P287" s="15" t="str">
        <f>IFERROR(INDEX('Formulación PDN 2027'!$AA$7:$AA$506,MATCH(ROW()-5,'Formulación PDN 2027'!$AK$7:$AK$506,0))&amp;"","")</f>
        <v/>
      </c>
      <c r="Q287" s="15" t="str">
        <f>IFERROR(INDEX('Formulación PDN 2027'!$AB$7:$AB$506,MATCH(ROW()-5,'Formulación PDN 2027'!$AK$7:$AK$506,0))&amp;"","")</f>
        <v/>
      </c>
      <c r="R287" s="15" t="str">
        <f>IFERROR(INDEX('Formulación PDN 2027'!$AD$7:$AD$506,MATCH(ROW()-5,'Formulación PDN 2027'!$AK$7:$AK$506,0))&amp;"","")</f>
        <v/>
      </c>
      <c r="S287" s="15" t="str">
        <f>IFERROR(INDEX('Formulación PDN 2027'!$AE$7:$AE$506,MATCH(ROW()-5,'Formulación PDN 2027'!$AK$7:$AK$506,0))&amp;"","")</f>
        <v/>
      </c>
      <c r="T287" s="15" t="str">
        <f>IFERROR(INDEX('Formulación PDN 2027'!$C$7:$C$506,MATCH(ROW()-5,'Formulación PDN 2027'!$AK$7:$AK$506,0))&amp;"","")</f>
        <v/>
      </c>
      <c r="U287" s="15" t="str">
        <f>IFERROR(INDEX('Formulación PDN 2027'!$B$7:$B$506,MATCH(ROW()-5,'Formulación PDN 2027'!$AK$7:$AK$506,0))&amp;"","")</f>
        <v/>
      </c>
      <c r="V287" s="15" t="str">
        <f>IFERROR(LEFT(INDEX('Formulación PDN 2027'!$E$7:$E$506,MATCH(ROW()-5,'Formulación PDN 2027'!$AK$7:$AK$506,0)),7),"")</f>
        <v/>
      </c>
      <c r="W287" s="15" t="str">
        <f>IFERROR(INDEX('Formulación PDN 2027'!$H$7:$H$506,MATCH(ROW()-5,'Formulación PDN 2027'!$AK$7:$AK$506,0))&amp;"","")</f>
        <v/>
      </c>
      <c r="X287" s="15" t="str">
        <f>IFERROR(INDEX('Formulación PDN 2027'!$U$7:$U$506,MATCH(ROW()-5,'Formulación PDN 2027'!$AK$7:$AK$506,0))&amp;"","")</f>
        <v/>
      </c>
      <c r="Y287" s="15" t="str">
        <f>IFERROR(INDEX('Formulación PDN 2027'!$AH$7:$AH$506,MATCH(ROW()-5,'Formulación PDN 2027'!$AK$7:$AK$506,0))&amp;"","")</f>
        <v/>
      </c>
    </row>
    <row r="288" spans="1:25" x14ac:dyDescent="0.3">
      <c r="A288" s="15" t="str">
        <f>IFERROR(INDEX('Formulación PDN 2027'!$A$7:$A$506,MATCH(ROW()-5,'Formulación PDN 2027'!$AK$7:$AK$506,0))&amp;"","")</f>
        <v/>
      </c>
      <c r="B288" s="20" t="str">
        <f>IFERROR(INDEX('Formulación PDN 2027'!$M$7:$M$506,MATCH(ROW()-5,'Formulación PDN 2027'!$AK$7:$AK$506,0)),"")</f>
        <v/>
      </c>
      <c r="C288" s="15" t="str">
        <f>IFERROR(INDEX('Formulación PDN 2027'!$N$7:$N$506,MATCH(ROW()-5,'Formulación PDN 2027'!$AK$7:$AK$506,0))&amp;"","")</f>
        <v/>
      </c>
      <c r="D288" s="15" t="str">
        <f>IFERROR(INDEX('Formulación PDN 2027'!$L$7:$L$506,MATCH(ROW()-5,'Formulación PDN 2027'!$AK$7:$AK$506,0))&amp;"","")</f>
        <v/>
      </c>
      <c r="E288" s="15" t="str">
        <f>IFERROR(MATCH(INDEX('Formulación PDN 2027'!$O$7:$O$506,MATCH(ROW()-5,'Formulación PDN 2027'!$AK$7:$AK$506,0)),L_MESES,0),"")</f>
        <v/>
      </c>
      <c r="F288" s="15" t="str">
        <f>IFERROR(MATCH(INDEX('Formulación PDN 2027'!$P$7:$P$506,MATCH(ROW()-5,'Formulación PDN 2027'!$AK$7:$AK$506,0)),L_MESES,0),"")</f>
        <v/>
      </c>
      <c r="G288" s="15" t="str">
        <f>IFERROR(INDEX('Formulación PDN 2027'!$Q$7:$Q$506,MATCH(ROW()-5,'Formulación PDN 2027'!$AK$7:$AK$506,0)),"")</f>
        <v/>
      </c>
      <c r="H288" s="15" t="str">
        <f>IFERROR(INDEX('Formulación PDN 2027'!$R$7:$R$506,MATCH(ROW()-5,'Formulación PDN 2027'!$AK$7:$AK$506,0))&amp;"","")</f>
        <v/>
      </c>
      <c r="I288" s="15" t="str">
        <f>IFERROR(INDEX('Formulación PDN 2027'!$S$7:$S$506,MATCH(ROW()-5,'Formulación PDN 2027'!$AK$7:$AK$506,0))&amp;"","")</f>
        <v/>
      </c>
      <c r="J288" s="15" t="str">
        <f>IFERROR(INDEX('Formulación PDN 2027'!$T$7:$T$506,MATCH(ROW()-5,'Formulación PDN 2027'!$AK$7:$AK$506,0))&amp;"","")</f>
        <v/>
      </c>
      <c r="K288" s="43" t="str">
        <f>IFERROR(INDEX('Formulación PDN 2027'!$W$7:$W$506,MATCH(ROW()-5,'Formulación PDN 2027'!$AK$7:$AK$506,0)),"")</f>
        <v/>
      </c>
      <c r="L288" s="43" t="str">
        <f>IFERROR(INDEX('Formulación PDN 2027'!$X$7:$X$506,MATCH(ROW()-5,'Formulación PDN 2027'!$AK$7:$AK$506,0)),"")</f>
        <v/>
      </c>
      <c r="M288" s="15" t="str">
        <f>IFERROR(INDEX('Formulación PDN 2027'!$Y$7:$Y$506,MATCH(ROW()-5,'Formulación PDN 2027'!$AK$7:$AK$506,0))&amp;"","")</f>
        <v/>
      </c>
      <c r="N288" s="15" t="str">
        <f>IFERROR(INDEX('Formulación PDN 2027'!$Z$7:$Z$506,MATCH(ROW()-5,'Formulación PDN 2027'!$AK$7:$AK$506,0))&amp;"","")</f>
        <v/>
      </c>
      <c r="O288" s="15"/>
      <c r="P288" s="15" t="str">
        <f>IFERROR(INDEX('Formulación PDN 2027'!$AA$7:$AA$506,MATCH(ROW()-5,'Formulación PDN 2027'!$AK$7:$AK$506,0))&amp;"","")</f>
        <v/>
      </c>
      <c r="Q288" s="15" t="str">
        <f>IFERROR(INDEX('Formulación PDN 2027'!$AB$7:$AB$506,MATCH(ROW()-5,'Formulación PDN 2027'!$AK$7:$AK$506,0))&amp;"","")</f>
        <v/>
      </c>
      <c r="R288" s="15" t="str">
        <f>IFERROR(INDEX('Formulación PDN 2027'!$AD$7:$AD$506,MATCH(ROW()-5,'Formulación PDN 2027'!$AK$7:$AK$506,0))&amp;"","")</f>
        <v/>
      </c>
      <c r="S288" s="15" t="str">
        <f>IFERROR(INDEX('Formulación PDN 2027'!$AE$7:$AE$506,MATCH(ROW()-5,'Formulación PDN 2027'!$AK$7:$AK$506,0))&amp;"","")</f>
        <v/>
      </c>
      <c r="T288" s="15" t="str">
        <f>IFERROR(INDEX('Formulación PDN 2027'!$C$7:$C$506,MATCH(ROW()-5,'Formulación PDN 2027'!$AK$7:$AK$506,0))&amp;"","")</f>
        <v/>
      </c>
      <c r="U288" s="15" t="str">
        <f>IFERROR(INDEX('Formulación PDN 2027'!$B$7:$B$506,MATCH(ROW()-5,'Formulación PDN 2027'!$AK$7:$AK$506,0))&amp;"","")</f>
        <v/>
      </c>
      <c r="V288" s="15" t="str">
        <f>IFERROR(LEFT(INDEX('Formulación PDN 2027'!$E$7:$E$506,MATCH(ROW()-5,'Formulación PDN 2027'!$AK$7:$AK$506,0)),7),"")</f>
        <v/>
      </c>
      <c r="W288" s="15" t="str">
        <f>IFERROR(INDEX('Formulación PDN 2027'!$H$7:$H$506,MATCH(ROW()-5,'Formulación PDN 2027'!$AK$7:$AK$506,0))&amp;"","")</f>
        <v/>
      </c>
      <c r="X288" s="15" t="str">
        <f>IFERROR(INDEX('Formulación PDN 2027'!$U$7:$U$506,MATCH(ROW()-5,'Formulación PDN 2027'!$AK$7:$AK$506,0))&amp;"","")</f>
        <v/>
      </c>
      <c r="Y288" s="15" t="str">
        <f>IFERROR(INDEX('Formulación PDN 2027'!$AH$7:$AH$506,MATCH(ROW()-5,'Formulación PDN 2027'!$AK$7:$AK$506,0))&amp;"","")</f>
        <v/>
      </c>
    </row>
    <row r="289" spans="1:25" x14ac:dyDescent="0.3">
      <c r="A289" s="15" t="str">
        <f>IFERROR(INDEX('Formulación PDN 2027'!$A$7:$A$506,MATCH(ROW()-5,'Formulación PDN 2027'!$AK$7:$AK$506,0))&amp;"","")</f>
        <v/>
      </c>
      <c r="B289" s="20" t="str">
        <f>IFERROR(INDEX('Formulación PDN 2027'!$M$7:$M$506,MATCH(ROW()-5,'Formulación PDN 2027'!$AK$7:$AK$506,0)),"")</f>
        <v/>
      </c>
      <c r="C289" s="15" t="str">
        <f>IFERROR(INDEX('Formulación PDN 2027'!$N$7:$N$506,MATCH(ROW()-5,'Formulación PDN 2027'!$AK$7:$AK$506,0))&amp;"","")</f>
        <v/>
      </c>
      <c r="D289" s="15" t="str">
        <f>IFERROR(INDEX('Formulación PDN 2027'!$L$7:$L$506,MATCH(ROW()-5,'Formulación PDN 2027'!$AK$7:$AK$506,0))&amp;"","")</f>
        <v/>
      </c>
      <c r="E289" s="15" t="str">
        <f>IFERROR(MATCH(INDEX('Formulación PDN 2027'!$O$7:$O$506,MATCH(ROW()-5,'Formulación PDN 2027'!$AK$7:$AK$506,0)),L_MESES,0),"")</f>
        <v/>
      </c>
      <c r="F289" s="15" t="str">
        <f>IFERROR(MATCH(INDEX('Formulación PDN 2027'!$P$7:$P$506,MATCH(ROW()-5,'Formulación PDN 2027'!$AK$7:$AK$506,0)),L_MESES,0),"")</f>
        <v/>
      </c>
      <c r="G289" s="15" t="str">
        <f>IFERROR(INDEX('Formulación PDN 2027'!$Q$7:$Q$506,MATCH(ROW()-5,'Formulación PDN 2027'!$AK$7:$AK$506,0)),"")</f>
        <v/>
      </c>
      <c r="H289" s="15" t="str">
        <f>IFERROR(INDEX('Formulación PDN 2027'!$R$7:$R$506,MATCH(ROW()-5,'Formulación PDN 2027'!$AK$7:$AK$506,0))&amp;"","")</f>
        <v/>
      </c>
      <c r="I289" s="15" t="str">
        <f>IFERROR(INDEX('Formulación PDN 2027'!$S$7:$S$506,MATCH(ROW()-5,'Formulación PDN 2027'!$AK$7:$AK$506,0))&amp;"","")</f>
        <v/>
      </c>
      <c r="J289" s="15" t="str">
        <f>IFERROR(INDEX('Formulación PDN 2027'!$T$7:$T$506,MATCH(ROW()-5,'Formulación PDN 2027'!$AK$7:$AK$506,0))&amp;"","")</f>
        <v/>
      </c>
      <c r="K289" s="43" t="str">
        <f>IFERROR(INDEX('Formulación PDN 2027'!$W$7:$W$506,MATCH(ROW()-5,'Formulación PDN 2027'!$AK$7:$AK$506,0)),"")</f>
        <v/>
      </c>
      <c r="L289" s="43" t="str">
        <f>IFERROR(INDEX('Formulación PDN 2027'!$X$7:$X$506,MATCH(ROW()-5,'Formulación PDN 2027'!$AK$7:$AK$506,0)),"")</f>
        <v/>
      </c>
      <c r="M289" s="15" t="str">
        <f>IFERROR(INDEX('Formulación PDN 2027'!$Y$7:$Y$506,MATCH(ROW()-5,'Formulación PDN 2027'!$AK$7:$AK$506,0))&amp;"","")</f>
        <v/>
      </c>
      <c r="N289" s="15" t="str">
        <f>IFERROR(INDEX('Formulación PDN 2027'!$Z$7:$Z$506,MATCH(ROW()-5,'Formulación PDN 2027'!$AK$7:$AK$506,0))&amp;"","")</f>
        <v/>
      </c>
      <c r="O289" s="15"/>
      <c r="P289" s="15" t="str">
        <f>IFERROR(INDEX('Formulación PDN 2027'!$AA$7:$AA$506,MATCH(ROW()-5,'Formulación PDN 2027'!$AK$7:$AK$506,0))&amp;"","")</f>
        <v/>
      </c>
      <c r="Q289" s="15" t="str">
        <f>IFERROR(INDEX('Formulación PDN 2027'!$AB$7:$AB$506,MATCH(ROW()-5,'Formulación PDN 2027'!$AK$7:$AK$506,0))&amp;"","")</f>
        <v/>
      </c>
      <c r="R289" s="15" t="str">
        <f>IFERROR(INDEX('Formulación PDN 2027'!$AD$7:$AD$506,MATCH(ROW()-5,'Formulación PDN 2027'!$AK$7:$AK$506,0))&amp;"","")</f>
        <v/>
      </c>
      <c r="S289" s="15" t="str">
        <f>IFERROR(INDEX('Formulación PDN 2027'!$AE$7:$AE$506,MATCH(ROW()-5,'Formulación PDN 2027'!$AK$7:$AK$506,0))&amp;"","")</f>
        <v/>
      </c>
      <c r="T289" s="15" t="str">
        <f>IFERROR(INDEX('Formulación PDN 2027'!$C$7:$C$506,MATCH(ROW()-5,'Formulación PDN 2027'!$AK$7:$AK$506,0))&amp;"","")</f>
        <v/>
      </c>
      <c r="U289" s="15" t="str">
        <f>IFERROR(INDEX('Formulación PDN 2027'!$B$7:$B$506,MATCH(ROW()-5,'Formulación PDN 2027'!$AK$7:$AK$506,0))&amp;"","")</f>
        <v/>
      </c>
      <c r="V289" s="15" t="str">
        <f>IFERROR(LEFT(INDEX('Formulación PDN 2027'!$E$7:$E$506,MATCH(ROW()-5,'Formulación PDN 2027'!$AK$7:$AK$506,0)),7),"")</f>
        <v/>
      </c>
      <c r="W289" s="15" t="str">
        <f>IFERROR(INDEX('Formulación PDN 2027'!$H$7:$H$506,MATCH(ROW()-5,'Formulación PDN 2027'!$AK$7:$AK$506,0))&amp;"","")</f>
        <v/>
      </c>
      <c r="X289" s="15" t="str">
        <f>IFERROR(INDEX('Formulación PDN 2027'!$U$7:$U$506,MATCH(ROW()-5,'Formulación PDN 2027'!$AK$7:$AK$506,0))&amp;"","")</f>
        <v/>
      </c>
      <c r="Y289" s="15" t="str">
        <f>IFERROR(INDEX('Formulación PDN 2027'!$AH$7:$AH$506,MATCH(ROW()-5,'Formulación PDN 2027'!$AK$7:$AK$506,0))&amp;"","")</f>
        <v/>
      </c>
    </row>
    <row r="290" spans="1:25" x14ac:dyDescent="0.3">
      <c r="A290" s="15" t="str">
        <f>IFERROR(INDEX('Formulación PDN 2027'!$A$7:$A$506,MATCH(ROW()-5,'Formulación PDN 2027'!$AK$7:$AK$506,0))&amp;"","")</f>
        <v/>
      </c>
      <c r="B290" s="20" t="str">
        <f>IFERROR(INDEX('Formulación PDN 2027'!$M$7:$M$506,MATCH(ROW()-5,'Formulación PDN 2027'!$AK$7:$AK$506,0)),"")</f>
        <v/>
      </c>
      <c r="C290" s="15" t="str">
        <f>IFERROR(INDEX('Formulación PDN 2027'!$N$7:$N$506,MATCH(ROW()-5,'Formulación PDN 2027'!$AK$7:$AK$506,0))&amp;"","")</f>
        <v/>
      </c>
      <c r="D290" s="15" t="str">
        <f>IFERROR(INDEX('Formulación PDN 2027'!$L$7:$L$506,MATCH(ROW()-5,'Formulación PDN 2027'!$AK$7:$AK$506,0))&amp;"","")</f>
        <v/>
      </c>
      <c r="E290" s="15" t="str">
        <f>IFERROR(MATCH(INDEX('Formulación PDN 2027'!$O$7:$O$506,MATCH(ROW()-5,'Formulación PDN 2027'!$AK$7:$AK$506,0)),L_MESES,0),"")</f>
        <v/>
      </c>
      <c r="F290" s="15" t="str">
        <f>IFERROR(MATCH(INDEX('Formulación PDN 2027'!$P$7:$P$506,MATCH(ROW()-5,'Formulación PDN 2027'!$AK$7:$AK$506,0)),L_MESES,0),"")</f>
        <v/>
      </c>
      <c r="G290" s="15" t="str">
        <f>IFERROR(INDEX('Formulación PDN 2027'!$Q$7:$Q$506,MATCH(ROW()-5,'Formulación PDN 2027'!$AK$7:$AK$506,0)),"")</f>
        <v/>
      </c>
      <c r="H290" s="15" t="str">
        <f>IFERROR(INDEX('Formulación PDN 2027'!$R$7:$R$506,MATCH(ROW()-5,'Formulación PDN 2027'!$AK$7:$AK$506,0))&amp;"","")</f>
        <v/>
      </c>
      <c r="I290" s="15" t="str">
        <f>IFERROR(INDEX('Formulación PDN 2027'!$S$7:$S$506,MATCH(ROW()-5,'Formulación PDN 2027'!$AK$7:$AK$506,0))&amp;"","")</f>
        <v/>
      </c>
      <c r="J290" s="15" t="str">
        <f>IFERROR(INDEX('Formulación PDN 2027'!$T$7:$T$506,MATCH(ROW()-5,'Formulación PDN 2027'!$AK$7:$AK$506,0))&amp;"","")</f>
        <v/>
      </c>
      <c r="K290" s="43" t="str">
        <f>IFERROR(INDEX('Formulación PDN 2027'!$W$7:$W$506,MATCH(ROW()-5,'Formulación PDN 2027'!$AK$7:$AK$506,0)),"")</f>
        <v/>
      </c>
      <c r="L290" s="43" t="str">
        <f>IFERROR(INDEX('Formulación PDN 2027'!$X$7:$X$506,MATCH(ROW()-5,'Formulación PDN 2027'!$AK$7:$AK$506,0)),"")</f>
        <v/>
      </c>
      <c r="M290" s="15" t="str">
        <f>IFERROR(INDEX('Formulación PDN 2027'!$Y$7:$Y$506,MATCH(ROW()-5,'Formulación PDN 2027'!$AK$7:$AK$506,0))&amp;"","")</f>
        <v/>
      </c>
      <c r="N290" s="15" t="str">
        <f>IFERROR(INDEX('Formulación PDN 2027'!$Z$7:$Z$506,MATCH(ROW()-5,'Formulación PDN 2027'!$AK$7:$AK$506,0))&amp;"","")</f>
        <v/>
      </c>
      <c r="O290" s="15"/>
      <c r="P290" s="15" t="str">
        <f>IFERROR(INDEX('Formulación PDN 2027'!$AA$7:$AA$506,MATCH(ROW()-5,'Formulación PDN 2027'!$AK$7:$AK$506,0))&amp;"","")</f>
        <v/>
      </c>
      <c r="Q290" s="15" t="str">
        <f>IFERROR(INDEX('Formulación PDN 2027'!$AB$7:$AB$506,MATCH(ROW()-5,'Formulación PDN 2027'!$AK$7:$AK$506,0))&amp;"","")</f>
        <v/>
      </c>
      <c r="R290" s="15" t="str">
        <f>IFERROR(INDEX('Formulación PDN 2027'!$AD$7:$AD$506,MATCH(ROW()-5,'Formulación PDN 2027'!$AK$7:$AK$506,0))&amp;"","")</f>
        <v/>
      </c>
      <c r="S290" s="15" t="str">
        <f>IFERROR(INDEX('Formulación PDN 2027'!$AE$7:$AE$506,MATCH(ROW()-5,'Formulación PDN 2027'!$AK$7:$AK$506,0))&amp;"","")</f>
        <v/>
      </c>
      <c r="T290" s="15" t="str">
        <f>IFERROR(INDEX('Formulación PDN 2027'!$C$7:$C$506,MATCH(ROW()-5,'Formulación PDN 2027'!$AK$7:$AK$506,0))&amp;"","")</f>
        <v/>
      </c>
      <c r="U290" s="15" t="str">
        <f>IFERROR(INDEX('Formulación PDN 2027'!$B$7:$B$506,MATCH(ROW()-5,'Formulación PDN 2027'!$AK$7:$AK$506,0))&amp;"","")</f>
        <v/>
      </c>
      <c r="V290" s="15" t="str">
        <f>IFERROR(LEFT(INDEX('Formulación PDN 2027'!$E$7:$E$506,MATCH(ROW()-5,'Formulación PDN 2027'!$AK$7:$AK$506,0)),7),"")</f>
        <v/>
      </c>
      <c r="W290" s="15" t="str">
        <f>IFERROR(INDEX('Formulación PDN 2027'!$H$7:$H$506,MATCH(ROW()-5,'Formulación PDN 2027'!$AK$7:$AK$506,0))&amp;"","")</f>
        <v/>
      </c>
      <c r="X290" s="15" t="str">
        <f>IFERROR(INDEX('Formulación PDN 2027'!$U$7:$U$506,MATCH(ROW()-5,'Formulación PDN 2027'!$AK$7:$AK$506,0))&amp;"","")</f>
        <v/>
      </c>
      <c r="Y290" s="15" t="str">
        <f>IFERROR(INDEX('Formulación PDN 2027'!$AH$7:$AH$506,MATCH(ROW()-5,'Formulación PDN 2027'!$AK$7:$AK$506,0))&amp;"","")</f>
        <v/>
      </c>
    </row>
    <row r="291" spans="1:25" x14ac:dyDescent="0.3">
      <c r="A291" s="15" t="str">
        <f>IFERROR(INDEX('Formulación PDN 2027'!$A$7:$A$506,MATCH(ROW()-5,'Formulación PDN 2027'!$AK$7:$AK$506,0))&amp;"","")</f>
        <v/>
      </c>
      <c r="B291" s="20" t="str">
        <f>IFERROR(INDEX('Formulación PDN 2027'!$M$7:$M$506,MATCH(ROW()-5,'Formulación PDN 2027'!$AK$7:$AK$506,0)),"")</f>
        <v/>
      </c>
      <c r="C291" s="15" t="str">
        <f>IFERROR(INDEX('Formulación PDN 2027'!$N$7:$N$506,MATCH(ROW()-5,'Formulación PDN 2027'!$AK$7:$AK$506,0))&amp;"","")</f>
        <v/>
      </c>
      <c r="D291" s="15" t="str">
        <f>IFERROR(INDEX('Formulación PDN 2027'!$L$7:$L$506,MATCH(ROW()-5,'Formulación PDN 2027'!$AK$7:$AK$506,0))&amp;"","")</f>
        <v/>
      </c>
      <c r="E291" s="15" t="str">
        <f>IFERROR(MATCH(INDEX('Formulación PDN 2027'!$O$7:$O$506,MATCH(ROW()-5,'Formulación PDN 2027'!$AK$7:$AK$506,0)),L_MESES,0),"")</f>
        <v/>
      </c>
      <c r="F291" s="15" t="str">
        <f>IFERROR(MATCH(INDEX('Formulación PDN 2027'!$P$7:$P$506,MATCH(ROW()-5,'Formulación PDN 2027'!$AK$7:$AK$506,0)),L_MESES,0),"")</f>
        <v/>
      </c>
      <c r="G291" s="15" t="str">
        <f>IFERROR(INDEX('Formulación PDN 2027'!$Q$7:$Q$506,MATCH(ROW()-5,'Formulación PDN 2027'!$AK$7:$AK$506,0)),"")</f>
        <v/>
      </c>
      <c r="H291" s="15" t="str">
        <f>IFERROR(INDEX('Formulación PDN 2027'!$R$7:$R$506,MATCH(ROW()-5,'Formulación PDN 2027'!$AK$7:$AK$506,0))&amp;"","")</f>
        <v/>
      </c>
      <c r="I291" s="15" t="str">
        <f>IFERROR(INDEX('Formulación PDN 2027'!$S$7:$S$506,MATCH(ROW()-5,'Formulación PDN 2027'!$AK$7:$AK$506,0))&amp;"","")</f>
        <v/>
      </c>
      <c r="J291" s="15" t="str">
        <f>IFERROR(INDEX('Formulación PDN 2027'!$T$7:$T$506,MATCH(ROW()-5,'Formulación PDN 2027'!$AK$7:$AK$506,0))&amp;"","")</f>
        <v/>
      </c>
      <c r="K291" s="43" t="str">
        <f>IFERROR(INDEX('Formulación PDN 2027'!$W$7:$W$506,MATCH(ROW()-5,'Formulación PDN 2027'!$AK$7:$AK$506,0)),"")</f>
        <v/>
      </c>
      <c r="L291" s="43" t="str">
        <f>IFERROR(INDEX('Formulación PDN 2027'!$X$7:$X$506,MATCH(ROW()-5,'Formulación PDN 2027'!$AK$7:$AK$506,0)),"")</f>
        <v/>
      </c>
      <c r="M291" s="15" t="str">
        <f>IFERROR(INDEX('Formulación PDN 2027'!$Y$7:$Y$506,MATCH(ROW()-5,'Formulación PDN 2027'!$AK$7:$AK$506,0))&amp;"","")</f>
        <v/>
      </c>
      <c r="N291" s="15" t="str">
        <f>IFERROR(INDEX('Formulación PDN 2027'!$Z$7:$Z$506,MATCH(ROW()-5,'Formulación PDN 2027'!$AK$7:$AK$506,0))&amp;"","")</f>
        <v/>
      </c>
      <c r="O291" s="15"/>
      <c r="P291" s="15" t="str">
        <f>IFERROR(INDEX('Formulación PDN 2027'!$AA$7:$AA$506,MATCH(ROW()-5,'Formulación PDN 2027'!$AK$7:$AK$506,0))&amp;"","")</f>
        <v/>
      </c>
      <c r="Q291" s="15" t="str">
        <f>IFERROR(INDEX('Formulación PDN 2027'!$AB$7:$AB$506,MATCH(ROW()-5,'Formulación PDN 2027'!$AK$7:$AK$506,0))&amp;"","")</f>
        <v/>
      </c>
      <c r="R291" s="15" t="str">
        <f>IFERROR(INDEX('Formulación PDN 2027'!$AD$7:$AD$506,MATCH(ROW()-5,'Formulación PDN 2027'!$AK$7:$AK$506,0))&amp;"","")</f>
        <v/>
      </c>
      <c r="S291" s="15" t="str">
        <f>IFERROR(INDEX('Formulación PDN 2027'!$AE$7:$AE$506,MATCH(ROW()-5,'Formulación PDN 2027'!$AK$7:$AK$506,0))&amp;"","")</f>
        <v/>
      </c>
      <c r="T291" s="15" t="str">
        <f>IFERROR(INDEX('Formulación PDN 2027'!$C$7:$C$506,MATCH(ROW()-5,'Formulación PDN 2027'!$AK$7:$AK$506,0))&amp;"","")</f>
        <v/>
      </c>
      <c r="U291" s="15" t="str">
        <f>IFERROR(INDEX('Formulación PDN 2027'!$B$7:$B$506,MATCH(ROW()-5,'Formulación PDN 2027'!$AK$7:$AK$506,0))&amp;"","")</f>
        <v/>
      </c>
      <c r="V291" s="15" t="str">
        <f>IFERROR(LEFT(INDEX('Formulación PDN 2027'!$E$7:$E$506,MATCH(ROW()-5,'Formulación PDN 2027'!$AK$7:$AK$506,0)),7),"")</f>
        <v/>
      </c>
      <c r="W291" s="15" t="str">
        <f>IFERROR(INDEX('Formulación PDN 2027'!$H$7:$H$506,MATCH(ROW()-5,'Formulación PDN 2027'!$AK$7:$AK$506,0))&amp;"","")</f>
        <v/>
      </c>
      <c r="X291" s="15" t="str">
        <f>IFERROR(INDEX('Formulación PDN 2027'!$U$7:$U$506,MATCH(ROW()-5,'Formulación PDN 2027'!$AK$7:$AK$506,0))&amp;"","")</f>
        <v/>
      </c>
      <c r="Y291" s="15" t="str">
        <f>IFERROR(INDEX('Formulación PDN 2027'!$AH$7:$AH$506,MATCH(ROW()-5,'Formulación PDN 2027'!$AK$7:$AK$506,0))&amp;"","")</f>
        <v/>
      </c>
    </row>
    <row r="292" spans="1:25" x14ac:dyDescent="0.3">
      <c r="A292" s="15" t="str">
        <f>IFERROR(INDEX('Formulación PDN 2027'!$A$7:$A$506,MATCH(ROW()-5,'Formulación PDN 2027'!$AK$7:$AK$506,0))&amp;"","")</f>
        <v/>
      </c>
      <c r="B292" s="20" t="str">
        <f>IFERROR(INDEX('Formulación PDN 2027'!$M$7:$M$506,MATCH(ROW()-5,'Formulación PDN 2027'!$AK$7:$AK$506,0)),"")</f>
        <v/>
      </c>
      <c r="C292" s="15" t="str">
        <f>IFERROR(INDEX('Formulación PDN 2027'!$N$7:$N$506,MATCH(ROW()-5,'Formulación PDN 2027'!$AK$7:$AK$506,0))&amp;"","")</f>
        <v/>
      </c>
      <c r="D292" s="15" t="str">
        <f>IFERROR(INDEX('Formulación PDN 2027'!$L$7:$L$506,MATCH(ROW()-5,'Formulación PDN 2027'!$AK$7:$AK$506,0))&amp;"","")</f>
        <v/>
      </c>
      <c r="E292" s="15" t="str">
        <f>IFERROR(MATCH(INDEX('Formulación PDN 2027'!$O$7:$O$506,MATCH(ROW()-5,'Formulación PDN 2027'!$AK$7:$AK$506,0)),L_MESES,0),"")</f>
        <v/>
      </c>
      <c r="F292" s="15" t="str">
        <f>IFERROR(MATCH(INDEX('Formulación PDN 2027'!$P$7:$P$506,MATCH(ROW()-5,'Formulación PDN 2027'!$AK$7:$AK$506,0)),L_MESES,0),"")</f>
        <v/>
      </c>
      <c r="G292" s="15" t="str">
        <f>IFERROR(INDEX('Formulación PDN 2027'!$Q$7:$Q$506,MATCH(ROW()-5,'Formulación PDN 2027'!$AK$7:$AK$506,0)),"")</f>
        <v/>
      </c>
      <c r="H292" s="15" t="str">
        <f>IFERROR(INDEX('Formulación PDN 2027'!$R$7:$R$506,MATCH(ROW()-5,'Formulación PDN 2027'!$AK$7:$AK$506,0))&amp;"","")</f>
        <v/>
      </c>
      <c r="I292" s="15" t="str">
        <f>IFERROR(INDEX('Formulación PDN 2027'!$S$7:$S$506,MATCH(ROW()-5,'Formulación PDN 2027'!$AK$7:$AK$506,0))&amp;"","")</f>
        <v/>
      </c>
      <c r="J292" s="15" t="str">
        <f>IFERROR(INDEX('Formulación PDN 2027'!$T$7:$T$506,MATCH(ROW()-5,'Formulación PDN 2027'!$AK$7:$AK$506,0))&amp;"","")</f>
        <v/>
      </c>
      <c r="K292" s="43" t="str">
        <f>IFERROR(INDEX('Formulación PDN 2027'!$W$7:$W$506,MATCH(ROW()-5,'Formulación PDN 2027'!$AK$7:$AK$506,0)),"")</f>
        <v/>
      </c>
      <c r="L292" s="43" t="str">
        <f>IFERROR(INDEX('Formulación PDN 2027'!$X$7:$X$506,MATCH(ROW()-5,'Formulación PDN 2027'!$AK$7:$AK$506,0)),"")</f>
        <v/>
      </c>
      <c r="M292" s="15" t="str">
        <f>IFERROR(INDEX('Formulación PDN 2027'!$Y$7:$Y$506,MATCH(ROW()-5,'Formulación PDN 2027'!$AK$7:$AK$506,0))&amp;"","")</f>
        <v/>
      </c>
      <c r="N292" s="15" t="str">
        <f>IFERROR(INDEX('Formulación PDN 2027'!$Z$7:$Z$506,MATCH(ROW()-5,'Formulación PDN 2027'!$AK$7:$AK$506,0))&amp;"","")</f>
        <v/>
      </c>
      <c r="O292" s="15"/>
      <c r="P292" s="15" t="str">
        <f>IFERROR(INDEX('Formulación PDN 2027'!$AA$7:$AA$506,MATCH(ROW()-5,'Formulación PDN 2027'!$AK$7:$AK$506,0))&amp;"","")</f>
        <v/>
      </c>
      <c r="Q292" s="15" t="str">
        <f>IFERROR(INDEX('Formulación PDN 2027'!$AB$7:$AB$506,MATCH(ROW()-5,'Formulación PDN 2027'!$AK$7:$AK$506,0))&amp;"","")</f>
        <v/>
      </c>
      <c r="R292" s="15" t="str">
        <f>IFERROR(INDEX('Formulación PDN 2027'!$AD$7:$AD$506,MATCH(ROW()-5,'Formulación PDN 2027'!$AK$7:$AK$506,0))&amp;"","")</f>
        <v/>
      </c>
      <c r="S292" s="15" t="str">
        <f>IFERROR(INDEX('Formulación PDN 2027'!$AE$7:$AE$506,MATCH(ROW()-5,'Formulación PDN 2027'!$AK$7:$AK$506,0))&amp;"","")</f>
        <v/>
      </c>
      <c r="T292" s="15" t="str">
        <f>IFERROR(INDEX('Formulación PDN 2027'!$C$7:$C$506,MATCH(ROW()-5,'Formulación PDN 2027'!$AK$7:$AK$506,0))&amp;"","")</f>
        <v/>
      </c>
      <c r="U292" s="15" t="str">
        <f>IFERROR(INDEX('Formulación PDN 2027'!$B$7:$B$506,MATCH(ROW()-5,'Formulación PDN 2027'!$AK$7:$AK$506,0))&amp;"","")</f>
        <v/>
      </c>
      <c r="V292" s="15" t="str">
        <f>IFERROR(LEFT(INDEX('Formulación PDN 2027'!$E$7:$E$506,MATCH(ROW()-5,'Formulación PDN 2027'!$AK$7:$AK$506,0)),7),"")</f>
        <v/>
      </c>
      <c r="W292" s="15" t="str">
        <f>IFERROR(INDEX('Formulación PDN 2027'!$H$7:$H$506,MATCH(ROW()-5,'Formulación PDN 2027'!$AK$7:$AK$506,0))&amp;"","")</f>
        <v/>
      </c>
      <c r="X292" s="15" t="str">
        <f>IFERROR(INDEX('Formulación PDN 2027'!$U$7:$U$506,MATCH(ROW()-5,'Formulación PDN 2027'!$AK$7:$AK$506,0))&amp;"","")</f>
        <v/>
      </c>
      <c r="Y292" s="15" t="str">
        <f>IFERROR(INDEX('Formulación PDN 2027'!$AH$7:$AH$506,MATCH(ROW()-5,'Formulación PDN 2027'!$AK$7:$AK$506,0))&amp;"","")</f>
        <v/>
      </c>
    </row>
    <row r="293" spans="1:25" x14ac:dyDescent="0.3">
      <c r="A293" s="15" t="str">
        <f>IFERROR(INDEX('Formulación PDN 2027'!$A$7:$A$506,MATCH(ROW()-5,'Formulación PDN 2027'!$AK$7:$AK$506,0))&amp;"","")</f>
        <v/>
      </c>
      <c r="B293" s="20" t="str">
        <f>IFERROR(INDEX('Formulación PDN 2027'!$M$7:$M$506,MATCH(ROW()-5,'Formulación PDN 2027'!$AK$7:$AK$506,0)),"")</f>
        <v/>
      </c>
      <c r="C293" s="15" t="str">
        <f>IFERROR(INDEX('Formulación PDN 2027'!$N$7:$N$506,MATCH(ROW()-5,'Formulación PDN 2027'!$AK$7:$AK$506,0))&amp;"","")</f>
        <v/>
      </c>
      <c r="D293" s="15" t="str">
        <f>IFERROR(INDEX('Formulación PDN 2027'!$L$7:$L$506,MATCH(ROW()-5,'Formulación PDN 2027'!$AK$7:$AK$506,0))&amp;"","")</f>
        <v/>
      </c>
      <c r="E293" s="15" t="str">
        <f>IFERROR(MATCH(INDEX('Formulación PDN 2027'!$O$7:$O$506,MATCH(ROW()-5,'Formulación PDN 2027'!$AK$7:$AK$506,0)),L_MESES,0),"")</f>
        <v/>
      </c>
      <c r="F293" s="15" t="str">
        <f>IFERROR(MATCH(INDEX('Formulación PDN 2027'!$P$7:$P$506,MATCH(ROW()-5,'Formulación PDN 2027'!$AK$7:$AK$506,0)),L_MESES,0),"")</f>
        <v/>
      </c>
      <c r="G293" s="15" t="str">
        <f>IFERROR(INDEX('Formulación PDN 2027'!$Q$7:$Q$506,MATCH(ROW()-5,'Formulación PDN 2027'!$AK$7:$AK$506,0)),"")</f>
        <v/>
      </c>
      <c r="H293" s="15" t="str">
        <f>IFERROR(INDEX('Formulación PDN 2027'!$R$7:$R$506,MATCH(ROW()-5,'Formulación PDN 2027'!$AK$7:$AK$506,0))&amp;"","")</f>
        <v/>
      </c>
      <c r="I293" s="15" t="str">
        <f>IFERROR(INDEX('Formulación PDN 2027'!$S$7:$S$506,MATCH(ROW()-5,'Formulación PDN 2027'!$AK$7:$AK$506,0))&amp;"","")</f>
        <v/>
      </c>
      <c r="J293" s="15" t="str">
        <f>IFERROR(INDEX('Formulación PDN 2027'!$T$7:$T$506,MATCH(ROW()-5,'Formulación PDN 2027'!$AK$7:$AK$506,0))&amp;"","")</f>
        <v/>
      </c>
      <c r="K293" s="43" t="str">
        <f>IFERROR(INDEX('Formulación PDN 2027'!$W$7:$W$506,MATCH(ROW()-5,'Formulación PDN 2027'!$AK$7:$AK$506,0)),"")</f>
        <v/>
      </c>
      <c r="L293" s="43" t="str">
        <f>IFERROR(INDEX('Formulación PDN 2027'!$X$7:$X$506,MATCH(ROW()-5,'Formulación PDN 2027'!$AK$7:$AK$506,0)),"")</f>
        <v/>
      </c>
      <c r="M293" s="15" t="str">
        <f>IFERROR(INDEX('Formulación PDN 2027'!$Y$7:$Y$506,MATCH(ROW()-5,'Formulación PDN 2027'!$AK$7:$AK$506,0))&amp;"","")</f>
        <v/>
      </c>
      <c r="N293" s="15" t="str">
        <f>IFERROR(INDEX('Formulación PDN 2027'!$Z$7:$Z$506,MATCH(ROW()-5,'Formulación PDN 2027'!$AK$7:$AK$506,0))&amp;"","")</f>
        <v/>
      </c>
      <c r="O293" s="15"/>
      <c r="P293" s="15" t="str">
        <f>IFERROR(INDEX('Formulación PDN 2027'!$AA$7:$AA$506,MATCH(ROW()-5,'Formulación PDN 2027'!$AK$7:$AK$506,0))&amp;"","")</f>
        <v/>
      </c>
      <c r="Q293" s="15" t="str">
        <f>IFERROR(INDEX('Formulación PDN 2027'!$AB$7:$AB$506,MATCH(ROW()-5,'Formulación PDN 2027'!$AK$7:$AK$506,0))&amp;"","")</f>
        <v/>
      </c>
      <c r="R293" s="15" t="str">
        <f>IFERROR(INDEX('Formulación PDN 2027'!$AD$7:$AD$506,MATCH(ROW()-5,'Formulación PDN 2027'!$AK$7:$AK$506,0))&amp;"","")</f>
        <v/>
      </c>
      <c r="S293" s="15" t="str">
        <f>IFERROR(INDEX('Formulación PDN 2027'!$AE$7:$AE$506,MATCH(ROW()-5,'Formulación PDN 2027'!$AK$7:$AK$506,0))&amp;"","")</f>
        <v/>
      </c>
      <c r="T293" s="15" t="str">
        <f>IFERROR(INDEX('Formulación PDN 2027'!$C$7:$C$506,MATCH(ROW()-5,'Formulación PDN 2027'!$AK$7:$AK$506,0))&amp;"","")</f>
        <v/>
      </c>
      <c r="U293" s="15" t="str">
        <f>IFERROR(INDEX('Formulación PDN 2027'!$B$7:$B$506,MATCH(ROW()-5,'Formulación PDN 2027'!$AK$7:$AK$506,0))&amp;"","")</f>
        <v/>
      </c>
      <c r="V293" s="15" t="str">
        <f>IFERROR(LEFT(INDEX('Formulación PDN 2027'!$E$7:$E$506,MATCH(ROW()-5,'Formulación PDN 2027'!$AK$7:$AK$506,0)),7),"")</f>
        <v/>
      </c>
      <c r="W293" s="15" t="str">
        <f>IFERROR(INDEX('Formulación PDN 2027'!$H$7:$H$506,MATCH(ROW()-5,'Formulación PDN 2027'!$AK$7:$AK$506,0))&amp;"","")</f>
        <v/>
      </c>
      <c r="X293" s="15" t="str">
        <f>IFERROR(INDEX('Formulación PDN 2027'!$U$7:$U$506,MATCH(ROW()-5,'Formulación PDN 2027'!$AK$7:$AK$506,0))&amp;"","")</f>
        <v/>
      </c>
      <c r="Y293" s="15" t="str">
        <f>IFERROR(INDEX('Formulación PDN 2027'!$AH$7:$AH$506,MATCH(ROW()-5,'Formulación PDN 2027'!$AK$7:$AK$506,0))&amp;"","")</f>
        <v/>
      </c>
    </row>
    <row r="294" spans="1:25" x14ac:dyDescent="0.3">
      <c r="A294" s="15" t="str">
        <f>IFERROR(INDEX('Formulación PDN 2027'!$A$7:$A$506,MATCH(ROW()-5,'Formulación PDN 2027'!$AK$7:$AK$506,0))&amp;"","")</f>
        <v/>
      </c>
      <c r="B294" s="20" t="str">
        <f>IFERROR(INDEX('Formulación PDN 2027'!$M$7:$M$506,MATCH(ROW()-5,'Formulación PDN 2027'!$AK$7:$AK$506,0)),"")</f>
        <v/>
      </c>
      <c r="C294" s="15" t="str">
        <f>IFERROR(INDEX('Formulación PDN 2027'!$N$7:$N$506,MATCH(ROW()-5,'Formulación PDN 2027'!$AK$7:$AK$506,0))&amp;"","")</f>
        <v/>
      </c>
      <c r="D294" s="15" t="str">
        <f>IFERROR(INDEX('Formulación PDN 2027'!$L$7:$L$506,MATCH(ROW()-5,'Formulación PDN 2027'!$AK$7:$AK$506,0))&amp;"","")</f>
        <v/>
      </c>
      <c r="E294" s="15" t="str">
        <f>IFERROR(MATCH(INDEX('Formulación PDN 2027'!$O$7:$O$506,MATCH(ROW()-5,'Formulación PDN 2027'!$AK$7:$AK$506,0)),L_MESES,0),"")</f>
        <v/>
      </c>
      <c r="F294" s="15" t="str">
        <f>IFERROR(MATCH(INDEX('Formulación PDN 2027'!$P$7:$P$506,MATCH(ROW()-5,'Formulación PDN 2027'!$AK$7:$AK$506,0)),L_MESES,0),"")</f>
        <v/>
      </c>
      <c r="G294" s="15" t="str">
        <f>IFERROR(INDEX('Formulación PDN 2027'!$Q$7:$Q$506,MATCH(ROW()-5,'Formulación PDN 2027'!$AK$7:$AK$506,0)),"")</f>
        <v/>
      </c>
      <c r="H294" s="15" t="str">
        <f>IFERROR(INDEX('Formulación PDN 2027'!$R$7:$R$506,MATCH(ROW()-5,'Formulación PDN 2027'!$AK$7:$AK$506,0))&amp;"","")</f>
        <v/>
      </c>
      <c r="I294" s="15" t="str">
        <f>IFERROR(INDEX('Formulación PDN 2027'!$S$7:$S$506,MATCH(ROW()-5,'Formulación PDN 2027'!$AK$7:$AK$506,0))&amp;"","")</f>
        <v/>
      </c>
      <c r="J294" s="15" t="str">
        <f>IFERROR(INDEX('Formulación PDN 2027'!$T$7:$T$506,MATCH(ROW()-5,'Formulación PDN 2027'!$AK$7:$AK$506,0))&amp;"","")</f>
        <v/>
      </c>
      <c r="K294" s="43" t="str">
        <f>IFERROR(INDEX('Formulación PDN 2027'!$W$7:$W$506,MATCH(ROW()-5,'Formulación PDN 2027'!$AK$7:$AK$506,0)),"")</f>
        <v/>
      </c>
      <c r="L294" s="43" t="str">
        <f>IFERROR(INDEX('Formulación PDN 2027'!$X$7:$X$506,MATCH(ROW()-5,'Formulación PDN 2027'!$AK$7:$AK$506,0)),"")</f>
        <v/>
      </c>
      <c r="M294" s="15" t="str">
        <f>IFERROR(INDEX('Formulación PDN 2027'!$Y$7:$Y$506,MATCH(ROW()-5,'Formulación PDN 2027'!$AK$7:$AK$506,0))&amp;"","")</f>
        <v/>
      </c>
      <c r="N294" s="15" t="str">
        <f>IFERROR(INDEX('Formulación PDN 2027'!$Z$7:$Z$506,MATCH(ROW()-5,'Formulación PDN 2027'!$AK$7:$AK$506,0))&amp;"","")</f>
        <v/>
      </c>
      <c r="O294" s="15"/>
      <c r="P294" s="15" t="str">
        <f>IFERROR(INDEX('Formulación PDN 2027'!$AA$7:$AA$506,MATCH(ROW()-5,'Formulación PDN 2027'!$AK$7:$AK$506,0))&amp;"","")</f>
        <v/>
      </c>
      <c r="Q294" s="15" t="str">
        <f>IFERROR(INDEX('Formulación PDN 2027'!$AB$7:$AB$506,MATCH(ROW()-5,'Formulación PDN 2027'!$AK$7:$AK$506,0))&amp;"","")</f>
        <v/>
      </c>
      <c r="R294" s="15" t="str">
        <f>IFERROR(INDEX('Formulación PDN 2027'!$AD$7:$AD$506,MATCH(ROW()-5,'Formulación PDN 2027'!$AK$7:$AK$506,0))&amp;"","")</f>
        <v/>
      </c>
      <c r="S294" s="15" t="str">
        <f>IFERROR(INDEX('Formulación PDN 2027'!$AE$7:$AE$506,MATCH(ROW()-5,'Formulación PDN 2027'!$AK$7:$AK$506,0))&amp;"","")</f>
        <v/>
      </c>
      <c r="T294" s="15" t="str">
        <f>IFERROR(INDEX('Formulación PDN 2027'!$C$7:$C$506,MATCH(ROW()-5,'Formulación PDN 2027'!$AK$7:$AK$506,0))&amp;"","")</f>
        <v/>
      </c>
      <c r="U294" s="15" t="str">
        <f>IFERROR(INDEX('Formulación PDN 2027'!$B$7:$B$506,MATCH(ROW()-5,'Formulación PDN 2027'!$AK$7:$AK$506,0))&amp;"","")</f>
        <v/>
      </c>
      <c r="V294" s="15" t="str">
        <f>IFERROR(LEFT(INDEX('Formulación PDN 2027'!$E$7:$E$506,MATCH(ROW()-5,'Formulación PDN 2027'!$AK$7:$AK$506,0)),7),"")</f>
        <v/>
      </c>
      <c r="W294" s="15" t="str">
        <f>IFERROR(INDEX('Formulación PDN 2027'!$H$7:$H$506,MATCH(ROW()-5,'Formulación PDN 2027'!$AK$7:$AK$506,0))&amp;"","")</f>
        <v/>
      </c>
      <c r="X294" s="15" t="str">
        <f>IFERROR(INDEX('Formulación PDN 2027'!$U$7:$U$506,MATCH(ROW()-5,'Formulación PDN 2027'!$AK$7:$AK$506,0))&amp;"","")</f>
        <v/>
      </c>
      <c r="Y294" s="15" t="str">
        <f>IFERROR(INDEX('Formulación PDN 2027'!$AH$7:$AH$506,MATCH(ROW()-5,'Formulación PDN 2027'!$AK$7:$AK$506,0))&amp;"","")</f>
        <v/>
      </c>
    </row>
    <row r="295" spans="1:25" x14ac:dyDescent="0.3">
      <c r="A295" s="15" t="str">
        <f>IFERROR(INDEX('Formulación PDN 2027'!$A$7:$A$506,MATCH(ROW()-5,'Formulación PDN 2027'!$AK$7:$AK$506,0))&amp;"","")</f>
        <v/>
      </c>
      <c r="B295" s="20" t="str">
        <f>IFERROR(INDEX('Formulación PDN 2027'!$M$7:$M$506,MATCH(ROW()-5,'Formulación PDN 2027'!$AK$7:$AK$506,0)),"")</f>
        <v/>
      </c>
      <c r="C295" s="15" t="str">
        <f>IFERROR(INDEX('Formulación PDN 2027'!$N$7:$N$506,MATCH(ROW()-5,'Formulación PDN 2027'!$AK$7:$AK$506,0))&amp;"","")</f>
        <v/>
      </c>
      <c r="D295" s="15" t="str">
        <f>IFERROR(INDEX('Formulación PDN 2027'!$L$7:$L$506,MATCH(ROW()-5,'Formulación PDN 2027'!$AK$7:$AK$506,0))&amp;"","")</f>
        <v/>
      </c>
      <c r="E295" s="15" t="str">
        <f>IFERROR(MATCH(INDEX('Formulación PDN 2027'!$O$7:$O$506,MATCH(ROW()-5,'Formulación PDN 2027'!$AK$7:$AK$506,0)),L_MESES,0),"")</f>
        <v/>
      </c>
      <c r="F295" s="15" t="str">
        <f>IFERROR(MATCH(INDEX('Formulación PDN 2027'!$P$7:$P$506,MATCH(ROW()-5,'Formulación PDN 2027'!$AK$7:$AK$506,0)),L_MESES,0),"")</f>
        <v/>
      </c>
      <c r="G295" s="15" t="str">
        <f>IFERROR(INDEX('Formulación PDN 2027'!$Q$7:$Q$506,MATCH(ROW()-5,'Formulación PDN 2027'!$AK$7:$AK$506,0)),"")</f>
        <v/>
      </c>
      <c r="H295" s="15" t="str">
        <f>IFERROR(INDEX('Formulación PDN 2027'!$R$7:$R$506,MATCH(ROW()-5,'Formulación PDN 2027'!$AK$7:$AK$506,0))&amp;"","")</f>
        <v/>
      </c>
      <c r="I295" s="15" t="str">
        <f>IFERROR(INDEX('Formulación PDN 2027'!$S$7:$S$506,MATCH(ROW()-5,'Formulación PDN 2027'!$AK$7:$AK$506,0))&amp;"","")</f>
        <v/>
      </c>
      <c r="J295" s="15" t="str">
        <f>IFERROR(INDEX('Formulación PDN 2027'!$T$7:$T$506,MATCH(ROW()-5,'Formulación PDN 2027'!$AK$7:$AK$506,0))&amp;"","")</f>
        <v/>
      </c>
      <c r="K295" s="43" t="str">
        <f>IFERROR(INDEX('Formulación PDN 2027'!$W$7:$W$506,MATCH(ROW()-5,'Formulación PDN 2027'!$AK$7:$AK$506,0)),"")</f>
        <v/>
      </c>
      <c r="L295" s="43" t="str">
        <f>IFERROR(INDEX('Formulación PDN 2027'!$X$7:$X$506,MATCH(ROW()-5,'Formulación PDN 2027'!$AK$7:$AK$506,0)),"")</f>
        <v/>
      </c>
      <c r="M295" s="15" t="str">
        <f>IFERROR(INDEX('Formulación PDN 2027'!$Y$7:$Y$506,MATCH(ROW()-5,'Formulación PDN 2027'!$AK$7:$AK$506,0))&amp;"","")</f>
        <v/>
      </c>
      <c r="N295" s="15" t="str">
        <f>IFERROR(INDEX('Formulación PDN 2027'!$Z$7:$Z$506,MATCH(ROW()-5,'Formulación PDN 2027'!$AK$7:$AK$506,0))&amp;"","")</f>
        <v/>
      </c>
      <c r="O295" s="15"/>
      <c r="P295" s="15" t="str">
        <f>IFERROR(INDEX('Formulación PDN 2027'!$AA$7:$AA$506,MATCH(ROW()-5,'Formulación PDN 2027'!$AK$7:$AK$506,0))&amp;"","")</f>
        <v/>
      </c>
      <c r="Q295" s="15" t="str">
        <f>IFERROR(INDEX('Formulación PDN 2027'!$AB$7:$AB$506,MATCH(ROW()-5,'Formulación PDN 2027'!$AK$7:$AK$506,0))&amp;"","")</f>
        <v/>
      </c>
      <c r="R295" s="15" t="str">
        <f>IFERROR(INDEX('Formulación PDN 2027'!$AD$7:$AD$506,MATCH(ROW()-5,'Formulación PDN 2027'!$AK$7:$AK$506,0))&amp;"","")</f>
        <v/>
      </c>
      <c r="S295" s="15" t="str">
        <f>IFERROR(INDEX('Formulación PDN 2027'!$AE$7:$AE$506,MATCH(ROW()-5,'Formulación PDN 2027'!$AK$7:$AK$506,0))&amp;"","")</f>
        <v/>
      </c>
      <c r="T295" s="15" t="str">
        <f>IFERROR(INDEX('Formulación PDN 2027'!$C$7:$C$506,MATCH(ROW()-5,'Formulación PDN 2027'!$AK$7:$AK$506,0))&amp;"","")</f>
        <v/>
      </c>
      <c r="U295" s="15" t="str">
        <f>IFERROR(INDEX('Formulación PDN 2027'!$B$7:$B$506,MATCH(ROW()-5,'Formulación PDN 2027'!$AK$7:$AK$506,0))&amp;"","")</f>
        <v/>
      </c>
      <c r="V295" s="15" t="str">
        <f>IFERROR(LEFT(INDEX('Formulación PDN 2027'!$E$7:$E$506,MATCH(ROW()-5,'Formulación PDN 2027'!$AK$7:$AK$506,0)),7),"")</f>
        <v/>
      </c>
      <c r="W295" s="15" t="str">
        <f>IFERROR(INDEX('Formulación PDN 2027'!$H$7:$H$506,MATCH(ROW()-5,'Formulación PDN 2027'!$AK$7:$AK$506,0))&amp;"","")</f>
        <v/>
      </c>
      <c r="X295" s="15" t="str">
        <f>IFERROR(INDEX('Formulación PDN 2027'!$U$7:$U$506,MATCH(ROW()-5,'Formulación PDN 2027'!$AK$7:$AK$506,0))&amp;"","")</f>
        <v/>
      </c>
      <c r="Y295" s="15" t="str">
        <f>IFERROR(INDEX('Formulación PDN 2027'!$AH$7:$AH$506,MATCH(ROW()-5,'Formulación PDN 2027'!$AK$7:$AK$506,0))&amp;"","")</f>
        <v/>
      </c>
    </row>
    <row r="296" spans="1:25" x14ac:dyDescent="0.3">
      <c r="A296" s="15" t="str">
        <f>IFERROR(INDEX('Formulación PDN 2027'!$A$7:$A$506,MATCH(ROW()-5,'Formulación PDN 2027'!$AK$7:$AK$506,0))&amp;"","")</f>
        <v/>
      </c>
      <c r="B296" s="20" t="str">
        <f>IFERROR(INDEX('Formulación PDN 2027'!$M$7:$M$506,MATCH(ROW()-5,'Formulación PDN 2027'!$AK$7:$AK$506,0)),"")</f>
        <v/>
      </c>
      <c r="C296" s="15" t="str">
        <f>IFERROR(INDEX('Formulación PDN 2027'!$N$7:$N$506,MATCH(ROW()-5,'Formulación PDN 2027'!$AK$7:$AK$506,0))&amp;"","")</f>
        <v/>
      </c>
      <c r="D296" s="15" t="str">
        <f>IFERROR(INDEX('Formulación PDN 2027'!$L$7:$L$506,MATCH(ROW()-5,'Formulación PDN 2027'!$AK$7:$AK$506,0))&amp;"","")</f>
        <v/>
      </c>
      <c r="E296" s="15" t="str">
        <f>IFERROR(MATCH(INDEX('Formulación PDN 2027'!$O$7:$O$506,MATCH(ROW()-5,'Formulación PDN 2027'!$AK$7:$AK$506,0)),L_MESES,0),"")</f>
        <v/>
      </c>
      <c r="F296" s="15" t="str">
        <f>IFERROR(MATCH(INDEX('Formulación PDN 2027'!$P$7:$P$506,MATCH(ROW()-5,'Formulación PDN 2027'!$AK$7:$AK$506,0)),L_MESES,0),"")</f>
        <v/>
      </c>
      <c r="G296" s="15" t="str">
        <f>IFERROR(INDEX('Formulación PDN 2027'!$Q$7:$Q$506,MATCH(ROW()-5,'Formulación PDN 2027'!$AK$7:$AK$506,0)),"")</f>
        <v/>
      </c>
      <c r="H296" s="15" t="str">
        <f>IFERROR(INDEX('Formulación PDN 2027'!$R$7:$R$506,MATCH(ROW()-5,'Formulación PDN 2027'!$AK$7:$AK$506,0))&amp;"","")</f>
        <v/>
      </c>
      <c r="I296" s="15" t="str">
        <f>IFERROR(INDEX('Formulación PDN 2027'!$S$7:$S$506,MATCH(ROW()-5,'Formulación PDN 2027'!$AK$7:$AK$506,0))&amp;"","")</f>
        <v/>
      </c>
      <c r="J296" s="15" t="str">
        <f>IFERROR(INDEX('Formulación PDN 2027'!$T$7:$T$506,MATCH(ROW()-5,'Formulación PDN 2027'!$AK$7:$AK$506,0))&amp;"","")</f>
        <v/>
      </c>
      <c r="K296" s="43" t="str">
        <f>IFERROR(INDEX('Formulación PDN 2027'!$W$7:$W$506,MATCH(ROW()-5,'Formulación PDN 2027'!$AK$7:$AK$506,0)),"")</f>
        <v/>
      </c>
      <c r="L296" s="43" t="str">
        <f>IFERROR(INDEX('Formulación PDN 2027'!$X$7:$X$506,MATCH(ROW()-5,'Formulación PDN 2027'!$AK$7:$AK$506,0)),"")</f>
        <v/>
      </c>
      <c r="M296" s="15" t="str">
        <f>IFERROR(INDEX('Formulación PDN 2027'!$Y$7:$Y$506,MATCH(ROW()-5,'Formulación PDN 2027'!$AK$7:$AK$506,0))&amp;"","")</f>
        <v/>
      </c>
      <c r="N296" s="15" t="str">
        <f>IFERROR(INDEX('Formulación PDN 2027'!$Z$7:$Z$506,MATCH(ROW()-5,'Formulación PDN 2027'!$AK$7:$AK$506,0))&amp;"","")</f>
        <v/>
      </c>
      <c r="O296" s="15"/>
      <c r="P296" s="15" t="str">
        <f>IFERROR(INDEX('Formulación PDN 2027'!$AA$7:$AA$506,MATCH(ROW()-5,'Formulación PDN 2027'!$AK$7:$AK$506,0))&amp;"","")</f>
        <v/>
      </c>
      <c r="Q296" s="15" t="str">
        <f>IFERROR(INDEX('Formulación PDN 2027'!$AB$7:$AB$506,MATCH(ROW()-5,'Formulación PDN 2027'!$AK$7:$AK$506,0))&amp;"","")</f>
        <v/>
      </c>
      <c r="R296" s="15" t="str">
        <f>IFERROR(INDEX('Formulación PDN 2027'!$AD$7:$AD$506,MATCH(ROW()-5,'Formulación PDN 2027'!$AK$7:$AK$506,0))&amp;"","")</f>
        <v/>
      </c>
      <c r="S296" s="15" t="str">
        <f>IFERROR(INDEX('Formulación PDN 2027'!$AE$7:$AE$506,MATCH(ROW()-5,'Formulación PDN 2027'!$AK$7:$AK$506,0))&amp;"","")</f>
        <v/>
      </c>
      <c r="T296" s="15" t="str">
        <f>IFERROR(INDEX('Formulación PDN 2027'!$C$7:$C$506,MATCH(ROW()-5,'Formulación PDN 2027'!$AK$7:$AK$506,0))&amp;"","")</f>
        <v/>
      </c>
      <c r="U296" s="15" t="str">
        <f>IFERROR(INDEX('Formulación PDN 2027'!$B$7:$B$506,MATCH(ROW()-5,'Formulación PDN 2027'!$AK$7:$AK$506,0))&amp;"","")</f>
        <v/>
      </c>
      <c r="V296" s="15" t="str">
        <f>IFERROR(LEFT(INDEX('Formulación PDN 2027'!$E$7:$E$506,MATCH(ROW()-5,'Formulación PDN 2027'!$AK$7:$AK$506,0)),7),"")</f>
        <v/>
      </c>
      <c r="W296" s="15" t="str">
        <f>IFERROR(INDEX('Formulación PDN 2027'!$H$7:$H$506,MATCH(ROW()-5,'Formulación PDN 2027'!$AK$7:$AK$506,0))&amp;"","")</f>
        <v/>
      </c>
      <c r="X296" s="15" t="str">
        <f>IFERROR(INDEX('Formulación PDN 2027'!$U$7:$U$506,MATCH(ROW()-5,'Formulación PDN 2027'!$AK$7:$AK$506,0))&amp;"","")</f>
        <v/>
      </c>
      <c r="Y296" s="15" t="str">
        <f>IFERROR(INDEX('Formulación PDN 2027'!$AH$7:$AH$506,MATCH(ROW()-5,'Formulación PDN 2027'!$AK$7:$AK$506,0))&amp;"","")</f>
        <v/>
      </c>
    </row>
    <row r="297" spans="1:25" x14ac:dyDescent="0.3">
      <c r="A297" s="15" t="str">
        <f>IFERROR(INDEX('Formulación PDN 2027'!$A$7:$A$506,MATCH(ROW()-5,'Formulación PDN 2027'!$AK$7:$AK$506,0))&amp;"","")</f>
        <v/>
      </c>
      <c r="B297" s="20" t="str">
        <f>IFERROR(INDEX('Formulación PDN 2027'!$M$7:$M$506,MATCH(ROW()-5,'Formulación PDN 2027'!$AK$7:$AK$506,0)),"")</f>
        <v/>
      </c>
      <c r="C297" s="15" t="str">
        <f>IFERROR(INDEX('Formulación PDN 2027'!$N$7:$N$506,MATCH(ROW()-5,'Formulación PDN 2027'!$AK$7:$AK$506,0))&amp;"","")</f>
        <v/>
      </c>
      <c r="D297" s="15" t="str">
        <f>IFERROR(INDEX('Formulación PDN 2027'!$L$7:$L$506,MATCH(ROW()-5,'Formulación PDN 2027'!$AK$7:$AK$506,0))&amp;"","")</f>
        <v/>
      </c>
      <c r="E297" s="15" t="str">
        <f>IFERROR(MATCH(INDEX('Formulación PDN 2027'!$O$7:$O$506,MATCH(ROW()-5,'Formulación PDN 2027'!$AK$7:$AK$506,0)),L_MESES,0),"")</f>
        <v/>
      </c>
      <c r="F297" s="15" t="str">
        <f>IFERROR(MATCH(INDEX('Formulación PDN 2027'!$P$7:$P$506,MATCH(ROW()-5,'Formulación PDN 2027'!$AK$7:$AK$506,0)),L_MESES,0),"")</f>
        <v/>
      </c>
      <c r="G297" s="15" t="str">
        <f>IFERROR(INDEX('Formulación PDN 2027'!$Q$7:$Q$506,MATCH(ROW()-5,'Formulación PDN 2027'!$AK$7:$AK$506,0)),"")</f>
        <v/>
      </c>
      <c r="H297" s="15" t="str">
        <f>IFERROR(INDEX('Formulación PDN 2027'!$R$7:$R$506,MATCH(ROW()-5,'Formulación PDN 2027'!$AK$7:$AK$506,0))&amp;"","")</f>
        <v/>
      </c>
      <c r="I297" s="15" t="str">
        <f>IFERROR(INDEX('Formulación PDN 2027'!$S$7:$S$506,MATCH(ROW()-5,'Formulación PDN 2027'!$AK$7:$AK$506,0))&amp;"","")</f>
        <v/>
      </c>
      <c r="J297" s="15" t="str">
        <f>IFERROR(INDEX('Formulación PDN 2027'!$T$7:$T$506,MATCH(ROW()-5,'Formulación PDN 2027'!$AK$7:$AK$506,0))&amp;"","")</f>
        <v/>
      </c>
      <c r="K297" s="43" t="str">
        <f>IFERROR(INDEX('Formulación PDN 2027'!$W$7:$W$506,MATCH(ROW()-5,'Formulación PDN 2027'!$AK$7:$AK$506,0)),"")</f>
        <v/>
      </c>
      <c r="L297" s="43" t="str">
        <f>IFERROR(INDEX('Formulación PDN 2027'!$X$7:$X$506,MATCH(ROW()-5,'Formulación PDN 2027'!$AK$7:$AK$506,0)),"")</f>
        <v/>
      </c>
      <c r="M297" s="15" t="str">
        <f>IFERROR(INDEX('Formulación PDN 2027'!$Y$7:$Y$506,MATCH(ROW()-5,'Formulación PDN 2027'!$AK$7:$AK$506,0))&amp;"","")</f>
        <v/>
      </c>
      <c r="N297" s="15" t="str">
        <f>IFERROR(INDEX('Formulación PDN 2027'!$Z$7:$Z$506,MATCH(ROW()-5,'Formulación PDN 2027'!$AK$7:$AK$506,0))&amp;"","")</f>
        <v/>
      </c>
      <c r="O297" s="15"/>
      <c r="P297" s="15" t="str">
        <f>IFERROR(INDEX('Formulación PDN 2027'!$AA$7:$AA$506,MATCH(ROW()-5,'Formulación PDN 2027'!$AK$7:$AK$506,0))&amp;"","")</f>
        <v/>
      </c>
      <c r="Q297" s="15" t="str">
        <f>IFERROR(INDEX('Formulación PDN 2027'!$AB$7:$AB$506,MATCH(ROW()-5,'Formulación PDN 2027'!$AK$7:$AK$506,0))&amp;"","")</f>
        <v/>
      </c>
      <c r="R297" s="15" t="str">
        <f>IFERROR(INDEX('Formulación PDN 2027'!$AD$7:$AD$506,MATCH(ROW()-5,'Formulación PDN 2027'!$AK$7:$AK$506,0))&amp;"","")</f>
        <v/>
      </c>
      <c r="S297" s="15" t="str">
        <f>IFERROR(INDEX('Formulación PDN 2027'!$AE$7:$AE$506,MATCH(ROW()-5,'Formulación PDN 2027'!$AK$7:$AK$506,0))&amp;"","")</f>
        <v/>
      </c>
      <c r="T297" s="15" t="str">
        <f>IFERROR(INDEX('Formulación PDN 2027'!$C$7:$C$506,MATCH(ROW()-5,'Formulación PDN 2027'!$AK$7:$AK$506,0))&amp;"","")</f>
        <v/>
      </c>
      <c r="U297" s="15" t="str">
        <f>IFERROR(INDEX('Formulación PDN 2027'!$B$7:$B$506,MATCH(ROW()-5,'Formulación PDN 2027'!$AK$7:$AK$506,0))&amp;"","")</f>
        <v/>
      </c>
      <c r="V297" s="15" t="str">
        <f>IFERROR(LEFT(INDEX('Formulación PDN 2027'!$E$7:$E$506,MATCH(ROW()-5,'Formulación PDN 2027'!$AK$7:$AK$506,0)),7),"")</f>
        <v/>
      </c>
      <c r="W297" s="15" t="str">
        <f>IFERROR(INDEX('Formulación PDN 2027'!$H$7:$H$506,MATCH(ROW()-5,'Formulación PDN 2027'!$AK$7:$AK$506,0))&amp;"","")</f>
        <v/>
      </c>
      <c r="X297" s="15" t="str">
        <f>IFERROR(INDEX('Formulación PDN 2027'!$U$7:$U$506,MATCH(ROW()-5,'Formulación PDN 2027'!$AK$7:$AK$506,0))&amp;"","")</f>
        <v/>
      </c>
      <c r="Y297" s="15" t="str">
        <f>IFERROR(INDEX('Formulación PDN 2027'!$AH$7:$AH$506,MATCH(ROW()-5,'Formulación PDN 2027'!$AK$7:$AK$506,0))&amp;"","")</f>
        <v/>
      </c>
    </row>
    <row r="298" spans="1:25" x14ac:dyDescent="0.3">
      <c r="A298" s="15" t="str">
        <f>IFERROR(INDEX('Formulación PDN 2027'!$A$7:$A$506,MATCH(ROW()-5,'Formulación PDN 2027'!$AK$7:$AK$506,0))&amp;"","")</f>
        <v/>
      </c>
      <c r="B298" s="20" t="str">
        <f>IFERROR(INDEX('Formulación PDN 2027'!$M$7:$M$506,MATCH(ROW()-5,'Formulación PDN 2027'!$AK$7:$AK$506,0)),"")</f>
        <v/>
      </c>
      <c r="C298" s="15" t="str">
        <f>IFERROR(INDEX('Formulación PDN 2027'!$N$7:$N$506,MATCH(ROW()-5,'Formulación PDN 2027'!$AK$7:$AK$506,0))&amp;"","")</f>
        <v/>
      </c>
      <c r="D298" s="15" t="str">
        <f>IFERROR(INDEX('Formulación PDN 2027'!$L$7:$L$506,MATCH(ROW()-5,'Formulación PDN 2027'!$AK$7:$AK$506,0))&amp;"","")</f>
        <v/>
      </c>
      <c r="E298" s="15" t="str">
        <f>IFERROR(MATCH(INDEX('Formulación PDN 2027'!$O$7:$O$506,MATCH(ROW()-5,'Formulación PDN 2027'!$AK$7:$AK$506,0)),L_MESES,0),"")</f>
        <v/>
      </c>
      <c r="F298" s="15" t="str">
        <f>IFERROR(MATCH(INDEX('Formulación PDN 2027'!$P$7:$P$506,MATCH(ROW()-5,'Formulación PDN 2027'!$AK$7:$AK$506,0)),L_MESES,0),"")</f>
        <v/>
      </c>
      <c r="G298" s="15" t="str">
        <f>IFERROR(INDEX('Formulación PDN 2027'!$Q$7:$Q$506,MATCH(ROW()-5,'Formulación PDN 2027'!$AK$7:$AK$506,0)),"")</f>
        <v/>
      </c>
      <c r="H298" s="15" t="str">
        <f>IFERROR(INDEX('Formulación PDN 2027'!$R$7:$R$506,MATCH(ROW()-5,'Formulación PDN 2027'!$AK$7:$AK$506,0))&amp;"","")</f>
        <v/>
      </c>
      <c r="I298" s="15" t="str">
        <f>IFERROR(INDEX('Formulación PDN 2027'!$S$7:$S$506,MATCH(ROW()-5,'Formulación PDN 2027'!$AK$7:$AK$506,0))&amp;"","")</f>
        <v/>
      </c>
      <c r="J298" s="15" t="str">
        <f>IFERROR(INDEX('Formulación PDN 2027'!$T$7:$T$506,MATCH(ROW()-5,'Formulación PDN 2027'!$AK$7:$AK$506,0))&amp;"","")</f>
        <v/>
      </c>
      <c r="K298" s="43" t="str">
        <f>IFERROR(INDEX('Formulación PDN 2027'!$W$7:$W$506,MATCH(ROW()-5,'Formulación PDN 2027'!$AK$7:$AK$506,0)),"")</f>
        <v/>
      </c>
      <c r="L298" s="43" t="str">
        <f>IFERROR(INDEX('Formulación PDN 2027'!$X$7:$X$506,MATCH(ROW()-5,'Formulación PDN 2027'!$AK$7:$AK$506,0)),"")</f>
        <v/>
      </c>
      <c r="M298" s="15" t="str">
        <f>IFERROR(INDEX('Formulación PDN 2027'!$Y$7:$Y$506,MATCH(ROW()-5,'Formulación PDN 2027'!$AK$7:$AK$506,0))&amp;"","")</f>
        <v/>
      </c>
      <c r="N298" s="15" t="str">
        <f>IFERROR(INDEX('Formulación PDN 2027'!$Z$7:$Z$506,MATCH(ROW()-5,'Formulación PDN 2027'!$AK$7:$AK$506,0))&amp;"","")</f>
        <v/>
      </c>
      <c r="O298" s="15"/>
      <c r="P298" s="15" t="str">
        <f>IFERROR(INDEX('Formulación PDN 2027'!$AA$7:$AA$506,MATCH(ROW()-5,'Formulación PDN 2027'!$AK$7:$AK$506,0))&amp;"","")</f>
        <v/>
      </c>
      <c r="Q298" s="15" t="str">
        <f>IFERROR(INDEX('Formulación PDN 2027'!$AB$7:$AB$506,MATCH(ROW()-5,'Formulación PDN 2027'!$AK$7:$AK$506,0))&amp;"","")</f>
        <v/>
      </c>
      <c r="R298" s="15" t="str">
        <f>IFERROR(INDEX('Formulación PDN 2027'!$AD$7:$AD$506,MATCH(ROW()-5,'Formulación PDN 2027'!$AK$7:$AK$506,0))&amp;"","")</f>
        <v/>
      </c>
      <c r="S298" s="15" t="str">
        <f>IFERROR(INDEX('Formulación PDN 2027'!$AE$7:$AE$506,MATCH(ROW()-5,'Formulación PDN 2027'!$AK$7:$AK$506,0))&amp;"","")</f>
        <v/>
      </c>
      <c r="T298" s="15" t="str">
        <f>IFERROR(INDEX('Formulación PDN 2027'!$C$7:$C$506,MATCH(ROW()-5,'Formulación PDN 2027'!$AK$7:$AK$506,0))&amp;"","")</f>
        <v/>
      </c>
      <c r="U298" s="15" t="str">
        <f>IFERROR(INDEX('Formulación PDN 2027'!$B$7:$B$506,MATCH(ROW()-5,'Formulación PDN 2027'!$AK$7:$AK$506,0))&amp;"","")</f>
        <v/>
      </c>
      <c r="V298" s="15" t="str">
        <f>IFERROR(LEFT(INDEX('Formulación PDN 2027'!$E$7:$E$506,MATCH(ROW()-5,'Formulación PDN 2027'!$AK$7:$AK$506,0)),7),"")</f>
        <v/>
      </c>
      <c r="W298" s="15" t="str">
        <f>IFERROR(INDEX('Formulación PDN 2027'!$H$7:$H$506,MATCH(ROW()-5,'Formulación PDN 2027'!$AK$7:$AK$506,0))&amp;"","")</f>
        <v/>
      </c>
      <c r="X298" s="15" t="str">
        <f>IFERROR(INDEX('Formulación PDN 2027'!$U$7:$U$506,MATCH(ROW()-5,'Formulación PDN 2027'!$AK$7:$AK$506,0))&amp;"","")</f>
        <v/>
      </c>
      <c r="Y298" s="15" t="str">
        <f>IFERROR(INDEX('Formulación PDN 2027'!$AH$7:$AH$506,MATCH(ROW()-5,'Formulación PDN 2027'!$AK$7:$AK$506,0))&amp;"","")</f>
        <v/>
      </c>
    </row>
    <row r="299" spans="1:25" x14ac:dyDescent="0.3">
      <c r="A299" s="15" t="str">
        <f>IFERROR(INDEX('Formulación PDN 2027'!$A$7:$A$506,MATCH(ROW()-5,'Formulación PDN 2027'!$AK$7:$AK$506,0))&amp;"","")</f>
        <v/>
      </c>
      <c r="B299" s="20" t="str">
        <f>IFERROR(INDEX('Formulación PDN 2027'!$M$7:$M$506,MATCH(ROW()-5,'Formulación PDN 2027'!$AK$7:$AK$506,0)),"")</f>
        <v/>
      </c>
      <c r="C299" s="15" t="str">
        <f>IFERROR(INDEX('Formulación PDN 2027'!$N$7:$N$506,MATCH(ROW()-5,'Formulación PDN 2027'!$AK$7:$AK$506,0))&amp;"","")</f>
        <v/>
      </c>
      <c r="D299" s="15" t="str">
        <f>IFERROR(INDEX('Formulación PDN 2027'!$L$7:$L$506,MATCH(ROW()-5,'Formulación PDN 2027'!$AK$7:$AK$506,0))&amp;"","")</f>
        <v/>
      </c>
      <c r="E299" s="15" t="str">
        <f>IFERROR(MATCH(INDEX('Formulación PDN 2027'!$O$7:$O$506,MATCH(ROW()-5,'Formulación PDN 2027'!$AK$7:$AK$506,0)),L_MESES,0),"")</f>
        <v/>
      </c>
      <c r="F299" s="15" t="str">
        <f>IFERROR(MATCH(INDEX('Formulación PDN 2027'!$P$7:$P$506,MATCH(ROW()-5,'Formulación PDN 2027'!$AK$7:$AK$506,0)),L_MESES,0),"")</f>
        <v/>
      </c>
      <c r="G299" s="15" t="str">
        <f>IFERROR(INDEX('Formulación PDN 2027'!$Q$7:$Q$506,MATCH(ROW()-5,'Formulación PDN 2027'!$AK$7:$AK$506,0)),"")</f>
        <v/>
      </c>
      <c r="H299" s="15" t="str">
        <f>IFERROR(INDEX('Formulación PDN 2027'!$R$7:$R$506,MATCH(ROW()-5,'Formulación PDN 2027'!$AK$7:$AK$506,0))&amp;"","")</f>
        <v/>
      </c>
      <c r="I299" s="15" t="str">
        <f>IFERROR(INDEX('Formulación PDN 2027'!$S$7:$S$506,MATCH(ROW()-5,'Formulación PDN 2027'!$AK$7:$AK$506,0))&amp;"","")</f>
        <v/>
      </c>
      <c r="J299" s="15" t="str">
        <f>IFERROR(INDEX('Formulación PDN 2027'!$T$7:$T$506,MATCH(ROW()-5,'Formulación PDN 2027'!$AK$7:$AK$506,0))&amp;"","")</f>
        <v/>
      </c>
      <c r="K299" s="43" t="str">
        <f>IFERROR(INDEX('Formulación PDN 2027'!$W$7:$W$506,MATCH(ROW()-5,'Formulación PDN 2027'!$AK$7:$AK$506,0)),"")</f>
        <v/>
      </c>
      <c r="L299" s="43" t="str">
        <f>IFERROR(INDEX('Formulación PDN 2027'!$X$7:$X$506,MATCH(ROW()-5,'Formulación PDN 2027'!$AK$7:$AK$506,0)),"")</f>
        <v/>
      </c>
      <c r="M299" s="15" t="str">
        <f>IFERROR(INDEX('Formulación PDN 2027'!$Y$7:$Y$506,MATCH(ROW()-5,'Formulación PDN 2027'!$AK$7:$AK$506,0))&amp;"","")</f>
        <v/>
      </c>
      <c r="N299" s="15" t="str">
        <f>IFERROR(INDEX('Formulación PDN 2027'!$Z$7:$Z$506,MATCH(ROW()-5,'Formulación PDN 2027'!$AK$7:$AK$506,0))&amp;"","")</f>
        <v/>
      </c>
      <c r="O299" s="15"/>
      <c r="P299" s="15" t="str">
        <f>IFERROR(INDEX('Formulación PDN 2027'!$AA$7:$AA$506,MATCH(ROW()-5,'Formulación PDN 2027'!$AK$7:$AK$506,0))&amp;"","")</f>
        <v/>
      </c>
      <c r="Q299" s="15" t="str">
        <f>IFERROR(INDEX('Formulación PDN 2027'!$AB$7:$AB$506,MATCH(ROW()-5,'Formulación PDN 2027'!$AK$7:$AK$506,0))&amp;"","")</f>
        <v/>
      </c>
      <c r="R299" s="15" t="str">
        <f>IFERROR(INDEX('Formulación PDN 2027'!$AD$7:$AD$506,MATCH(ROW()-5,'Formulación PDN 2027'!$AK$7:$AK$506,0))&amp;"","")</f>
        <v/>
      </c>
      <c r="S299" s="15" t="str">
        <f>IFERROR(INDEX('Formulación PDN 2027'!$AE$7:$AE$506,MATCH(ROW()-5,'Formulación PDN 2027'!$AK$7:$AK$506,0))&amp;"","")</f>
        <v/>
      </c>
      <c r="T299" s="15" t="str">
        <f>IFERROR(INDEX('Formulación PDN 2027'!$C$7:$C$506,MATCH(ROW()-5,'Formulación PDN 2027'!$AK$7:$AK$506,0))&amp;"","")</f>
        <v/>
      </c>
      <c r="U299" s="15" t="str">
        <f>IFERROR(INDEX('Formulación PDN 2027'!$B$7:$B$506,MATCH(ROW()-5,'Formulación PDN 2027'!$AK$7:$AK$506,0))&amp;"","")</f>
        <v/>
      </c>
      <c r="V299" s="15" t="str">
        <f>IFERROR(LEFT(INDEX('Formulación PDN 2027'!$E$7:$E$506,MATCH(ROW()-5,'Formulación PDN 2027'!$AK$7:$AK$506,0)),7),"")</f>
        <v/>
      </c>
      <c r="W299" s="15" t="str">
        <f>IFERROR(INDEX('Formulación PDN 2027'!$H$7:$H$506,MATCH(ROW()-5,'Formulación PDN 2027'!$AK$7:$AK$506,0))&amp;"","")</f>
        <v/>
      </c>
      <c r="X299" s="15" t="str">
        <f>IFERROR(INDEX('Formulación PDN 2027'!$U$7:$U$506,MATCH(ROW()-5,'Formulación PDN 2027'!$AK$7:$AK$506,0))&amp;"","")</f>
        <v/>
      </c>
      <c r="Y299" s="15" t="str">
        <f>IFERROR(INDEX('Formulación PDN 2027'!$AH$7:$AH$506,MATCH(ROW()-5,'Formulación PDN 2027'!$AK$7:$AK$506,0))&amp;"","")</f>
        <v/>
      </c>
    </row>
    <row r="300" spans="1:25" x14ac:dyDescent="0.3">
      <c r="A300" s="15" t="str">
        <f>IFERROR(INDEX('Formulación PDN 2027'!$A$7:$A$506,MATCH(ROW()-5,'Formulación PDN 2027'!$AK$7:$AK$506,0))&amp;"","")</f>
        <v/>
      </c>
      <c r="B300" s="20" t="str">
        <f>IFERROR(INDEX('Formulación PDN 2027'!$M$7:$M$506,MATCH(ROW()-5,'Formulación PDN 2027'!$AK$7:$AK$506,0)),"")</f>
        <v/>
      </c>
      <c r="C300" s="15" t="str">
        <f>IFERROR(INDEX('Formulación PDN 2027'!$N$7:$N$506,MATCH(ROW()-5,'Formulación PDN 2027'!$AK$7:$AK$506,0))&amp;"","")</f>
        <v/>
      </c>
      <c r="D300" s="15" t="str">
        <f>IFERROR(INDEX('Formulación PDN 2027'!$L$7:$L$506,MATCH(ROW()-5,'Formulación PDN 2027'!$AK$7:$AK$506,0))&amp;"","")</f>
        <v/>
      </c>
      <c r="E300" s="15" t="str">
        <f>IFERROR(MATCH(INDEX('Formulación PDN 2027'!$O$7:$O$506,MATCH(ROW()-5,'Formulación PDN 2027'!$AK$7:$AK$506,0)),L_MESES,0),"")</f>
        <v/>
      </c>
      <c r="F300" s="15" t="str">
        <f>IFERROR(MATCH(INDEX('Formulación PDN 2027'!$P$7:$P$506,MATCH(ROW()-5,'Formulación PDN 2027'!$AK$7:$AK$506,0)),L_MESES,0),"")</f>
        <v/>
      </c>
      <c r="G300" s="15" t="str">
        <f>IFERROR(INDEX('Formulación PDN 2027'!$Q$7:$Q$506,MATCH(ROW()-5,'Formulación PDN 2027'!$AK$7:$AK$506,0)),"")</f>
        <v/>
      </c>
      <c r="H300" s="15" t="str">
        <f>IFERROR(INDEX('Formulación PDN 2027'!$R$7:$R$506,MATCH(ROW()-5,'Formulación PDN 2027'!$AK$7:$AK$506,0))&amp;"","")</f>
        <v/>
      </c>
      <c r="I300" s="15" t="str">
        <f>IFERROR(INDEX('Formulación PDN 2027'!$S$7:$S$506,MATCH(ROW()-5,'Formulación PDN 2027'!$AK$7:$AK$506,0))&amp;"","")</f>
        <v/>
      </c>
      <c r="J300" s="15" t="str">
        <f>IFERROR(INDEX('Formulación PDN 2027'!$T$7:$T$506,MATCH(ROW()-5,'Formulación PDN 2027'!$AK$7:$AK$506,0))&amp;"","")</f>
        <v/>
      </c>
      <c r="K300" s="43" t="str">
        <f>IFERROR(INDEX('Formulación PDN 2027'!$W$7:$W$506,MATCH(ROW()-5,'Formulación PDN 2027'!$AK$7:$AK$506,0)),"")</f>
        <v/>
      </c>
      <c r="L300" s="43" t="str">
        <f>IFERROR(INDEX('Formulación PDN 2027'!$X$7:$X$506,MATCH(ROW()-5,'Formulación PDN 2027'!$AK$7:$AK$506,0)),"")</f>
        <v/>
      </c>
      <c r="M300" s="15" t="str">
        <f>IFERROR(INDEX('Formulación PDN 2027'!$Y$7:$Y$506,MATCH(ROW()-5,'Formulación PDN 2027'!$AK$7:$AK$506,0))&amp;"","")</f>
        <v/>
      </c>
      <c r="N300" s="15" t="str">
        <f>IFERROR(INDEX('Formulación PDN 2027'!$Z$7:$Z$506,MATCH(ROW()-5,'Formulación PDN 2027'!$AK$7:$AK$506,0))&amp;"","")</f>
        <v/>
      </c>
      <c r="O300" s="15"/>
      <c r="P300" s="15" t="str">
        <f>IFERROR(INDEX('Formulación PDN 2027'!$AA$7:$AA$506,MATCH(ROW()-5,'Formulación PDN 2027'!$AK$7:$AK$506,0))&amp;"","")</f>
        <v/>
      </c>
      <c r="Q300" s="15" t="str">
        <f>IFERROR(INDEX('Formulación PDN 2027'!$AB$7:$AB$506,MATCH(ROW()-5,'Formulación PDN 2027'!$AK$7:$AK$506,0))&amp;"","")</f>
        <v/>
      </c>
      <c r="R300" s="15" t="str">
        <f>IFERROR(INDEX('Formulación PDN 2027'!$AD$7:$AD$506,MATCH(ROW()-5,'Formulación PDN 2027'!$AK$7:$AK$506,0))&amp;"","")</f>
        <v/>
      </c>
      <c r="S300" s="15" t="str">
        <f>IFERROR(INDEX('Formulación PDN 2027'!$AE$7:$AE$506,MATCH(ROW()-5,'Formulación PDN 2027'!$AK$7:$AK$506,0))&amp;"","")</f>
        <v/>
      </c>
      <c r="T300" s="15" t="str">
        <f>IFERROR(INDEX('Formulación PDN 2027'!$C$7:$C$506,MATCH(ROW()-5,'Formulación PDN 2027'!$AK$7:$AK$506,0))&amp;"","")</f>
        <v/>
      </c>
      <c r="U300" s="15" t="str">
        <f>IFERROR(INDEX('Formulación PDN 2027'!$B$7:$B$506,MATCH(ROW()-5,'Formulación PDN 2027'!$AK$7:$AK$506,0))&amp;"","")</f>
        <v/>
      </c>
      <c r="V300" s="15" t="str">
        <f>IFERROR(LEFT(INDEX('Formulación PDN 2027'!$E$7:$E$506,MATCH(ROW()-5,'Formulación PDN 2027'!$AK$7:$AK$506,0)),7),"")</f>
        <v/>
      </c>
      <c r="W300" s="15" t="str">
        <f>IFERROR(INDEX('Formulación PDN 2027'!$H$7:$H$506,MATCH(ROW()-5,'Formulación PDN 2027'!$AK$7:$AK$506,0))&amp;"","")</f>
        <v/>
      </c>
      <c r="X300" s="15" t="str">
        <f>IFERROR(INDEX('Formulación PDN 2027'!$U$7:$U$506,MATCH(ROW()-5,'Formulación PDN 2027'!$AK$7:$AK$506,0))&amp;"","")</f>
        <v/>
      </c>
      <c r="Y300" s="15" t="str">
        <f>IFERROR(INDEX('Formulación PDN 2027'!$AH$7:$AH$506,MATCH(ROW()-5,'Formulación PDN 2027'!$AK$7:$AK$506,0))&amp;"","")</f>
        <v/>
      </c>
    </row>
    <row r="301" spans="1:25" x14ac:dyDescent="0.3">
      <c r="A301" s="15" t="str">
        <f>IFERROR(INDEX('Formulación PDN 2027'!$A$7:$A$506,MATCH(ROW()-5,'Formulación PDN 2027'!$AK$7:$AK$506,0))&amp;"","")</f>
        <v/>
      </c>
      <c r="B301" s="20" t="str">
        <f>IFERROR(INDEX('Formulación PDN 2027'!$M$7:$M$506,MATCH(ROW()-5,'Formulación PDN 2027'!$AK$7:$AK$506,0)),"")</f>
        <v/>
      </c>
      <c r="C301" s="15" t="str">
        <f>IFERROR(INDEX('Formulación PDN 2027'!$N$7:$N$506,MATCH(ROW()-5,'Formulación PDN 2027'!$AK$7:$AK$506,0))&amp;"","")</f>
        <v/>
      </c>
      <c r="D301" s="15" t="str">
        <f>IFERROR(INDEX('Formulación PDN 2027'!$L$7:$L$506,MATCH(ROW()-5,'Formulación PDN 2027'!$AK$7:$AK$506,0))&amp;"","")</f>
        <v/>
      </c>
      <c r="E301" s="15" t="str">
        <f>IFERROR(MATCH(INDEX('Formulación PDN 2027'!$O$7:$O$506,MATCH(ROW()-5,'Formulación PDN 2027'!$AK$7:$AK$506,0)),L_MESES,0),"")</f>
        <v/>
      </c>
      <c r="F301" s="15" t="str">
        <f>IFERROR(MATCH(INDEX('Formulación PDN 2027'!$P$7:$P$506,MATCH(ROW()-5,'Formulación PDN 2027'!$AK$7:$AK$506,0)),L_MESES,0),"")</f>
        <v/>
      </c>
      <c r="G301" s="15" t="str">
        <f>IFERROR(INDEX('Formulación PDN 2027'!$Q$7:$Q$506,MATCH(ROW()-5,'Formulación PDN 2027'!$AK$7:$AK$506,0)),"")</f>
        <v/>
      </c>
      <c r="H301" s="15" t="str">
        <f>IFERROR(INDEX('Formulación PDN 2027'!$R$7:$R$506,MATCH(ROW()-5,'Formulación PDN 2027'!$AK$7:$AK$506,0))&amp;"","")</f>
        <v/>
      </c>
      <c r="I301" s="15" t="str">
        <f>IFERROR(INDEX('Formulación PDN 2027'!$S$7:$S$506,MATCH(ROW()-5,'Formulación PDN 2027'!$AK$7:$AK$506,0))&amp;"","")</f>
        <v/>
      </c>
      <c r="J301" s="15" t="str">
        <f>IFERROR(INDEX('Formulación PDN 2027'!$T$7:$T$506,MATCH(ROW()-5,'Formulación PDN 2027'!$AK$7:$AK$506,0))&amp;"","")</f>
        <v/>
      </c>
      <c r="K301" s="43" t="str">
        <f>IFERROR(INDEX('Formulación PDN 2027'!$W$7:$W$506,MATCH(ROW()-5,'Formulación PDN 2027'!$AK$7:$AK$506,0)),"")</f>
        <v/>
      </c>
      <c r="L301" s="43" t="str">
        <f>IFERROR(INDEX('Formulación PDN 2027'!$X$7:$X$506,MATCH(ROW()-5,'Formulación PDN 2027'!$AK$7:$AK$506,0)),"")</f>
        <v/>
      </c>
      <c r="M301" s="15" t="str">
        <f>IFERROR(INDEX('Formulación PDN 2027'!$Y$7:$Y$506,MATCH(ROW()-5,'Formulación PDN 2027'!$AK$7:$AK$506,0))&amp;"","")</f>
        <v/>
      </c>
      <c r="N301" s="15" t="str">
        <f>IFERROR(INDEX('Formulación PDN 2027'!$Z$7:$Z$506,MATCH(ROW()-5,'Formulación PDN 2027'!$AK$7:$AK$506,0))&amp;"","")</f>
        <v/>
      </c>
      <c r="O301" s="15"/>
      <c r="P301" s="15" t="str">
        <f>IFERROR(INDEX('Formulación PDN 2027'!$AA$7:$AA$506,MATCH(ROW()-5,'Formulación PDN 2027'!$AK$7:$AK$506,0))&amp;"","")</f>
        <v/>
      </c>
      <c r="Q301" s="15" t="str">
        <f>IFERROR(INDEX('Formulación PDN 2027'!$AB$7:$AB$506,MATCH(ROW()-5,'Formulación PDN 2027'!$AK$7:$AK$506,0))&amp;"","")</f>
        <v/>
      </c>
      <c r="R301" s="15" t="str">
        <f>IFERROR(INDEX('Formulación PDN 2027'!$AD$7:$AD$506,MATCH(ROW()-5,'Formulación PDN 2027'!$AK$7:$AK$506,0))&amp;"","")</f>
        <v/>
      </c>
      <c r="S301" s="15" t="str">
        <f>IFERROR(INDEX('Formulación PDN 2027'!$AE$7:$AE$506,MATCH(ROW()-5,'Formulación PDN 2027'!$AK$7:$AK$506,0))&amp;"","")</f>
        <v/>
      </c>
      <c r="T301" s="15" t="str">
        <f>IFERROR(INDEX('Formulación PDN 2027'!$C$7:$C$506,MATCH(ROW()-5,'Formulación PDN 2027'!$AK$7:$AK$506,0))&amp;"","")</f>
        <v/>
      </c>
      <c r="U301" s="15" t="str">
        <f>IFERROR(INDEX('Formulación PDN 2027'!$B$7:$B$506,MATCH(ROW()-5,'Formulación PDN 2027'!$AK$7:$AK$506,0))&amp;"","")</f>
        <v/>
      </c>
      <c r="V301" s="15" t="str">
        <f>IFERROR(LEFT(INDEX('Formulación PDN 2027'!$E$7:$E$506,MATCH(ROW()-5,'Formulación PDN 2027'!$AK$7:$AK$506,0)),7),"")</f>
        <v/>
      </c>
      <c r="W301" s="15" t="str">
        <f>IFERROR(INDEX('Formulación PDN 2027'!$H$7:$H$506,MATCH(ROW()-5,'Formulación PDN 2027'!$AK$7:$AK$506,0))&amp;"","")</f>
        <v/>
      </c>
      <c r="X301" s="15" t="str">
        <f>IFERROR(INDEX('Formulación PDN 2027'!$U$7:$U$506,MATCH(ROW()-5,'Formulación PDN 2027'!$AK$7:$AK$506,0))&amp;"","")</f>
        <v/>
      </c>
      <c r="Y301" s="15" t="str">
        <f>IFERROR(INDEX('Formulación PDN 2027'!$AH$7:$AH$506,MATCH(ROW()-5,'Formulación PDN 2027'!$AK$7:$AK$506,0))&amp;"","")</f>
        <v/>
      </c>
    </row>
    <row r="302" spans="1:25" x14ac:dyDescent="0.3">
      <c r="A302" s="15" t="str">
        <f>IFERROR(INDEX('Formulación PDN 2027'!$A$7:$A$506,MATCH(ROW()-5,'Formulación PDN 2027'!$AK$7:$AK$506,0))&amp;"","")</f>
        <v/>
      </c>
      <c r="B302" s="20" t="str">
        <f>IFERROR(INDEX('Formulación PDN 2027'!$M$7:$M$506,MATCH(ROW()-5,'Formulación PDN 2027'!$AK$7:$AK$506,0)),"")</f>
        <v/>
      </c>
      <c r="C302" s="15" t="str">
        <f>IFERROR(INDEX('Formulación PDN 2027'!$N$7:$N$506,MATCH(ROW()-5,'Formulación PDN 2027'!$AK$7:$AK$506,0))&amp;"","")</f>
        <v/>
      </c>
      <c r="D302" s="15" t="str">
        <f>IFERROR(INDEX('Formulación PDN 2027'!$L$7:$L$506,MATCH(ROW()-5,'Formulación PDN 2027'!$AK$7:$AK$506,0))&amp;"","")</f>
        <v/>
      </c>
      <c r="E302" s="15" t="str">
        <f>IFERROR(MATCH(INDEX('Formulación PDN 2027'!$O$7:$O$506,MATCH(ROW()-5,'Formulación PDN 2027'!$AK$7:$AK$506,0)),L_MESES,0),"")</f>
        <v/>
      </c>
      <c r="F302" s="15" t="str">
        <f>IFERROR(MATCH(INDEX('Formulación PDN 2027'!$P$7:$P$506,MATCH(ROW()-5,'Formulación PDN 2027'!$AK$7:$AK$506,0)),L_MESES,0),"")</f>
        <v/>
      </c>
      <c r="G302" s="15" t="str">
        <f>IFERROR(INDEX('Formulación PDN 2027'!$Q$7:$Q$506,MATCH(ROW()-5,'Formulación PDN 2027'!$AK$7:$AK$506,0)),"")</f>
        <v/>
      </c>
      <c r="H302" s="15" t="str">
        <f>IFERROR(INDEX('Formulación PDN 2027'!$R$7:$R$506,MATCH(ROW()-5,'Formulación PDN 2027'!$AK$7:$AK$506,0))&amp;"","")</f>
        <v/>
      </c>
      <c r="I302" s="15" t="str">
        <f>IFERROR(INDEX('Formulación PDN 2027'!$S$7:$S$506,MATCH(ROW()-5,'Formulación PDN 2027'!$AK$7:$AK$506,0))&amp;"","")</f>
        <v/>
      </c>
      <c r="J302" s="15" t="str">
        <f>IFERROR(INDEX('Formulación PDN 2027'!$T$7:$T$506,MATCH(ROW()-5,'Formulación PDN 2027'!$AK$7:$AK$506,0))&amp;"","")</f>
        <v/>
      </c>
      <c r="K302" s="43" t="str">
        <f>IFERROR(INDEX('Formulación PDN 2027'!$W$7:$W$506,MATCH(ROW()-5,'Formulación PDN 2027'!$AK$7:$AK$506,0)),"")</f>
        <v/>
      </c>
      <c r="L302" s="43" t="str">
        <f>IFERROR(INDEX('Formulación PDN 2027'!$X$7:$X$506,MATCH(ROW()-5,'Formulación PDN 2027'!$AK$7:$AK$506,0)),"")</f>
        <v/>
      </c>
      <c r="M302" s="15" t="str">
        <f>IFERROR(INDEX('Formulación PDN 2027'!$Y$7:$Y$506,MATCH(ROW()-5,'Formulación PDN 2027'!$AK$7:$AK$506,0))&amp;"","")</f>
        <v/>
      </c>
      <c r="N302" s="15" t="str">
        <f>IFERROR(INDEX('Formulación PDN 2027'!$Z$7:$Z$506,MATCH(ROW()-5,'Formulación PDN 2027'!$AK$7:$AK$506,0))&amp;"","")</f>
        <v/>
      </c>
      <c r="O302" s="15"/>
      <c r="P302" s="15" t="str">
        <f>IFERROR(INDEX('Formulación PDN 2027'!$AA$7:$AA$506,MATCH(ROW()-5,'Formulación PDN 2027'!$AK$7:$AK$506,0))&amp;"","")</f>
        <v/>
      </c>
      <c r="Q302" s="15" t="str">
        <f>IFERROR(INDEX('Formulación PDN 2027'!$AB$7:$AB$506,MATCH(ROW()-5,'Formulación PDN 2027'!$AK$7:$AK$506,0))&amp;"","")</f>
        <v/>
      </c>
      <c r="R302" s="15" t="str">
        <f>IFERROR(INDEX('Formulación PDN 2027'!$AD$7:$AD$506,MATCH(ROW()-5,'Formulación PDN 2027'!$AK$7:$AK$506,0))&amp;"","")</f>
        <v/>
      </c>
      <c r="S302" s="15" t="str">
        <f>IFERROR(INDEX('Formulación PDN 2027'!$AE$7:$AE$506,MATCH(ROW()-5,'Formulación PDN 2027'!$AK$7:$AK$506,0))&amp;"","")</f>
        <v/>
      </c>
      <c r="T302" s="15" t="str">
        <f>IFERROR(INDEX('Formulación PDN 2027'!$C$7:$C$506,MATCH(ROW()-5,'Formulación PDN 2027'!$AK$7:$AK$506,0))&amp;"","")</f>
        <v/>
      </c>
      <c r="U302" s="15" t="str">
        <f>IFERROR(INDEX('Formulación PDN 2027'!$B$7:$B$506,MATCH(ROW()-5,'Formulación PDN 2027'!$AK$7:$AK$506,0))&amp;"","")</f>
        <v/>
      </c>
      <c r="V302" s="15" t="str">
        <f>IFERROR(LEFT(INDEX('Formulación PDN 2027'!$E$7:$E$506,MATCH(ROW()-5,'Formulación PDN 2027'!$AK$7:$AK$506,0)),7),"")</f>
        <v/>
      </c>
      <c r="W302" s="15" t="str">
        <f>IFERROR(INDEX('Formulación PDN 2027'!$H$7:$H$506,MATCH(ROW()-5,'Formulación PDN 2027'!$AK$7:$AK$506,0))&amp;"","")</f>
        <v/>
      </c>
      <c r="X302" s="15" t="str">
        <f>IFERROR(INDEX('Formulación PDN 2027'!$U$7:$U$506,MATCH(ROW()-5,'Formulación PDN 2027'!$AK$7:$AK$506,0))&amp;"","")</f>
        <v/>
      </c>
      <c r="Y302" s="15" t="str">
        <f>IFERROR(INDEX('Formulación PDN 2027'!$AH$7:$AH$506,MATCH(ROW()-5,'Formulación PDN 2027'!$AK$7:$AK$506,0))&amp;"","")</f>
        <v/>
      </c>
    </row>
    <row r="303" spans="1:25" x14ac:dyDescent="0.3">
      <c r="A303" s="15" t="str">
        <f>IFERROR(INDEX('Formulación PDN 2027'!$A$7:$A$506,MATCH(ROW()-5,'Formulación PDN 2027'!$AK$7:$AK$506,0))&amp;"","")</f>
        <v/>
      </c>
      <c r="B303" s="20" t="str">
        <f>IFERROR(INDEX('Formulación PDN 2027'!$M$7:$M$506,MATCH(ROW()-5,'Formulación PDN 2027'!$AK$7:$AK$506,0)),"")</f>
        <v/>
      </c>
      <c r="C303" s="15" t="str">
        <f>IFERROR(INDEX('Formulación PDN 2027'!$N$7:$N$506,MATCH(ROW()-5,'Formulación PDN 2027'!$AK$7:$AK$506,0))&amp;"","")</f>
        <v/>
      </c>
      <c r="D303" s="15" t="str">
        <f>IFERROR(INDEX('Formulación PDN 2027'!$L$7:$L$506,MATCH(ROW()-5,'Formulación PDN 2027'!$AK$7:$AK$506,0))&amp;"","")</f>
        <v/>
      </c>
      <c r="E303" s="15" t="str">
        <f>IFERROR(MATCH(INDEX('Formulación PDN 2027'!$O$7:$O$506,MATCH(ROW()-5,'Formulación PDN 2027'!$AK$7:$AK$506,0)),L_MESES,0),"")</f>
        <v/>
      </c>
      <c r="F303" s="15" t="str">
        <f>IFERROR(MATCH(INDEX('Formulación PDN 2027'!$P$7:$P$506,MATCH(ROW()-5,'Formulación PDN 2027'!$AK$7:$AK$506,0)),L_MESES,0),"")</f>
        <v/>
      </c>
      <c r="G303" s="15" t="str">
        <f>IFERROR(INDEX('Formulación PDN 2027'!$Q$7:$Q$506,MATCH(ROW()-5,'Formulación PDN 2027'!$AK$7:$AK$506,0)),"")</f>
        <v/>
      </c>
      <c r="H303" s="15" t="str">
        <f>IFERROR(INDEX('Formulación PDN 2027'!$R$7:$R$506,MATCH(ROW()-5,'Formulación PDN 2027'!$AK$7:$AK$506,0))&amp;"","")</f>
        <v/>
      </c>
      <c r="I303" s="15" t="str">
        <f>IFERROR(INDEX('Formulación PDN 2027'!$S$7:$S$506,MATCH(ROW()-5,'Formulación PDN 2027'!$AK$7:$AK$506,0))&amp;"","")</f>
        <v/>
      </c>
      <c r="J303" s="15" t="str">
        <f>IFERROR(INDEX('Formulación PDN 2027'!$T$7:$T$506,MATCH(ROW()-5,'Formulación PDN 2027'!$AK$7:$AK$506,0))&amp;"","")</f>
        <v/>
      </c>
      <c r="K303" s="43" t="str">
        <f>IFERROR(INDEX('Formulación PDN 2027'!$W$7:$W$506,MATCH(ROW()-5,'Formulación PDN 2027'!$AK$7:$AK$506,0)),"")</f>
        <v/>
      </c>
      <c r="L303" s="43" t="str">
        <f>IFERROR(INDEX('Formulación PDN 2027'!$X$7:$X$506,MATCH(ROW()-5,'Formulación PDN 2027'!$AK$7:$AK$506,0)),"")</f>
        <v/>
      </c>
      <c r="M303" s="15" t="str">
        <f>IFERROR(INDEX('Formulación PDN 2027'!$Y$7:$Y$506,MATCH(ROW()-5,'Formulación PDN 2027'!$AK$7:$AK$506,0))&amp;"","")</f>
        <v/>
      </c>
      <c r="N303" s="15" t="str">
        <f>IFERROR(INDEX('Formulación PDN 2027'!$Z$7:$Z$506,MATCH(ROW()-5,'Formulación PDN 2027'!$AK$7:$AK$506,0))&amp;"","")</f>
        <v/>
      </c>
      <c r="O303" s="15"/>
      <c r="P303" s="15" t="str">
        <f>IFERROR(INDEX('Formulación PDN 2027'!$AA$7:$AA$506,MATCH(ROW()-5,'Formulación PDN 2027'!$AK$7:$AK$506,0))&amp;"","")</f>
        <v/>
      </c>
      <c r="Q303" s="15" t="str">
        <f>IFERROR(INDEX('Formulación PDN 2027'!$AB$7:$AB$506,MATCH(ROW()-5,'Formulación PDN 2027'!$AK$7:$AK$506,0))&amp;"","")</f>
        <v/>
      </c>
      <c r="R303" s="15" t="str">
        <f>IFERROR(INDEX('Formulación PDN 2027'!$AD$7:$AD$506,MATCH(ROW()-5,'Formulación PDN 2027'!$AK$7:$AK$506,0))&amp;"","")</f>
        <v/>
      </c>
      <c r="S303" s="15" t="str">
        <f>IFERROR(INDEX('Formulación PDN 2027'!$AE$7:$AE$506,MATCH(ROW()-5,'Formulación PDN 2027'!$AK$7:$AK$506,0))&amp;"","")</f>
        <v/>
      </c>
      <c r="T303" s="15" t="str">
        <f>IFERROR(INDEX('Formulación PDN 2027'!$C$7:$C$506,MATCH(ROW()-5,'Formulación PDN 2027'!$AK$7:$AK$506,0))&amp;"","")</f>
        <v/>
      </c>
      <c r="U303" s="15" t="str">
        <f>IFERROR(INDEX('Formulación PDN 2027'!$B$7:$B$506,MATCH(ROW()-5,'Formulación PDN 2027'!$AK$7:$AK$506,0))&amp;"","")</f>
        <v/>
      </c>
      <c r="V303" s="15" t="str">
        <f>IFERROR(LEFT(INDEX('Formulación PDN 2027'!$E$7:$E$506,MATCH(ROW()-5,'Formulación PDN 2027'!$AK$7:$AK$506,0)),7),"")</f>
        <v/>
      </c>
      <c r="W303" s="15" t="str">
        <f>IFERROR(INDEX('Formulación PDN 2027'!$H$7:$H$506,MATCH(ROW()-5,'Formulación PDN 2027'!$AK$7:$AK$506,0))&amp;"","")</f>
        <v/>
      </c>
      <c r="X303" s="15" t="str">
        <f>IFERROR(INDEX('Formulación PDN 2027'!$U$7:$U$506,MATCH(ROW()-5,'Formulación PDN 2027'!$AK$7:$AK$506,0))&amp;"","")</f>
        <v/>
      </c>
      <c r="Y303" s="15" t="str">
        <f>IFERROR(INDEX('Formulación PDN 2027'!$AH$7:$AH$506,MATCH(ROW()-5,'Formulación PDN 2027'!$AK$7:$AK$506,0))&amp;"","")</f>
        <v/>
      </c>
    </row>
    <row r="304" spans="1:25" x14ac:dyDescent="0.3">
      <c r="A304" s="15" t="str">
        <f>IFERROR(INDEX('Formulación PDN 2027'!$A$7:$A$506,MATCH(ROW()-5,'Formulación PDN 2027'!$AK$7:$AK$506,0))&amp;"","")</f>
        <v/>
      </c>
      <c r="B304" s="20" t="str">
        <f>IFERROR(INDEX('Formulación PDN 2027'!$M$7:$M$506,MATCH(ROW()-5,'Formulación PDN 2027'!$AK$7:$AK$506,0)),"")</f>
        <v/>
      </c>
      <c r="C304" s="15" t="str">
        <f>IFERROR(INDEX('Formulación PDN 2027'!$N$7:$N$506,MATCH(ROW()-5,'Formulación PDN 2027'!$AK$7:$AK$506,0))&amp;"","")</f>
        <v/>
      </c>
      <c r="D304" s="15" t="str">
        <f>IFERROR(INDEX('Formulación PDN 2027'!$L$7:$L$506,MATCH(ROW()-5,'Formulación PDN 2027'!$AK$7:$AK$506,0))&amp;"","")</f>
        <v/>
      </c>
      <c r="E304" s="15" t="str">
        <f>IFERROR(MATCH(INDEX('Formulación PDN 2027'!$O$7:$O$506,MATCH(ROW()-5,'Formulación PDN 2027'!$AK$7:$AK$506,0)),L_MESES,0),"")</f>
        <v/>
      </c>
      <c r="F304" s="15" t="str">
        <f>IFERROR(MATCH(INDEX('Formulación PDN 2027'!$P$7:$P$506,MATCH(ROW()-5,'Formulación PDN 2027'!$AK$7:$AK$506,0)),L_MESES,0),"")</f>
        <v/>
      </c>
      <c r="G304" s="15" t="str">
        <f>IFERROR(INDEX('Formulación PDN 2027'!$Q$7:$Q$506,MATCH(ROW()-5,'Formulación PDN 2027'!$AK$7:$AK$506,0)),"")</f>
        <v/>
      </c>
      <c r="H304" s="15" t="str">
        <f>IFERROR(INDEX('Formulación PDN 2027'!$R$7:$R$506,MATCH(ROW()-5,'Formulación PDN 2027'!$AK$7:$AK$506,0))&amp;"","")</f>
        <v/>
      </c>
      <c r="I304" s="15" t="str">
        <f>IFERROR(INDEX('Formulación PDN 2027'!$S$7:$S$506,MATCH(ROW()-5,'Formulación PDN 2027'!$AK$7:$AK$506,0))&amp;"","")</f>
        <v/>
      </c>
      <c r="J304" s="15" t="str">
        <f>IFERROR(INDEX('Formulación PDN 2027'!$T$7:$T$506,MATCH(ROW()-5,'Formulación PDN 2027'!$AK$7:$AK$506,0))&amp;"","")</f>
        <v/>
      </c>
      <c r="K304" s="43" t="str">
        <f>IFERROR(INDEX('Formulación PDN 2027'!$W$7:$W$506,MATCH(ROW()-5,'Formulación PDN 2027'!$AK$7:$AK$506,0)),"")</f>
        <v/>
      </c>
      <c r="L304" s="43" t="str">
        <f>IFERROR(INDEX('Formulación PDN 2027'!$X$7:$X$506,MATCH(ROW()-5,'Formulación PDN 2027'!$AK$7:$AK$506,0)),"")</f>
        <v/>
      </c>
      <c r="M304" s="15" t="str">
        <f>IFERROR(INDEX('Formulación PDN 2027'!$Y$7:$Y$506,MATCH(ROW()-5,'Formulación PDN 2027'!$AK$7:$AK$506,0))&amp;"","")</f>
        <v/>
      </c>
      <c r="N304" s="15" t="str">
        <f>IFERROR(INDEX('Formulación PDN 2027'!$Z$7:$Z$506,MATCH(ROW()-5,'Formulación PDN 2027'!$AK$7:$AK$506,0))&amp;"","")</f>
        <v/>
      </c>
      <c r="O304" s="15"/>
      <c r="P304" s="15" t="str">
        <f>IFERROR(INDEX('Formulación PDN 2027'!$AA$7:$AA$506,MATCH(ROW()-5,'Formulación PDN 2027'!$AK$7:$AK$506,0))&amp;"","")</f>
        <v/>
      </c>
      <c r="Q304" s="15" t="str">
        <f>IFERROR(INDEX('Formulación PDN 2027'!$AB$7:$AB$506,MATCH(ROW()-5,'Formulación PDN 2027'!$AK$7:$AK$506,0))&amp;"","")</f>
        <v/>
      </c>
      <c r="R304" s="15" t="str">
        <f>IFERROR(INDEX('Formulación PDN 2027'!$AD$7:$AD$506,MATCH(ROW()-5,'Formulación PDN 2027'!$AK$7:$AK$506,0))&amp;"","")</f>
        <v/>
      </c>
      <c r="S304" s="15" t="str">
        <f>IFERROR(INDEX('Formulación PDN 2027'!$AE$7:$AE$506,MATCH(ROW()-5,'Formulación PDN 2027'!$AK$7:$AK$506,0))&amp;"","")</f>
        <v/>
      </c>
      <c r="T304" s="15" t="str">
        <f>IFERROR(INDEX('Formulación PDN 2027'!$C$7:$C$506,MATCH(ROW()-5,'Formulación PDN 2027'!$AK$7:$AK$506,0))&amp;"","")</f>
        <v/>
      </c>
      <c r="U304" s="15" t="str">
        <f>IFERROR(INDEX('Formulación PDN 2027'!$B$7:$B$506,MATCH(ROW()-5,'Formulación PDN 2027'!$AK$7:$AK$506,0))&amp;"","")</f>
        <v/>
      </c>
      <c r="V304" s="15" t="str">
        <f>IFERROR(LEFT(INDEX('Formulación PDN 2027'!$E$7:$E$506,MATCH(ROW()-5,'Formulación PDN 2027'!$AK$7:$AK$506,0)),7),"")</f>
        <v/>
      </c>
      <c r="W304" s="15" t="str">
        <f>IFERROR(INDEX('Formulación PDN 2027'!$H$7:$H$506,MATCH(ROW()-5,'Formulación PDN 2027'!$AK$7:$AK$506,0))&amp;"","")</f>
        <v/>
      </c>
      <c r="X304" s="15" t="str">
        <f>IFERROR(INDEX('Formulación PDN 2027'!$U$7:$U$506,MATCH(ROW()-5,'Formulación PDN 2027'!$AK$7:$AK$506,0))&amp;"","")</f>
        <v/>
      </c>
      <c r="Y304" s="15" t="str">
        <f>IFERROR(INDEX('Formulación PDN 2027'!$AH$7:$AH$506,MATCH(ROW()-5,'Formulación PDN 2027'!$AK$7:$AK$506,0))&amp;"","")</f>
        <v/>
      </c>
    </row>
    <row r="305" spans="1:25" x14ac:dyDescent="0.3">
      <c r="A305" s="15" t="str">
        <f>IFERROR(INDEX('Formulación PDN 2027'!$A$7:$A$506,MATCH(ROW()-5,'Formulación PDN 2027'!$AK$7:$AK$506,0))&amp;"","")</f>
        <v/>
      </c>
      <c r="B305" s="20" t="str">
        <f>IFERROR(INDEX('Formulación PDN 2027'!$M$7:$M$506,MATCH(ROW()-5,'Formulación PDN 2027'!$AK$7:$AK$506,0)),"")</f>
        <v/>
      </c>
      <c r="C305" s="15" t="str">
        <f>IFERROR(INDEX('Formulación PDN 2027'!$N$7:$N$506,MATCH(ROW()-5,'Formulación PDN 2027'!$AK$7:$AK$506,0))&amp;"","")</f>
        <v/>
      </c>
      <c r="D305" s="15" t="str">
        <f>IFERROR(INDEX('Formulación PDN 2027'!$L$7:$L$506,MATCH(ROW()-5,'Formulación PDN 2027'!$AK$7:$AK$506,0))&amp;"","")</f>
        <v/>
      </c>
      <c r="E305" s="15" t="str">
        <f>IFERROR(MATCH(INDEX('Formulación PDN 2027'!$O$7:$O$506,MATCH(ROW()-5,'Formulación PDN 2027'!$AK$7:$AK$506,0)),L_MESES,0),"")</f>
        <v/>
      </c>
      <c r="F305" s="15" t="str">
        <f>IFERROR(MATCH(INDEX('Formulación PDN 2027'!$P$7:$P$506,MATCH(ROW()-5,'Formulación PDN 2027'!$AK$7:$AK$506,0)),L_MESES,0),"")</f>
        <v/>
      </c>
      <c r="G305" s="15" t="str">
        <f>IFERROR(INDEX('Formulación PDN 2027'!$Q$7:$Q$506,MATCH(ROW()-5,'Formulación PDN 2027'!$AK$7:$AK$506,0)),"")</f>
        <v/>
      </c>
      <c r="H305" s="15" t="str">
        <f>IFERROR(INDEX('Formulación PDN 2027'!$R$7:$R$506,MATCH(ROW()-5,'Formulación PDN 2027'!$AK$7:$AK$506,0))&amp;"","")</f>
        <v/>
      </c>
      <c r="I305" s="15" t="str">
        <f>IFERROR(INDEX('Formulación PDN 2027'!$S$7:$S$506,MATCH(ROW()-5,'Formulación PDN 2027'!$AK$7:$AK$506,0))&amp;"","")</f>
        <v/>
      </c>
      <c r="J305" s="15" t="str">
        <f>IFERROR(INDEX('Formulación PDN 2027'!$T$7:$T$506,MATCH(ROW()-5,'Formulación PDN 2027'!$AK$7:$AK$506,0))&amp;"","")</f>
        <v/>
      </c>
      <c r="K305" s="43" t="str">
        <f>IFERROR(INDEX('Formulación PDN 2027'!$W$7:$W$506,MATCH(ROW()-5,'Formulación PDN 2027'!$AK$7:$AK$506,0)),"")</f>
        <v/>
      </c>
      <c r="L305" s="43" t="str">
        <f>IFERROR(INDEX('Formulación PDN 2027'!$X$7:$X$506,MATCH(ROW()-5,'Formulación PDN 2027'!$AK$7:$AK$506,0)),"")</f>
        <v/>
      </c>
      <c r="M305" s="15" t="str">
        <f>IFERROR(INDEX('Formulación PDN 2027'!$Y$7:$Y$506,MATCH(ROW()-5,'Formulación PDN 2027'!$AK$7:$AK$506,0))&amp;"","")</f>
        <v/>
      </c>
      <c r="N305" s="15" t="str">
        <f>IFERROR(INDEX('Formulación PDN 2027'!$Z$7:$Z$506,MATCH(ROW()-5,'Formulación PDN 2027'!$AK$7:$AK$506,0))&amp;"","")</f>
        <v/>
      </c>
      <c r="O305" s="15"/>
      <c r="P305" s="15" t="str">
        <f>IFERROR(INDEX('Formulación PDN 2027'!$AA$7:$AA$506,MATCH(ROW()-5,'Formulación PDN 2027'!$AK$7:$AK$506,0))&amp;"","")</f>
        <v/>
      </c>
      <c r="Q305" s="15" t="str">
        <f>IFERROR(INDEX('Formulación PDN 2027'!$AB$7:$AB$506,MATCH(ROW()-5,'Formulación PDN 2027'!$AK$7:$AK$506,0))&amp;"","")</f>
        <v/>
      </c>
      <c r="R305" s="15" t="str">
        <f>IFERROR(INDEX('Formulación PDN 2027'!$AD$7:$AD$506,MATCH(ROW()-5,'Formulación PDN 2027'!$AK$7:$AK$506,0))&amp;"","")</f>
        <v/>
      </c>
      <c r="S305" s="15" t="str">
        <f>IFERROR(INDEX('Formulación PDN 2027'!$AE$7:$AE$506,MATCH(ROW()-5,'Formulación PDN 2027'!$AK$7:$AK$506,0))&amp;"","")</f>
        <v/>
      </c>
      <c r="T305" s="15" t="str">
        <f>IFERROR(INDEX('Formulación PDN 2027'!$C$7:$C$506,MATCH(ROW()-5,'Formulación PDN 2027'!$AK$7:$AK$506,0))&amp;"","")</f>
        <v/>
      </c>
      <c r="U305" s="15" t="str">
        <f>IFERROR(INDEX('Formulación PDN 2027'!$B$7:$B$506,MATCH(ROW()-5,'Formulación PDN 2027'!$AK$7:$AK$506,0))&amp;"","")</f>
        <v/>
      </c>
      <c r="V305" s="15" t="str">
        <f>IFERROR(LEFT(INDEX('Formulación PDN 2027'!$E$7:$E$506,MATCH(ROW()-5,'Formulación PDN 2027'!$AK$7:$AK$506,0)),7),"")</f>
        <v/>
      </c>
      <c r="W305" s="15" t="str">
        <f>IFERROR(INDEX('Formulación PDN 2027'!$H$7:$H$506,MATCH(ROW()-5,'Formulación PDN 2027'!$AK$7:$AK$506,0))&amp;"","")</f>
        <v/>
      </c>
      <c r="X305" s="15" t="str">
        <f>IFERROR(INDEX('Formulación PDN 2027'!$U$7:$U$506,MATCH(ROW()-5,'Formulación PDN 2027'!$AK$7:$AK$506,0))&amp;"","")</f>
        <v/>
      </c>
      <c r="Y305" s="15" t="str">
        <f>IFERROR(INDEX('Formulación PDN 2027'!$AH$7:$AH$506,MATCH(ROW()-5,'Formulación PDN 2027'!$AK$7:$AK$506,0))&amp;"","")</f>
        <v/>
      </c>
    </row>
    <row r="306" spans="1:25" x14ac:dyDescent="0.3">
      <c r="A306" s="15" t="str">
        <f>IFERROR(INDEX('Formulación PDN 2027'!$A$7:$A$506,MATCH(ROW()-5,'Formulación PDN 2027'!$AK$7:$AK$506,0))&amp;"","")</f>
        <v/>
      </c>
      <c r="B306" s="20" t="str">
        <f>IFERROR(INDEX('Formulación PDN 2027'!$M$7:$M$506,MATCH(ROW()-5,'Formulación PDN 2027'!$AK$7:$AK$506,0)),"")</f>
        <v/>
      </c>
      <c r="C306" s="15" t="str">
        <f>IFERROR(INDEX('Formulación PDN 2027'!$N$7:$N$506,MATCH(ROW()-5,'Formulación PDN 2027'!$AK$7:$AK$506,0))&amp;"","")</f>
        <v/>
      </c>
      <c r="D306" s="15" t="str">
        <f>IFERROR(INDEX('Formulación PDN 2027'!$L$7:$L$506,MATCH(ROW()-5,'Formulación PDN 2027'!$AK$7:$AK$506,0))&amp;"","")</f>
        <v/>
      </c>
      <c r="E306" s="15" t="str">
        <f>IFERROR(MATCH(INDEX('Formulación PDN 2027'!$O$7:$O$506,MATCH(ROW()-5,'Formulación PDN 2027'!$AK$7:$AK$506,0)),L_MESES,0),"")</f>
        <v/>
      </c>
      <c r="F306" s="15" t="str">
        <f>IFERROR(MATCH(INDEX('Formulación PDN 2027'!$P$7:$P$506,MATCH(ROW()-5,'Formulación PDN 2027'!$AK$7:$AK$506,0)),L_MESES,0),"")</f>
        <v/>
      </c>
      <c r="G306" s="15" t="str">
        <f>IFERROR(INDEX('Formulación PDN 2027'!$Q$7:$Q$506,MATCH(ROW()-5,'Formulación PDN 2027'!$AK$7:$AK$506,0)),"")</f>
        <v/>
      </c>
      <c r="H306" s="15" t="str">
        <f>IFERROR(INDEX('Formulación PDN 2027'!$R$7:$R$506,MATCH(ROW()-5,'Formulación PDN 2027'!$AK$7:$AK$506,0))&amp;"","")</f>
        <v/>
      </c>
      <c r="I306" s="15" t="str">
        <f>IFERROR(INDEX('Formulación PDN 2027'!$S$7:$S$506,MATCH(ROW()-5,'Formulación PDN 2027'!$AK$7:$AK$506,0))&amp;"","")</f>
        <v/>
      </c>
      <c r="J306" s="15" t="str">
        <f>IFERROR(INDEX('Formulación PDN 2027'!$T$7:$T$506,MATCH(ROW()-5,'Formulación PDN 2027'!$AK$7:$AK$506,0))&amp;"","")</f>
        <v/>
      </c>
      <c r="K306" s="43" t="str">
        <f>IFERROR(INDEX('Formulación PDN 2027'!$W$7:$W$506,MATCH(ROW()-5,'Formulación PDN 2027'!$AK$7:$AK$506,0)),"")</f>
        <v/>
      </c>
      <c r="L306" s="43" t="str">
        <f>IFERROR(INDEX('Formulación PDN 2027'!$X$7:$X$506,MATCH(ROW()-5,'Formulación PDN 2027'!$AK$7:$AK$506,0)),"")</f>
        <v/>
      </c>
      <c r="M306" s="15" t="str">
        <f>IFERROR(INDEX('Formulación PDN 2027'!$Y$7:$Y$506,MATCH(ROW()-5,'Formulación PDN 2027'!$AK$7:$AK$506,0))&amp;"","")</f>
        <v/>
      </c>
      <c r="N306" s="15" t="str">
        <f>IFERROR(INDEX('Formulación PDN 2027'!$Z$7:$Z$506,MATCH(ROW()-5,'Formulación PDN 2027'!$AK$7:$AK$506,0))&amp;"","")</f>
        <v/>
      </c>
      <c r="O306" s="15"/>
      <c r="P306" s="15" t="str">
        <f>IFERROR(INDEX('Formulación PDN 2027'!$AA$7:$AA$506,MATCH(ROW()-5,'Formulación PDN 2027'!$AK$7:$AK$506,0))&amp;"","")</f>
        <v/>
      </c>
      <c r="Q306" s="15" t="str">
        <f>IFERROR(INDEX('Formulación PDN 2027'!$AB$7:$AB$506,MATCH(ROW()-5,'Formulación PDN 2027'!$AK$7:$AK$506,0))&amp;"","")</f>
        <v/>
      </c>
      <c r="R306" s="15" t="str">
        <f>IFERROR(INDEX('Formulación PDN 2027'!$AD$7:$AD$506,MATCH(ROW()-5,'Formulación PDN 2027'!$AK$7:$AK$506,0))&amp;"","")</f>
        <v/>
      </c>
      <c r="S306" s="15" t="str">
        <f>IFERROR(INDEX('Formulación PDN 2027'!$AE$7:$AE$506,MATCH(ROW()-5,'Formulación PDN 2027'!$AK$7:$AK$506,0))&amp;"","")</f>
        <v/>
      </c>
      <c r="T306" s="15" t="str">
        <f>IFERROR(INDEX('Formulación PDN 2027'!$C$7:$C$506,MATCH(ROW()-5,'Formulación PDN 2027'!$AK$7:$AK$506,0))&amp;"","")</f>
        <v/>
      </c>
      <c r="U306" s="15" t="str">
        <f>IFERROR(INDEX('Formulación PDN 2027'!$B$7:$B$506,MATCH(ROW()-5,'Formulación PDN 2027'!$AK$7:$AK$506,0))&amp;"","")</f>
        <v/>
      </c>
      <c r="V306" s="15" t="str">
        <f>IFERROR(LEFT(INDEX('Formulación PDN 2027'!$E$7:$E$506,MATCH(ROW()-5,'Formulación PDN 2027'!$AK$7:$AK$506,0)),7),"")</f>
        <v/>
      </c>
      <c r="W306" s="15" t="str">
        <f>IFERROR(INDEX('Formulación PDN 2027'!$H$7:$H$506,MATCH(ROW()-5,'Formulación PDN 2027'!$AK$7:$AK$506,0))&amp;"","")</f>
        <v/>
      </c>
      <c r="X306" s="15" t="str">
        <f>IFERROR(INDEX('Formulación PDN 2027'!$U$7:$U$506,MATCH(ROW()-5,'Formulación PDN 2027'!$AK$7:$AK$506,0))&amp;"","")</f>
        <v/>
      </c>
      <c r="Y306" s="15" t="str">
        <f>IFERROR(INDEX('Formulación PDN 2027'!$AH$7:$AH$506,MATCH(ROW()-5,'Formulación PDN 2027'!$AK$7:$AK$506,0))&amp;"","")</f>
        <v/>
      </c>
    </row>
    <row r="307" spans="1:25" x14ac:dyDescent="0.3">
      <c r="A307" s="15" t="str">
        <f>IFERROR(INDEX('Formulación PDN 2027'!$A$7:$A$506,MATCH(ROW()-5,'Formulación PDN 2027'!$AK$7:$AK$506,0))&amp;"","")</f>
        <v/>
      </c>
      <c r="B307" s="20" t="str">
        <f>IFERROR(INDEX('Formulación PDN 2027'!$M$7:$M$506,MATCH(ROW()-5,'Formulación PDN 2027'!$AK$7:$AK$506,0)),"")</f>
        <v/>
      </c>
      <c r="C307" s="15" t="str">
        <f>IFERROR(INDEX('Formulación PDN 2027'!$N$7:$N$506,MATCH(ROW()-5,'Formulación PDN 2027'!$AK$7:$AK$506,0))&amp;"","")</f>
        <v/>
      </c>
      <c r="D307" s="15" t="str">
        <f>IFERROR(INDEX('Formulación PDN 2027'!$L$7:$L$506,MATCH(ROW()-5,'Formulación PDN 2027'!$AK$7:$AK$506,0))&amp;"","")</f>
        <v/>
      </c>
      <c r="E307" s="15" t="str">
        <f>IFERROR(MATCH(INDEX('Formulación PDN 2027'!$O$7:$O$506,MATCH(ROW()-5,'Formulación PDN 2027'!$AK$7:$AK$506,0)),L_MESES,0),"")</f>
        <v/>
      </c>
      <c r="F307" s="15" t="str">
        <f>IFERROR(MATCH(INDEX('Formulación PDN 2027'!$P$7:$P$506,MATCH(ROW()-5,'Formulación PDN 2027'!$AK$7:$AK$506,0)),L_MESES,0),"")</f>
        <v/>
      </c>
      <c r="G307" s="15" t="str">
        <f>IFERROR(INDEX('Formulación PDN 2027'!$Q$7:$Q$506,MATCH(ROW()-5,'Formulación PDN 2027'!$AK$7:$AK$506,0)),"")</f>
        <v/>
      </c>
      <c r="H307" s="15" t="str">
        <f>IFERROR(INDEX('Formulación PDN 2027'!$R$7:$R$506,MATCH(ROW()-5,'Formulación PDN 2027'!$AK$7:$AK$506,0))&amp;"","")</f>
        <v/>
      </c>
      <c r="I307" s="15" t="str">
        <f>IFERROR(INDEX('Formulación PDN 2027'!$S$7:$S$506,MATCH(ROW()-5,'Formulación PDN 2027'!$AK$7:$AK$506,0))&amp;"","")</f>
        <v/>
      </c>
      <c r="J307" s="15" t="str">
        <f>IFERROR(INDEX('Formulación PDN 2027'!$T$7:$T$506,MATCH(ROW()-5,'Formulación PDN 2027'!$AK$7:$AK$506,0))&amp;"","")</f>
        <v/>
      </c>
      <c r="K307" s="43" t="str">
        <f>IFERROR(INDEX('Formulación PDN 2027'!$W$7:$W$506,MATCH(ROW()-5,'Formulación PDN 2027'!$AK$7:$AK$506,0)),"")</f>
        <v/>
      </c>
      <c r="L307" s="43" t="str">
        <f>IFERROR(INDEX('Formulación PDN 2027'!$X$7:$X$506,MATCH(ROW()-5,'Formulación PDN 2027'!$AK$7:$AK$506,0)),"")</f>
        <v/>
      </c>
      <c r="M307" s="15" t="str">
        <f>IFERROR(INDEX('Formulación PDN 2027'!$Y$7:$Y$506,MATCH(ROW()-5,'Formulación PDN 2027'!$AK$7:$AK$506,0))&amp;"","")</f>
        <v/>
      </c>
      <c r="N307" s="15" t="str">
        <f>IFERROR(INDEX('Formulación PDN 2027'!$Z$7:$Z$506,MATCH(ROW()-5,'Formulación PDN 2027'!$AK$7:$AK$506,0))&amp;"","")</f>
        <v/>
      </c>
      <c r="O307" s="15"/>
      <c r="P307" s="15" t="str">
        <f>IFERROR(INDEX('Formulación PDN 2027'!$AA$7:$AA$506,MATCH(ROW()-5,'Formulación PDN 2027'!$AK$7:$AK$506,0))&amp;"","")</f>
        <v/>
      </c>
      <c r="Q307" s="15" t="str">
        <f>IFERROR(INDEX('Formulación PDN 2027'!$AB$7:$AB$506,MATCH(ROW()-5,'Formulación PDN 2027'!$AK$7:$AK$506,0))&amp;"","")</f>
        <v/>
      </c>
      <c r="R307" s="15" t="str">
        <f>IFERROR(INDEX('Formulación PDN 2027'!$AD$7:$AD$506,MATCH(ROW()-5,'Formulación PDN 2027'!$AK$7:$AK$506,0))&amp;"","")</f>
        <v/>
      </c>
      <c r="S307" s="15" t="str">
        <f>IFERROR(INDEX('Formulación PDN 2027'!$AE$7:$AE$506,MATCH(ROW()-5,'Formulación PDN 2027'!$AK$7:$AK$506,0))&amp;"","")</f>
        <v/>
      </c>
      <c r="T307" s="15" t="str">
        <f>IFERROR(INDEX('Formulación PDN 2027'!$C$7:$C$506,MATCH(ROW()-5,'Formulación PDN 2027'!$AK$7:$AK$506,0))&amp;"","")</f>
        <v/>
      </c>
      <c r="U307" s="15" t="str">
        <f>IFERROR(INDEX('Formulación PDN 2027'!$B$7:$B$506,MATCH(ROW()-5,'Formulación PDN 2027'!$AK$7:$AK$506,0))&amp;"","")</f>
        <v/>
      </c>
      <c r="V307" s="15" t="str">
        <f>IFERROR(LEFT(INDEX('Formulación PDN 2027'!$E$7:$E$506,MATCH(ROW()-5,'Formulación PDN 2027'!$AK$7:$AK$506,0)),7),"")</f>
        <v/>
      </c>
      <c r="W307" s="15" t="str">
        <f>IFERROR(INDEX('Formulación PDN 2027'!$H$7:$H$506,MATCH(ROW()-5,'Formulación PDN 2027'!$AK$7:$AK$506,0))&amp;"","")</f>
        <v/>
      </c>
      <c r="X307" s="15" t="str">
        <f>IFERROR(INDEX('Formulación PDN 2027'!$U$7:$U$506,MATCH(ROW()-5,'Formulación PDN 2027'!$AK$7:$AK$506,0))&amp;"","")</f>
        <v/>
      </c>
      <c r="Y307" s="15" t="str">
        <f>IFERROR(INDEX('Formulación PDN 2027'!$AH$7:$AH$506,MATCH(ROW()-5,'Formulación PDN 2027'!$AK$7:$AK$506,0))&amp;"","")</f>
        <v/>
      </c>
    </row>
    <row r="308" spans="1:25" x14ac:dyDescent="0.3">
      <c r="A308" s="15" t="str">
        <f>IFERROR(INDEX('Formulación PDN 2027'!$A$7:$A$506,MATCH(ROW()-5,'Formulación PDN 2027'!$AK$7:$AK$506,0))&amp;"","")</f>
        <v/>
      </c>
      <c r="B308" s="20" t="str">
        <f>IFERROR(INDEX('Formulación PDN 2027'!$M$7:$M$506,MATCH(ROW()-5,'Formulación PDN 2027'!$AK$7:$AK$506,0)),"")</f>
        <v/>
      </c>
      <c r="C308" s="15" t="str">
        <f>IFERROR(INDEX('Formulación PDN 2027'!$N$7:$N$506,MATCH(ROW()-5,'Formulación PDN 2027'!$AK$7:$AK$506,0))&amp;"","")</f>
        <v/>
      </c>
      <c r="D308" s="15" t="str">
        <f>IFERROR(INDEX('Formulación PDN 2027'!$L$7:$L$506,MATCH(ROW()-5,'Formulación PDN 2027'!$AK$7:$AK$506,0))&amp;"","")</f>
        <v/>
      </c>
      <c r="E308" s="15" t="str">
        <f>IFERROR(MATCH(INDEX('Formulación PDN 2027'!$O$7:$O$506,MATCH(ROW()-5,'Formulación PDN 2027'!$AK$7:$AK$506,0)),L_MESES,0),"")</f>
        <v/>
      </c>
      <c r="F308" s="15" t="str">
        <f>IFERROR(MATCH(INDEX('Formulación PDN 2027'!$P$7:$P$506,MATCH(ROW()-5,'Formulación PDN 2027'!$AK$7:$AK$506,0)),L_MESES,0),"")</f>
        <v/>
      </c>
      <c r="G308" s="15" t="str">
        <f>IFERROR(INDEX('Formulación PDN 2027'!$Q$7:$Q$506,MATCH(ROW()-5,'Formulación PDN 2027'!$AK$7:$AK$506,0)),"")</f>
        <v/>
      </c>
      <c r="H308" s="15" t="str">
        <f>IFERROR(INDEX('Formulación PDN 2027'!$R$7:$R$506,MATCH(ROW()-5,'Formulación PDN 2027'!$AK$7:$AK$506,0))&amp;"","")</f>
        <v/>
      </c>
      <c r="I308" s="15" t="str">
        <f>IFERROR(INDEX('Formulación PDN 2027'!$S$7:$S$506,MATCH(ROW()-5,'Formulación PDN 2027'!$AK$7:$AK$506,0))&amp;"","")</f>
        <v/>
      </c>
      <c r="J308" s="15" t="str">
        <f>IFERROR(INDEX('Formulación PDN 2027'!$T$7:$T$506,MATCH(ROW()-5,'Formulación PDN 2027'!$AK$7:$AK$506,0))&amp;"","")</f>
        <v/>
      </c>
      <c r="K308" s="43" t="str">
        <f>IFERROR(INDEX('Formulación PDN 2027'!$W$7:$W$506,MATCH(ROW()-5,'Formulación PDN 2027'!$AK$7:$AK$506,0)),"")</f>
        <v/>
      </c>
      <c r="L308" s="43" t="str">
        <f>IFERROR(INDEX('Formulación PDN 2027'!$X$7:$X$506,MATCH(ROW()-5,'Formulación PDN 2027'!$AK$7:$AK$506,0)),"")</f>
        <v/>
      </c>
      <c r="M308" s="15" t="str">
        <f>IFERROR(INDEX('Formulación PDN 2027'!$Y$7:$Y$506,MATCH(ROW()-5,'Formulación PDN 2027'!$AK$7:$AK$506,0))&amp;"","")</f>
        <v/>
      </c>
      <c r="N308" s="15" t="str">
        <f>IFERROR(INDEX('Formulación PDN 2027'!$Z$7:$Z$506,MATCH(ROW()-5,'Formulación PDN 2027'!$AK$7:$AK$506,0))&amp;"","")</f>
        <v/>
      </c>
      <c r="O308" s="15"/>
      <c r="P308" s="15" t="str">
        <f>IFERROR(INDEX('Formulación PDN 2027'!$AA$7:$AA$506,MATCH(ROW()-5,'Formulación PDN 2027'!$AK$7:$AK$506,0))&amp;"","")</f>
        <v/>
      </c>
      <c r="Q308" s="15" t="str">
        <f>IFERROR(INDEX('Formulación PDN 2027'!$AB$7:$AB$506,MATCH(ROW()-5,'Formulación PDN 2027'!$AK$7:$AK$506,0))&amp;"","")</f>
        <v/>
      </c>
      <c r="R308" s="15" t="str">
        <f>IFERROR(INDEX('Formulación PDN 2027'!$AD$7:$AD$506,MATCH(ROW()-5,'Formulación PDN 2027'!$AK$7:$AK$506,0))&amp;"","")</f>
        <v/>
      </c>
      <c r="S308" s="15" t="str">
        <f>IFERROR(INDEX('Formulación PDN 2027'!$AE$7:$AE$506,MATCH(ROW()-5,'Formulación PDN 2027'!$AK$7:$AK$506,0))&amp;"","")</f>
        <v/>
      </c>
      <c r="T308" s="15" t="str">
        <f>IFERROR(INDEX('Formulación PDN 2027'!$C$7:$C$506,MATCH(ROW()-5,'Formulación PDN 2027'!$AK$7:$AK$506,0))&amp;"","")</f>
        <v/>
      </c>
      <c r="U308" s="15" t="str">
        <f>IFERROR(INDEX('Formulación PDN 2027'!$B$7:$B$506,MATCH(ROW()-5,'Formulación PDN 2027'!$AK$7:$AK$506,0))&amp;"","")</f>
        <v/>
      </c>
      <c r="V308" s="15" t="str">
        <f>IFERROR(LEFT(INDEX('Formulación PDN 2027'!$E$7:$E$506,MATCH(ROW()-5,'Formulación PDN 2027'!$AK$7:$AK$506,0)),7),"")</f>
        <v/>
      </c>
      <c r="W308" s="15" t="str">
        <f>IFERROR(INDEX('Formulación PDN 2027'!$H$7:$H$506,MATCH(ROW()-5,'Formulación PDN 2027'!$AK$7:$AK$506,0))&amp;"","")</f>
        <v/>
      </c>
      <c r="X308" s="15" t="str">
        <f>IFERROR(INDEX('Formulación PDN 2027'!$U$7:$U$506,MATCH(ROW()-5,'Formulación PDN 2027'!$AK$7:$AK$506,0))&amp;"","")</f>
        <v/>
      </c>
      <c r="Y308" s="15" t="str">
        <f>IFERROR(INDEX('Formulación PDN 2027'!$AH$7:$AH$506,MATCH(ROW()-5,'Formulación PDN 2027'!$AK$7:$AK$506,0))&amp;"","")</f>
        <v/>
      </c>
    </row>
    <row r="309" spans="1:25" x14ac:dyDescent="0.3">
      <c r="A309" s="15" t="str">
        <f>IFERROR(INDEX('Formulación PDN 2027'!$A$7:$A$506,MATCH(ROW()-5,'Formulación PDN 2027'!$AK$7:$AK$506,0))&amp;"","")</f>
        <v/>
      </c>
      <c r="B309" s="20" t="str">
        <f>IFERROR(INDEX('Formulación PDN 2027'!$M$7:$M$506,MATCH(ROW()-5,'Formulación PDN 2027'!$AK$7:$AK$506,0)),"")</f>
        <v/>
      </c>
      <c r="C309" s="15" t="str">
        <f>IFERROR(INDEX('Formulación PDN 2027'!$N$7:$N$506,MATCH(ROW()-5,'Formulación PDN 2027'!$AK$7:$AK$506,0))&amp;"","")</f>
        <v/>
      </c>
      <c r="D309" s="15" t="str">
        <f>IFERROR(INDEX('Formulación PDN 2027'!$L$7:$L$506,MATCH(ROW()-5,'Formulación PDN 2027'!$AK$7:$AK$506,0))&amp;"","")</f>
        <v/>
      </c>
      <c r="E309" s="15" t="str">
        <f>IFERROR(MATCH(INDEX('Formulación PDN 2027'!$O$7:$O$506,MATCH(ROW()-5,'Formulación PDN 2027'!$AK$7:$AK$506,0)),L_MESES,0),"")</f>
        <v/>
      </c>
      <c r="F309" s="15" t="str">
        <f>IFERROR(MATCH(INDEX('Formulación PDN 2027'!$P$7:$P$506,MATCH(ROW()-5,'Formulación PDN 2027'!$AK$7:$AK$506,0)),L_MESES,0),"")</f>
        <v/>
      </c>
      <c r="G309" s="15" t="str">
        <f>IFERROR(INDEX('Formulación PDN 2027'!$Q$7:$Q$506,MATCH(ROW()-5,'Formulación PDN 2027'!$AK$7:$AK$506,0)),"")</f>
        <v/>
      </c>
      <c r="H309" s="15" t="str">
        <f>IFERROR(INDEX('Formulación PDN 2027'!$R$7:$R$506,MATCH(ROW()-5,'Formulación PDN 2027'!$AK$7:$AK$506,0))&amp;"","")</f>
        <v/>
      </c>
      <c r="I309" s="15" t="str">
        <f>IFERROR(INDEX('Formulación PDN 2027'!$S$7:$S$506,MATCH(ROW()-5,'Formulación PDN 2027'!$AK$7:$AK$506,0))&amp;"","")</f>
        <v/>
      </c>
      <c r="J309" s="15" t="str">
        <f>IFERROR(INDEX('Formulación PDN 2027'!$T$7:$T$506,MATCH(ROW()-5,'Formulación PDN 2027'!$AK$7:$AK$506,0))&amp;"","")</f>
        <v/>
      </c>
      <c r="K309" s="43" t="str">
        <f>IFERROR(INDEX('Formulación PDN 2027'!$W$7:$W$506,MATCH(ROW()-5,'Formulación PDN 2027'!$AK$7:$AK$506,0)),"")</f>
        <v/>
      </c>
      <c r="L309" s="43" t="str">
        <f>IFERROR(INDEX('Formulación PDN 2027'!$X$7:$X$506,MATCH(ROW()-5,'Formulación PDN 2027'!$AK$7:$AK$506,0)),"")</f>
        <v/>
      </c>
      <c r="M309" s="15" t="str">
        <f>IFERROR(INDEX('Formulación PDN 2027'!$Y$7:$Y$506,MATCH(ROW()-5,'Formulación PDN 2027'!$AK$7:$AK$506,0))&amp;"","")</f>
        <v/>
      </c>
      <c r="N309" s="15" t="str">
        <f>IFERROR(INDEX('Formulación PDN 2027'!$Z$7:$Z$506,MATCH(ROW()-5,'Formulación PDN 2027'!$AK$7:$AK$506,0))&amp;"","")</f>
        <v/>
      </c>
      <c r="O309" s="15"/>
      <c r="P309" s="15" t="str">
        <f>IFERROR(INDEX('Formulación PDN 2027'!$AA$7:$AA$506,MATCH(ROW()-5,'Formulación PDN 2027'!$AK$7:$AK$506,0))&amp;"","")</f>
        <v/>
      </c>
      <c r="Q309" s="15" t="str">
        <f>IFERROR(INDEX('Formulación PDN 2027'!$AB$7:$AB$506,MATCH(ROW()-5,'Formulación PDN 2027'!$AK$7:$AK$506,0))&amp;"","")</f>
        <v/>
      </c>
      <c r="R309" s="15" t="str">
        <f>IFERROR(INDEX('Formulación PDN 2027'!$AD$7:$AD$506,MATCH(ROW()-5,'Formulación PDN 2027'!$AK$7:$AK$506,0))&amp;"","")</f>
        <v/>
      </c>
      <c r="S309" s="15" t="str">
        <f>IFERROR(INDEX('Formulación PDN 2027'!$AE$7:$AE$506,MATCH(ROW()-5,'Formulación PDN 2027'!$AK$7:$AK$506,0))&amp;"","")</f>
        <v/>
      </c>
      <c r="T309" s="15" t="str">
        <f>IFERROR(INDEX('Formulación PDN 2027'!$C$7:$C$506,MATCH(ROW()-5,'Formulación PDN 2027'!$AK$7:$AK$506,0))&amp;"","")</f>
        <v/>
      </c>
      <c r="U309" s="15" t="str">
        <f>IFERROR(INDEX('Formulación PDN 2027'!$B$7:$B$506,MATCH(ROW()-5,'Formulación PDN 2027'!$AK$7:$AK$506,0))&amp;"","")</f>
        <v/>
      </c>
      <c r="V309" s="15" t="str">
        <f>IFERROR(LEFT(INDEX('Formulación PDN 2027'!$E$7:$E$506,MATCH(ROW()-5,'Formulación PDN 2027'!$AK$7:$AK$506,0)),7),"")</f>
        <v/>
      </c>
      <c r="W309" s="15" t="str">
        <f>IFERROR(INDEX('Formulación PDN 2027'!$H$7:$H$506,MATCH(ROW()-5,'Formulación PDN 2027'!$AK$7:$AK$506,0))&amp;"","")</f>
        <v/>
      </c>
      <c r="X309" s="15" t="str">
        <f>IFERROR(INDEX('Formulación PDN 2027'!$U$7:$U$506,MATCH(ROW()-5,'Formulación PDN 2027'!$AK$7:$AK$506,0))&amp;"","")</f>
        <v/>
      </c>
      <c r="Y309" s="15" t="str">
        <f>IFERROR(INDEX('Formulación PDN 2027'!$AH$7:$AH$506,MATCH(ROW()-5,'Formulación PDN 2027'!$AK$7:$AK$506,0))&amp;"","")</f>
        <v/>
      </c>
    </row>
    <row r="310" spans="1:25" x14ac:dyDescent="0.3">
      <c r="A310" s="15" t="str">
        <f>IFERROR(INDEX('Formulación PDN 2027'!$A$7:$A$506,MATCH(ROW()-5,'Formulación PDN 2027'!$AK$7:$AK$506,0))&amp;"","")</f>
        <v/>
      </c>
      <c r="B310" s="20" t="str">
        <f>IFERROR(INDEX('Formulación PDN 2027'!$M$7:$M$506,MATCH(ROW()-5,'Formulación PDN 2027'!$AK$7:$AK$506,0)),"")</f>
        <v/>
      </c>
      <c r="C310" s="15" t="str">
        <f>IFERROR(INDEX('Formulación PDN 2027'!$N$7:$N$506,MATCH(ROW()-5,'Formulación PDN 2027'!$AK$7:$AK$506,0))&amp;"","")</f>
        <v/>
      </c>
      <c r="D310" s="15" t="str">
        <f>IFERROR(INDEX('Formulación PDN 2027'!$L$7:$L$506,MATCH(ROW()-5,'Formulación PDN 2027'!$AK$7:$AK$506,0))&amp;"","")</f>
        <v/>
      </c>
      <c r="E310" s="15" t="str">
        <f>IFERROR(MATCH(INDEX('Formulación PDN 2027'!$O$7:$O$506,MATCH(ROW()-5,'Formulación PDN 2027'!$AK$7:$AK$506,0)),L_MESES,0),"")</f>
        <v/>
      </c>
      <c r="F310" s="15" t="str">
        <f>IFERROR(MATCH(INDEX('Formulación PDN 2027'!$P$7:$P$506,MATCH(ROW()-5,'Formulación PDN 2027'!$AK$7:$AK$506,0)),L_MESES,0),"")</f>
        <v/>
      </c>
      <c r="G310" s="15" t="str">
        <f>IFERROR(INDEX('Formulación PDN 2027'!$Q$7:$Q$506,MATCH(ROW()-5,'Formulación PDN 2027'!$AK$7:$AK$506,0)),"")</f>
        <v/>
      </c>
      <c r="H310" s="15" t="str">
        <f>IFERROR(INDEX('Formulación PDN 2027'!$R$7:$R$506,MATCH(ROW()-5,'Formulación PDN 2027'!$AK$7:$AK$506,0))&amp;"","")</f>
        <v/>
      </c>
      <c r="I310" s="15" t="str">
        <f>IFERROR(INDEX('Formulación PDN 2027'!$S$7:$S$506,MATCH(ROW()-5,'Formulación PDN 2027'!$AK$7:$AK$506,0))&amp;"","")</f>
        <v/>
      </c>
      <c r="J310" s="15" t="str">
        <f>IFERROR(INDEX('Formulación PDN 2027'!$T$7:$T$506,MATCH(ROW()-5,'Formulación PDN 2027'!$AK$7:$AK$506,0))&amp;"","")</f>
        <v/>
      </c>
      <c r="K310" s="43" t="str">
        <f>IFERROR(INDEX('Formulación PDN 2027'!$W$7:$W$506,MATCH(ROW()-5,'Formulación PDN 2027'!$AK$7:$AK$506,0)),"")</f>
        <v/>
      </c>
      <c r="L310" s="43" t="str">
        <f>IFERROR(INDEX('Formulación PDN 2027'!$X$7:$X$506,MATCH(ROW()-5,'Formulación PDN 2027'!$AK$7:$AK$506,0)),"")</f>
        <v/>
      </c>
      <c r="M310" s="15" t="str">
        <f>IFERROR(INDEX('Formulación PDN 2027'!$Y$7:$Y$506,MATCH(ROW()-5,'Formulación PDN 2027'!$AK$7:$AK$506,0))&amp;"","")</f>
        <v/>
      </c>
      <c r="N310" s="15" t="str">
        <f>IFERROR(INDEX('Formulación PDN 2027'!$Z$7:$Z$506,MATCH(ROW()-5,'Formulación PDN 2027'!$AK$7:$AK$506,0))&amp;"","")</f>
        <v/>
      </c>
      <c r="O310" s="15"/>
      <c r="P310" s="15" t="str">
        <f>IFERROR(INDEX('Formulación PDN 2027'!$AA$7:$AA$506,MATCH(ROW()-5,'Formulación PDN 2027'!$AK$7:$AK$506,0))&amp;"","")</f>
        <v/>
      </c>
      <c r="Q310" s="15" t="str">
        <f>IFERROR(INDEX('Formulación PDN 2027'!$AB$7:$AB$506,MATCH(ROW()-5,'Formulación PDN 2027'!$AK$7:$AK$506,0))&amp;"","")</f>
        <v/>
      </c>
      <c r="R310" s="15" t="str">
        <f>IFERROR(INDEX('Formulación PDN 2027'!$AD$7:$AD$506,MATCH(ROW()-5,'Formulación PDN 2027'!$AK$7:$AK$506,0))&amp;"","")</f>
        <v/>
      </c>
      <c r="S310" s="15" t="str">
        <f>IFERROR(INDEX('Formulación PDN 2027'!$AE$7:$AE$506,MATCH(ROW()-5,'Formulación PDN 2027'!$AK$7:$AK$506,0))&amp;"","")</f>
        <v/>
      </c>
      <c r="T310" s="15" t="str">
        <f>IFERROR(INDEX('Formulación PDN 2027'!$C$7:$C$506,MATCH(ROW()-5,'Formulación PDN 2027'!$AK$7:$AK$506,0))&amp;"","")</f>
        <v/>
      </c>
      <c r="U310" s="15" t="str">
        <f>IFERROR(INDEX('Formulación PDN 2027'!$B$7:$B$506,MATCH(ROW()-5,'Formulación PDN 2027'!$AK$7:$AK$506,0))&amp;"","")</f>
        <v/>
      </c>
      <c r="V310" s="15" t="str">
        <f>IFERROR(LEFT(INDEX('Formulación PDN 2027'!$E$7:$E$506,MATCH(ROW()-5,'Formulación PDN 2027'!$AK$7:$AK$506,0)),7),"")</f>
        <v/>
      </c>
      <c r="W310" s="15" t="str">
        <f>IFERROR(INDEX('Formulación PDN 2027'!$H$7:$H$506,MATCH(ROW()-5,'Formulación PDN 2027'!$AK$7:$AK$506,0))&amp;"","")</f>
        <v/>
      </c>
      <c r="X310" s="15" t="str">
        <f>IFERROR(INDEX('Formulación PDN 2027'!$U$7:$U$506,MATCH(ROW()-5,'Formulación PDN 2027'!$AK$7:$AK$506,0))&amp;"","")</f>
        <v/>
      </c>
      <c r="Y310" s="15" t="str">
        <f>IFERROR(INDEX('Formulación PDN 2027'!$AH$7:$AH$506,MATCH(ROW()-5,'Formulación PDN 2027'!$AK$7:$AK$506,0))&amp;"","")</f>
        <v/>
      </c>
    </row>
    <row r="311" spans="1:25" x14ac:dyDescent="0.3">
      <c r="A311" s="15" t="str">
        <f>IFERROR(INDEX('Formulación PDN 2027'!$A$7:$A$506,MATCH(ROW()-5,'Formulación PDN 2027'!$AK$7:$AK$506,0))&amp;"","")</f>
        <v/>
      </c>
      <c r="B311" s="20" t="str">
        <f>IFERROR(INDEX('Formulación PDN 2027'!$M$7:$M$506,MATCH(ROW()-5,'Formulación PDN 2027'!$AK$7:$AK$506,0)),"")</f>
        <v/>
      </c>
      <c r="C311" s="15" t="str">
        <f>IFERROR(INDEX('Formulación PDN 2027'!$N$7:$N$506,MATCH(ROW()-5,'Formulación PDN 2027'!$AK$7:$AK$506,0))&amp;"","")</f>
        <v/>
      </c>
      <c r="D311" s="15" t="str">
        <f>IFERROR(INDEX('Formulación PDN 2027'!$L$7:$L$506,MATCH(ROW()-5,'Formulación PDN 2027'!$AK$7:$AK$506,0))&amp;"","")</f>
        <v/>
      </c>
      <c r="E311" s="15" t="str">
        <f>IFERROR(MATCH(INDEX('Formulación PDN 2027'!$O$7:$O$506,MATCH(ROW()-5,'Formulación PDN 2027'!$AK$7:$AK$506,0)),L_MESES,0),"")</f>
        <v/>
      </c>
      <c r="F311" s="15" t="str">
        <f>IFERROR(MATCH(INDEX('Formulación PDN 2027'!$P$7:$P$506,MATCH(ROW()-5,'Formulación PDN 2027'!$AK$7:$AK$506,0)),L_MESES,0),"")</f>
        <v/>
      </c>
      <c r="G311" s="15" t="str">
        <f>IFERROR(INDEX('Formulación PDN 2027'!$Q$7:$Q$506,MATCH(ROW()-5,'Formulación PDN 2027'!$AK$7:$AK$506,0)),"")</f>
        <v/>
      </c>
      <c r="H311" s="15" t="str">
        <f>IFERROR(INDEX('Formulación PDN 2027'!$R$7:$R$506,MATCH(ROW()-5,'Formulación PDN 2027'!$AK$7:$AK$506,0))&amp;"","")</f>
        <v/>
      </c>
      <c r="I311" s="15" t="str">
        <f>IFERROR(INDEX('Formulación PDN 2027'!$S$7:$S$506,MATCH(ROW()-5,'Formulación PDN 2027'!$AK$7:$AK$506,0))&amp;"","")</f>
        <v/>
      </c>
      <c r="J311" s="15" t="str">
        <f>IFERROR(INDEX('Formulación PDN 2027'!$T$7:$T$506,MATCH(ROW()-5,'Formulación PDN 2027'!$AK$7:$AK$506,0))&amp;"","")</f>
        <v/>
      </c>
      <c r="K311" s="43" t="str">
        <f>IFERROR(INDEX('Formulación PDN 2027'!$W$7:$W$506,MATCH(ROW()-5,'Formulación PDN 2027'!$AK$7:$AK$506,0)),"")</f>
        <v/>
      </c>
      <c r="L311" s="43" t="str">
        <f>IFERROR(INDEX('Formulación PDN 2027'!$X$7:$X$506,MATCH(ROW()-5,'Formulación PDN 2027'!$AK$7:$AK$506,0)),"")</f>
        <v/>
      </c>
      <c r="M311" s="15" t="str">
        <f>IFERROR(INDEX('Formulación PDN 2027'!$Y$7:$Y$506,MATCH(ROW()-5,'Formulación PDN 2027'!$AK$7:$AK$506,0))&amp;"","")</f>
        <v/>
      </c>
      <c r="N311" s="15" t="str">
        <f>IFERROR(INDEX('Formulación PDN 2027'!$Z$7:$Z$506,MATCH(ROW()-5,'Formulación PDN 2027'!$AK$7:$AK$506,0))&amp;"","")</f>
        <v/>
      </c>
      <c r="O311" s="15"/>
      <c r="P311" s="15" t="str">
        <f>IFERROR(INDEX('Formulación PDN 2027'!$AA$7:$AA$506,MATCH(ROW()-5,'Formulación PDN 2027'!$AK$7:$AK$506,0))&amp;"","")</f>
        <v/>
      </c>
      <c r="Q311" s="15" t="str">
        <f>IFERROR(INDEX('Formulación PDN 2027'!$AB$7:$AB$506,MATCH(ROW()-5,'Formulación PDN 2027'!$AK$7:$AK$506,0))&amp;"","")</f>
        <v/>
      </c>
      <c r="R311" s="15" t="str">
        <f>IFERROR(INDEX('Formulación PDN 2027'!$AD$7:$AD$506,MATCH(ROW()-5,'Formulación PDN 2027'!$AK$7:$AK$506,0))&amp;"","")</f>
        <v/>
      </c>
      <c r="S311" s="15" t="str">
        <f>IFERROR(INDEX('Formulación PDN 2027'!$AE$7:$AE$506,MATCH(ROW()-5,'Formulación PDN 2027'!$AK$7:$AK$506,0))&amp;"","")</f>
        <v/>
      </c>
      <c r="T311" s="15" t="str">
        <f>IFERROR(INDEX('Formulación PDN 2027'!$C$7:$C$506,MATCH(ROW()-5,'Formulación PDN 2027'!$AK$7:$AK$506,0))&amp;"","")</f>
        <v/>
      </c>
      <c r="U311" s="15" t="str">
        <f>IFERROR(INDEX('Formulación PDN 2027'!$B$7:$B$506,MATCH(ROW()-5,'Formulación PDN 2027'!$AK$7:$AK$506,0))&amp;"","")</f>
        <v/>
      </c>
      <c r="V311" s="15" t="str">
        <f>IFERROR(LEFT(INDEX('Formulación PDN 2027'!$E$7:$E$506,MATCH(ROW()-5,'Formulación PDN 2027'!$AK$7:$AK$506,0)),7),"")</f>
        <v/>
      </c>
      <c r="W311" s="15" t="str">
        <f>IFERROR(INDEX('Formulación PDN 2027'!$H$7:$H$506,MATCH(ROW()-5,'Formulación PDN 2027'!$AK$7:$AK$506,0))&amp;"","")</f>
        <v/>
      </c>
      <c r="X311" s="15" t="str">
        <f>IFERROR(INDEX('Formulación PDN 2027'!$U$7:$U$506,MATCH(ROW()-5,'Formulación PDN 2027'!$AK$7:$AK$506,0))&amp;"","")</f>
        <v/>
      </c>
      <c r="Y311" s="15" t="str">
        <f>IFERROR(INDEX('Formulación PDN 2027'!$AH$7:$AH$506,MATCH(ROW()-5,'Formulación PDN 2027'!$AK$7:$AK$506,0))&amp;"","")</f>
        <v/>
      </c>
    </row>
    <row r="312" spans="1:25" x14ac:dyDescent="0.3">
      <c r="A312" s="15" t="str">
        <f>IFERROR(INDEX('Formulación PDN 2027'!$A$7:$A$506,MATCH(ROW()-5,'Formulación PDN 2027'!$AK$7:$AK$506,0))&amp;"","")</f>
        <v/>
      </c>
      <c r="B312" s="20" t="str">
        <f>IFERROR(INDEX('Formulación PDN 2027'!$M$7:$M$506,MATCH(ROW()-5,'Formulación PDN 2027'!$AK$7:$AK$506,0)),"")</f>
        <v/>
      </c>
      <c r="C312" s="15" t="str">
        <f>IFERROR(INDEX('Formulación PDN 2027'!$N$7:$N$506,MATCH(ROW()-5,'Formulación PDN 2027'!$AK$7:$AK$506,0))&amp;"","")</f>
        <v/>
      </c>
      <c r="D312" s="15" t="str">
        <f>IFERROR(INDEX('Formulación PDN 2027'!$L$7:$L$506,MATCH(ROW()-5,'Formulación PDN 2027'!$AK$7:$AK$506,0))&amp;"","")</f>
        <v/>
      </c>
      <c r="E312" s="15" t="str">
        <f>IFERROR(MATCH(INDEX('Formulación PDN 2027'!$O$7:$O$506,MATCH(ROW()-5,'Formulación PDN 2027'!$AK$7:$AK$506,0)),L_MESES,0),"")</f>
        <v/>
      </c>
      <c r="F312" s="15" t="str">
        <f>IFERROR(MATCH(INDEX('Formulación PDN 2027'!$P$7:$P$506,MATCH(ROW()-5,'Formulación PDN 2027'!$AK$7:$AK$506,0)),L_MESES,0),"")</f>
        <v/>
      </c>
      <c r="G312" s="15" t="str">
        <f>IFERROR(INDEX('Formulación PDN 2027'!$Q$7:$Q$506,MATCH(ROW()-5,'Formulación PDN 2027'!$AK$7:$AK$506,0)),"")</f>
        <v/>
      </c>
      <c r="H312" s="15" t="str">
        <f>IFERROR(INDEX('Formulación PDN 2027'!$R$7:$R$506,MATCH(ROW()-5,'Formulación PDN 2027'!$AK$7:$AK$506,0))&amp;"","")</f>
        <v/>
      </c>
      <c r="I312" s="15" t="str">
        <f>IFERROR(INDEX('Formulación PDN 2027'!$S$7:$S$506,MATCH(ROW()-5,'Formulación PDN 2027'!$AK$7:$AK$506,0))&amp;"","")</f>
        <v/>
      </c>
      <c r="J312" s="15" t="str">
        <f>IFERROR(INDEX('Formulación PDN 2027'!$T$7:$T$506,MATCH(ROW()-5,'Formulación PDN 2027'!$AK$7:$AK$506,0))&amp;"","")</f>
        <v/>
      </c>
      <c r="K312" s="43" t="str">
        <f>IFERROR(INDEX('Formulación PDN 2027'!$W$7:$W$506,MATCH(ROW()-5,'Formulación PDN 2027'!$AK$7:$AK$506,0)),"")</f>
        <v/>
      </c>
      <c r="L312" s="43" t="str">
        <f>IFERROR(INDEX('Formulación PDN 2027'!$X$7:$X$506,MATCH(ROW()-5,'Formulación PDN 2027'!$AK$7:$AK$506,0)),"")</f>
        <v/>
      </c>
      <c r="M312" s="15" t="str">
        <f>IFERROR(INDEX('Formulación PDN 2027'!$Y$7:$Y$506,MATCH(ROW()-5,'Formulación PDN 2027'!$AK$7:$AK$506,0))&amp;"","")</f>
        <v/>
      </c>
      <c r="N312" s="15" t="str">
        <f>IFERROR(INDEX('Formulación PDN 2027'!$Z$7:$Z$506,MATCH(ROW()-5,'Formulación PDN 2027'!$AK$7:$AK$506,0))&amp;"","")</f>
        <v/>
      </c>
      <c r="O312" s="15"/>
      <c r="P312" s="15" t="str">
        <f>IFERROR(INDEX('Formulación PDN 2027'!$AA$7:$AA$506,MATCH(ROW()-5,'Formulación PDN 2027'!$AK$7:$AK$506,0))&amp;"","")</f>
        <v/>
      </c>
      <c r="Q312" s="15" t="str">
        <f>IFERROR(INDEX('Formulación PDN 2027'!$AB$7:$AB$506,MATCH(ROW()-5,'Formulación PDN 2027'!$AK$7:$AK$506,0))&amp;"","")</f>
        <v/>
      </c>
      <c r="R312" s="15" t="str">
        <f>IFERROR(INDEX('Formulación PDN 2027'!$AD$7:$AD$506,MATCH(ROW()-5,'Formulación PDN 2027'!$AK$7:$AK$506,0))&amp;"","")</f>
        <v/>
      </c>
      <c r="S312" s="15" t="str">
        <f>IFERROR(INDEX('Formulación PDN 2027'!$AE$7:$AE$506,MATCH(ROW()-5,'Formulación PDN 2027'!$AK$7:$AK$506,0))&amp;"","")</f>
        <v/>
      </c>
      <c r="T312" s="15" t="str">
        <f>IFERROR(INDEX('Formulación PDN 2027'!$C$7:$C$506,MATCH(ROW()-5,'Formulación PDN 2027'!$AK$7:$AK$506,0))&amp;"","")</f>
        <v/>
      </c>
      <c r="U312" s="15" t="str">
        <f>IFERROR(INDEX('Formulación PDN 2027'!$B$7:$B$506,MATCH(ROW()-5,'Formulación PDN 2027'!$AK$7:$AK$506,0))&amp;"","")</f>
        <v/>
      </c>
      <c r="V312" s="15" t="str">
        <f>IFERROR(LEFT(INDEX('Formulación PDN 2027'!$E$7:$E$506,MATCH(ROW()-5,'Formulación PDN 2027'!$AK$7:$AK$506,0)),7),"")</f>
        <v/>
      </c>
      <c r="W312" s="15" t="str">
        <f>IFERROR(INDEX('Formulación PDN 2027'!$H$7:$H$506,MATCH(ROW()-5,'Formulación PDN 2027'!$AK$7:$AK$506,0))&amp;"","")</f>
        <v/>
      </c>
      <c r="X312" s="15" t="str">
        <f>IFERROR(INDEX('Formulación PDN 2027'!$U$7:$U$506,MATCH(ROW()-5,'Formulación PDN 2027'!$AK$7:$AK$506,0))&amp;"","")</f>
        <v/>
      </c>
      <c r="Y312" s="15" t="str">
        <f>IFERROR(INDEX('Formulación PDN 2027'!$AH$7:$AH$506,MATCH(ROW()-5,'Formulación PDN 2027'!$AK$7:$AK$506,0))&amp;"","")</f>
        <v/>
      </c>
    </row>
    <row r="313" spans="1:25" x14ac:dyDescent="0.3">
      <c r="A313" s="15" t="str">
        <f>IFERROR(INDEX('Formulación PDN 2027'!$A$7:$A$506,MATCH(ROW()-5,'Formulación PDN 2027'!$AK$7:$AK$506,0))&amp;"","")</f>
        <v/>
      </c>
      <c r="B313" s="20" t="str">
        <f>IFERROR(INDEX('Formulación PDN 2027'!$M$7:$M$506,MATCH(ROW()-5,'Formulación PDN 2027'!$AK$7:$AK$506,0)),"")</f>
        <v/>
      </c>
      <c r="C313" s="15" t="str">
        <f>IFERROR(INDEX('Formulación PDN 2027'!$N$7:$N$506,MATCH(ROW()-5,'Formulación PDN 2027'!$AK$7:$AK$506,0))&amp;"","")</f>
        <v/>
      </c>
      <c r="D313" s="15" t="str">
        <f>IFERROR(INDEX('Formulación PDN 2027'!$L$7:$L$506,MATCH(ROW()-5,'Formulación PDN 2027'!$AK$7:$AK$506,0))&amp;"","")</f>
        <v/>
      </c>
      <c r="E313" s="15" t="str">
        <f>IFERROR(MATCH(INDEX('Formulación PDN 2027'!$O$7:$O$506,MATCH(ROW()-5,'Formulación PDN 2027'!$AK$7:$AK$506,0)),L_MESES,0),"")</f>
        <v/>
      </c>
      <c r="F313" s="15" t="str">
        <f>IFERROR(MATCH(INDEX('Formulación PDN 2027'!$P$7:$P$506,MATCH(ROW()-5,'Formulación PDN 2027'!$AK$7:$AK$506,0)),L_MESES,0),"")</f>
        <v/>
      </c>
      <c r="G313" s="15" t="str">
        <f>IFERROR(INDEX('Formulación PDN 2027'!$Q$7:$Q$506,MATCH(ROW()-5,'Formulación PDN 2027'!$AK$7:$AK$506,0)),"")</f>
        <v/>
      </c>
      <c r="H313" s="15" t="str">
        <f>IFERROR(INDEX('Formulación PDN 2027'!$R$7:$R$506,MATCH(ROW()-5,'Formulación PDN 2027'!$AK$7:$AK$506,0))&amp;"","")</f>
        <v/>
      </c>
      <c r="I313" s="15" t="str">
        <f>IFERROR(INDEX('Formulación PDN 2027'!$S$7:$S$506,MATCH(ROW()-5,'Formulación PDN 2027'!$AK$7:$AK$506,0))&amp;"","")</f>
        <v/>
      </c>
      <c r="J313" s="15" t="str">
        <f>IFERROR(INDEX('Formulación PDN 2027'!$T$7:$T$506,MATCH(ROW()-5,'Formulación PDN 2027'!$AK$7:$AK$506,0))&amp;"","")</f>
        <v/>
      </c>
      <c r="K313" s="43" t="str">
        <f>IFERROR(INDEX('Formulación PDN 2027'!$W$7:$W$506,MATCH(ROW()-5,'Formulación PDN 2027'!$AK$7:$AK$506,0)),"")</f>
        <v/>
      </c>
      <c r="L313" s="43" t="str">
        <f>IFERROR(INDEX('Formulación PDN 2027'!$X$7:$X$506,MATCH(ROW()-5,'Formulación PDN 2027'!$AK$7:$AK$506,0)),"")</f>
        <v/>
      </c>
      <c r="M313" s="15" t="str">
        <f>IFERROR(INDEX('Formulación PDN 2027'!$Y$7:$Y$506,MATCH(ROW()-5,'Formulación PDN 2027'!$AK$7:$AK$506,0))&amp;"","")</f>
        <v/>
      </c>
      <c r="N313" s="15" t="str">
        <f>IFERROR(INDEX('Formulación PDN 2027'!$Z$7:$Z$506,MATCH(ROW()-5,'Formulación PDN 2027'!$AK$7:$AK$506,0))&amp;"","")</f>
        <v/>
      </c>
      <c r="O313" s="15"/>
      <c r="P313" s="15" t="str">
        <f>IFERROR(INDEX('Formulación PDN 2027'!$AA$7:$AA$506,MATCH(ROW()-5,'Formulación PDN 2027'!$AK$7:$AK$506,0))&amp;"","")</f>
        <v/>
      </c>
      <c r="Q313" s="15" t="str">
        <f>IFERROR(INDEX('Formulación PDN 2027'!$AB$7:$AB$506,MATCH(ROW()-5,'Formulación PDN 2027'!$AK$7:$AK$506,0))&amp;"","")</f>
        <v/>
      </c>
      <c r="R313" s="15" t="str">
        <f>IFERROR(INDEX('Formulación PDN 2027'!$AD$7:$AD$506,MATCH(ROW()-5,'Formulación PDN 2027'!$AK$7:$AK$506,0))&amp;"","")</f>
        <v/>
      </c>
      <c r="S313" s="15" t="str">
        <f>IFERROR(INDEX('Formulación PDN 2027'!$AE$7:$AE$506,MATCH(ROW()-5,'Formulación PDN 2027'!$AK$7:$AK$506,0))&amp;"","")</f>
        <v/>
      </c>
      <c r="T313" s="15" t="str">
        <f>IFERROR(INDEX('Formulación PDN 2027'!$C$7:$C$506,MATCH(ROW()-5,'Formulación PDN 2027'!$AK$7:$AK$506,0))&amp;"","")</f>
        <v/>
      </c>
      <c r="U313" s="15" t="str">
        <f>IFERROR(INDEX('Formulación PDN 2027'!$B$7:$B$506,MATCH(ROW()-5,'Formulación PDN 2027'!$AK$7:$AK$506,0))&amp;"","")</f>
        <v/>
      </c>
      <c r="V313" s="15" t="str">
        <f>IFERROR(LEFT(INDEX('Formulación PDN 2027'!$E$7:$E$506,MATCH(ROW()-5,'Formulación PDN 2027'!$AK$7:$AK$506,0)),7),"")</f>
        <v/>
      </c>
      <c r="W313" s="15" t="str">
        <f>IFERROR(INDEX('Formulación PDN 2027'!$H$7:$H$506,MATCH(ROW()-5,'Formulación PDN 2027'!$AK$7:$AK$506,0))&amp;"","")</f>
        <v/>
      </c>
      <c r="X313" s="15" t="str">
        <f>IFERROR(INDEX('Formulación PDN 2027'!$U$7:$U$506,MATCH(ROW()-5,'Formulación PDN 2027'!$AK$7:$AK$506,0))&amp;"","")</f>
        <v/>
      </c>
      <c r="Y313" s="15" t="str">
        <f>IFERROR(INDEX('Formulación PDN 2027'!$AH$7:$AH$506,MATCH(ROW()-5,'Formulación PDN 2027'!$AK$7:$AK$506,0))&amp;"","")</f>
        <v/>
      </c>
    </row>
    <row r="314" spans="1:25" x14ac:dyDescent="0.3">
      <c r="A314" s="15" t="str">
        <f>IFERROR(INDEX('Formulación PDN 2027'!$A$7:$A$506,MATCH(ROW()-5,'Formulación PDN 2027'!$AK$7:$AK$506,0))&amp;"","")</f>
        <v/>
      </c>
      <c r="B314" s="20" t="str">
        <f>IFERROR(INDEX('Formulación PDN 2027'!$M$7:$M$506,MATCH(ROW()-5,'Formulación PDN 2027'!$AK$7:$AK$506,0)),"")</f>
        <v/>
      </c>
      <c r="C314" s="15" t="str">
        <f>IFERROR(INDEX('Formulación PDN 2027'!$N$7:$N$506,MATCH(ROW()-5,'Formulación PDN 2027'!$AK$7:$AK$506,0))&amp;"","")</f>
        <v/>
      </c>
      <c r="D314" s="15" t="str">
        <f>IFERROR(INDEX('Formulación PDN 2027'!$L$7:$L$506,MATCH(ROW()-5,'Formulación PDN 2027'!$AK$7:$AK$506,0))&amp;"","")</f>
        <v/>
      </c>
      <c r="E314" s="15" t="str">
        <f>IFERROR(MATCH(INDEX('Formulación PDN 2027'!$O$7:$O$506,MATCH(ROW()-5,'Formulación PDN 2027'!$AK$7:$AK$506,0)),L_MESES,0),"")</f>
        <v/>
      </c>
      <c r="F314" s="15" t="str">
        <f>IFERROR(MATCH(INDEX('Formulación PDN 2027'!$P$7:$P$506,MATCH(ROW()-5,'Formulación PDN 2027'!$AK$7:$AK$506,0)),L_MESES,0),"")</f>
        <v/>
      </c>
      <c r="G314" s="15" t="str">
        <f>IFERROR(INDEX('Formulación PDN 2027'!$Q$7:$Q$506,MATCH(ROW()-5,'Formulación PDN 2027'!$AK$7:$AK$506,0)),"")</f>
        <v/>
      </c>
      <c r="H314" s="15" t="str">
        <f>IFERROR(INDEX('Formulación PDN 2027'!$R$7:$R$506,MATCH(ROW()-5,'Formulación PDN 2027'!$AK$7:$AK$506,0))&amp;"","")</f>
        <v/>
      </c>
      <c r="I314" s="15" t="str">
        <f>IFERROR(INDEX('Formulación PDN 2027'!$S$7:$S$506,MATCH(ROW()-5,'Formulación PDN 2027'!$AK$7:$AK$506,0))&amp;"","")</f>
        <v/>
      </c>
      <c r="J314" s="15" t="str">
        <f>IFERROR(INDEX('Formulación PDN 2027'!$T$7:$T$506,MATCH(ROW()-5,'Formulación PDN 2027'!$AK$7:$AK$506,0))&amp;"","")</f>
        <v/>
      </c>
      <c r="K314" s="43" t="str">
        <f>IFERROR(INDEX('Formulación PDN 2027'!$W$7:$W$506,MATCH(ROW()-5,'Formulación PDN 2027'!$AK$7:$AK$506,0)),"")</f>
        <v/>
      </c>
      <c r="L314" s="43" t="str">
        <f>IFERROR(INDEX('Formulación PDN 2027'!$X$7:$X$506,MATCH(ROW()-5,'Formulación PDN 2027'!$AK$7:$AK$506,0)),"")</f>
        <v/>
      </c>
      <c r="M314" s="15" t="str">
        <f>IFERROR(INDEX('Formulación PDN 2027'!$Y$7:$Y$506,MATCH(ROW()-5,'Formulación PDN 2027'!$AK$7:$AK$506,0))&amp;"","")</f>
        <v/>
      </c>
      <c r="N314" s="15" t="str">
        <f>IFERROR(INDEX('Formulación PDN 2027'!$Z$7:$Z$506,MATCH(ROW()-5,'Formulación PDN 2027'!$AK$7:$AK$506,0))&amp;"","")</f>
        <v/>
      </c>
      <c r="O314" s="15"/>
      <c r="P314" s="15" t="str">
        <f>IFERROR(INDEX('Formulación PDN 2027'!$AA$7:$AA$506,MATCH(ROW()-5,'Formulación PDN 2027'!$AK$7:$AK$506,0))&amp;"","")</f>
        <v/>
      </c>
      <c r="Q314" s="15" t="str">
        <f>IFERROR(INDEX('Formulación PDN 2027'!$AB$7:$AB$506,MATCH(ROW()-5,'Formulación PDN 2027'!$AK$7:$AK$506,0))&amp;"","")</f>
        <v/>
      </c>
      <c r="R314" s="15" t="str">
        <f>IFERROR(INDEX('Formulación PDN 2027'!$AD$7:$AD$506,MATCH(ROW()-5,'Formulación PDN 2027'!$AK$7:$AK$506,0))&amp;"","")</f>
        <v/>
      </c>
      <c r="S314" s="15" t="str">
        <f>IFERROR(INDEX('Formulación PDN 2027'!$AE$7:$AE$506,MATCH(ROW()-5,'Formulación PDN 2027'!$AK$7:$AK$506,0))&amp;"","")</f>
        <v/>
      </c>
      <c r="T314" s="15" t="str">
        <f>IFERROR(INDEX('Formulación PDN 2027'!$C$7:$C$506,MATCH(ROW()-5,'Formulación PDN 2027'!$AK$7:$AK$506,0))&amp;"","")</f>
        <v/>
      </c>
      <c r="U314" s="15" t="str">
        <f>IFERROR(INDEX('Formulación PDN 2027'!$B$7:$B$506,MATCH(ROW()-5,'Formulación PDN 2027'!$AK$7:$AK$506,0))&amp;"","")</f>
        <v/>
      </c>
      <c r="V314" s="15" t="str">
        <f>IFERROR(LEFT(INDEX('Formulación PDN 2027'!$E$7:$E$506,MATCH(ROW()-5,'Formulación PDN 2027'!$AK$7:$AK$506,0)),7),"")</f>
        <v/>
      </c>
      <c r="W314" s="15" t="str">
        <f>IFERROR(INDEX('Formulación PDN 2027'!$H$7:$H$506,MATCH(ROW()-5,'Formulación PDN 2027'!$AK$7:$AK$506,0))&amp;"","")</f>
        <v/>
      </c>
      <c r="X314" s="15" t="str">
        <f>IFERROR(INDEX('Formulación PDN 2027'!$U$7:$U$506,MATCH(ROW()-5,'Formulación PDN 2027'!$AK$7:$AK$506,0))&amp;"","")</f>
        <v/>
      </c>
      <c r="Y314" s="15" t="str">
        <f>IFERROR(INDEX('Formulación PDN 2027'!$AH$7:$AH$506,MATCH(ROW()-5,'Formulación PDN 2027'!$AK$7:$AK$506,0))&amp;"","")</f>
        <v/>
      </c>
    </row>
    <row r="315" spans="1:25" x14ac:dyDescent="0.3">
      <c r="A315" s="15" t="str">
        <f>IFERROR(INDEX('Formulación PDN 2027'!$A$7:$A$506,MATCH(ROW()-5,'Formulación PDN 2027'!$AK$7:$AK$506,0))&amp;"","")</f>
        <v/>
      </c>
      <c r="B315" s="20" t="str">
        <f>IFERROR(INDEX('Formulación PDN 2027'!$M$7:$M$506,MATCH(ROW()-5,'Formulación PDN 2027'!$AK$7:$AK$506,0)),"")</f>
        <v/>
      </c>
      <c r="C315" s="15" t="str">
        <f>IFERROR(INDEX('Formulación PDN 2027'!$N$7:$N$506,MATCH(ROW()-5,'Formulación PDN 2027'!$AK$7:$AK$506,0))&amp;"","")</f>
        <v/>
      </c>
      <c r="D315" s="15" t="str">
        <f>IFERROR(INDEX('Formulación PDN 2027'!$L$7:$L$506,MATCH(ROW()-5,'Formulación PDN 2027'!$AK$7:$AK$506,0))&amp;"","")</f>
        <v/>
      </c>
      <c r="E315" s="15" t="str">
        <f>IFERROR(MATCH(INDEX('Formulación PDN 2027'!$O$7:$O$506,MATCH(ROW()-5,'Formulación PDN 2027'!$AK$7:$AK$506,0)),L_MESES,0),"")</f>
        <v/>
      </c>
      <c r="F315" s="15" t="str">
        <f>IFERROR(MATCH(INDEX('Formulación PDN 2027'!$P$7:$P$506,MATCH(ROW()-5,'Formulación PDN 2027'!$AK$7:$AK$506,0)),L_MESES,0),"")</f>
        <v/>
      </c>
      <c r="G315" s="15" t="str">
        <f>IFERROR(INDEX('Formulación PDN 2027'!$Q$7:$Q$506,MATCH(ROW()-5,'Formulación PDN 2027'!$AK$7:$AK$506,0)),"")</f>
        <v/>
      </c>
      <c r="H315" s="15" t="str">
        <f>IFERROR(INDEX('Formulación PDN 2027'!$R$7:$R$506,MATCH(ROW()-5,'Formulación PDN 2027'!$AK$7:$AK$506,0))&amp;"","")</f>
        <v/>
      </c>
      <c r="I315" s="15" t="str">
        <f>IFERROR(INDEX('Formulación PDN 2027'!$S$7:$S$506,MATCH(ROW()-5,'Formulación PDN 2027'!$AK$7:$AK$506,0))&amp;"","")</f>
        <v/>
      </c>
      <c r="J315" s="15" t="str">
        <f>IFERROR(INDEX('Formulación PDN 2027'!$T$7:$T$506,MATCH(ROW()-5,'Formulación PDN 2027'!$AK$7:$AK$506,0))&amp;"","")</f>
        <v/>
      </c>
      <c r="K315" s="43" t="str">
        <f>IFERROR(INDEX('Formulación PDN 2027'!$W$7:$W$506,MATCH(ROW()-5,'Formulación PDN 2027'!$AK$7:$AK$506,0)),"")</f>
        <v/>
      </c>
      <c r="L315" s="43" t="str">
        <f>IFERROR(INDEX('Formulación PDN 2027'!$X$7:$X$506,MATCH(ROW()-5,'Formulación PDN 2027'!$AK$7:$AK$506,0)),"")</f>
        <v/>
      </c>
      <c r="M315" s="15" t="str">
        <f>IFERROR(INDEX('Formulación PDN 2027'!$Y$7:$Y$506,MATCH(ROW()-5,'Formulación PDN 2027'!$AK$7:$AK$506,0))&amp;"","")</f>
        <v/>
      </c>
      <c r="N315" s="15" t="str">
        <f>IFERROR(INDEX('Formulación PDN 2027'!$Z$7:$Z$506,MATCH(ROW()-5,'Formulación PDN 2027'!$AK$7:$AK$506,0))&amp;"","")</f>
        <v/>
      </c>
      <c r="O315" s="15"/>
      <c r="P315" s="15" t="str">
        <f>IFERROR(INDEX('Formulación PDN 2027'!$AA$7:$AA$506,MATCH(ROW()-5,'Formulación PDN 2027'!$AK$7:$AK$506,0))&amp;"","")</f>
        <v/>
      </c>
      <c r="Q315" s="15" t="str">
        <f>IFERROR(INDEX('Formulación PDN 2027'!$AB$7:$AB$506,MATCH(ROW()-5,'Formulación PDN 2027'!$AK$7:$AK$506,0))&amp;"","")</f>
        <v/>
      </c>
      <c r="R315" s="15" t="str">
        <f>IFERROR(INDEX('Formulación PDN 2027'!$AD$7:$AD$506,MATCH(ROW()-5,'Formulación PDN 2027'!$AK$7:$AK$506,0))&amp;"","")</f>
        <v/>
      </c>
      <c r="S315" s="15" t="str">
        <f>IFERROR(INDEX('Formulación PDN 2027'!$AE$7:$AE$506,MATCH(ROW()-5,'Formulación PDN 2027'!$AK$7:$AK$506,0))&amp;"","")</f>
        <v/>
      </c>
      <c r="T315" s="15" t="str">
        <f>IFERROR(INDEX('Formulación PDN 2027'!$C$7:$C$506,MATCH(ROW()-5,'Formulación PDN 2027'!$AK$7:$AK$506,0))&amp;"","")</f>
        <v/>
      </c>
      <c r="U315" s="15" t="str">
        <f>IFERROR(INDEX('Formulación PDN 2027'!$B$7:$B$506,MATCH(ROW()-5,'Formulación PDN 2027'!$AK$7:$AK$506,0))&amp;"","")</f>
        <v/>
      </c>
      <c r="V315" s="15" t="str">
        <f>IFERROR(LEFT(INDEX('Formulación PDN 2027'!$E$7:$E$506,MATCH(ROW()-5,'Formulación PDN 2027'!$AK$7:$AK$506,0)),7),"")</f>
        <v/>
      </c>
      <c r="W315" s="15" t="str">
        <f>IFERROR(INDEX('Formulación PDN 2027'!$H$7:$H$506,MATCH(ROW()-5,'Formulación PDN 2027'!$AK$7:$AK$506,0))&amp;"","")</f>
        <v/>
      </c>
      <c r="X315" s="15" t="str">
        <f>IFERROR(INDEX('Formulación PDN 2027'!$U$7:$U$506,MATCH(ROW()-5,'Formulación PDN 2027'!$AK$7:$AK$506,0))&amp;"","")</f>
        <v/>
      </c>
      <c r="Y315" s="15" t="str">
        <f>IFERROR(INDEX('Formulación PDN 2027'!$AH$7:$AH$506,MATCH(ROW()-5,'Formulación PDN 2027'!$AK$7:$AK$506,0))&amp;"","")</f>
        <v/>
      </c>
    </row>
    <row r="316" spans="1:25" x14ac:dyDescent="0.3">
      <c r="A316" s="15" t="str">
        <f>IFERROR(INDEX('Formulación PDN 2027'!$A$7:$A$506,MATCH(ROW()-5,'Formulación PDN 2027'!$AK$7:$AK$506,0))&amp;"","")</f>
        <v/>
      </c>
      <c r="B316" s="20" t="str">
        <f>IFERROR(INDEX('Formulación PDN 2027'!$M$7:$M$506,MATCH(ROW()-5,'Formulación PDN 2027'!$AK$7:$AK$506,0)),"")</f>
        <v/>
      </c>
      <c r="C316" s="15" t="str">
        <f>IFERROR(INDEX('Formulación PDN 2027'!$N$7:$N$506,MATCH(ROW()-5,'Formulación PDN 2027'!$AK$7:$AK$506,0))&amp;"","")</f>
        <v/>
      </c>
      <c r="D316" s="15" t="str">
        <f>IFERROR(INDEX('Formulación PDN 2027'!$L$7:$L$506,MATCH(ROW()-5,'Formulación PDN 2027'!$AK$7:$AK$506,0))&amp;"","")</f>
        <v/>
      </c>
      <c r="E316" s="15" t="str">
        <f>IFERROR(MATCH(INDEX('Formulación PDN 2027'!$O$7:$O$506,MATCH(ROW()-5,'Formulación PDN 2027'!$AK$7:$AK$506,0)),L_MESES,0),"")</f>
        <v/>
      </c>
      <c r="F316" s="15" t="str">
        <f>IFERROR(MATCH(INDEX('Formulación PDN 2027'!$P$7:$P$506,MATCH(ROW()-5,'Formulación PDN 2027'!$AK$7:$AK$506,0)),L_MESES,0),"")</f>
        <v/>
      </c>
      <c r="G316" s="15" t="str">
        <f>IFERROR(INDEX('Formulación PDN 2027'!$Q$7:$Q$506,MATCH(ROW()-5,'Formulación PDN 2027'!$AK$7:$AK$506,0)),"")</f>
        <v/>
      </c>
      <c r="H316" s="15" t="str">
        <f>IFERROR(INDEX('Formulación PDN 2027'!$R$7:$R$506,MATCH(ROW()-5,'Formulación PDN 2027'!$AK$7:$AK$506,0))&amp;"","")</f>
        <v/>
      </c>
      <c r="I316" s="15" t="str">
        <f>IFERROR(INDEX('Formulación PDN 2027'!$S$7:$S$506,MATCH(ROW()-5,'Formulación PDN 2027'!$AK$7:$AK$506,0))&amp;"","")</f>
        <v/>
      </c>
      <c r="J316" s="15" t="str">
        <f>IFERROR(INDEX('Formulación PDN 2027'!$T$7:$T$506,MATCH(ROW()-5,'Formulación PDN 2027'!$AK$7:$AK$506,0))&amp;"","")</f>
        <v/>
      </c>
      <c r="K316" s="43" t="str">
        <f>IFERROR(INDEX('Formulación PDN 2027'!$W$7:$W$506,MATCH(ROW()-5,'Formulación PDN 2027'!$AK$7:$AK$506,0)),"")</f>
        <v/>
      </c>
      <c r="L316" s="43" t="str">
        <f>IFERROR(INDEX('Formulación PDN 2027'!$X$7:$X$506,MATCH(ROW()-5,'Formulación PDN 2027'!$AK$7:$AK$506,0)),"")</f>
        <v/>
      </c>
      <c r="M316" s="15" t="str">
        <f>IFERROR(INDEX('Formulación PDN 2027'!$Y$7:$Y$506,MATCH(ROW()-5,'Formulación PDN 2027'!$AK$7:$AK$506,0))&amp;"","")</f>
        <v/>
      </c>
      <c r="N316" s="15" t="str">
        <f>IFERROR(INDEX('Formulación PDN 2027'!$Z$7:$Z$506,MATCH(ROW()-5,'Formulación PDN 2027'!$AK$7:$AK$506,0))&amp;"","")</f>
        <v/>
      </c>
      <c r="O316" s="15"/>
      <c r="P316" s="15" t="str">
        <f>IFERROR(INDEX('Formulación PDN 2027'!$AA$7:$AA$506,MATCH(ROW()-5,'Formulación PDN 2027'!$AK$7:$AK$506,0))&amp;"","")</f>
        <v/>
      </c>
      <c r="Q316" s="15" t="str">
        <f>IFERROR(INDEX('Formulación PDN 2027'!$AB$7:$AB$506,MATCH(ROW()-5,'Formulación PDN 2027'!$AK$7:$AK$506,0))&amp;"","")</f>
        <v/>
      </c>
      <c r="R316" s="15" t="str">
        <f>IFERROR(INDEX('Formulación PDN 2027'!$AD$7:$AD$506,MATCH(ROW()-5,'Formulación PDN 2027'!$AK$7:$AK$506,0))&amp;"","")</f>
        <v/>
      </c>
      <c r="S316" s="15" t="str">
        <f>IFERROR(INDEX('Formulación PDN 2027'!$AE$7:$AE$506,MATCH(ROW()-5,'Formulación PDN 2027'!$AK$7:$AK$506,0))&amp;"","")</f>
        <v/>
      </c>
      <c r="T316" s="15" t="str">
        <f>IFERROR(INDEX('Formulación PDN 2027'!$C$7:$C$506,MATCH(ROW()-5,'Formulación PDN 2027'!$AK$7:$AK$506,0))&amp;"","")</f>
        <v/>
      </c>
      <c r="U316" s="15" t="str">
        <f>IFERROR(INDEX('Formulación PDN 2027'!$B$7:$B$506,MATCH(ROW()-5,'Formulación PDN 2027'!$AK$7:$AK$506,0))&amp;"","")</f>
        <v/>
      </c>
      <c r="V316" s="15" t="str">
        <f>IFERROR(LEFT(INDEX('Formulación PDN 2027'!$E$7:$E$506,MATCH(ROW()-5,'Formulación PDN 2027'!$AK$7:$AK$506,0)),7),"")</f>
        <v/>
      </c>
      <c r="W316" s="15" t="str">
        <f>IFERROR(INDEX('Formulación PDN 2027'!$H$7:$H$506,MATCH(ROW()-5,'Formulación PDN 2027'!$AK$7:$AK$506,0))&amp;"","")</f>
        <v/>
      </c>
      <c r="X316" s="15" t="str">
        <f>IFERROR(INDEX('Formulación PDN 2027'!$U$7:$U$506,MATCH(ROW()-5,'Formulación PDN 2027'!$AK$7:$AK$506,0))&amp;"","")</f>
        <v/>
      </c>
      <c r="Y316" s="15" t="str">
        <f>IFERROR(INDEX('Formulación PDN 2027'!$AH$7:$AH$506,MATCH(ROW()-5,'Formulación PDN 2027'!$AK$7:$AK$506,0))&amp;"","")</f>
        <v/>
      </c>
    </row>
    <row r="317" spans="1:25" x14ac:dyDescent="0.3">
      <c r="A317" s="15" t="str">
        <f>IFERROR(INDEX('Formulación PDN 2027'!$A$7:$A$506,MATCH(ROW()-5,'Formulación PDN 2027'!$AK$7:$AK$506,0))&amp;"","")</f>
        <v/>
      </c>
      <c r="B317" s="20" t="str">
        <f>IFERROR(INDEX('Formulación PDN 2027'!$M$7:$M$506,MATCH(ROW()-5,'Formulación PDN 2027'!$AK$7:$AK$506,0)),"")</f>
        <v/>
      </c>
      <c r="C317" s="15" t="str">
        <f>IFERROR(INDEX('Formulación PDN 2027'!$N$7:$N$506,MATCH(ROW()-5,'Formulación PDN 2027'!$AK$7:$AK$506,0))&amp;"","")</f>
        <v/>
      </c>
      <c r="D317" s="15" t="str">
        <f>IFERROR(INDEX('Formulación PDN 2027'!$L$7:$L$506,MATCH(ROW()-5,'Formulación PDN 2027'!$AK$7:$AK$506,0))&amp;"","")</f>
        <v/>
      </c>
      <c r="E317" s="15" t="str">
        <f>IFERROR(MATCH(INDEX('Formulación PDN 2027'!$O$7:$O$506,MATCH(ROW()-5,'Formulación PDN 2027'!$AK$7:$AK$506,0)),L_MESES,0),"")</f>
        <v/>
      </c>
      <c r="F317" s="15" t="str">
        <f>IFERROR(MATCH(INDEX('Formulación PDN 2027'!$P$7:$P$506,MATCH(ROW()-5,'Formulación PDN 2027'!$AK$7:$AK$506,0)),L_MESES,0),"")</f>
        <v/>
      </c>
      <c r="G317" s="15" t="str">
        <f>IFERROR(INDEX('Formulación PDN 2027'!$Q$7:$Q$506,MATCH(ROW()-5,'Formulación PDN 2027'!$AK$7:$AK$506,0)),"")</f>
        <v/>
      </c>
      <c r="H317" s="15" t="str">
        <f>IFERROR(INDEX('Formulación PDN 2027'!$R$7:$R$506,MATCH(ROW()-5,'Formulación PDN 2027'!$AK$7:$AK$506,0))&amp;"","")</f>
        <v/>
      </c>
      <c r="I317" s="15" t="str">
        <f>IFERROR(INDEX('Formulación PDN 2027'!$S$7:$S$506,MATCH(ROW()-5,'Formulación PDN 2027'!$AK$7:$AK$506,0))&amp;"","")</f>
        <v/>
      </c>
      <c r="J317" s="15" t="str">
        <f>IFERROR(INDEX('Formulación PDN 2027'!$T$7:$T$506,MATCH(ROW()-5,'Formulación PDN 2027'!$AK$7:$AK$506,0))&amp;"","")</f>
        <v/>
      </c>
      <c r="K317" s="43" t="str">
        <f>IFERROR(INDEX('Formulación PDN 2027'!$W$7:$W$506,MATCH(ROW()-5,'Formulación PDN 2027'!$AK$7:$AK$506,0)),"")</f>
        <v/>
      </c>
      <c r="L317" s="43" t="str">
        <f>IFERROR(INDEX('Formulación PDN 2027'!$X$7:$X$506,MATCH(ROW()-5,'Formulación PDN 2027'!$AK$7:$AK$506,0)),"")</f>
        <v/>
      </c>
      <c r="M317" s="15" t="str">
        <f>IFERROR(INDEX('Formulación PDN 2027'!$Y$7:$Y$506,MATCH(ROW()-5,'Formulación PDN 2027'!$AK$7:$AK$506,0))&amp;"","")</f>
        <v/>
      </c>
      <c r="N317" s="15" t="str">
        <f>IFERROR(INDEX('Formulación PDN 2027'!$Z$7:$Z$506,MATCH(ROW()-5,'Formulación PDN 2027'!$AK$7:$AK$506,0))&amp;"","")</f>
        <v/>
      </c>
      <c r="O317" s="15"/>
      <c r="P317" s="15" t="str">
        <f>IFERROR(INDEX('Formulación PDN 2027'!$AA$7:$AA$506,MATCH(ROW()-5,'Formulación PDN 2027'!$AK$7:$AK$506,0))&amp;"","")</f>
        <v/>
      </c>
      <c r="Q317" s="15" t="str">
        <f>IFERROR(INDEX('Formulación PDN 2027'!$AB$7:$AB$506,MATCH(ROW()-5,'Formulación PDN 2027'!$AK$7:$AK$506,0))&amp;"","")</f>
        <v/>
      </c>
      <c r="R317" s="15" t="str">
        <f>IFERROR(INDEX('Formulación PDN 2027'!$AD$7:$AD$506,MATCH(ROW()-5,'Formulación PDN 2027'!$AK$7:$AK$506,0))&amp;"","")</f>
        <v/>
      </c>
      <c r="S317" s="15" t="str">
        <f>IFERROR(INDEX('Formulación PDN 2027'!$AE$7:$AE$506,MATCH(ROW()-5,'Formulación PDN 2027'!$AK$7:$AK$506,0))&amp;"","")</f>
        <v/>
      </c>
      <c r="T317" s="15" t="str">
        <f>IFERROR(INDEX('Formulación PDN 2027'!$C$7:$C$506,MATCH(ROW()-5,'Formulación PDN 2027'!$AK$7:$AK$506,0))&amp;"","")</f>
        <v/>
      </c>
      <c r="U317" s="15" t="str">
        <f>IFERROR(INDEX('Formulación PDN 2027'!$B$7:$B$506,MATCH(ROW()-5,'Formulación PDN 2027'!$AK$7:$AK$506,0))&amp;"","")</f>
        <v/>
      </c>
      <c r="V317" s="15" t="str">
        <f>IFERROR(LEFT(INDEX('Formulación PDN 2027'!$E$7:$E$506,MATCH(ROW()-5,'Formulación PDN 2027'!$AK$7:$AK$506,0)),7),"")</f>
        <v/>
      </c>
      <c r="W317" s="15" t="str">
        <f>IFERROR(INDEX('Formulación PDN 2027'!$H$7:$H$506,MATCH(ROW()-5,'Formulación PDN 2027'!$AK$7:$AK$506,0))&amp;"","")</f>
        <v/>
      </c>
      <c r="X317" s="15" t="str">
        <f>IFERROR(INDEX('Formulación PDN 2027'!$U$7:$U$506,MATCH(ROW()-5,'Formulación PDN 2027'!$AK$7:$AK$506,0))&amp;"","")</f>
        <v/>
      </c>
      <c r="Y317" s="15" t="str">
        <f>IFERROR(INDEX('Formulación PDN 2027'!$AH$7:$AH$506,MATCH(ROW()-5,'Formulación PDN 2027'!$AK$7:$AK$506,0))&amp;"","")</f>
        <v/>
      </c>
    </row>
    <row r="318" spans="1:25" x14ac:dyDescent="0.3">
      <c r="A318" s="15" t="str">
        <f>IFERROR(INDEX('Formulación PDN 2027'!$A$7:$A$506,MATCH(ROW()-5,'Formulación PDN 2027'!$AK$7:$AK$506,0))&amp;"","")</f>
        <v/>
      </c>
      <c r="B318" s="20" t="str">
        <f>IFERROR(INDEX('Formulación PDN 2027'!$M$7:$M$506,MATCH(ROW()-5,'Formulación PDN 2027'!$AK$7:$AK$506,0)),"")</f>
        <v/>
      </c>
      <c r="C318" s="15" t="str">
        <f>IFERROR(INDEX('Formulación PDN 2027'!$N$7:$N$506,MATCH(ROW()-5,'Formulación PDN 2027'!$AK$7:$AK$506,0))&amp;"","")</f>
        <v/>
      </c>
      <c r="D318" s="15" t="str">
        <f>IFERROR(INDEX('Formulación PDN 2027'!$L$7:$L$506,MATCH(ROW()-5,'Formulación PDN 2027'!$AK$7:$AK$506,0))&amp;"","")</f>
        <v/>
      </c>
      <c r="E318" s="15" t="str">
        <f>IFERROR(MATCH(INDEX('Formulación PDN 2027'!$O$7:$O$506,MATCH(ROW()-5,'Formulación PDN 2027'!$AK$7:$AK$506,0)),L_MESES,0),"")</f>
        <v/>
      </c>
      <c r="F318" s="15" t="str">
        <f>IFERROR(MATCH(INDEX('Formulación PDN 2027'!$P$7:$P$506,MATCH(ROW()-5,'Formulación PDN 2027'!$AK$7:$AK$506,0)),L_MESES,0),"")</f>
        <v/>
      </c>
      <c r="G318" s="15" t="str">
        <f>IFERROR(INDEX('Formulación PDN 2027'!$Q$7:$Q$506,MATCH(ROW()-5,'Formulación PDN 2027'!$AK$7:$AK$506,0)),"")</f>
        <v/>
      </c>
      <c r="H318" s="15" t="str">
        <f>IFERROR(INDEX('Formulación PDN 2027'!$R$7:$R$506,MATCH(ROW()-5,'Formulación PDN 2027'!$AK$7:$AK$506,0))&amp;"","")</f>
        <v/>
      </c>
      <c r="I318" s="15" t="str">
        <f>IFERROR(INDEX('Formulación PDN 2027'!$S$7:$S$506,MATCH(ROW()-5,'Formulación PDN 2027'!$AK$7:$AK$506,0))&amp;"","")</f>
        <v/>
      </c>
      <c r="J318" s="15" t="str">
        <f>IFERROR(INDEX('Formulación PDN 2027'!$T$7:$T$506,MATCH(ROW()-5,'Formulación PDN 2027'!$AK$7:$AK$506,0))&amp;"","")</f>
        <v/>
      </c>
      <c r="K318" s="43" t="str">
        <f>IFERROR(INDEX('Formulación PDN 2027'!$W$7:$W$506,MATCH(ROW()-5,'Formulación PDN 2027'!$AK$7:$AK$506,0)),"")</f>
        <v/>
      </c>
      <c r="L318" s="43" t="str">
        <f>IFERROR(INDEX('Formulación PDN 2027'!$X$7:$X$506,MATCH(ROW()-5,'Formulación PDN 2027'!$AK$7:$AK$506,0)),"")</f>
        <v/>
      </c>
      <c r="M318" s="15" t="str">
        <f>IFERROR(INDEX('Formulación PDN 2027'!$Y$7:$Y$506,MATCH(ROW()-5,'Formulación PDN 2027'!$AK$7:$AK$506,0))&amp;"","")</f>
        <v/>
      </c>
      <c r="N318" s="15" t="str">
        <f>IFERROR(INDEX('Formulación PDN 2027'!$Z$7:$Z$506,MATCH(ROW()-5,'Formulación PDN 2027'!$AK$7:$AK$506,0))&amp;"","")</f>
        <v/>
      </c>
      <c r="O318" s="15"/>
      <c r="P318" s="15" t="str">
        <f>IFERROR(INDEX('Formulación PDN 2027'!$AA$7:$AA$506,MATCH(ROW()-5,'Formulación PDN 2027'!$AK$7:$AK$506,0))&amp;"","")</f>
        <v/>
      </c>
      <c r="Q318" s="15" t="str">
        <f>IFERROR(INDEX('Formulación PDN 2027'!$AB$7:$AB$506,MATCH(ROW()-5,'Formulación PDN 2027'!$AK$7:$AK$506,0))&amp;"","")</f>
        <v/>
      </c>
      <c r="R318" s="15" t="str">
        <f>IFERROR(INDEX('Formulación PDN 2027'!$AD$7:$AD$506,MATCH(ROW()-5,'Formulación PDN 2027'!$AK$7:$AK$506,0))&amp;"","")</f>
        <v/>
      </c>
      <c r="S318" s="15" t="str">
        <f>IFERROR(INDEX('Formulación PDN 2027'!$AE$7:$AE$506,MATCH(ROW()-5,'Formulación PDN 2027'!$AK$7:$AK$506,0))&amp;"","")</f>
        <v/>
      </c>
      <c r="T318" s="15" t="str">
        <f>IFERROR(INDEX('Formulación PDN 2027'!$C$7:$C$506,MATCH(ROW()-5,'Formulación PDN 2027'!$AK$7:$AK$506,0))&amp;"","")</f>
        <v/>
      </c>
      <c r="U318" s="15" t="str">
        <f>IFERROR(INDEX('Formulación PDN 2027'!$B$7:$B$506,MATCH(ROW()-5,'Formulación PDN 2027'!$AK$7:$AK$506,0))&amp;"","")</f>
        <v/>
      </c>
      <c r="V318" s="15" t="str">
        <f>IFERROR(LEFT(INDEX('Formulación PDN 2027'!$E$7:$E$506,MATCH(ROW()-5,'Formulación PDN 2027'!$AK$7:$AK$506,0)),7),"")</f>
        <v/>
      </c>
      <c r="W318" s="15" t="str">
        <f>IFERROR(INDEX('Formulación PDN 2027'!$H$7:$H$506,MATCH(ROW()-5,'Formulación PDN 2027'!$AK$7:$AK$506,0))&amp;"","")</f>
        <v/>
      </c>
      <c r="X318" s="15" t="str">
        <f>IFERROR(INDEX('Formulación PDN 2027'!$U$7:$U$506,MATCH(ROW()-5,'Formulación PDN 2027'!$AK$7:$AK$506,0))&amp;"","")</f>
        <v/>
      </c>
      <c r="Y318" s="15" t="str">
        <f>IFERROR(INDEX('Formulación PDN 2027'!$AH$7:$AH$506,MATCH(ROW()-5,'Formulación PDN 2027'!$AK$7:$AK$506,0))&amp;"","")</f>
        <v/>
      </c>
    </row>
    <row r="319" spans="1:25" x14ac:dyDescent="0.3">
      <c r="A319" s="15" t="str">
        <f>IFERROR(INDEX('Formulación PDN 2027'!$A$7:$A$506,MATCH(ROW()-5,'Formulación PDN 2027'!$AK$7:$AK$506,0))&amp;"","")</f>
        <v/>
      </c>
      <c r="B319" s="20" t="str">
        <f>IFERROR(INDEX('Formulación PDN 2027'!$M$7:$M$506,MATCH(ROW()-5,'Formulación PDN 2027'!$AK$7:$AK$506,0)),"")</f>
        <v/>
      </c>
      <c r="C319" s="15" t="str">
        <f>IFERROR(INDEX('Formulación PDN 2027'!$N$7:$N$506,MATCH(ROW()-5,'Formulación PDN 2027'!$AK$7:$AK$506,0))&amp;"","")</f>
        <v/>
      </c>
      <c r="D319" s="15" t="str">
        <f>IFERROR(INDEX('Formulación PDN 2027'!$L$7:$L$506,MATCH(ROW()-5,'Formulación PDN 2027'!$AK$7:$AK$506,0))&amp;"","")</f>
        <v/>
      </c>
      <c r="E319" s="15" t="str">
        <f>IFERROR(MATCH(INDEX('Formulación PDN 2027'!$O$7:$O$506,MATCH(ROW()-5,'Formulación PDN 2027'!$AK$7:$AK$506,0)),L_MESES,0),"")</f>
        <v/>
      </c>
      <c r="F319" s="15" t="str">
        <f>IFERROR(MATCH(INDEX('Formulación PDN 2027'!$P$7:$P$506,MATCH(ROW()-5,'Formulación PDN 2027'!$AK$7:$AK$506,0)),L_MESES,0),"")</f>
        <v/>
      </c>
      <c r="G319" s="15" t="str">
        <f>IFERROR(INDEX('Formulación PDN 2027'!$Q$7:$Q$506,MATCH(ROW()-5,'Formulación PDN 2027'!$AK$7:$AK$506,0)),"")</f>
        <v/>
      </c>
      <c r="H319" s="15" t="str">
        <f>IFERROR(INDEX('Formulación PDN 2027'!$R$7:$R$506,MATCH(ROW()-5,'Formulación PDN 2027'!$AK$7:$AK$506,0))&amp;"","")</f>
        <v/>
      </c>
      <c r="I319" s="15" t="str">
        <f>IFERROR(INDEX('Formulación PDN 2027'!$S$7:$S$506,MATCH(ROW()-5,'Formulación PDN 2027'!$AK$7:$AK$506,0))&amp;"","")</f>
        <v/>
      </c>
      <c r="J319" s="15" t="str">
        <f>IFERROR(INDEX('Formulación PDN 2027'!$T$7:$T$506,MATCH(ROW()-5,'Formulación PDN 2027'!$AK$7:$AK$506,0))&amp;"","")</f>
        <v/>
      </c>
      <c r="K319" s="43" t="str">
        <f>IFERROR(INDEX('Formulación PDN 2027'!$W$7:$W$506,MATCH(ROW()-5,'Formulación PDN 2027'!$AK$7:$AK$506,0)),"")</f>
        <v/>
      </c>
      <c r="L319" s="43" t="str">
        <f>IFERROR(INDEX('Formulación PDN 2027'!$X$7:$X$506,MATCH(ROW()-5,'Formulación PDN 2027'!$AK$7:$AK$506,0)),"")</f>
        <v/>
      </c>
      <c r="M319" s="15" t="str">
        <f>IFERROR(INDEX('Formulación PDN 2027'!$Y$7:$Y$506,MATCH(ROW()-5,'Formulación PDN 2027'!$AK$7:$AK$506,0))&amp;"","")</f>
        <v/>
      </c>
      <c r="N319" s="15" t="str">
        <f>IFERROR(INDEX('Formulación PDN 2027'!$Z$7:$Z$506,MATCH(ROW()-5,'Formulación PDN 2027'!$AK$7:$AK$506,0))&amp;"","")</f>
        <v/>
      </c>
      <c r="O319" s="15"/>
      <c r="P319" s="15" t="str">
        <f>IFERROR(INDEX('Formulación PDN 2027'!$AA$7:$AA$506,MATCH(ROW()-5,'Formulación PDN 2027'!$AK$7:$AK$506,0))&amp;"","")</f>
        <v/>
      </c>
      <c r="Q319" s="15" t="str">
        <f>IFERROR(INDEX('Formulación PDN 2027'!$AB$7:$AB$506,MATCH(ROW()-5,'Formulación PDN 2027'!$AK$7:$AK$506,0))&amp;"","")</f>
        <v/>
      </c>
      <c r="R319" s="15" t="str">
        <f>IFERROR(INDEX('Formulación PDN 2027'!$AD$7:$AD$506,MATCH(ROW()-5,'Formulación PDN 2027'!$AK$7:$AK$506,0))&amp;"","")</f>
        <v/>
      </c>
      <c r="S319" s="15" t="str">
        <f>IFERROR(INDEX('Formulación PDN 2027'!$AE$7:$AE$506,MATCH(ROW()-5,'Formulación PDN 2027'!$AK$7:$AK$506,0))&amp;"","")</f>
        <v/>
      </c>
      <c r="T319" s="15" t="str">
        <f>IFERROR(INDEX('Formulación PDN 2027'!$C$7:$C$506,MATCH(ROW()-5,'Formulación PDN 2027'!$AK$7:$AK$506,0))&amp;"","")</f>
        <v/>
      </c>
      <c r="U319" s="15" t="str">
        <f>IFERROR(INDEX('Formulación PDN 2027'!$B$7:$B$506,MATCH(ROW()-5,'Formulación PDN 2027'!$AK$7:$AK$506,0))&amp;"","")</f>
        <v/>
      </c>
      <c r="V319" s="15" t="str">
        <f>IFERROR(LEFT(INDEX('Formulación PDN 2027'!$E$7:$E$506,MATCH(ROW()-5,'Formulación PDN 2027'!$AK$7:$AK$506,0)),7),"")</f>
        <v/>
      </c>
      <c r="W319" s="15" t="str">
        <f>IFERROR(INDEX('Formulación PDN 2027'!$H$7:$H$506,MATCH(ROW()-5,'Formulación PDN 2027'!$AK$7:$AK$506,0))&amp;"","")</f>
        <v/>
      </c>
      <c r="X319" s="15" t="str">
        <f>IFERROR(INDEX('Formulación PDN 2027'!$U$7:$U$506,MATCH(ROW()-5,'Formulación PDN 2027'!$AK$7:$AK$506,0))&amp;"","")</f>
        <v/>
      </c>
      <c r="Y319" s="15" t="str">
        <f>IFERROR(INDEX('Formulación PDN 2027'!$AH$7:$AH$506,MATCH(ROW()-5,'Formulación PDN 2027'!$AK$7:$AK$506,0))&amp;"","")</f>
        <v/>
      </c>
    </row>
    <row r="320" spans="1:25" x14ac:dyDescent="0.3">
      <c r="A320" s="15" t="str">
        <f>IFERROR(INDEX('Formulación PDN 2027'!$A$7:$A$506,MATCH(ROW()-5,'Formulación PDN 2027'!$AK$7:$AK$506,0))&amp;"","")</f>
        <v/>
      </c>
      <c r="B320" s="20" t="str">
        <f>IFERROR(INDEX('Formulación PDN 2027'!$M$7:$M$506,MATCH(ROW()-5,'Formulación PDN 2027'!$AK$7:$AK$506,0)),"")</f>
        <v/>
      </c>
      <c r="C320" s="15" t="str">
        <f>IFERROR(INDEX('Formulación PDN 2027'!$N$7:$N$506,MATCH(ROW()-5,'Formulación PDN 2027'!$AK$7:$AK$506,0))&amp;"","")</f>
        <v/>
      </c>
      <c r="D320" s="15" t="str">
        <f>IFERROR(INDEX('Formulación PDN 2027'!$L$7:$L$506,MATCH(ROW()-5,'Formulación PDN 2027'!$AK$7:$AK$506,0))&amp;"","")</f>
        <v/>
      </c>
      <c r="E320" s="15" t="str">
        <f>IFERROR(MATCH(INDEX('Formulación PDN 2027'!$O$7:$O$506,MATCH(ROW()-5,'Formulación PDN 2027'!$AK$7:$AK$506,0)),L_MESES,0),"")</f>
        <v/>
      </c>
      <c r="F320" s="15" t="str">
        <f>IFERROR(MATCH(INDEX('Formulación PDN 2027'!$P$7:$P$506,MATCH(ROW()-5,'Formulación PDN 2027'!$AK$7:$AK$506,0)),L_MESES,0),"")</f>
        <v/>
      </c>
      <c r="G320" s="15" t="str">
        <f>IFERROR(INDEX('Formulación PDN 2027'!$Q$7:$Q$506,MATCH(ROW()-5,'Formulación PDN 2027'!$AK$7:$AK$506,0)),"")</f>
        <v/>
      </c>
      <c r="H320" s="15" t="str">
        <f>IFERROR(INDEX('Formulación PDN 2027'!$R$7:$R$506,MATCH(ROW()-5,'Formulación PDN 2027'!$AK$7:$AK$506,0))&amp;"","")</f>
        <v/>
      </c>
      <c r="I320" s="15" t="str">
        <f>IFERROR(INDEX('Formulación PDN 2027'!$S$7:$S$506,MATCH(ROW()-5,'Formulación PDN 2027'!$AK$7:$AK$506,0))&amp;"","")</f>
        <v/>
      </c>
      <c r="J320" s="15" t="str">
        <f>IFERROR(INDEX('Formulación PDN 2027'!$T$7:$T$506,MATCH(ROW()-5,'Formulación PDN 2027'!$AK$7:$AK$506,0))&amp;"","")</f>
        <v/>
      </c>
      <c r="K320" s="43" t="str">
        <f>IFERROR(INDEX('Formulación PDN 2027'!$W$7:$W$506,MATCH(ROW()-5,'Formulación PDN 2027'!$AK$7:$AK$506,0)),"")</f>
        <v/>
      </c>
      <c r="L320" s="43" t="str">
        <f>IFERROR(INDEX('Formulación PDN 2027'!$X$7:$X$506,MATCH(ROW()-5,'Formulación PDN 2027'!$AK$7:$AK$506,0)),"")</f>
        <v/>
      </c>
      <c r="M320" s="15" t="str">
        <f>IFERROR(INDEX('Formulación PDN 2027'!$Y$7:$Y$506,MATCH(ROW()-5,'Formulación PDN 2027'!$AK$7:$AK$506,0))&amp;"","")</f>
        <v/>
      </c>
      <c r="N320" s="15" t="str">
        <f>IFERROR(INDEX('Formulación PDN 2027'!$Z$7:$Z$506,MATCH(ROW()-5,'Formulación PDN 2027'!$AK$7:$AK$506,0))&amp;"","")</f>
        <v/>
      </c>
      <c r="O320" s="15"/>
      <c r="P320" s="15" t="str">
        <f>IFERROR(INDEX('Formulación PDN 2027'!$AA$7:$AA$506,MATCH(ROW()-5,'Formulación PDN 2027'!$AK$7:$AK$506,0))&amp;"","")</f>
        <v/>
      </c>
      <c r="Q320" s="15" t="str">
        <f>IFERROR(INDEX('Formulación PDN 2027'!$AB$7:$AB$506,MATCH(ROW()-5,'Formulación PDN 2027'!$AK$7:$AK$506,0))&amp;"","")</f>
        <v/>
      </c>
      <c r="R320" s="15" t="str">
        <f>IFERROR(INDEX('Formulación PDN 2027'!$AD$7:$AD$506,MATCH(ROW()-5,'Formulación PDN 2027'!$AK$7:$AK$506,0))&amp;"","")</f>
        <v/>
      </c>
      <c r="S320" s="15" t="str">
        <f>IFERROR(INDEX('Formulación PDN 2027'!$AE$7:$AE$506,MATCH(ROW()-5,'Formulación PDN 2027'!$AK$7:$AK$506,0))&amp;"","")</f>
        <v/>
      </c>
      <c r="T320" s="15" t="str">
        <f>IFERROR(INDEX('Formulación PDN 2027'!$C$7:$C$506,MATCH(ROW()-5,'Formulación PDN 2027'!$AK$7:$AK$506,0))&amp;"","")</f>
        <v/>
      </c>
      <c r="U320" s="15" t="str">
        <f>IFERROR(INDEX('Formulación PDN 2027'!$B$7:$B$506,MATCH(ROW()-5,'Formulación PDN 2027'!$AK$7:$AK$506,0))&amp;"","")</f>
        <v/>
      </c>
      <c r="V320" s="15" t="str">
        <f>IFERROR(LEFT(INDEX('Formulación PDN 2027'!$E$7:$E$506,MATCH(ROW()-5,'Formulación PDN 2027'!$AK$7:$AK$506,0)),7),"")</f>
        <v/>
      </c>
      <c r="W320" s="15" t="str">
        <f>IFERROR(INDEX('Formulación PDN 2027'!$H$7:$H$506,MATCH(ROW()-5,'Formulación PDN 2027'!$AK$7:$AK$506,0))&amp;"","")</f>
        <v/>
      </c>
      <c r="X320" s="15" t="str">
        <f>IFERROR(INDEX('Formulación PDN 2027'!$U$7:$U$506,MATCH(ROW()-5,'Formulación PDN 2027'!$AK$7:$AK$506,0))&amp;"","")</f>
        <v/>
      </c>
      <c r="Y320" s="15" t="str">
        <f>IFERROR(INDEX('Formulación PDN 2027'!$AH$7:$AH$506,MATCH(ROW()-5,'Formulación PDN 2027'!$AK$7:$AK$506,0))&amp;"","")</f>
        <v/>
      </c>
    </row>
    <row r="321" spans="1:25" x14ac:dyDescent="0.3">
      <c r="A321" s="15" t="str">
        <f>IFERROR(INDEX('Formulación PDN 2027'!$A$7:$A$506,MATCH(ROW()-5,'Formulación PDN 2027'!$AK$7:$AK$506,0))&amp;"","")</f>
        <v/>
      </c>
      <c r="B321" s="20" t="str">
        <f>IFERROR(INDEX('Formulación PDN 2027'!$M$7:$M$506,MATCH(ROW()-5,'Formulación PDN 2027'!$AK$7:$AK$506,0)),"")</f>
        <v/>
      </c>
      <c r="C321" s="15" t="str">
        <f>IFERROR(INDEX('Formulación PDN 2027'!$N$7:$N$506,MATCH(ROW()-5,'Formulación PDN 2027'!$AK$7:$AK$506,0))&amp;"","")</f>
        <v/>
      </c>
      <c r="D321" s="15" t="str">
        <f>IFERROR(INDEX('Formulación PDN 2027'!$L$7:$L$506,MATCH(ROW()-5,'Formulación PDN 2027'!$AK$7:$AK$506,0))&amp;"","")</f>
        <v/>
      </c>
      <c r="E321" s="15" t="str">
        <f>IFERROR(MATCH(INDEX('Formulación PDN 2027'!$O$7:$O$506,MATCH(ROW()-5,'Formulación PDN 2027'!$AK$7:$AK$506,0)),L_MESES,0),"")</f>
        <v/>
      </c>
      <c r="F321" s="15" t="str">
        <f>IFERROR(MATCH(INDEX('Formulación PDN 2027'!$P$7:$P$506,MATCH(ROW()-5,'Formulación PDN 2027'!$AK$7:$AK$506,0)),L_MESES,0),"")</f>
        <v/>
      </c>
      <c r="G321" s="15" t="str">
        <f>IFERROR(INDEX('Formulación PDN 2027'!$Q$7:$Q$506,MATCH(ROW()-5,'Formulación PDN 2027'!$AK$7:$AK$506,0)),"")</f>
        <v/>
      </c>
      <c r="H321" s="15" t="str">
        <f>IFERROR(INDEX('Formulación PDN 2027'!$R$7:$R$506,MATCH(ROW()-5,'Formulación PDN 2027'!$AK$7:$AK$506,0))&amp;"","")</f>
        <v/>
      </c>
      <c r="I321" s="15" t="str">
        <f>IFERROR(INDEX('Formulación PDN 2027'!$S$7:$S$506,MATCH(ROW()-5,'Formulación PDN 2027'!$AK$7:$AK$506,0))&amp;"","")</f>
        <v/>
      </c>
      <c r="J321" s="15" t="str">
        <f>IFERROR(INDEX('Formulación PDN 2027'!$T$7:$T$506,MATCH(ROW()-5,'Formulación PDN 2027'!$AK$7:$AK$506,0))&amp;"","")</f>
        <v/>
      </c>
      <c r="K321" s="43" t="str">
        <f>IFERROR(INDEX('Formulación PDN 2027'!$W$7:$W$506,MATCH(ROW()-5,'Formulación PDN 2027'!$AK$7:$AK$506,0)),"")</f>
        <v/>
      </c>
      <c r="L321" s="43" t="str">
        <f>IFERROR(INDEX('Formulación PDN 2027'!$X$7:$X$506,MATCH(ROW()-5,'Formulación PDN 2027'!$AK$7:$AK$506,0)),"")</f>
        <v/>
      </c>
      <c r="M321" s="15" t="str">
        <f>IFERROR(INDEX('Formulación PDN 2027'!$Y$7:$Y$506,MATCH(ROW()-5,'Formulación PDN 2027'!$AK$7:$AK$506,0))&amp;"","")</f>
        <v/>
      </c>
      <c r="N321" s="15" t="str">
        <f>IFERROR(INDEX('Formulación PDN 2027'!$Z$7:$Z$506,MATCH(ROW()-5,'Formulación PDN 2027'!$AK$7:$AK$506,0))&amp;"","")</f>
        <v/>
      </c>
      <c r="O321" s="15"/>
      <c r="P321" s="15" t="str">
        <f>IFERROR(INDEX('Formulación PDN 2027'!$AA$7:$AA$506,MATCH(ROW()-5,'Formulación PDN 2027'!$AK$7:$AK$506,0))&amp;"","")</f>
        <v/>
      </c>
      <c r="Q321" s="15" t="str">
        <f>IFERROR(INDEX('Formulación PDN 2027'!$AB$7:$AB$506,MATCH(ROW()-5,'Formulación PDN 2027'!$AK$7:$AK$506,0))&amp;"","")</f>
        <v/>
      </c>
      <c r="R321" s="15" t="str">
        <f>IFERROR(INDEX('Formulación PDN 2027'!$AD$7:$AD$506,MATCH(ROW()-5,'Formulación PDN 2027'!$AK$7:$AK$506,0))&amp;"","")</f>
        <v/>
      </c>
      <c r="S321" s="15" t="str">
        <f>IFERROR(INDEX('Formulación PDN 2027'!$AE$7:$AE$506,MATCH(ROW()-5,'Formulación PDN 2027'!$AK$7:$AK$506,0))&amp;"","")</f>
        <v/>
      </c>
      <c r="T321" s="15" t="str">
        <f>IFERROR(INDEX('Formulación PDN 2027'!$C$7:$C$506,MATCH(ROW()-5,'Formulación PDN 2027'!$AK$7:$AK$506,0))&amp;"","")</f>
        <v/>
      </c>
      <c r="U321" s="15" t="str">
        <f>IFERROR(INDEX('Formulación PDN 2027'!$B$7:$B$506,MATCH(ROW()-5,'Formulación PDN 2027'!$AK$7:$AK$506,0))&amp;"","")</f>
        <v/>
      </c>
      <c r="V321" s="15" t="str">
        <f>IFERROR(LEFT(INDEX('Formulación PDN 2027'!$E$7:$E$506,MATCH(ROW()-5,'Formulación PDN 2027'!$AK$7:$AK$506,0)),7),"")</f>
        <v/>
      </c>
      <c r="W321" s="15" t="str">
        <f>IFERROR(INDEX('Formulación PDN 2027'!$H$7:$H$506,MATCH(ROW()-5,'Formulación PDN 2027'!$AK$7:$AK$506,0))&amp;"","")</f>
        <v/>
      </c>
      <c r="X321" s="15" t="str">
        <f>IFERROR(INDEX('Formulación PDN 2027'!$U$7:$U$506,MATCH(ROW()-5,'Formulación PDN 2027'!$AK$7:$AK$506,0))&amp;"","")</f>
        <v/>
      </c>
      <c r="Y321" s="15" t="str">
        <f>IFERROR(INDEX('Formulación PDN 2027'!$AH$7:$AH$506,MATCH(ROW()-5,'Formulación PDN 2027'!$AK$7:$AK$506,0))&amp;"","")</f>
        <v/>
      </c>
    </row>
    <row r="322" spans="1:25" x14ac:dyDescent="0.3">
      <c r="A322" s="15" t="str">
        <f>IFERROR(INDEX('Formulación PDN 2027'!$A$7:$A$506,MATCH(ROW()-5,'Formulación PDN 2027'!$AK$7:$AK$506,0))&amp;"","")</f>
        <v/>
      </c>
      <c r="B322" s="20" t="str">
        <f>IFERROR(INDEX('Formulación PDN 2027'!$M$7:$M$506,MATCH(ROW()-5,'Formulación PDN 2027'!$AK$7:$AK$506,0)),"")</f>
        <v/>
      </c>
      <c r="C322" s="15" t="str">
        <f>IFERROR(INDEX('Formulación PDN 2027'!$N$7:$N$506,MATCH(ROW()-5,'Formulación PDN 2027'!$AK$7:$AK$506,0))&amp;"","")</f>
        <v/>
      </c>
      <c r="D322" s="15" t="str">
        <f>IFERROR(INDEX('Formulación PDN 2027'!$L$7:$L$506,MATCH(ROW()-5,'Formulación PDN 2027'!$AK$7:$AK$506,0))&amp;"","")</f>
        <v/>
      </c>
      <c r="E322" s="15" t="str">
        <f>IFERROR(MATCH(INDEX('Formulación PDN 2027'!$O$7:$O$506,MATCH(ROW()-5,'Formulación PDN 2027'!$AK$7:$AK$506,0)),L_MESES,0),"")</f>
        <v/>
      </c>
      <c r="F322" s="15" t="str">
        <f>IFERROR(MATCH(INDEX('Formulación PDN 2027'!$P$7:$P$506,MATCH(ROW()-5,'Formulación PDN 2027'!$AK$7:$AK$506,0)),L_MESES,0),"")</f>
        <v/>
      </c>
      <c r="G322" s="15" t="str">
        <f>IFERROR(INDEX('Formulación PDN 2027'!$Q$7:$Q$506,MATCH(ROW()-5,'Formulación PDN 2027'!$AK$7:$AK$506,0)),"")</f>
        <v/>
      </c>
      <c r="H322" s="15" t="str">
        <f>IFERROR(INDEX('Formulación PDN 2027'!$R$7:$R$506,MATCH(ROW()-5,'Formulación PDN 2027'!$AK$7:$AK$506,0))&amp;"","")</f>
        <v/>
      </c>
      <c r="I322" s="15" t="str">
        <f>IFERROR(INDEX('Formulación PDN 2027'!$S$7:$S$506,MATCH(ROW()-5,'Formulación PDN 2027'!$AK$7:$AK$506,0))&amp;"","")</f>
        <v/>
      </c>
      <c r="J322" s="15" t="str">
        <f>IFERROR(INDEX('Formulación PDN 2027'!$T$7:$T$506,MATCH(ROW()-5,'Formulación PDN 2027'!$AK$7:$AK$506,0))&amp;"","")</f>
        <v/>
      </c>
      <c r="K322" s="43" t="str">
        <f>IFERROR(INDEX('Formulación PDN 2027'!$W$7:$W$506,MATCH(ROW()-5,'Formulación PDN 2027'!$AK$7:$AK$506,0)),"")</f>
        <v/>
      </c>
      <c r="L322" s="43" t="str">
        <f>IFERROR(INDEX('Formulación PDN 2027'!$X$7:$X$506,MATCH(ROW()-5,'Formulación PDN 2027'!$AK$7:$AK$506,0)),"")</f>
        <v/>
      </c>
      <c r="M322" s="15" t="str">
        <f>IFERROR(INDEX('Formulación PDN 2027'!$Y$7:$Y$506,MATCH(ROW()-5,'Formulación PDN 2027'!$AK$7:$AK$506,0))&amp;"","")</f>
        <v/>
      </c>
      <c r="N322" s="15" t="str">
        <f>IFERROR(INDEX('Formulación PDN 2027'!$Z$7:$Z$506,MATCH(ROW()-5,'Formulación PDN 2027'!$AK$7:$AK$506,0))&amp;"","")</f>
        <v/>
      </c>
      <c r="O322" s="15"/>
      <c r="P322" s="15" t="str">
        <f>IFERROR(INDEX('Formulación PDN 2027'!$AA$7:$AA$506,MATCH(ROW()-5,'Formulación PDN 2027'!$AK$7:$AK$506,0))&amp;"","")</f>
        <v/>
      </c>
      <c r="Q322" s="15" t="str">
        <f>IFERROR(INDEX('Formulación PDN 2027'!$AB$7:$AB$506,MATCH(ROW()-5,'Formulación PDN 2027'!$AK$7:$AK$506,0))&amp;"","")</f>
        <v/>
      </c>
      <c r="R322" s="15" t="str">
        <f>IFERROR(INDEX('Formulación PDN 2027'!$AD$7:$AD$506,MATCH(ROW()-5,'Formulación PDN 2027'!$AK$7:$AK$506,0))&amp;"","")</f>
        <v/>
      </c>
      <c r="S322" s="15" t="str">
        <f>IFERROR(INDEX('Formulación PDN 2027'!$AE$7:$AE$506,MATCH(ROW()-5,'Formulación PDN 2027'!$AK$7:$AK$506,0))&amp;"","")</f>
        <v/>
      </c>
      <c r="T322" s="15" t="str">
        <f>IFERROR(INDEX('Formulación PDN 2027'!$C$7:$C$506,MATCH(ROW()-5,'Formulación PDN 2027'!$AK$7:$AK$506,0))&amp;"","")</f>
        <v/>
      </c>
      <c r="U322" s="15" t="str">
        <f>IFERROR(INDEX('Formulación PDN 2027'!$B$7:$B$506,MATCH(ROW()-5,'Formulación PDN 2027'!$AK$7:$AK$506,0))&amp;"","")</f>
        <v/>
      </c>
      <c r="V322" s="15" t="str">
        <f>IFERROR(LEFT(INDEX('Formulación PDN 2027'!$E$7:$E$506,MATCH(ROW()-5,'Formulación PDN 2027'!$AK$7:$AK$506,0)),7),"")</f>
        <v/>
      </c>
      <c r="W322" s="15" t="str">
        <f>IFERROR(INDEX('Formulación PDN 2027'!$H$7:$H$506,MATCH(ROW()-5,'Formulación PDN 2027'!$AK$7:$AK$506,0))&amp;"","")</f>
        <v/>
      </c>
      <c r="X322" s="15" t="str">
        <f>IFERROR(INDEX('Formulación PDN 2027'!$U$7:$U$506,MATCH(ROW()-5,'Formulación PDN 2027'!$AK$7:$AK$506,0))&amp;"","")</f>
        <v/>
      </c>
      <c r="Y322" s="15" t="str">
        <f>IFERROR(INDEX('Formulación PDN 2027'!$AH$7:$AH$506,MATCH(ROW()-5,'Formulación PDN 2027'!$AK$7:$AK$506,0))&amp;"","")</f>
        <v/>
      </c>
    </row>
    <row r="323" spans="1:25" x14ac:dyDescent="0.3">
      <c r="A323" s="15" t="str">
        <f>IFERROR(INDEX('Formulación PDN 2027'!$A$7:$A$506,MATCH(ROW()-5,'Formulación PDN 2027'!$AK$7:$AK$506,0))&amp;"","")</f>
        <v/>
      </c>
      <c r="B323" s="20" t="str">
        <f>IFERROR(INDEX('Formulación PDN 2027'!$M$7:$M$506,MATCH(ROW()-5,'Formulación PDN 2027'!$AK$7:$AK$506,0)),"")</f>
        <v/>
      </c>
      <c r="C323" s="15" t="str">
        <f>IFERROR(INDEX('Formulación PDN 2027'!$N$7:$N$506,MATCH(ROW()-5,'Formulación PDN 2027'!$AK$7:$AK$506,0))&amp;"","")</f>
        <v/>
      </c>
      <c r="D323" s="15" t="str">
        <f>IFERROR(INDEX('Formulación PDN 2027'!$L$7:$L$506,MATCH(ROW()-5,'Formulación PDN 2027'!$AK$7:$AK$506,0))&amp;"","")</f>
        <v/>
      </c>
      <c r="E323" s="15" t="str">
        <f>IFERROR(MATCH(INDEX('Formulación PDN 2027'!$O$7:$O$506,MATCH(ROW()-5,'Formulación PDN 2027'!$AK$7:$AK$506,0)),L_MESES,0),"")</f>
        <v/>
      </c>
      <c r="F323" s="15" t="str">
        <f>IFERROR(MATCH(INDEX('Formulación PDN 2027'!$P$7:$P$506,MATCH(ROW()-5,'Formulación PDN 2027'!$AK$7:$AK$506,0)),L_MESES,0),"")</f>
        <v/>
      </c>
      <c r="G323" s="15" t="str">
        <f>IFERROR(INDEX('Formulación PDN 2027'!$Q$7:$Q$506,MATCH(ROW()-5,'Formulación PDN 2027'!$AK$7:$AK$506,0)),"")</f>
        <v/>
      </c>
      <c r="H323" s="15" t="str">
        <f>IFERROR(INDEX('Formulación PDN 2027'!$R$7:$R$506,MATCH(ROW()-5,'Formulación PDN 2027'!$AK$7:$AK$506,0))&amp;"","")</f>
        <v/>
      </c>
      <c r="I323" s="15" t="str">
        <f>IFERROR(INDEX('Formulación PDN 2027'!$S$7:$S$506,MATCH(ROW()-5,'Formulación PDN 2027'!$AK$7:$AK$506,0))&amp;"","")</f>
        <v/>
      </c>
      <c r="J323" s="15" t="str">
        <f>IFERROR(INDEX('Formulación PDN 2027'!$T$7:$T$506,MATCH(ROW()-5,'Formulación PDN 2027'!$AK$7:$AK$506,0))&amp;"","")</f>
        <v/>
      </c>
      <c r="K323" s="43" t="str">
        <f>IFERROR(INDEX('Formulación PDN 2027'!$W$7:$W$506,MATCH(ROW()-5,'Formulación PDN 2027'!$AK$7:$AK$506,0)),"")</f>
        <v/>
      </c>
      <c r="L323" s="43" t="str">
        <f>IFERROR(INDEX('Formulación PDN 2027'!$X$7:$X$506,MATCH(ROW()-5,'Formulación PDN 2027'!$AK$7:$AK$506,0)),"")</f>
        <v/>
      </c>
      <c r="M323" s="15" t="str">
        <f>IFERROR(INDEX('Formulación PDN 2027'!$Y$7:$Y$506,MATCH(ROW()-5,'Formulación PDN 2027'!$AK$7:$AK$506,0))&amp;"","")</f>
        <v/>
      </c>
      <c r="N323" s="15" t="str">
        <f>IFERROR(INDEX('Formulación PDN 2027'!$Z$7:$Z$506,MATCH(ROW()-5,'Formulación PDN 2027'!$AK$7:$AK$506,0))&amp;"","")</f>
        <v/>
      </c>
      <c r="O323" s="15"/>
      <c r="P323" s="15" t="str">
        <f>IFERROR(INDEX('Formulación PDN 2027'!$AA$7:$AA$506,MATCH(ROW()-5,'Formulación PDN 2027'!$AK$7:$AK$506,0))&amp;"","")</f>
        <v/>
      </c>
      <c r="Q323" s="15" t="str">
        <f>IFERROR(INDEX('Formulación PDN 2027'!$AB$7:$AB$506,MATCH(ROW()-5,'Formulación PDN 2027'!$AK$7:$AK$506,0))&amp;"","")</f>
        <v/>
      </c>
      <c r="R323" s="15" t="str">
        <f>IFERROR(INDEX('Formulación PDN 2027'!$AD$7:$AD$506,MATCH(ROW()-5,'Formulación PDN 2027'!$AK$7:$AK$506,0))&amp;"","")</f>
        <v/>
      </c>
      <c r="S323" s="15" t="str">
        <f>IFERROR(INDEX('Formulación PDN 2027'!$AE$7:$AE$506,MATCH(ROW()-5,'Formulación PDN 2027'!$AK$7:$AK$506,0))&amp;"","")</f>
        <v/>
      </c>
      <c r="T323" s="15" t="str">
        <f>IFERROR(INDEX('Formulación PDN 2027'!$C$7:$C$506,MATCH(ROW()-5,'Formulación PDN 2027'!$AK$7:$AK$506,0))&amp;"","")</f>
        <v/>
      </c>
      <c r="U323" s="15" t="str">
        <f>IFERROR(INDEX('Formulación PDN 2027'!$B$7:$B$506,MATCH(ROW()-5,'Formulación PDN 2027'!$AK$7:$AK$506,0))&amp;"","")</f>
        <v/>
      </c>
      <c r="V323" s="15" t="str">
        <f>IFERROR(LEFT(INDEX('Formulación PDN 2027'!$E$7:$E$506,MATCH(ROW()-5,'Formulación PDN 2027'!$AK$7:$AK$506,0)),7),"")</f>
        <v/>
      </c>
      <c r="W323" s="15" t="str">
        <f>IFERROR(INDEX('Formulación PDN 2027'!$H$7:$H$506,MATCH(ROW()-5,'Formulación PDN 2027'!$AK$7:$AK$506,0))&amp;"","")</f>
        <v/>
      </c>
      <c r="X323" s="15" t="str">
        <f>IFERROR(INDEX('Formulación PDN 2027'!$U$7:$U$506,MATCH(ROW()-5,'Formulación PDN 2027'!$AK$7:$AK$506,0))&amp;"","")</f>
        <v/>
      </c>
      <c r="Y323" s="15" t="str">
        <f>IFERROR(INDEX('Formulación PDN 2027'!$AH$7:$AH$506,MATCH(ROW()-5,'Formulación PDN 2027'!$AK$7:$AK$506,0))&amp;"","")</f>
        <v/>
      </c>
    </row>
    <row r="324" spans="1:25" x14ac:dyDescent="0.3">
      <c r="A324" s="15" t="str">
        <f>IFERROR(INDEX('Formulación PDN 2027'!$A$7:$A$506,MATCH(ROW()-5,'Formulación PDN 2027'!$AK$7:$AK$506,0))&amp;"","")</f>
        <v/>
      </c>
      <c r="B324" s="20" t="str">
        <f>IFERROR(INDEX('Formulación PDN 2027'!$M$7:$M$506,MATCH(ROW()-5,'Formulación PDN 2027'!$AK$7:$AK$506,0)),"")</f>
        <v/>
      </c>
      <c r="C324" s="15" t="str">
        <f>IFERROR(INDEX('Formulación PDN 2027'!$N$7:$N$506,MATCH(ROW()-5,'Formulación PDN 2027'!$AK$7:$AK$506,0))&amp;"","")</f>
        <v/>
      </c>
      <c r="D324" s="15" t="str">
        <f>IFERROR(INDEX('Formulación PDN 2027'!$L$7:$L$506,MATCH(ROW()-5,'Formulación PDN 2027'!$AK$7:$AK$506,0))&amp;"","")</f>
        <v/>
      </c>
      <c r="E324" s="15" t="str">
        <f>IFERROR(MATCH(INDEX('Formulación PDN 2027'!$O$7:$O$506,MATCH(ROW()-5,'Formulación PDN 2027'!$AK$7:$AK$506,0)),L_MESES,0),"")</f>
        <v/>
      </c>
      <c r="F324" s="15" t="str">
        <f>IFERROR(MATCH(INDEX('Formulación PDN 2027'!$P$7:$P$506,MATCH(ROW()-5,'Formulación PDN 2027'!$AK$7:$AK$506,0)),L_MESES,0),"")</f>
        <v/>
      </c>
      <c r="G324" s="15" t="str">
        <f>IFERROR(INDEX('Formulación PDN 2027'!$Q$7:$Q$506,MATCH(ROW()-5,'Formulación PDN 2027'!$AK$7:$AK$506,0)),"")</f>
        <v/>
      </c>
      <c r="H324" s="15" t="str">
        <f>IFERROR(INDEX('Formulación PDN 2027'!$R$7:$R$506,MATCH(ROW()-5,'Formulación PDN 2027'!$AK$7:$AK$506,0))&amp;"","")</f>
        <v/>
      </c>
      <c r="I324" s="15" t="str">
        <f>IFERROR(INDEX('Formulación PDN 2027'!$S$7:$S$506,MATCH(ROW()-5,'Formulación PDN 2027'!$AK$7:$AK$506,0))&amp;"","")</f>
        <v/>
      </c>
      <c r="J324" s="15" t="str">
        <f>IFERROR(INDEX('Formulación PDN 2027'!$T$7:$T$506,MATCH(ROW()-5,'Formulación PDN 2027'!$AK$7:$AK$506,0))&amp;"","")</f>
        <v/>
      </c>
      <c r="K324" s="43" t="str">
        <f>IFERROR(INDEX('Formulación PDN 2027'!$W$7:$W$506,MATCH(ROW()-5,'Formulación PDN 2027'!$AK$7:$AK$506,0)),"")</f>
        <v/>
      </c>
      <c r="L324" s="43" t="str">
        <f>IFERROR(INDEX('Formulación PDN 2027'!$X$7:$X$506,MATCH(ROW()-5,'Formulación PDN 2027'!$AK$7:$AK$506,0)),"")</f>
        <v/>
      </c>
      <c r="M324" s="15" t="str">
        <f>IFERROR(INDEX('Formulación PDN 2027'!$Y$7:$Y$506,MATCH(ROW()-5,'Formulación PDN 2027'!$AK$7:$AK$506,0))&amp;"","")</f>
        <v/>
      </c>
      <c r="N324" s="15" t="str">
        <f>IFERROR(INDEX('Formulación PDN 2027'!$Z$7:$Z$506,MATCH(ROW()-5,'Formulación PDN 2027'!$AK$7:$AK$506,0))&amp;"","")</f>
        <v/>
      </c>
      <c r="O324" s="15"/>
      <c r="P324" s="15" t="str">
        <f>IFERROR(INDEX('Formulación PDN 2027'!$AA$7:$AA$506,MATCH(ROW()-5,'Formulación PDN 2027'!$AK$7:$AK$506,0))&amp;"","")</f>
        <v/>
      </c>
      <c r="Q324" s="15" t="str">
        <f>IFERROR(INDEX('Formulación PDN 2027'!$AB$7:$AB$506,MATCH(ROW()-5,'Formulación PDN 2027'!$AK$7:$AK$506,0))&amp;"","")</f>
        <v/>
      </c>
      <c r="R324" s="15" t="str">
        <f>IFERROR(INDEX('Formulación PDN 2027'!$AD$7:$AD$506,MATCH(ROW()-5,'Formulación PDN 2027'!$AK$7:$AK$506,0))&amp;"","")</f>
        <v/>
      </c>
      <c r="S324" s="15" t="str">
        <f>IFERROR(INDEX('Formulación PDN 2027'!$AE$7:$AE$506,MATCH(ROW()-5,'Formulación PDN 2027'!$AK$7:$AK$506,0))&amp;"","")</f>
        <v/>
      </c>
      <c r="T324" s="15" t="str">
        <f>IFERROR(INDEX('Formulación PDN 2027'!$C$7:$C$506,MATCH(ROW()-5,'Formulación PDN 2027'!$AK$7:$AK$506,0))&amp;"","")</f>
        <v/>
      </c>
      <c r="U324" s="15" t="str">
        <f>IFERROR(INDEX('Formulación PDN 2027'!$B$7:$B$506,MATCH(ROW()-5,'Formulación PDN 2027'!$AK$7:$AK$506,0))&amp;"","")</f>
        <v/>
      </c>
      <c r="V324" s="15" t="str">
        <f>IFERROR(LEFT(INDEX('Formulación PDN 2027'!$E$7:$E$506,MATCH(ROW()-5,'Formulación PDN 2027'!$AK$7:$AK$506,0)),7),"")</f>
        <v/>
      </c>
      <c r="W324" s="15" t="str">
        <f>IFERROR(INDEX('Formulación PDN 2027'!$H$7:$H$506,MATCH(ROW()-5,'Formulación PDN 2027'!$AK$7:$AK$506,0))&amp;"","")</f>
        <v/>
      </c>
      <c r="X324" s="15" t="str">
        <f>IFERROR(INDEX('Formulación PDN 2027'!$U$7:$U$506,MATCH(ROW()-5,'Formulación PDN 2027'!$AK$7:$AK$506,0))&amp;"","")</f>
        <v/>
      </c>
      <c r="Y324" s="15" t="str">
        <f>IFERROR(INDEX('Formulación PDN 2027'!$AH$7:$AH$506,MATCH(ROW()-5,'Formulación PDN 2027'!$AK$7:$AK$506,0))&amp;"","")</f>
        <v/>
      </c>
    </row>
    <row r="325" spans="1:25" x14ac:dyDescent="0.3">
      <c r="A325" s="15" t="str">
        <f>IFERROR(INDEX('Formulación PDN 2027'!$A$7:$A$506,MATCH(ROW()-5,'Formulación PDN 2027'!$AK$7:$AK$506,0))&amp;"","")</f>
        <v/>
      </c>
      <c r="B325" s="20" t="str">
        <f>IFERROR(INDEX('Formulación PDN 2027'!$M$7:$M$506,MATCH(ROW()-5,'Formulación PDN 2027'!$AK$7:$AK$506,0)),"")</f>
        <v/>
      </c>
      <c r="C325" s="15" t="str">
        <f>IFERROR(INDEX('Formulación PDN 2027'!$N$7:$N$506,MATCH(ROW()-5,'Formulación PDN 2027'!$AK$7:$AK$506,0))&amp;"","")</f>
        <v/>
      </c>
      <c r="D325" s="15" t="str">
        <f>IFERROR(INDEX('Formulación PDN 2027'!$L$7:$L$506,MATCH(ROW()-5,'Formulación PDN 2027'!$AK$7:$AK$506,0))&amp;"","")</f>
        <v/>
      </c>
      <c r="E325" s="15" t="str">
        <f>IFERROR(MATCH(INDEX('Formulación PDN 2027'!$O$7:$O$506,MATCH(ROW()-5,'Formulación PDN 2027'!$AK$7:$AK$506,0)),L_MESES,0),"")</f>
        <v/>
      </c>
      <c r="F325" s="15" t="str">
        <f>IFERROR(MATCH(INDEX('Formulación PDN 2027'!$P$7:$P$506,MATCH(ROW()-5,'Formulación PDN 2027'!$AK$7:$AK$506,0)),L_MESES,0),"")</f>
        <v/>
      </c>
      <c r="G325" s="15" t="str">
        <f>IFERROR(INDEX('Formulación PDN 2027'!$Q$7:$Q$506,MATCH(ROW()-5,'Formulación PDN 2027'!$AK$7:$AK$506,0)),"")</f>
        <v/>
      </c>
      <c r="H325" s="15" t="str">
        <f>IFERROR(INDEX('Formulación PDN 2027'!$R$7:$R$506,MATCH(ROW()-5,'Formulación PDN 2027'!$AK$7:$AK$506,0))&amp;"","")</f>
        <v/>
      </c>
      <c r="I325" s="15" t="str">
        <f>IFERROR(INDEX('Formulación PDN 2027'!$S$7:$S$506,MATCH(ROW()-5,'Formulación PDN 2027'!$AK$7:$AK$506,0))&amp;"","")</f>
        <v/>
      </c>
      <c r="J325" s="15" t="str">
        <f>IFERROR(INDEX('Formulación PDN 2027'!$T$7:$T$506,MATCH(ROW()-5,'Formulación PDN 2027'!$AK$7:$AK$506,0))&amp;"","")</f>
        <v/>
      </c>
      <c r="K325" s="43" t="str">
        <f>IFERROR(INDEX('Formulación PDN 2027'!$W$7:$W$506,MATCH(ROW()-5,'Formulación PDN 2027'!$AK$7:$AK$506,0)),"")</f>
        <v/>
      </c>
      <c r="L325" s="43" t="str">
        <f>IFERROR(INDEX('Formulación PDN 2027'!$X$7:$X$506,MATCH(ROW()-5,'Formulación PDN 2027'!$AK$7:$AK$506,0)),"")</f>
        <v/>
      </c>
      <c r="M325" s="15" t="str">
        <f>IFERROR(INDEX('Formulación PDN 2027'!$Y$7:$Y$506,MATCH(ROW()-5,'Formulación PDN 2027'!$AK$7:$AK$506,0))&amp;"","")</f>
        <v/>
      </c>
      <c r="N325" s="15" t="str">
        <f>IFERROR(INDEX('Formulación PDN 2027'!$Z$7:$Z$506,MATCH(ROW()-5,'Formulación PDN 2027'!$AK$7:$AK$506,0))&amp;"","")</f>
        <v/>
      </c>
      <c r="O325" s="15"/>
      <c r="P325" s="15" t="str">
        <f>IFERROR(INDEX('Formulación PDN 2027'!$AA$7:$AA$506,MATCH(ROW()-5,'Formulación PDN 2027'!$AK$7:$AK$506,0))&amp;"","")</f>
        <v/>
      </c>
      <c r="Q325" s="15" t="str">
        <f>IFERROR(INDEX('Formulación PDN 2027'!$AB$7:$AB$506,MATCH(ROW()-5,'Formulación PDN 2027'!$AK$7:$AK$506,0))&amp;"","")</f>
        <v/>
      </c>
      <c r="R325" s="15" t="str">
        <f>IFERROR(INDEX('Formulación PDN 2027'!$AD$7:$AD$506,MATCH(ROW()-5,'Formulación PDN 2027'!$AK$7:$AK$506,0))&amp;"","")</f>
        <v/>
      </c>
      <c r="S325" s="15" t="str">
        <f>IFERROR(INDEX('Formulación PDN 2027'!$AE$7:$AE$506,MATCH(ROW()-5,'Formulación PDN 2027'!$AK$7:$AK$506,0))&amp;"","")</f>
        <v/>
      </c>
      <c r="T325" s="15" t="str">
        <f>IFERROR(INDEX('Formulación PDN 2027'!$C$7:$C$506,MATCH(ROW()-5,'Formulación PDN 2027'!$AK$7:$AK$506,0))&amp;"","")</f>
        <v/>
      </c>
      <c r="U325" s="15" t="str">
        <f>IFERROR(INDEX('Formulación PDN 2027'!$B$7:$B$506,MATCH(ROW()-5,'Formulación PDN 2027'!$AK$7:$AK$506,0))&amp;"","")</f>
        <v/>
      </c>
      <c r="V325" s="15" t="str">
        <f>IFERROR(LEFT(INDEX('Formulación PDN 2027'!$E$7:$E$506,MATCH(ROW()-5,'Formulación PDN 2027'!$AK$7:$AK$506,0)),7),"")</f>
        <v/>
      </c>
      <c r="W325" s="15" t="str">
        <f>IFERROR(INDEX('Formulación PDN 2027'!$H$7:$H$506,MATCH(ROW()-5,'Formulación PDN 2027'!$AK$7:$AK$506,0))&amp;"","")</f>
        <v/>
      </c>
      <c r="X325" s="15" t="str">
        <f>IFERROR(INDEX('Formulación PDN 2027'!$U$7:$U$506,MATCH(ROW()-5,'Formulación PDN 2027'!$AK$7:$AK$506,0))&amp;"","")</f>
        <v/>
      </c>
      <c r="Y325" s="15" t="str">
        <f>IFERROR(INDEX('Formulación PDN 2027'!$AH$7:$AH$506,MATCH(ROW()-5,'Formulación PDN 2027'!$AK$7:$AK$506,0))&amp;"","")</f>
        <v/>
      </c>
    </row>
    <row r="326" spans="1:25" x14ac:dyDescent="0.3">
      <c r="A326" s="15" t="str">
        <f>IFERROR(INDEX('Formulación PDN 2027'!$A$7:$A$506,MATCH(ROW()-5,'Formulación PDN 2027'!$AK$7:$AK$506,0))&amp;"","")</f>
        <v/>
      </c>
      <c r="B326" s="20" t="str">
        <f>IFERROR(INDEX('Formulación PDN 2027'!$M$7:$M$506,MATCH(ROW()-5,'Formulación PDN 2027'!$AK$7:$AK$506,0)),"")</f>
        <v/>
      </c>
      <c r="C326" s="15" t="str">
        <f>IFERROR(INDEX('Formulación PDN 2027'!$N$7:$N$506,MATCH(ROW()-5,'Formulación PDN 2027'!$AK$7:$AK$506,0))&amp;"","")</f>
        <v/>
      </c>
      <c r="D326" s="15" t="str">
        <f>IFERROR(INDEX('Formulación PDN 2027'!$L$7:$L$506,MATCH(ROW()-5,'Formulación PDN 2027'!$AK$7:$AK$506,0))&amp;"","")</f>
        <v/>
      </c>
      <c r="E326" s="15" t="str">
        <f>IFERROR(MATCH(INDEX('Formulación PDN 2027'!$O$7:$O$506,MATCH(ROW()-5,'Formulación PDN 2027'!$AK$7:$AK$506,0)),L_MESES,0),"")</f>
        <v/>
      </c>
      <c r="F326" s="15" t="str">
        <f>IFERROR(MATCH(INDEX('Formulación PDN 2027'!$P$7:$P$506,MATCH(ROW()-5,'Formulación PDN 2027'!$AK$7:$AK$506,0)),L_MESES,0),"")</f>
        <v/>
      </c>
      <c r="G326" s="15" t="str">
        <f>IFERROR(INDEX('Formulación PDN 2027'!$Q$7:$Q$506,MATCH(ROW()-5,'Formulación PDN 2027'!$AK$7:$AK$506,0)),"")</f>
        <v/>
      </c>
      <c r="H326" s="15" t="str">
        <f>IFERROR(INDEX('Formulación PDN 2027'!$R$7:$R$506,MATCH(ROW()-5,'Formulación PDN 2027'!$AK$7:$AK$506,0))&amp;"","")</f>
        <v/>
      </c>
      <c r="I326" s="15" t="str">
        <f>IFERROR(INDEX('Formulación PDN 2027'!$S$7:$S$506,MATCH(ROW()-5,'Formulación PDN 2027'!$AK$7:$AK$506,0))&amp;"","")</f>
        <v/>
      </c>
      <c r="J326" s="15" t="str">
        <f>IFERROR(INDEX('Formulación PDN 2027'!$T$7:$T$506,MATCH(ROW()-5,'Formulación PDN 2027'!$AK$7:$AK$506,0))&amp;"","")</f>
        <v/>
      </c>
      <c r="K326" s="43" t="str">
        <f>IFERROR(INDEX('Formulación PDN 2027'!$W$7:$W$506,MATCH(ROW()-5,'Formulación PDN 2027'!$AK$7:$AK$506,0)),"")</f>
        <v/>
      </c>
      <c r="L326" s="43" t="str">
        <f>IFERROR(INDEX('Formulación PDN 2027'!$X$7:$X$506,MATCH(ROW()-5,'Formulación PDN 2027'!$AK$7:$AK$506,0)),"")</f>
        <v/>
      </c>
      <c r="M326" s="15" t="str">
        <f>IFERROR(INDEX('Formulación PDN 2027'!$Y$7:$Y$506,MATCH(ROW()-5,'Formulación PDN 2027'!$AK$7:$AK$506,0))&amp;"","")</f>
        <v/>
      </c>
      <c r="N326" s="15" t="str">
        <f>IFERROR(INDEX('Formulación PDN 2027'!$Z$7:$Z$506,MATCH(ROW()-5,'Formulación PDN 2027'!$AK$7:$AK$506,0))&amp;"","")</f>
        <v/>
      </c>
      <c r="O326" s="15"/>
      <c r="P326" s="15" t="str">
        <f>IFERROR(INDEX('Formulación PDN 2027'!$AA$7:$AA$506,MATCH(ROW()-5,'Formulación PDN 2027'!$AK$7:$AK$506,0))&amp;"","")</f>
        <v/>
      </c>
      <c r="Q326" s="15" t="str">
        <f>IFERROR(INDEX('Formulación PDN 2027'!$AB$7:$AB$506,MATCH(ROW()-5,'Formulación PDN 2027'!$AK$7:$AK$506,0))&amp;"","")</f>
        <v/>
      </c>
      <c r="R326" s="15" t="str">
        <f>IFERROR(INDEX('Formulación PDN 2027'!$AD$7:$AD$506,MATCH(ROW()-5,'Formulación PDN 2027'!$AK$7:$AK$506,0))&amp;"","")</f>
        <v/>
      </c>
      <c r="S326" s="15" t="str">
        <f>IFERROR(INDEX('Formulación PDN 2027'!$AE$7:$AE$506,MATCH(ROW()-5,'Formulación PDN 2027'!$AK$7:$AK$506,0))&amp;"","")</f>
        <v/>
      </c>
      <c r="T326" s="15" t="str">
        <f>IFERROR(INDEX('Formulación PDN 2027'!$C$7:$C$506,MATCH(ROW()-5,'Formulación PDN 2027'!$AK$7:$AK$506,0))&amp;"","")</f>
        <v/>
      </c>
      <c r="U326" s="15" t="str">
        <f>IFERROR(INDEX('Formulación PDN 2027'!$B$7:$B$506,MATCH(ROW()-5,'Formulación PDN 2027'!$AK$7:$AK$506,0))&amp;"","")</f>
        <v/>
      </c>
      <c r="V326" s="15" t="str">
        <f>IFERROR(LEFT(INDEX('Formulación PDN 2027'!$E$7:$E$506,MATCH(ROW()-5,'Formulación PDN 2027'!$AK$7:$AK$506,0)),7),"")</f>
        <v/>
      </c>
      <c r="W326" s="15" t="str">
        <f>IFERROR(INDEX('Formulación PDN 2027'!$H$7:$H$506,MATCH(ROW()-5,'Formulación PDN 2027'!$AK$7:$AK$506,0))&amp;"","")</f>
        <v/>
      </c>
      <c r="X326" s="15" t="str">
        <f>IFERROR(INDEX('Formulación PDN 2027'!$U$7:$U$506,MATCH(ROW()-5,'Formulación PDN 2027'!$AK$7:$AK$506,0))&amp;"","")</f>
        <v/>
      </c>
      <c r="Y326" s="15" t="str">
        <f>IFERROR(INDEX('Formulación PDN 2027'!$AH$7:$AH$506,MATCH(ROW()-5,'Formulación PDN 2027'!$AK$7:$AK$506,0))&amp;"","")</f>
        <v/>
      </c>
    </row>
    <row r="327" spans="1:25" x14ac:dyDescent="0.3">
      <c r="A327" s="15" t="str">
        <f>IFERROR(INDEX('Formulación PDN 2027'!$A$7:$A$506,MATCH(ROW()-5,'Formulación PDN 2027'!$AK$7:$AK$506,0))&amp;"","")</f>
        <v/>
      </c>
      <c r="B327" s="20" t="str">
        <f>IFERROR(INDEX('Formulación PDN 2027'!$M$7:$M$506,MATCH(ROW()-5,'Formulación PDN 2027'!$AK$7:$AK$506,0)),"")</f>
        <v/>
      </c>
      <c r="C327" s="15" t="str">
        <f>IFERROR(INDEX('Formulación PDN 2027'!$N$7:$N$506,MATCH(ROW()-5,'Formulación PDN 2027'!$AK$7:$AK$506,0))&amp;"","")</f>
        <v/>
      </c>
      <c r="D327" s="15" t="str">
        <f>IFERROR(INDEX('Formulación PDN 2027'!$L$7:$L$506,MATCH(ROW()-5,'Formulación PDN 2027'!$AK$7:$AK$506,0))&amp;"","")</f>
        <v/>
      </c>
      <c r="E327" s="15" t="str">
        <f>IFERROR(MATCH(INDEX('Formulación PDN 2027'!$O$7:$O$506,MATCH(ROW()-5,'Formulación PDN 2027'!$AK$7:$AK$506,0)),L_MESES,0),"")</f>
        <v/>
      </c>
      <c r="F327" s="15" t="str">
        <f>IFERROR(MATCH(INDEX('Formulación PDN 2027'!$P$7:$P$506,MATCH(ROW()-5,'Formulación PDN 2027'!$AK$7:$AK$506,0)),L_MESES,0),"")</f>
        <v/>
      </c>
      <c r="G327" s="15" t="str">
        <f>IFERROR(INDEX('Formulación PDN 2027'!$Q$7:$Q$506,MATCH(ROW()-5,'Formulación PDN 2027'!$AK$7:$AK$506,0)),"")</f>
        <v/>
      </c>
      <c r="H327" s="15" t="str">
        <f>IFERROR(INDEX('Formulación PDN 2027'!$R$7:$R$506,MATCH(ROW()-5,'Formulación PDN 2027'!$AK$7:$AK$506,0))&amp;"","")</f>
        <v/>
      </c>
      <c r="I327" s="15" t="str">
        <f>IFERROR(INDEX('Formulación PDN 2027'!$S$7:$S$506,MATCH(ROW()-5,'Formulación PDN 2027'!$AK$7:$AK$506,0))&amp;"","")</f>
        <v/>
      </c>
      <c r="J327" s="15" t="str">
        <f>IFERROR(INDEX('Formulación PDN 2027'!$T$7:$T$506,MATCH(ROW()-5,'Formulación PDN 2027'!$AK$7:$AK$506,0))&amp;"","")</f>
        <v/>
      </c>
      <c r="K327" s="43" t="str">
        <f>IFERROR(INDEX('Formulación PDN 2027'!$W$7:$W$506,MATCH(ROW()-5,'Formulación PDN 2027'!$AK$7:$AK$506,0)),"")</f>
        <v/>
      </c>
      <c r="L327" s="43" t="str">
        <f>IFERROR(INDEX('Formulación PDN 2027'!$X$7:$X$506,MATCH(ROW()-5,'Formulación PDN 2027'!$AK$7:$AK$506,0)),"")</f>
        <v/>
      </c>
      <c r="M327" s="15" t="str">
        <f>IFERROR(INDEX('Formulación PDN 2027'!$Y$7:$Y$506,MATCH(ROW()-5,'Formulación PDN 2027'!$AK$7:$AK$506,0))&amp;"","")</f>
        <v/>
      </c>
      <c r="N327" s="15" t="str">
        <f>IFERROR(INDEX('Formulación PDN 2027'!$Z$7:$Z$506,MATCH(ROW()-5,'Formulación PDN 2027'!$AK$7:$AK$506,0))&amp;"","")</f>
        <v/>
      </c>
      <c r="O327" s="15"/>
      <c r="P327" s="15" t="str">
        <f>IFERROR(INDEX('Formulación PDN 2027'!$AA$7:$AA$506,MATCH(ROW()-5,'Formulación PDN 2027'!$AK$7:$AK$506,0))&amp;"","")</f>
        <v/>
      </c>
      <c r="Q327" s="15" t="str">
        <f>IFERROR(INDEX('Formulación PDN 2027'!$AB$7:$AB$506,MATCH(ROW()-5,'Formulación PDN 2027'!$AK$7:$AK$506,0))&amp;"","")</f>
        <v/>
      </c>
      <c r="R327" s="15" t="str">
        <f>IFERROR(INDEX('Formulación PDN 2027'!$AD$7:$AD$506,MATCH(ROW()-5,'Formulación PDN 2027'!$AK$7:$AK$506,0))&amp;"","")</f>
        <v/>
      </c>
      <c r="S327" s="15" t="str">
        <f>IFERROR(INDEX('Formulación PDN 2027'!$AE$7:$AE$506,MATCH(ROW()-5,'Formulación PDN 2027'!$AK$7:$AK$506,0))&amp;"","")</f>
        <v/>
      </c>
      <c r="T327" s="15" t="str">
        <f>IFERROR(INDEX('Formulación PDN 2027'!$C$7:$C$506,MATCH(ROW()-5,'Formulación PDN 2027'!$AK$7:$AK$506,0))&amp;"","")</f>
        <v/>
      </c>
      <c r="U327" s="15" t="str">
        <f>IFERROR(INDEX('Formulación PDN 2027'!$B$7:$B$506,MATCH(ROW()-5,'Formulación PDN 2027'!$AK$7:$AK$506,0))&amp;"","")</f>
        <v/>
      </c>
      <c r="V327" s="15" t="str">
        <f>IFERROR(LEFT(INDEX('Formulación PDN 2027'!$E$7:$E$506,MATCH(ROW()-5,'Formulación PDN 2027'!$AK$7:$AK$506,0)),7),"")</f>
        <v/>
      </c>
      <c r="W327" s="15" t="str">
        <f>IFERROR(INDEX('Formulación PDN 2027'!$H$7:$H$506,MATCH(ROW()-5,'Formulación PDN 2027'!$AK$7:$AK$506,0))&amp;"","")</f>
        <v/>
      </c>
      <c r="X327" s="15" t="str">
        <f>IFERROR(INDEX('Formulación PDN 2027'!$U$7:$U$506,MATCH(ROW()-5,'Formulación PDN 2027'!$AK$7:$AK$506,0))&amp;"","")</f>
        <v/>
      </c>
      <c r="Y327" s="15" t="str">
        <f>IFERROR(INDEX('Formulación PDN 2027'!$AH$7:$AH$506,MATCH(ROW()-5,'Formulación PDN 2027'!$AK$7:$AK$506,0))&amp;"","")</f>
        <v/>
      </c>
    </row>
    <row r="328" spans="1:25" x14ac:dyDescent="0.3">
      <c r="A328" s="15" t="str">
        <f>IFERROR(INDEX('Formulación PDN 2027'!$A$7:$A$506,MATCH(ROW()-5,'Formulación PDN 2027'!$AK$7:$AK$506,0))&amp;"","")</f>
        <v/>
      </c>
      <c r="B328" s="20" t="str">
        <f>IFERROR(INDEX('Formulación PDN 2027'!$M$7:$M$506,MATCH(ROW()-5,'Formulación PDN 2027'!$AK$7:$AK$506,0)),"")</f>
        <v/>
      </c>
      <c r="C328" s="15" t="str">
        <f>IFERROR(INDEX('Formulación PDN 2027'!$N$7:$N$506,MATCH(ROW()-5,'Formulación PDN 2027'!$AK$7:$AK$506,0))&amp;"","")</f>
        <v/>
      </c>
      <c r="D328" s="15" t="str">
        <f>IFERROR(INDEX('Formulación PDN 2027'!$L$7:$L$506,MATCH(ROW()-5,'Formulación PDN 2027'!$AK$7:$AK$506,0))&amp;"","")</f>
        <v/>
      </c>
      <c r="E328" s="15" t="str">
        <f>IFERROR(MATCH(INDEX('Formulación PDN 2027'!$O$7:$O$506,MATCH(ROW()-5,'Formulación PDN 2027'!$AK$7:$AK$506,0)),L_MESES,0),"")</f>
        <v/>
      </c>
      <c r="F328" s="15" t="str">
        <f>IFERROR(MATCH(INDEX('Formulación PDN 2027'!$P$7:$P$506,MATCH(ROW()-5,'Formulación PDN 2027'!$AK$7:$AK$506,0)),L_MESES,0),"")</f>
        <v/>
      </c>
      <c r="G328" s="15" t="str">
        <f>IFERROR(INDEX('Formulación PDN 2027'!$Q$7:$Q$506,MATCH(ROW()-5,'Formulación PDN 2027'!$AK$7:$AK$506,0)),"")</f>
        <v/>
      </c>
      <c r="H328" s="15" t="str">
        <f>IFERROR(INDEX('Formulación PDN 2027'!$R$7:$R$506,MATCH(ROW()-5,'Formulación PDN 2027'!$AK$7:$AK$506,0))&amp;"","")</f>
        <v/>
      </c>
      <c r="I328" s="15" t="str">
        <f>IFERROR(INDEX('Formulación PDN 2027'!$S$7:$S$506,MATCH(ROW()-5,'Formulación PDN 2027'!$AK$7:$AK$506,0))&amp;"","")</f>
        <v/>
      </c>
      <c r="J328" s="15" t="str">
        <f>IFERROR(INDEX('Formulación PDN 2027'!$T$7:$T$506,MATCH(ROW()-5,'Formulación PDN 2027'!$AK$7:$AK$506,0))&amp;"","")</f>
        <v/>
      </c>
      <c r="K328" s="43" t="str">
        <f>IFERROR(INDEX('Formulación PDN 2027'!$W$7:$W$506,MATCH(ROW()-5,'Formulación PDN 2027'!$AK$7:$AK$506,0)),"")</f>
        <v/>
      </c>
      <c r="L328" s="43" t="str">
        <f>IFERROR(INDEX('Formulación PDN 2027'!$X$7:$X$506,MATCH(ROW()-5,'Formulación PDN 2027'!$AK$7:$AK$506,0)),"")</f>
        <v/>
      </c>
      <c r="M328" s="15" t="str">
        <f>IFERROR(INDEX('Formulación PDN 2027'!$Y$7:$Y$506,MATCH(ROW()-5,'Formulación PDN 2027'!$AK$7:$AK$506,0))&amp;"","")</f>
        <v/>
      </c>
      <c r="N328" s="15" t="str">
        <f>IFERROR(INDEX('Formulación PDN 2027'!$Z$7:$Z$506,MATCH(ROW()-5,'Formulación PDN 2027'!$AK$7:$AK$506,0))&amp;"","")</f>
        <v/>
      </c>
      <c r="O328" s="15"/>
      <c r="P328" s="15" t="str">
        <f>IFERROR(INDEX('Formulación PDN 2027'!$AA$7:$AA$506,MATCH(ROW()-5,'Formulación PDN 2027'!$AK$7:$AK$506,0))&amp;"","")</f>
        <v/>
      </c>
      <c r="Q328" s="15" t="str">
        <f>IFERROR(INDEX('Formulación PDN 2027'!$AB$7:$AB$506,MATCH(ROW()-5,'Formulación PDN 2027'!$AK$7:$AK$506,0))&amp;"","")</f>
        <v/>
      </c>
      <c r="R328" s="15" t="str">
        <f>IFERROR(INDEX('Formulación PDN 2027'!$AD$7:$AD$506,MATCH(ROW()-5,'Formulación PDN 2027'!$AK$7:$AK$506,0))&amp;"","")</f>
        <v/>
      </c>
      <c r="S328" s="15" t="str">
        <f>IFERROR(INDEX('Formulación PDN 2027'!$AE$7:$AE$506,MATCH(ROW()-5,'Formulación PDN 2027'!$AK$7:$AK$506,0))&amp;"","")</f>
        <v/>
      </c>
      <c r="T328" s="15" t="str">
        <f>IFERROR(INDEX('Formulación PDN 2027'!$C$7:$C$506,MATCH(ROW()-5,'Formulación PDN 2027'!$AK$7:$AK$506,0))&amp;"","")</f>
        <v/>
      </c>
      <c r="U328" s="15" t="str">
        <f>IFERROR(INDEX('Formulación PDN 2027'!$B$7:$B$506,MATCH(ROW()-5,'Formulación PDN 2027'!$AK$7:$AK$506,0))&amp;"","")</f>
        <v/>
      </c>
      <c r="V328" s="15" t="str">
        <f>IFERROR(LEFT(INDEX('Formulación PDN 2027'!$E$7:$E$506,MATCH(ROW()-5,'Formulación PDN 2027'!$AK$7:$AK$506,0)),7),"")</f>
        <v/>
      </c>
      <c r="W328" s="15" t="str">
        <f>IFERROR(INDEX('Formulación PDN 2027'!$H$7:$H$506,MATCH(ROW()-5,'Formulación PDN 2027'!$AK$7:$AK$506,0))&amp;"","")</f>
        <v/>
      </c>
      <c r="X328" s="15" t="str">
        <f>IFERROR(INDEX('Formulación PDN 2027'!$U$7:$U$506,MATCH(ROW()-5,'Formulación PDN 2027'!$AK$7:$AK$506,0))&amp;"","")</f>
        <v/>
      </c>
      <c r="Y328" s="15" t="str">
        <f>IFERROR(INDEX('Formulación PDN 2027'!$AH$7:$AH$506,MATCH(ROW()-5,'Formulación PDN 2027'!$AK$7:$AK$506,0))&amp;"","")</f>
        <v/>
      </c>
    </row>
    <row r="329" spans="1:25" x14ac:dyDescent="0.3">
      <c r="A329" s="15" t="str">
        <f>IFERROR(INDEX('Formulación PDN 2027'!$A$7:$A$506,MATCH(ROW()-5,'Formulación PDN 2027'!$AK$7:$AK$506,0))&amp;"","")</f>
        <v/>
      </c>
      <c r="B329" s="20" t="str">
        <f>IFERROR(INDEX('Formulación PDN 2027'!$M$7:$M$506,MATCH(ROW()-5,'Formulación PDN 2027'!$AK$7:$AK$506,0)),"")</f>
        <v/>
      </c>
      <c r="C329" s="15" t="str">
        <f>IFERROR(INDEX('Formulación PDN 2027'!$N$7:$N$506,MATCH(ROW()-5,'Formulación PDN 2027'!$AK$7:$AK$506,0))&amp;"","")</f>
        <v/>
      </c>
      <c r="D329" s="15" t="str">
        <f>IFERROR(INDEX('Formulación PDN 2027'!$L$7:$L$506,MATCH(ROW()-5,'Formulación PDN 2027'!$AK$7:$AK$506,0))&amp;"","")</f>
        <v/>
      </c>
      <c r="E329" s="15" t="str">
        <f>IFERROR(MATCH(INDEX('Formulación PDN 2027'!$O$7:$O$506,MATCH(ROW()-5,'Formulación PDN 2027'!$AK$7:$AK$506,0)),L_MESES,0),"")</f>
        <v/>
      </c>
      <c r="F329" s="15" t="str">
        <f>IFERROR(MATCH(INDEX('Formulación PDN 2027'!$P$7:$P$506,MATCH(ROW()-5,'Formulación PDN 2027'!$AK$7:$AK$506,0)),L_MESES,0),"")</f>
        <v/>
      </c>
      <c r="G329" s="15" t="str">
        <f>IFERROR(INDEX('Formulación PDN 2027'!$Q$7:$Q$506,MATCH(ROW()-5,'Formulación PDN 2027'!$AK$7:$AK$506,0)),"")</f>
        <v/>
      </c>
      <c r="H329" s="15" t="str">
        <f>IFERROR(INDEX('Formulación PDN 2027'!$R$7:$R$506,MATCH(ROW()-5,'Formulación PDN 2027'!$AK$7:$AK$506,0))&amp;"","")</f>
        <v/>
      </c>
      <c r="I329" s="15" t="str">
        <f>IFERROR(INDEX('Formulación PDN 2027'!$S$7:$S$506,MATCH(ROW()-5,'Formulación PDN 2027'!$AK$7:$AK$506,0))&amp;"","")</f>
        <v/>
      </c>
      <c r="J329" s="15" t="str">
        <f>IFERROR(INDEX('Formulación PDN 2027'!$T$7:$T$506,MATCH(ROW()-5,'Formulación PDN 2027'!$AK$7:$AK$506,0))&amp;"","")</f>
        <v/>
      </c>
      <c r="K329" s="43" t="str">
        <f>IFERROR(INDEX('Formulación PDN 2027'!$W$7:$W$506,MATCH(ROW()-5,'Formulación PDN 2027'!$AK$7:$AK$506,0)),"")</f>
        <v/>
      </c>
      <c r="L329" s="43" t="str">
        <f>IFERROR(INDEX('Formulación PDN 2027'!$X$7:$X$506,MATCH(ROW()-5,'Formulación PDN 2027'!$AK$7:$AK$506,0)),"")</f>
        <v/>
      </c>
      <c r="M329" s="15" t="str">
        <f>IFERROR(INDEX('Formulación PDN 2027'!$Y$7:$Y$506,MATCH(ROW()-5,'Formulación PDN 2027'!$AK$7:$AK$506,0))&amp;"","")</f>
        <v/>
      </c>
      <c r="N329" s="15" t="str">
        <f>IFERROR(INDEX('Formulación PDN 2027'!$Z$7:$Z$506,MATCH(ROW()-5,'Formulación PDN 2027'!$AK$7:$AK$506,0))&amp;"","")</f>
        <v/>
      </c>
      <c r="O329" s="15"/>
      <c r="P329" s="15" t="str">
        <f>IFERROR(INDEX('Formulación PDN 2027'!$AA$7:$AA$506,MATCH(ROW()-5,'Formulación PDN 2027'!$AK$7:$AK$506,0))&amp;"","")</f>
        <v/>
      </c>
      <c r="Q329" s="15" t="str">
        <f>IFERROR(INDEX('Formulación PDN 2027'!$AB$7:$AB$506,MATCH(ROW()-5,'Formulación PDN 2027'!$AK$7:$AK$506,0))&amp;"","")</f>
        <v/>
      </c>
      <c r="R329" s="15" t="str">
        <f>IFERROR(INDEX('Formulación PDN 2027'!$AD$7:$AD$506,MATCH(ROW()-5,'Formulación PDN 2027'!$AK$7:$AK$506,0))&amp;"","")</f>
        <v/>
      </c>
      <c r="S329" s="15" t="str">
        <f>IFERROR(INDEX('Formulación PDN 2027'!$AE$7:$AE$506,MATCH(ROW()-5,'Formulación PDN 2027'!$AK$7:$AK$506,0))&amp;"","")</f>
        <v/>
      </c>
      <c r="T329" s="15" t="str">
        <f>IFERROR(INDEX('Formulación PDN 2027'!$C$7:$C$506,MATCH(ROW()-5,'Formulación PDN 2027'!$AK$7:$AK$506,0))&amp;"","")</f>
        <v/>
      </c>
      <c r="U329" s="15" t="str">
        <f>IFERROR(INDEX('Formulación PDN 2027'!$B$7:$B$506,MATCH(ROW()-5,'Formulación PDN 2027'!$AK$7:$AK$506,0))&amp;"","")</f>
        <v/>
      </c>
      <c r="V329" s="15" t="str">
        <f>IFERROR(LEFT(INDEX('Formulación PDN 2027'!$E$7:$E$506,MATCH(ROW()-5,'Formulación PDN 2027'!$AK$7:$AK$506,0)),7),"")</f>
        <v/>
      </c>
      <c r="W329" s="15" t="str">
        <f>IFERROR(INDEX('Formulación PDN 2027'!$H$7:$H$506,MATCH(ROW()-5,'Formulación PDN 2027'!$AK$7:$AK$506,0))&amp;"","")</f>
        <v/>
      </c>
      <c r="X329" s="15" t="str">
        <f>IFERROR(INDEX('Formulación PDN 2027'!$U$7:$U$506,MATCH(ROW()-5,'Formulación PDN 2027'!$AK$7:$AK$506,0))&amp;"","")</f>
        <v/>
      </c>
      <c r="Y329" s="15" t="str">
        <f>IFERROR(INDEX('Formulación PDN 2027'!$AH$7:$AH$506,MATCH(ROW()-5,'Formulación PDN 2027'!$AK$7:$AK$506,0))&amp;"","")</f>
        <v/>
      </c>
    </row>
    <row r="330" spans="1:25" x14ac:dyDescent="0.3">
      <c r="A330" s="15" t="str">
        <f>IFERROR(INDEX('Formulación PDN 2027'!$A$7:$A$506,MATCH(ROW()-5,'Formulación PDN 2027'!$AK$7:$AK$506,0))&amp;"","")</f>
        <v/>
      </c>
      <c r="B330" s="20" t="str">
        <f>IFERROR(INDEX('Formulación PDN 2027'!$M$7:$M$506,MATCH(ROW()-5,'Formulación PDN 2027'!$AK$7:$AK$506,0)),"")</f>
        <v/>
      </c>
      <c r="C330" s="15" t="str">
        <f>IFERROR(INDEX('Formulación PDN 2027'!$N$7:$N$506,MATCH(ROW()-5,'Formulación PDN 2027'!$AK$7:$AK$506,0))&amp;"","")</f>
        <v/>
      </c>
      <c r="D330" s="15" t="str">
        <f>IFERROR(INDEX('Formulación PDN 2027'!$L$7:$L$506,MATCH(ROW()-5,'Formulación PDN 2027'!$AK$7:$AK$506,0))&amp;"","")</f>
        <v/>
      </c>
      <c r="E330" s="15" t="str">
        <f>IFERROR(MATCH(INDEX('Formulación PDN 2027'!$O$7:$O$506,MATCH(ROW()-5,'Formulación PDN 2027'!$AK$7:$AK$506,0)),L_MESES,0),"")</f>
        <v/>
      </c>
      <c r="F330" s="15" t="str">
        <f>IFERROR(MATCH(INDEX('Formulación PDN 2027'!$P$7:$P$506,MATCH(ROW()-5,'Formulación PDN 2027'!$AK$7:$AK$506,0)),L_MESES,0),"")</f>
        <v/>
      </c>
      <c r="G330" s="15" t="str">
        <f>IFERROR(INDEX('Formulación PDN 2027'!$Q$7:$Q$506,MATCH(ROW()-5,'Formulación PDN 2027'!$AK$7:$AK$506,0)),"")</f>
        <v/>
      </c>
      <c r="H330" s="15" t="str">
        <f>IFERROR(INDEX('Formulación PDN 2027'!$R$7:$R$506,MATCH(ROW()-5,'Formulación PDN 2027'!$AK$7:$AK$506,0))&amp;"","")</f>
        <v/>
      </c>
      <c r="I330" s="15" t="str">
        <f>IFERROR(INDEX('Formulación PDN 2027'!$S$7:$S$506,MATCH(ROW()-5,'Formulación PDN 2027'!$AK$7:$AK$506,0))&amp;"","")</f>
        <v/>
      </c>
      <c r="J330" s="15" t="str">
        <f>IFERROR(INDEX('Formulación PDN 2027'!$T$7:$T$506,MATCH(ROW()-5,'Formulación PDN 2027'!$AK$7:$AK$506,0))&amp;"","")</f>
        <v/>
      </c>
      <c r="K330" s="43" t="str">
        <f>IFERROR(INDEX('Formulación PDN 2027'!$W$7:$W$506,MATCH(ROW()-5,'Formulación PDN 2027'!$AK$7:$AK$506,0)),"")</f>
        <v/>
      </c>
      <c r="L330" s="43" t="str">
        <f>IFERROR(INDEX('Formulación PDN 2027'!$X$7:$X$506,MATCH(ROW()-5,'Formulación PDN 2027'!$AK$7:$AK$506,0)),"")</f>
        <v/>
      </c>
      <c r="M330" s="15" t="str">
        <f>IFERROR(INDEX('Formulación PDN 2027'!$Y$7:$Y$506,MATCH(ROW()-5,'Formulación PDN 2027'!$AK$7:$AK$506,0))&amp;"","")</f>
        <v/>
      </c>
      <c r="N330" s="15" t="str">
        <f>IFERROR(INDEX('Formulación PDN 2027'!$Z$7:$Z$506,MATCH(ROW()-5,'Formulación PDN 2027'!$AK$7:$AK$506,0))&amp;"","")</f>
        <v/>
      </c>
      <c r="O330" s="15"/>
      <c r="P330" s="15" t="str">
        <f>IFERROR(INDEX('Formulación PDN 2027'!$AA$7:$AA$506,MATCH(ROW()-5,'Formulación PDN 2027'!$AK$7:$AK$506,0))&amp;"","")</f>
        <v/>
      </c>
      <c r="Q330" s="15" t="str">
        <f>IFERROR(INDEX('Formulación PDN 2027'!$AB$7:$AB$506,MATCH(ROW()-5,'Formulación PDN 2027'!$AK$7:$AK$506,0))&amp;"","")</f>
        <v/>
      </c>
      <c r="R330" s="15" t="str">
        <f>IFERROR(INDEX('Formulación PDN 2027'!$AD$7:$AD$506,MATCH(ROW()-5,'Formulación PDN 2027'!$AK$7:$AK$506,0))&amp;"","")</f>
        <v/>
      </c>
      <c r="S330" s="15" t="str">
        <f>IFERROR(INDEX('Formulación PDN 2027'!$AE$7:$AE$506,MATCH(ROW()-5,'Formulación PDN 2027'!$AK$7:$AK$506,0))&amp;"","")</f>
        <v/>
      </c>
      <c r="T330" s="15" t="str">
        <f>IFERROR(INDEX('Formulación PDN 2027'!$C$7:$C$506,MATCH(ROW()-5,'Formulación PDN 2027'!$AK$7:$AK$506,0))&amp;"","")</f>
        <v/>
      </c>
      <c r="U330" s="15" t="str">
        <f>IFERROR(INDEX('Formulación PDN 2027'!$B$7:$B$506,MATCH(ROW()-5,'Formulación PDN 2027'!$AK$7:$AK$506,0))&amp;"","")</f>
        <v/>
      </c>
      <c r="V330" s="15" t="str">
        <f>IFERROR(LEFT(INDEX('Formulación PDN 2027'!$E$7:$E$506,MATCH(ROW()-5,'Formulación PDN 2027'!$AK$7:$AK$506,0)),7),"")</f>
        <v/>
      </c>
      <c r="W330" s="15" t="str">
        <f>IFERROR(INDEX('Formulación PDN 2027'!$H$7:$H$506,MATCH(ROW()-5,'Formulación PDN 2027'!$AK$7:$AK$506,0))&amp;"","")</f>
        <v/>
      </c>
      <c r="X330" s="15" t="str">
        <f>IFERROR(INDEX('Formulación PDN 2027'!$U$7:$U$506,MATCH(ROW()-5,'Formulación PDN 2027'!$AK$7:$AK$506,0))&amp;"","")</f>
        <v/>
      </c>
      <c r="Y330" s="15" t="str">
        <f>IFERROR(INDEX('Formulación PDN 2027'!$AH$7:$AH$506,MATCH(ROW()-5,'Formulación PDN 2027'!$AK$7:$AK$506,0))&amp;"","")</f>
        <v/>
      </c>
    </row>
    <row r="331" spans="1:25" x14ac:dyDescent="0.3">
      <c r="A331" s="15" t="str">
        <f>IFERROR(INDEX('Formulación PDN 2027'!$A$7:$A$506,MATCH(ROW()-5,'Formulación PDN 2027'!$AK$7:$AK$506,0))&amp;"","")</f>
        <v/>
      </c>
      <c r="B331" s="20" t="str">
        <f>IFERROR(INDEX('Formulación PDN 2027'!$M$7:$M$506,MATCH(ROW()-5,'Formulación PDN 2027'!$AK$7:$AK$506,0)),"")</f>
        <v/>
      </c>
      <c r="C331" s="15" t="str">
        <f>IFERROR(INDEX('Formulación PDN 2027'!$N$7:$N$506,MATCH(ROW()-5,'Formulación PDN 2027'!$AK$7:$AK$506,0))&amp;"","")</f>
        <v/>
      </c>
      <c r="D331" s="15" t="str">
        <f>IFERROR(INDEX('Formulación PDN 2027'!$L$7:$L$506,MATCH(ROW()-5,'Formulación PDN 2027'!$AK$7:$AK$506,0))&amp;"","")</f>
        <v/>
      </c>
      <c r="E331" s="15" t="str">
        <f>IFERROR(MATCH(INDEX('Formulación PDN 2027'!$O$7:$O$506,MATCH(ROW()-5,'Formulación PDN 2027'!$AK$7:$AK$506,0)),L_MESES,0),"")</f>
        <v/>
      </c>
      <c r="F331" s="15" t="str">
        <f>IFERROR(MATCH(INDEX('Formulación PDN 2027'!$P$7:$P$506,MATCH(ROW()-5,'Formulación PDN 2027'!$AK$7:$AK$506,0)),L_MESES,0),"")</f>
        <v/>
      </c>
      <c r="G331" s="15" t="str">
        <f>IFERROR(INDEX('Formulación PDN 2027'!$Q$7:$Q$506,MATCH(ROW()-5,'Formulación PDN 2027'!$AK$7:$AK$506,0)),"")</f>
        <v/>
      </c>
      <c r="H331" s="15" t="str">
        <f>IFERROR(INDEX('Formulación PDN 2027'!$R$7:$R$506,MATCH(ROW()-5,'Formulación PDN 2027'!$AK$7:$AK$506,0))&amp;"","")</f>
        <v/>
      </c>
      <c r="I331" s="15" t="str">
        <f>IFERROR(INDEX('Formulación PDN 2027'!$S$7:$S$506,MATCH(ROW()-5,'Formulación PDN 2027'!$AK$7:$AK$506,0))&amp;"","")</f>
        <v/>
      </c>
      <c r="J331" s="15" t="str">
        <f>IFERROR(INDEX('Formulación PDN 2027'!$T$7:$T$506,MATCH(ROW()-5,'Formulación PDN 2027'!$AK$7:$AK$506,0))&amp;"","")</f>
        <v/>
      </c>
      <c r="K331" s="43" t="str">
        <f>IFERROR(INDEX('Formulación PDN 2027'!$W$7:$W$506,MATCH(ROW()-5,'Formulación PDN 2027'!$AK$7:$AK$506,0)),"")</f>
        <v/>
      </c>
      <c r="L331" s="43" t="str">
        <f>IFERROR(INDEX('Formulación PDN 2027'!$X$7:$X$506,MATCH(ROW()-5,'Formulación PDN 2027'!$AK$7:$AK$506,0)),"")</f>
        <v/>
      </c>
      <c r="M331" s="15" t="str">
        <f>IFERROR(INDEX('Formulación PDN 2027'!$Y$7:$Y$506,MATCH(ROW()-5,'Formulación PDN 2027'!$AK$7:$AK$506,0))&amp;"","")</f>
        <v/>
      </c>
      <c r="N331" s="15" t="str">
        <f>IFERROR(INDEX('Formulación PDN 2027'!$Z$7:$Z$506,MATCH(ROW()-5,'Formulación PDN 2027'!$AK$7:$AK$506,0))&amp;"","")</f>
        <v/>
      </c>
      <c r="O331" s="15"/>
      <c r="P331" s="15" t="str">
        <f>IFERROR(INDEX('Formulación PDN 2027'!$AA$7:$AA$506,MATCH(ROW()-5,'Formulación PDN 2027'!$AK$7:$AK$506,0))&amp;"","")</f>
        <v/>
      </c>
      <c r="Q331" s="15" t="str">
        <f>IFERROR(INDEX('Formulación PDN 2027'!$AB$7:$AB$506,MATCH(ROW()-5,'Formulación PDN 2027'!$AK$7:$AK$506,0))&amp;"","")</f>
        <v/>
      </c>
      <c r="R331" s="15" t="str">
        <f>IFERROR(INDEX('Formulación PDN 2027'!$AD$7:$AD$506,MATCH(ROW()-5,'Formulación PDN 2027'!$AK$7:$AK$506,0))&amp;"","")</f>
        <v/>
      </c>
      <c r="S331" s="15" t="str">
        <f>IFERROR(INDEX('Formulación PDN 2027'!$AE$7:$AE$506,MATCH(ROW()-5,'Formulación PDN 2027'!$AK$7:$AK$506,0))&amp;"","")</f>
        <v/>
      </c>
      <c r="T331" s="15" t="str">
        <f>IFERROR(INDEX('Formulación PDN 2027'!$C$7:$C$506,MATCH(ROW()-5,'Formulación PDN 2027'!$AK$7:$AK$506,0))&amp;"","")</f>
        <v/>
      </c>
      <c r="U331" s="15" t="str">
        <f>IFERROR(INDEX('Formulación PDN 2027'!$B$7:$B$506,MATCH(ROW()-5,'Formulación PDN 2027'!$AK$7:$AK$506,0))&amp;"","")</f>
        <v/>
      </c>
      <c r="V331" s="15" t="str">
        <f>IFERROR(LEFT(INDEX('Formulación PDN 2027'!$E$7:$E$506,MATCH(ROW()-5,'Formulación PDN 2027'!$AK$7:$AK$506,0)),7),"")</f>
        <v/>
      </c>
      <c r="W331" s="15" t="str">
        <f>IFERROR(INDEX('Formulación PDN 2027'!$H$7:$H$506,MATCH(ROW()-5,'Formulación PDN 2027'!$AK$7:$AK$506,0))&amp;"","")</f>
        <v/>
      </c>
      <c r="X331" s="15" t="str">
        <f>IFERROR(INDEX('Formulación PDN 2027'!$U$7:$U$506,MATCH(ROW()-5,'Formulación PDN 2027'!$AK$7:$AK$506,0))&amp;"","")</f>
        <v/>
      </c>
      <c r="Y331" s="15" t="str">
        <f>IFERROR(INDEX('Formulación PDN 2027'!$AH$7:$AH$506,MATCH(ROW()-5,'Formulación PDN 2027'!$AK$7:$AK$506,0))&amp;"","")</f>
        <v/>
      </c>
    </row>
    <row r="332" spans="1:25" x14ac:dyDescent="0.3">
      <c r="A332" s="15" t="str">
        <f>IFERROR(INDEX('Formulación PDN 2027'!$A$7:$A$506,MATCH(ROW()-5,'Formulación PDN 2027'!$AK$7:$AK$506,0))&amp;"","")</f>
        <v/>
      </c>
      <c r="B332" s="20" t="str">
        <f>IFERROR(INDEX('Formulación PDN 2027'!$M$7:$M$506,MATCH(ROW()-5,'Formulación PDN 2027'!$AK$7:$AK$506,0)),"")</f>
        <v/>
      </c>
      <c r="C332" s="15" t="str">
        <f>IFERROR(INDEX('Formulación PDN 2027'!$N$7:$N$506,MATCH(ROW()-5,'Formulación PDN 2027'!$AK$7:$AK$506,0))&amp;"","")</f>
        <v/>
      </c>
      <c r="D332" s="15" t="str">
        <f>IFERROR(INDEX('Formulación PDN 2027'!$L$7:$L$506,MATCH(ROW()-5,'Formulación PDN 2027'!$AK$7:$AK$506,0))&amp;"","")</f>
        <v/>
      </c>
      <c r="E332" s="15" t="str">
        <f>IFERROR(MATCH(INDEX('Formulación PDN 2027'!$O$7:$O$506,MATCH(ROW()-5,'Formulación PDN 2027'!$AK$7:$AK$506,0)),L_MESES,0),"")</f>
        <v/>
      </c>
      <c r="F332" s="15" t="str">
        <f>IFERROR(MATCH(INDEX('Formulación PDN 2027'!$P$7:$P$506,MATCH(ROW()-5,'Formulación PDN 2027'!$AK$7:$AK$506,0)),L_MESES,0),"")</f>
        <v/>
      </c>
      <c r="G332" s="15" t="str">
        <f>IFERROR(INDEX('Formulación PDN 2027'!$Q$7:$Q$506,MATCH(ROW()-5,'Formulación PDN 2027'!$AK$7:$AK$506,0)),"")</f>
        <v/>
      </c>
      <c r="H332" s="15" t="str">
        <f>IFERROR(INDEX('Formulación PDN 2027'!$R$7:$R$506,MATCH(ROW()-5,'Formulación PDN 2027'!$AK$7:$AK$506,0))&amp;"","")</f>
        <v/>
      </c>
      <c r="I332" s="15" t="str">
        <f>IFERROR(INDEX('Formulación PDN 2027'!$S$7:$S$506,MATCH(ROW()-5,'Formulación PDN 2027'!$AK$7:$AK$506,0))&amp;"","")</f>
        <v/>
      </c>
      <c r="J332" s="15" t="str">
        <f>IFERROR(INDEX('Formulación PDN 2027'!$T$7:$T$506,MATCH(ROW()-5,'Formulación PDN 2027'!$AK$7:$AK$506,0))&amp;"","")</f>
        <v/>
      </c>
      <c r="K332" s="43" t="str">
        <f>IFERROR(INDEX('Formulación PDN 2027'!$W$7:$W$506,MATCH(ROW()-5,'Formulación PDN 2027'!$AK$7:$AK$506,0)),"")</f>
        <v/>
      </c>
      <c r="L332" s="43" t="str">
        <f>IFERROR(INDEX('Formulación PDN 2027'!$X$7:$X$506,MATCH(ROW()-5,'Formulación PDN 2027'!$AK$7:$AK$506,0)),"")</f>
        <v/>
      </c>
      <c r="M332" s="15" t="str">
        <f>IFERROR(INDEX('Formulación PDN 2027'!$Y$7:$Y$506,MATCH(ROW()-5,'Formulación PDN 2027'!$AK$7:$AK$506,0))&amp;"","")</f>
        <v/>
      </c>
      <c r="N332" s="15" t="str">
        <f>IFERROR(INDEX('Formulación PDN 2027'!$Z$7:$Z$506,MATCH(ROW()-5,'Formulación PDN 2027'!$AK$7:$AK$506,0))&amp;"","")</f>
        <v/>
      </c>
      <c r="O332" s="15"/>
      <c r="P332" s="15" t="str">
        <f>IFERROR(INDEX('Formulación PDN 2027'!$AA$7:$AA$506,MATCH(ROW()-5,'Formulación PDN 2027'!$AK$7:$AK$506,0))&amp;"","")</f>
        <v/>
      </c>
      <c r="Q332" s="15" t="str">
        <f>IFERROR(INDEX('Formulación PDN 2027'!$AB$7:$AB$506,MATCH(ROW()-5,'Formulación PDN 2027'!$AK$7:$AK$506,0))&amp;"","")</f>
        <v/>
      </c>
      <c r="R332" s="15" t="str">
        <f>IFERROR(INDEX('Formulación PDN 2027'!$AD$7:$AD$506,MATCH(ROW()-5,'Formulación PDN 2027'!$AK$7:$AK$506,0))&amp;"","")</f>
        <v/>
      </c>
      <c r="S332" s="15" t="str">
        <f>IFERROR(INDEX('Formulación PDN 2027'!$AE$7:$AE$506,MATCH(ROW()-5,'Formulación PDN 2027'!$AK$7:$AK$506,0))&amp;"","")</f>
        <v/>
      </c>
      <c r="T332" s="15" t="str">
        <f>IFERROR(INDEX('Formulación PDN 2027'!$C$7:$C$506,MATCH(ROW()-5,'Formulación PDN 2027'!$AK$7:$AK$506,0))&amp;"","")</f>
        <v/>
      </c>
      <c r="U332" s="15" t="str">
        <f>IFERROR(INDEX('Formulación PDN 2027'!$B$7:$B$506,MATCH(ROW()-5,'Formulación PDN 2027'!$AK$7:$AK$506,0))&amp;"","")</f>
        <v/>
      </c>
      <c r="V332" s="15" t="str">
        <f>IFERROR(LEFT(INDEX('Formulación PDN 2027'!$E$7:$E$506,MATCH(ROW()-5,'Formulación PDN 2027'!$AK$7:$AK$506,0)),7),"")</f>
        <v/>
      </c>
      <c r="W332" s="15" t="str">
        <f>IFERROR(INDEX('Formulación PDN 2027'!$H$7:$H$506,MATCH(ROW()-5,'Formulación PDN 2027'!$AK$7:$AK$506,0))&amp;"","")</f>
        <v/>
      </c>
      <c r="X332" s="15" t="str">
        <f>IFERROR(INDEX('Formulación PDN 2027'!$U$7:$U$506,MATCH(ROW()-5,'Formulación PDN 2027'!$AK$7:$AK$506,0))&amp;"","")</f>
        <v/>
      </c>
      <c r="Y332" s="15" t="str">
        <f>IFERROR(INDEX('Formulación PDN 2027'!$AH$7:$AH$506,MATCH(ROW()-5,'Formulación PDN 2027'!$AK$7:$AK$506,0))&amp;"","")</f>
        <v/>
      </c>
    </row>
    <row r="333" spans="1:25" x14ac:dyDescent="0.3">
      <c r="A333" s="15" t="str">
        <f>IFERROR(INDEX('Formulación PDN 2027'!$A$7:$A$506,MATCH(ROW()-5,'Formulación PDN 2027'!$AK$7:$AK$506,0))&amp;"","")</f>
        <v/>
      </c>
      <c r="B333" s="20" t="str">
        <f>IFERROR(INDEX('Formulación PDN 2027'!$M$7:$M$506,MATCH(ROW()-5,'Formulación PDN 2027'!$AK$7:$AK$506,0)),"")</f>
        <v/>
      </c>
      <c r="C333" s="15" t="str">
        <f>IFERROR(INDEX('Formulación PDN 2027'!$N$7:$N$506,MATCH(ROW()-5,'Formulación PDN 2027'!$AK$7:$AK$506,0))&amp;"","")</f>
        <v/>
      </c>
      <c r="D333" s="15" t="str">
        <f>IFERROR(INDEX('Formulación PDN 2027'!$L$7:$L$506,MATCH(ROW()-5,'Formulación PDN 2027'!$AK$7:$AK$506,0))&amp;"","")</f>
        <v/>
      </c>
      <c r="E333" s="15" t="str">
        <f>IFERROR(MATCH(INDEX('Formulación PDN 2027'!$O$7:$O$506,MATCH(ROW()-5,'Formulación PDN 2027'!$AK$7:$AK$506,0)),L_MESES,0),"")</f>
        <v/>
      </c>
      <c r="F333" s="15" t="str">
        <f>IFERROR(MATCH(INDEX('Formulación PDN 2027'!$P$7:$P$506,MATCH(ROW()-5,'Formulación PDN 2027'!$AK$7:$AK$506,0)),L_MESES,0),"")</f>
        <v/>
      </c>
      <c r="G333" s="15" t="str">
        <f>IFERROR(INDEX('Formulación PDN 2027'!$Q$7:$Q$506,MATCH(ROW()-5,'Formulación PDN 2027'!$AK$7:$AK$506,0)),"")</f>
        <v/>
      </c>
      <c r="H333" s="15" t="str">
        <f>IFERROR(INDEX('Formulación PDN 2027'!$R$7:$R$506,MATCH(ROW()-5,'Formulación PDN 2027'!$AK$7:$AK$506,0))&amp;"","")</f>
        <v/>
      </c>
      <c r="I333" s="15" t="str">
        <f>IFERROR(INDEX('Formulación PDN 2027'!$S$7:$S$506,MATCH(ROW()-5,'Formulación PDN 2027'!$AK$7:$AK$506,0))&amp;"","")</f>
        <v/>
      </c>
      <c r="J333" s="15" t="str">
        <f>IFERROR(INDEX('Formulación PDN 2027'!$T$7:$T$506,MATCH(ROW()-5,'Formulación PDN 2027'!$AK$7:$AK$506,0))&amp;"","")</f>
        <v/>
      </c>
      <c r="K333" s="43" t="str">
        <f>IFERROR(INDEX('Formulación PDN 2027'!$W$7:$W$506,MATCH(ROW()-5,'Formulación PDN 2027'!$AK$7:$AK$506,0)),"")</f>
        <v/>
      </c>
      <c r="L333" s="43" t="str">
        <f>IFERROR(INDEX('Formulación PDN 2027'!$X$7:$X$506,MATCH(ROW()-5,'Formulación PDN 2027'!$AK$7:$AK$506,0)),"")</f>
        <v/>
      </c>
      <c r="M333" s="15" t="str">
        <f>IFERROR(INDEX('Formulación PDN 2027'!$Y$7:$Y$506,MATCH(ROW()-5,'Formulación PDN 2027'!$AK$7:$AK$506,0))&amp;"","")</f>
        <v/>
      </c>
      <c r="N333" s="15" t="str">
        <f>IFERROR(INDEX('Formulación PDN 2027'!$Z$7:$Z$506,MATCH(ROW()-5,'Formulación PDN 2027'!$AK$7:$AK$506,0))&amp;"","")</f>
        <v/>
      </c>
      <c r="O333" s="15"/>
      <c r="P333" s="15" t="str">
        <f>IFERROR(INDEX('Formulación PDN 2027'!$AA$7:$AA$506,MATCH(ROW()-5,'Formulación PDN 2027'!$AK$7:$AK$506,0))&amp;"","")</f>
        <v/>
      </c>
      <c r="Q333" s="15" t="str">
        <f>IFERROR(INDEX('Formulación PDN 2027'!$AB$7:$AB$506,MATCH(ROW()-5,'Formulación PDN 2027'!$AK$7:$AK$506,0))&amp;"","")</f>
        <v/>
      </c>
      <c r="R333" s="15" t="str">
        <f>IFERROR(INDEX('Formulación PDN 2027'!$AD$7:$AD$506,MATCH(ROW()-5,'Formulación PDN 2027'!$AK$7:$AK$506,0))&amp;"","")</f>
        <v/>
      </c>
      <c r="S333" s="15" t="str">
        <f>IFERROR(INDEX('Formulación PDN 2027'!$AE$7:$AE$506,MATCH(ROW()-5,'Formulación PDN 2027'!$AK$7:$AK$506,0))&amp;"","")</f>
        <v/>
      </c>
      <c r="T333" s="15" t="str">
        <f>IFERROR(INDEX('Formulación PDN 2027'!$C$7:$C$506,MATCH(ROW()-5,'Formulación PDN 2027'!$AK$7:$AK$506,0))&amp;"","")</f>
        <v/>
      </c>
      <c r="U333" s="15" t="str">
        <f>IFERROR(INDEX('Formulación PDN 2027'!$B$7:$B$506,MATCH(ROW()-5,'Formulación PDN 2027'!$AK$7:$AK$506,0))&amp;"","")</f>
        <v/>
      </c>
      <c r="V333" s="15" t="str">
        <f>IFERROR(LEFT(INDEX('Formulación PDN 2027'!$E$7:$E$506,MATCH(ROW()-5,'Formulación PDN 2027'!$AK$7:$AK$506,0)),7),"")</f>
        <v/>
      </c>
      <c r="W333" s="15" t="str">
        <f>IFERROR(INDEX('Formulación PDN 2027'!$H$7:$H$506,MATCH(ROW()-5,'Formulación PDN 2027'!$AK$7:$AK$506,0))&amp;"","")</f>
        <v/>
      </c>
      <c r="X333" s="15" t="str">
        <f>IFERROR(INDEX('Formulación PDN 2027'!$U$7:$U$506,MATCH(ROW()-5,'Formulación PDN 2027'!$AK$7:$AK$506,0))&amp;"","")</f>
        <v/>
      </c>
      <c r="Y333" s="15" t="str">
        <f>IFERROR(INDEX('Formulación PDN 2027'!$AH$7:$AH$506,MATCH(ROW()-5,'Formulación PDN 2027'!$AK$7:$AK$506,0))&amp;"","")</f>
        <v/>
      </c>
    </row>
    <row r="334" spans="1:25" x14ac:dyDescent="0.3">
      <c r="A334" s="15" t="str">
        <f>IFERROR(INDEX('Formulación PDN 2027'!$A$7:$A$506,MATCH(ROW()-5,'Formulación PDN 2027'!$AK$7:$AK$506,0))&amp;"","")</f>
        <v/>
      </c>
      <c r="B334" s="20" t="str">
        <f>IFERROR(INDEX('Formulación PDN 2027'!$M$7:$M$506,MATCH(ROW()-5,'Formulación PDN 2027'!$AK$7:$AK$506,0)),"")</f>
        <v/>
      </c>
      <c r="C334" s="15" t="str">
        <f>IFERROR(INDEX('Formulación PDN 2027'!$N$7:$N$506,MATCH(ROW()-5,'Formulación PDN 2027'!$AK$7:$AK$506,0))&amp;"","")</f>
        <v/>
      </c>
      <c r="D334" s="15" t="str">
        <f>IFERROR(INDEX('Formulación PDN 2027'!$L$7:$L$506,MATCH(ROW()-5,'Formulación PDN 2027'!$AK$7:$AK$506,0))&amp;"","")</f>
        <v/>
      </c>
      <c r="E334" s="15" t="str">
        <f>IFERROR(MATCH(INDEX('Formulación PDN 2027'!$O$7:$O$506,MATCH(ROW()-5,'Formulación PDN 2027'!$AK$7:$AK$506,0)),L_MESES,0),"")</f>
        <v/>
      </c>
      <c r="F334" s="15" t="str">
        <f>IFERROR(MATCH(INDEX('Formulación PDN 2027'!$P$7:$P$506,MATCH(ROW()-5,'Formulación PDN 2027'!$AK$7:$AK$506,0)),L_MESES,0),"")</f>
        <v/>
      </c>
      <c r="G334" s="15" t="str">
        <f>IFERROR(INDEX('Formulación PDN 2027'!$Q$7:$Q$506,MATCH(ROW()-5,'Formulación PDN 2027'!$AK$7:$AK$506,0)),"")</f>
        <v/>
      </c>
      <c r="H334" s="15" t="str">
        <f>IFERROR(INDEX('Formulación PDN 2027'!$R$7:$R$506,MATCH(ROW()-5,'Formulación PDN 2027'!$AK$7:$AK$506,0))&amp;"","")</f>
        <v/>
      </c>
      <c r="I334" s="15" t="str">
        <f>IFERROR(INDEX('Formulación PDN 2027'!$S$7:$S$506,MATCH(ROW()-5,'Formulación PDN 2027'!$AK$7:$AK$506,0))&amp;"","")</f>
        <v/>
      </c>
      <c r="J334" s="15" t="str">
        <f>IFERROR(INDEX('Formulación PDN 2027'!$T$7:$T$506,MATCH(ROW()-5,'Formulación PDN 2027'!$AK$7:$AK$506,0))&amp;"","")</f>
        <v/>
      </c>
      <c r="K334" s="43" t="str">
        <f>IFERROR(INDEX('Formulación PDN 2027'!$W$7:$W$506,MATCH(ROW()-5,'Formulación PDN 2027'!$AK$7:$AK$506,0)),"")</f>
        <v/>
      </c>
      <c r="L334" s="43" t="str">
        <f>IFERROR(INDEX('Formulación PDN 2027'!$X$7:$X$506,MATCH(ROW()-5,'Formulación PDN 2027'!$AK$7:$AK$506,0)),"")</f>
        <v/>
      </c>
      <c r="M334" s="15" t="str">
        <f>IFERROR(INDEX('Formulación PDN 2027'!$Y$7:$Y$506,MATCH(ROW()-5,'Formulación PDN 2027'!$AK$7:$AK$506,0))&amp;"","")</f>
        <v/>
      </c>
      <c r="N334" s="15" t="str">
        <f>IFERROR(INDEX('Formulación PDN 2027'!$Z$7:$Z$506,MATCH(ROW()-5,'Formulación PDN 2027'!$AK$7:$AK$506,0))&amp;"","")</f>
        <v/>
      </c>
      <c r="O334" s="15"/>
      <c r="P334" s="15" t="str">
        <f>IFERROR(INDEX('Formulación PDN 2027'!$AA$7:$AA$506,MATCH(ROW()-5,'Formulación PDN 2027'!$AK$7:$AK$506,0))&amp;"","")</f>
        <v/>
      </c>
      <c r="Q334" s="15" t="str">
        <f>IFERROR(INDEX('Formulación PDN 2027'!$AB$7:$AB$506,MATCH(ROW()-5,'Formulación PDN 2027'!$AK$7:$AK$506,0))&amp;"","")</f>
        <v/>
      </c>
      <c r="R334" s="15" t="str">
        <f>IFERROR(INDEX('Formulación PDN 2027'!$AD$7:$AD$506,MATCH(ROW()-5,'Formulación PDN 2027'!$AK$7:$AK$506,0))&amp;"","")</f>
        <v/>
      </c>
      <c r="S334" s="15" t="str">
        <f>IFERROR(INDEX('Formulación PDN 2027'!$AE$7:$AE$506,MATCH(ROW()-5,'Formulación PDN 2027'!$AK$7:$AK$506,0))&amp;"","")</f>
        <v/>
      </c>
      <c r="T334" s="15" t="str">
        <f>IFERROR(INDEX('Formulación PDN 2027'!$C$7:$C$506,MATCH(ROW()-5,'Formulación PDN 2027'!$AK$7:$AK$506,0))&amp;"","")</f>
        <v/>
      </c>
      <c r="U334" s="15" t="str">
        <f>IFERROR(INDEX('Formulación PDN 2027'!$B$7:$B$506,MATCH(ROW()-5,'Formulación PDN 2027'!$AK$7:$AK$506,0))&amp;"","")</f>
        <v/>
      </c>
      <c r="V334" s="15" t="str">
        <f>IFERROR(LEFT(INDEX('Formulación PDN 2027'!$E$7:$E$506,MATCH(ROW()-5,'Formulación PDN 2027'!$AK$7:$AK$506,0)),7),"")</f>
        <v/>
      </c>
      <c r="W334" s="15" t="str">
        <f>IFERROR(INDEX('Formulación PDN 2027'!$H$7:$H$506,MATCH(ROW()-5,'Formulación PDN 2027'!$AK$7:$AK$506,0))&amp;"","")</f>
        <v/>
      </c>
      <c r="X334" s="15" t="str">
        <f>IFERROR(INDEX('Formulación PDN 2027'!$U$7:$U$506,MATCH(ROW()-5,'Formulación PDN 2027'!$AK$7:$AK$506,0))&amp;"","")</f>
        <v/>
      </c>
      <c r="Y334" s="15" t="str">
        <f>IFERROR(INDEX('Formulación PDN 2027'!$AH$7:$AH$506,MATCH(ROW()-5,'Formulación PDN 2027'!$AK$7:$AK$506,0))&amp;"","")</f>
        <v/>
      </c>
    </row>
    <row r="335" spans="1:25" x14ac:dyDescent="0.3">
      <c r="A335" s="15" t="str">
        <f>IFERROR(INDEX('Formulación PDN 2027'!$A$7:$A$506,MATCH(ROW()-5,'Formulación PDN 2027'!$AK$7:$AK$506,0))&amp;"","")</f>
        <v/>
      </c>
      <c r="B335" s="20" t="str">
        <f>IFERROR(INDEX('Formulación PDN 2027'!$M$7:$M$506,MATCH(ROW()-5,'Formulación PDN 2027'!$AK$7:$AK$506,0)),"")</f>
        <v/>
      </c>
      <c r="C335" s="15" t="str">
        <f>IFERROR(INDEX('Formulación PDN 2027'!$N$7:$N$506,MATCH(ROW()-5,'Formulación PDN 2027'!$AK$7:$AK$506,0))&amp;"","")</f>
        <v/>
      </c>
      <c r="D335" s="15" t="str">
        <f>IFERROR(INDEX('Formulación PDN 2027'!$L$7:$L$506,MATCH(ROW()-5,'Formulación PDN 2027'!$AK$7:$AK$506,0))&amp;"","")</f>
        <v/>
      </c>
      <c r="E335" s="15" t="str">
        <f>IFERROR(MATCH(INDEX('Formulación PDN 2027'!$O$7:$O$506,MATCH(ROW()-5,'Formulación PDN 2027'!$AK$7:$AK$506,0)),L_MESES,0),"")</f>
        <v/>
      </c>
      <c r="F335" s="15" t="str">
        <f>IFERROR(MATCH(INDEX('Formulación PDN 2027'!$P$7:$P$506,MATCH(ROW()-5,'Formulación PDN 2027'!$AK$7:$AK$506,0)),L_MESES,0),"")</f>
        <v/>
      </c>
      <c r="G335" s="15" t="str">
        <f>IFERROR(INDEX('Formulación PDN 2027'!$Q$7:$Q$506,MATCH(ROW()-5,'Formulación PDN 2027'!$AK$7:$AK$506,0)),"")</f>
        <v/>
      </c>
      <c r="H335" s="15" t="str">
        <f>IFERROR(INDEX('Formulación PDN 2027'!$R$7:$R$506,MATCH(ROW()-5,'Formulación PDN 2027'!$AK$7:$AK$506,0))&amp;"","")</f>
        <v/>
      </c>
      <c r="I335" s="15" t="str">
        <f>IFERROR(INDEX('Formulación PDN 2027'!$S$7:$S$506,MATCH(ROW()-5,'Formulación PDN 2027'!$AK$7:$AK$506,0))&amp;"","")</f>
        <v/>
      </c>
      <c r="J335" s="15" t="str">
        <f>IFERROR(INDEX('Formulación PDN 2027'!$T$7:$T$506,MATCH(ROW()-5,'Formulación PDN 2027'!$AK$7:$AK$506,0))&amp;"","")</f>
        <v/>
      </c>
      <c r="K335" s="43" t="str">
        <f>IFERROR(INDEX('Formulación PDN 2027'!$W$7:$W$506,MATCH(ROW()-5,'Formulación PDN 2027'!$AK$7:$AK$506,0)),"")</f>
        <v/>
      </c>
      <c r="L335" s="43" t="str">
        <f>IFERROR(INDEX('Formulación PDN 2027'!$X$7:$X$506,MATCH(ROW()-5,'Formulación PDN 2027'!$AK$7:$AK$506,0)),"")</f>
        <v/>
      </c>
      <c r="M335" s="15" t="str">
        <f>IFERROR(INDEX('Formulación PDN 2027'!$Y$7:$Y$506,MATCH(ROW()-5,'Formulación PDN 2027'!$AK$7:$AK$506,0))&amp;"","")</f>
        <v/>
      </c>
      <c r="N335" s="15" t="str">
        <f>IFERROR(INDEX('Formulación PDN 2027'!$Z$7:$Z$506,MATCH(ROW()-5,'Formulación PDN 2027'!$AK$7:$AK$506,0))&amp;"","")</f>
        <v/>
      </c>
      <c r="O335" s="15"/>
      <c r="P335" s="15" t="str">
        <f>IFERROR(INDEX('Formulación PDN 2027'!$AA$7:$AA$506,MATCH(ROW()-5,'Formulación PDN 2027'!$AK$7:$AK$506,0))&amp;"","")</f>
        <v/>
      </c>
      <c r="Q335" s="15" t="str">
        <f>IFERROR(INDEX('Formulación PDN 2027'!$AB$7:$AB$506,MATCH(ROW()-5,'Formulación PDN 2027'!$AK$7:$AK$506,0))&amp;"","")</f>
        <v/>
      </c>
      <c r="R335" s="15" t="str">
        <f>IFERROR(INDEX('Formulación PDN 2027'!$AD$7:$AD$506,MATCH(ROW()-5,'Formulación PDN 2027'!$AK$7:$AK$506,0))&amp;"","")</f>
        <v/>
      </c>
      <c r="S335" s="15" t="str">
        <f>IFERROR(INDEX('Formulación PDN 2027'!$AE$7:$AE$506,MATCH(ROW()-5,'Formulación PDN 2027'!$AK$7:$AK$506,0))&amp;"","")</f>
        <v/>
      </c>
      <c r="T335" s="15" t="str">
        <f>IFERROR(INDEX('Formulación PDN 2027'!$C$7:$C$506,MATCH(ROW()-5,'Formulación PDN 2027'!$AK$7:$AK$506,0))&amp;"","")</f>
        <v/>
      </c>
      <c r="U335" s="15" t="str">
        <f>IFERROR(INDEX('Formulación PDN 2027'!$B$7:$B$506,MATCH(ROW()-5,'Formulación PDN 2027'!$AK$7:$AK$506,0))&amp;"","")</f>
        <v/>
      </c>
      <c r="V335" s="15" t="str">
        <f>IFERROR(LEFT(INDEX('Formulación PDN 2027'!$E$7:$E$506,MATCH(ROW()-5,'Formulación PDN 2027'!$AK$7:$AK$506,0)),7),"")</f>
        <v/>
      </c>
      <c r="W335" s="15" t="str">
        <f>IFERROR(INDEX('Formulación PDN 2027'!$H$7:$H$506,MATCH(ROW()-5,'Formulación PDN 2027'!$AK$7:$AK$506,0))&amp;"","")</f>
        <v/>
      </c>
      <c r="X335" s="15" t="str">
        <f>IFERROR(INDEX('Formulación PDN 2027'!$U$7:$U$506,MATCH(ROW()-5,'Formulación PDN 2027'!$AK$7:$AK$506,0))&amp;"","")</f>
        <v/>
      </c>
      <c r="Y335" s="15" t="str">
        <f>IFERROR(INDEX('Formulación PDN 2027'!$AH$7:$AH$506,MATCH(ROW()-5,'Formulación PDN 2027'!$AK$7:$AK$506,0))&amp;"","")</f>
        <v/>
      </c>
    </row>
    <row r="336" spans="1:25" x14ac:dyDescent="0.3">
      <c r="A336" s="15" t="str">
        <f>IFERROR(INDEX('Formulación PDN 2027'!$A$7:$A$506,MATCH(ROW()-5,'Formulación PDN 2027'!$AK$7:$AK$506,0))&amp;"","")</f>
        <v/>
      </c>
      <c r="B336" s="20" t="str">
        <f>IFERROR(INDEX('Formulación PDN 2027'!$M$7:$M$506,MATCH(ROW()-5,'Formulación PDN 2027'!$AK$7:$AK$506,0)),"")</f>
        <v/>
      </c>
      <c r="C336" s="15" t="str">
        <f>IFERROR(INDEX('Formulación PDN 2027'!$N$7:$N$506,MATCH(ROW()-5,'Formulación PDN 2027'!$AK$7:$AK$506,0))&amp;"","")</f>
        <v/>
      </c>
      <c r="D336" s="15" t="str">
        <f>IFERROR(INDEX('Formulación PDN 2027'!$L$7:$L$506,MATCH(ROW()-5,'Formulación PDN 2027'!$AK$7:$AK$506,0))&amp;"","")</f>
        <v/>
      </c>
      <c r="E336" s="15" t="str">
        <f>IFERROR(MATCH(INDEX('Formulación PDN 2027'!$O$7:$O$506,MATCH(ROW()-5,'Formulación PDN 2027'!$AK$7:$AK$506,0)),L_MESES,0),"")</f>
        <v/>
      </c>
      <c r="F336" s="15" t="str">
        <f>IFERROR(MATCH(INDEX('Formulación PDN 2027'!$P$7:$P$506,MATCH(ROW()-5,'Formulación PDN 2027'!$AK$7:$AK$506,0)),L_MESES,0),"")</f>
        <v/>
      </c>
      <c r="G336" s="15" t="str">
        <f>IFERROR(INDEX('Formulación PDN 2027'!$Q$7:$Q$506,MATCH(ROW()-5,'Formulación PDN 2027'!$AK$7:$AK$506,0)),"")</f>
        <v/>
      </c>
      <c r="H336" s="15" t="str">
        <f>IFERROR(INDEX('Formulación PDN 2027'!$R$7:$R$506,MATCH(ROW()-5,'Formulación PDN 2027'!$AK$7:$AK$506,0))&amp;"","")</f>
        <v/>
      </c>
      <c r="I336" s="15" t="str">
        <f>IFERROR(INDEX('Formulación PDN 2027'!$S$7:$S$506,MATCH(ROW()-5,'Formulación PDN 2027'!$AK$7:$AK$506,0))&amp;"","")</f>
        <v/>
      </c>
      <c r="J336" s="15" t="str">
        <f>IFERROR(INDEX('Formulación PDN 2027'!$T$7:$T$506,MATCH(ROW()-5,'Formulación PDN 2027'!$AK$7:$AK$506,0))&amp;"","")</f>
        <v/>
      </c>
      <c r="K336" s="43" t="str">
        <f>IFERROR(INDEX('Formulación PDN 2027'!$W$7:$W$506,MATCH(ROW()-5,'Formulación PDN 2027'!$AK$7:$AK$506,0)),"")</f>
        <v/>
      </c>
      <c r="L336" s="43" t="str">
        <f>IFERROR(INDEX('Formulación PDN 2027'!$X$7:$X$506,MATCH(ROW()-5,'Formulación PDN 2027'!$AK$7:$AK$506,0)),"")</f>
        <v/>
      </c>
      <c r="M336" s="15" t="str">
        <f>IFERROR(INDEX('Formulación PDN 2027'!$Y$7:$Y$506,MATCH(ROW()-5,'Formulación PDN 2027'!$AK$7:$AK$506,0))&amp;"","")</f>
        <v/>
      </c>
      <c r="N336" s="15" t="str">
        <f>IFERROR(INDEX('Formulación PDN 2027'!$Z$7:$Z$506,MATCH(ROW()-5,'Formulación PDN 2027'!$AK$7:$AK$506,0))&amp;"","")</f>
        <v/>
      </c>
      <c r="O336" s="15"/>
      <c r="P336" s="15" t="str">
        <f>IFERROR(INDEX('Formulación PDN 2027'!$AA$7:$AA$506,MATCH(ROW()-5,'Formulación PDN 2027'!$AK$7:$AK$506,0))&amp;"","")</f>
        <v/>
      </c>
      <c r="Q336" s="15" t="str">
        <f>IFERROR(INDEX('Formulación PDN 2027'!$AB$7:$AB$506,MATCH(ROW()-5,'Formulación PDN 2027'!$AK$7:$AK$506,0))&amp;"","")</f>
        <v/>
      </c>
      <c r="R336" s="15" t="str">
        <f>IFERROR(INDEX('Formulación PDN 2027'!$AD$7:$AD$506,MATCH(ROW()-5,'Formulación PDN 2027'!$AK$7:$AK$506,0))&amp;"","")</f>
        <v/>
      </c>
      <c r="S336" s="15" t="str">
        <f>IFERROR(INDEX('Formulación PDN 2027'!$AE$7:$AE$506,MATCH(ROW()-5,'Formulación PDN 2027'!$AK$7:$AK$506,0))&amp;"","")</f>
        <v/>
      </c>
      <c r="T336" s="15" t="str">
        <f>IFERROR(INDEX('Formulación PDN 2027'!$C$7:$C$506,MATCH(ROW()-5,'Formulación PDN 2027'!$AK$7:$AK$506,0))&amp;"","")</f>
        <v/>
      </c>
      <c r="U336" s="15" t="str">
        <f>IFERROR(INDEX('Formulación PDN 2027'!$B$7:$B$506,MATCH(ROW()-5,'Formulación PDN 2027'!$AK$7:$AK$506,0))&amp;"","")</f>
        <v/>
      </c>
      <c r="V336" s="15" t="str">
        <f>IFERROR(LEFT(INDEX('Formulación PDN 2027'!$E$7:$E$506,MATCH(ROW()-5,'Formulación PDN 2027'!$AK$7:$AK$506,0)),7),"")</f>
        <v/>
      </c>
      <c r="W336" s="15" t="str">
        <f>IFERROR(INDEX('Formulación PDN 2027'!$H$7:$H$506,MATCH(ROW()-5,'Formulación PDN 2027'!$AK$7:$AK$506,0))&amp;"","")</f>
        <v/>
      </c>
      <c r="X336" s="15" t="str">
        <f>IFERROR(INDEX('Formulación PDN 2027'!$U$7:$U$506,MATCH(ROW()-5,'Formulación PDN 2027'!$AK$7:$AK$506,0))&amp;"","")</f>
        <v/>
      </c>
      <c r="Y336" s="15" t="str">
        <f>IFERROR(INDEX('Formulación PDN 2027'!$AH$7:$AH$506,MATCH(ROW()-5,'Formulación PDN 2027'!$AK$7:$AK$506,0))&amp;"","")</f>
        <v/>
      </c>
    </row>
    <row r="337" spans="1:25" x14ac:dyDescent="0.3">
      <c r="A337" s="15" t="str">
        <f>IFERROR(INDEX('Formulación PDN 2027'!$A$7:$A$506,MATCH(ROW()-5,'Formulación PDN 2027'!$AK$7:$AK$506,0))&amp;"","")</f>
        <v/>
      </c>
      <c r="B337" s="20" t="str">
        <f>IFERROR(INDEX('Formulación PDN 2027'!$M$7:$M$506,MATCH(ROW()-5,'Formulación PDN 2027'!$AK$7:$AK$506,0)),"")</f>
        <v/>
      </c>
      <c r="C337" s="15" t="str">
        <f>IFERROR(INDEX('Formulación PDN 2027'!$N$7:$N$506,MATCH(ROW()-5,'Formulación PDN 2027'!$AK$7:$AK$506,0))&amp;"","")</f>
        <v/>
      </c>
      <c r="D337" s="15" t="str">
        <f>IFERROR(INDEX('Formulación PDN 2027'!$L$7:$L$506,MATCH(ROW()-5,'Formulación PDN 2027'!$AK$7:$AK$506,0))&amp;"","")</f>
        <v/>
      </c>
      <c r="E337" s="15" t="str">
        <f>IFERROR(MATCH(INDEX('Formulación PDN 2027'!$O$7:$O$506,MATCH(ROW()-5,'Formulación PDN 2027'!$AK$7:$AK$506,0)),L_MESES,0),"")</f>
        <v/>
      </c>
      <c r="F337" s="15" t="str">
        <f>IFERROR(MATCH(INDEX('Formulación PDN 2027'!$P$7:$P$506,MATCH(ROW()-5,'Formulación PDN 2027'!$AK$7:$AK$506,0)),L_MESES,0),"")</f>
        <v/>
      </c>
      <c r="G337" s="15" t="str">
        <f>IFERROR(INDEX('Formulación PDN 2027'!$Q$7:$Q$506,MATCH(ROW()-5,'Formulación PDN 2027'!$AK$7:$AK$506,0)),"")</f>
        <v/>
      </c>
      <c r="H337" s="15" t="str">
        <f>IFERROR(INDEX('Formulación PDN 2027'!$R$7:$R$506,MATCH(ROW()-5,'Formulación PDN 2027'!$AK$7:$AK$506,0))&amp;"","")</f>
        <v/>
      </c>
      <c r="I337" s="15" t="str">
        <f>IFERROR(INDEX('Formulación PDN 2027'!$S$7:$S$506,MATCH(ROW()-5,'Formulación PDN 2027'!$AK$7:$AK$506,0))&amp;"","")</f>
        <v/>
      </c>
      <c r="J337" s="15" t="str">
        <f>IFERROR(INDEX('Formulación PDN 2027'!$T$7:$T$506,MATCH(ROW()-5,'Formulación PDN 2027'!$AK$7:$AK$506,0))&amp;"","")</f>
        <v/>
      </c>
      <c r="K337" s="43" t="str">
        <f>IFERROR(INDEX('Formulación PDN 2027'!$W$7:$W$506,MATCH(ROW()-5,'Formulación PDN 2027'!$AK$7:$AK$506,0)),"")</f>
        <v/>
      </c>
      <c r="L337" s="43" t="str">
        <f>IFERROR(INDEX('Formulación PDN 2027'!$X$7:$X$506,MATCH(ROW()-5,'Formulación PDN 2027'!$AK$7:$AK$506,0)),"")</f>
        <v/>
      </c>
      <c r="M337" s="15" t="str">
        <f>IFERROR(INDEX('Formulación PDN 2027'!$Y$7:$Y$506,MATCH(ROW()-5,'Formulación PDN 2027'!$AK$7:$AK$506,0))&amp;"","")</f>
        <v/>
      </c>
      <c r="N337" s="15" t="str">
        <f>IFERROR(INDEX('Formulación PDN 2027'!$Z$7:$Z$506,MATCH(ROW()-5,'Formulación PDN 2027'!$AK$7:$AK$506,0))&amp;"","")</f>
        <v/>
      </c>
      <c r="O337" s="15"/>
      <c r="P337" s="15" t="str">
        <f>IFERROR(INDEX('Formulación PDN 2027'!$AA$7:$AA$506,MATCH(ROW()-5,'Formulación PDN 2027'!$AK$7:$AK$506,0))&amp;"","")</f>
        <v/>
      </c>
      <c r="Q337" s="15" t="str">
        <f>IFERROR(INDEX('Formulación PDN 2027'!$AB$7:$AB$506,MATCH(ROW()-5,'Formulación PDN 2027'!$AK$7:$AK$506,0))&amp;"","")</f>
        <v/>
      </c>
      <c r="R337" s="15" t="str">
        <f>IFERROR(INDEX('Formulación PDN 2027'!$AD$7:$AD$506,MATCH(ROW()-5,'Formulación PDN 2027'!$AK$7:$AK$506,0))&amp;"","")</f>
        <v/>
      </c>
      <c r="S337" s="15" t="str">
        <f>IFERROR(INDEX('Formulación PDN 2027'!$AE$7:$AE$506,MATCH(ROW()-5,'Formulación PDN 2027'!$AK$7:$AK$506,0))&amp;"","")</f>
        <v/>
      </c>
      <c r="T337" s="15" t="str">
        <f>IFERROR(INDEX('Formulación PDN 2027'!$C$7:$C$506,MATCH(ROW()-5,'Formulación PDN 2027'!$AK$7:$AK$506,0))&amp;"","")</f>
        <v/>
      </c>
      <c r="U337" s="15" t="str">
        <f>IFERROR(INDEX('Formulación PDN 2027'!$B$7:$B$506,MATCH(ROW()-5,'Formulación PDN 2027'!$AK$7:$AK$506,0))&amp;"","")</f>
        <v/>
      </c>
      <c r="V337" s="15" t="str">
        <f>IFERROR(LEFT(INDEX('Formulación PDN 2027'!$E$7:$E$506,MATCH(ROW()-5,'Formulación PDN 2027'!$AK$7:$AK$506,0)),7),"")</f>
        <v/>
      </c>
      <c r="W337" s="15" t="str">
        <f>IFERROR(INDEX('Formulación PDN 2027'!$H$7:$H$506,MATCH(ROW()-5,'Formulación PDN 2027'!$AK$7:$AK$506,0))&amp;"","")</f>
        <v/>
      </c>
      <c r="X337" s="15" t="str">
        <f>IFERROR(INDEX('Formulación PDN 2027'!$U$7:$U$506,MATCH(ROW()-5,'Formulación PDN 2027'!$AK$7:$AK$506,0))&amp;"","")</f>
        <v/>
      </c>
      <c r="Y337" s="15" t="str">
        <f>IFERROR(INDEX('Formulación PDN 2027'!$AH$7:$AH$506,MATCH(ROW()-5,'Formulación PDN 2027'!$AK$7:$AK$506,0))&amp;"","")</f>
        <v/>
      </c>
    </row>
    <row r="338" spans="1:25" x14ac:dyDescent="0.3">
      <c r="A338" s="15" t="str">
        <f>IFERROR(INDEX('Formulación PDN 2027'!$A$7:$A$506,MATCH(ROW()-5,'Formulación PDN 2027'!$AK$7:$AK$506,0))&amp;"","")</f>
        <v/>
      </c>
      <c r="B338" s="20" t="str">
        <f>IFERROR(INDEX('Formulación PDN 2027'!$M$7:$M$506,MATCH(ROW()-5,'Formulación PDN 2027'!$AK$7:$AK$506,0)),"")</f>
        <v/>
      </c>
      <c r="C338" s="15" t="str">
        <f>IFERROR(INDEX('Formulación PDN 2027'!$N$7:$N$506,MATCH(ROW()-5,'Formulación PDN 2027'!$AK$7:$AK$506,0))&amp;"","")</f>
        <v/>
      </c>
      <c r="D338" s="15" t="str">
        <f>IFERROR(INDEX('Formulación PDN 2027'!$L$7:$L$506,MATCH(ROW()-5,'Formulación PDN 2027'!$AK$7:$AK$506,0))&amp;"","")</f>
        <v/>
      </c>
      <c r="E338" s="15" t="str">
        <f>IFERROR(MATCH(INDEX('Formulación PDN 2027'!$O$7:$O$506,MATCH(ROW()-5,'Formulación PDN 2027'!$AK$7:$AK$506,0)),L_MESES,0),"")</f>
        <v/>
      </c>
      <c r="F338" s="15" t="str">
        <f>IFERROR(MATCH(INDEX('Formulación PDN 2027'!$P$7:$P$506,MATCH(ROW()-5,'Formulación PDN 2027'!$AK$7:$AK$506,0)),L_MESES,0),"")</f>
        <v/>
      </c>
      <c r="G338" s="15" t="str">
        <f>IFERROR(INDEX('Formulación PDN 2027'!$Q$7:$Q$506,MATCH(ROW()-5,'Formulación PDN 2027'!$AK$7:$AK$506,0)),"")</f>
        <v/>
      </c>
      <c r="H338" s="15" t="str">
        <f>IFERROR(INDEX('Formulación PDN 2027'!$R$7:$R$506,MATCH(ROW()-5,'Formulación PDN 2027'!$AK$7:$AK$506,0))&amp;"","")</f>
        <v/>
      </c>
      <c r="I338" s="15" t="str">
        <f>IFERROR(INDEX('Formulación PDN 2027'!$S$7:$S$506,MATCH(ROW()-5,'Formulación PDN 2027'!$AK$7:$AK$506,0))&amp;"","")</f>
        <v/>
      </c>
      <c r="J338" s="15" t="str">
        <f>IFERROR(INDEX('Formulación PDN 2027'!$T$7:$T$506,MATCH(ROW()-5,'Formulación PDN 2027'!$AK$7:$AK$506,0))&amp;"","")</f>
        <v/>
      </c>
      <c r="K338" s="43" t="str">
        <f>IFERROR(INDEX('Formulación PDN 2027'!$W$7:$W$506,MATCH(ROW()-5,'Formulación PDN 2027'!$AK$7:$AK$506,0)),"")</f>
        <v/>
      </c>
      <c r="L338" s="43" t="str">
        <f>IFERROR(INDEX('Formulación PDN 2027'!$X$7:$X$506,MATCH(ROW()-5,'Formulación PDN 2027'!$AK$7:$AK$506,0)),"")</f>
        <v/>
      </c>
      <c r="M338" s="15" t="str">
        <f>IFERROR(INDEX('Formulación PDN 2027'!$Y$7:$Y$506,MATCH(ROW()-5,'Formulación PDN 2027'!$AK$7:$AK$506,0))&amp;"","")</f>
        <v/>
      </c>
      <c r="N338" s="15" t="str">
        <f>IFERROR(INDEX('Formulación PDN 2027'!$Z$7:$Z$506,MATCH(ROW()-5,'Formulación PDN 2027'!$AK$7:$AK$506,0))&amp;"","")</f>
        <v/>
      </c>
      <c r="O338" s="15"/>
      <c r="P338" s="15" t="str">
        <f>IFERROR(INDEX('Formulación PDN 2027'!$AA$7:$AA$506,MATCH(ROW()-5,'Formulación PDN 2027'!$AK$7:$AK$506,0))&amp;"","")</f>
        <v/>
      </c>
      <c r="Q338" s="15" t="str">
        <f>IFERROR(INDEX('Formulación PDN 2027'!$AB$7:$AB$506,MATCH(ROW()-5,'Formulación PDN 2027'!$AK$7:$AK$506,0))&amp;"","")</f>
        <v/>
      </c>
      <c r="R338" s="15" t="str">
        <f>IFERROR(INDEX('Formulación PDN 2027'!$AD$7:$AD$506,MATCH(ROW()-5,'Formulación PDN 2027'!$AK$7:$AK$506,0))&amp;"","")</f>
        <v/>
      </c>
      <c r="S338" s="15" t="str">
        <f>IFERROR(INDEX('Formulación PDN 2027'!$AE$7:$AE$506,MATCH(ROW()-5,'Formulación PDN 2027'!$AK$7:$AK$506,0))&amp;"","")</f>
        <v/>
      </c>
      <c r="T338" s="15" t="str">
        <f>IFERROR(INDEX('Formulación PDN 2027'!$C$7:$C$506,MATCH(ROW()-5,'Formulación PDN 2027'!$AK$7:$AK$506,0))&amp;"","")</f>
        <v/>
      </c>
      <c r="U338" s="15" t="str">
        <f>IFERROR(INDEX('Formulación PDN 2027'!$B$7:$B$506,MATCH(ROW()-5,'Formulación PDN 2027'!$AK$7:$AK$506,0))&amp;"","")</f>
        <v/>
      </c>
      <c r="V338" s="15" t="str">
        <f>IFERROR(LEFT(INDEX('Formulación PDN 2027'!$E$7:$E$506,MATCH(ROW()-5,'Formulación PDN 2027'!$AK$7:$AK$506,0)),7),"")</f>
        <v/>
      </c>
      <c r="W338" s="15" t="str">
        <f>IFERROR(INDEX('Formulación PDN 2027'!$H$7:$H$506,MATCH(ROW()-5,'Formulación PDN 2027'!$AK$7:$AK$506,0))&amp;"","")</f>
        <v/>
      </c>
      <c r="X338" s="15" t="str">
        <f>IFERROR(INDEX('Formulación PDN 2027'!$U$7:$U$506,MATCH(ROW()-5,'Formulación PDN 2027'!$AK$7:$AK$506,0))&amp;"","")</f>
        <v/>
      </c>
      <c r="Y338" s="15" t="str">
        <f>IFERROR(INDEX('Formulación PDN 2027'!$AH$7:$AH$506,MATCH(ROW()-5,'Formulación PDN 2027'!$AK$7:$AK$506,0))&amp;"","")</f>
        <v/>
      </c>
    </row>
    <row r="339" spans="1:25" x14ac:dyDescent="0.3">
      <c r="A339" s="15" t="str">
        <f>IFERROR(INDEX('Formulación PDN 2027'!$A$7:$A$506,MATCH(ROW()-5,'Formulación PDN 2027'!$AK$7:$AK$506,0))&amp;"","")</f>
        <v/>
      </c>
      <c r="B339" s="20" t="str">
        <f>IFERROR(INDEX('Formulación PDN 2027'!$M$7:$M$506,MATCH(ROW()-5,'Formulación PDN 2027'!$AK$7:$AK$506,0)),"")</f>
        <v/>
      </c>
      <c r="C339" s="15" t="str">
        <f>IFERROR(INDEX('Formulación PDN 2027'!$N$7:$N$506,MATCH(ROW()-5,'Formulación PDN 2027'!$AK$7:$AK$506,0))&amp;"","")</f>
        <v/>
      </c>
      <c r="D339" s="15" t="str">
        <f>IFERROR(INDEX('Formulación PDN 2027'!$L$7:$L$506,MATCH(ROW()-5,'Formulación PDN 2027'!$AK$7:$AK$506,0))&amp;"","")</f>
        <v/>
      </c>
      <c r="E339" s="15" t="str">
        <f>IFERROR(MATCH(INDEX('Formulación PDN 2027'!$O$7:$O$506,MATCH(ROW()-5,'Formulación PDN 2027'!$AK$7:$AK$506,0)),L_MESES,0),"")</f>
        <v/>
      </c>
      <c r="F339" s="15" t="str">
        <f>IFERROR(MATCH(INDEX('Formulación PDN 2027'!$P$7:$P$506,MATCH(ROW()-5,'Formulación PDN 2027'!$AK$7:$AK$506,0)),L_MESES,0),"")</f>
        <v/>
      </c>
      <c r="G339" s="15" t="str">
        <f>IFERROR(INDEX('Formulación PDN 2027'!$Q$7:$Q$506,MATCH(ROW()-5,'Formulación PDN 2027'!$AK$7:$AK$506,0)),"")</f>
        <v/>
      </c>
      <c r="H339" s="15" t="str">
        <f>IFERROR(INDEX('Formulación PDN 2027'!$R$7:$R$506,MATCH(ROW()-5,'Formulación PDN 2027'!$AK$7:$AK$506,0))&amp;"","")</f>
        <v/>
      </c>
      <c r="I339" s="15" t="str">
        <f>IFERROR(INDEX('Formulación PDN 2027'!$S$7:$S$506,MATCH(ROW()-5,'Formulación PDN 2027'!$AK$7:$AK$506,0))&amp;"","")</f>
        <v/>
      </c>
      <c r="J339" s="15" t="str">
        <f>IFERROR(INDEX('Formulación PDN 2027'!$T$7:$T$506,MATCH(ROW()-5,'Formulación PDN 2027'!$AK$7:$AK$506,0))&amp;"","")</f>
        <v/>
      </c>
      <c r="K339" s="43" t="str">
        <f>IFERROR(INDEX('Formulación PDN 2027'!$W$7:$W$506,MATCH(ROW()-5,'Formulación PDN 2027'!$AK$7:$AK$506,0)),"")</f>
        <v/>
      </c>
      <c r="L339" s="43" t="str">
        <f>IFERROR(INDEX('Formulación PDN 2027'!$X$7:$X$506,MATCH(ROW()-5,'Formulación PDN 2027'!$AK$7:$AK$506,0)),"")</f>
        <v/>
      </c>
      <c r="M339" s="15" t="str">
        <f>IFERROR(INDEX('Formulación PDN 2027'!$Y$7:$Y$506,MATCH(ROW()-5,'Formulación PDN 2027'!$AK$7:$AK$506,0))&amp;"","")</f>
        <v/>
      </c>
      <c r="N339" s="15" t="str">
        <f>IFERROR(INDEX('Formulación PDN 2027'!$Z$7:$Z$506,MATCH(ROW()-5,'Formulación PDN 2027'!$AK$7:$AK$506,0))&amp;"","")</f>
        <v/>
      </c>
      <c r="O339" s="15"/>
      <c r="P339" s="15" t="str">
        <f>IFERROR(INDEX('Formulación PDN 2027'!$AA$7:$AA$506,MATCH(ROW()-5,'Formulación PDN 2027'!$AK$7:$AK$506,0))&amp;"","")</f>
        <v/>
      </c>
      <c r="Q339" s="15" t="str">
        <f>IFERROR(INDEX('Formulación PDN 2027'!$AB$7:$AB$506,MATCH(ROW()-5,'Formulación PDN 2027'!$AK$7:$AK$506,0))&amp;"","")</f>
        <v/>
      </c>
      <c r="R339" s="15" t="str">
        <f>IFERROR(INDEX('Formulación PDN 2027'!$AD$7:$AD$506,MATCH(ROW()-5,'Formulación PDN 2027'!$AK$7:$AK$506,0))&amp;"","")</f>
        <v/>
      </c>
      <c r="S339" s="15" t="str">
        <f>IFERROR(INDEX('Formulación PDN 2027'!$AE$7:$AE$506,MATCH(ROW()-5,'Formulación PDN 2027'!$AK$7:$AK$506,0))&amp;"","")</f>
        <v/>
      </c>
      <c r="T339" s="15" t="str">
        <f>IFERROR(INDEX('Formulación PDN 2027'!$C$7:$C$506,MATCH(ROW()-5,'Formulación PDN 2027'!$AK$7:$AK$506,0))&amp;"","")</f>
        <v/>
      </c>
      <c r="U339" s="15" t="str">
        <f>IFERROR(INDEX('Formulación PDN 2027'!$B$7:$B$506,MATCH(ROW()-5,'Formulación PDN 2027'!$AK$7:$AK$506,0))&amp;"","")</f>
        <v/>
      </c>
      <c r="V339" s="15" t="str">
        <f>IFERROR(LEFT(INDEX('Formulación PDN 2027'!$E$7:$E$506,MATCH(ROW()-5,'Formulación PDN 2027'!$AK$7:$AK$506,0)),7),"")</f>
        <v/>
      </c>
      <c r="W339" s="15" t="str">
        <f>IFERROR(INDEX('Formulación PDN 2027'!$H$7:$H$506,MATCH(ROW()-5,'Formulación PDN 2027'!$AK$7:$AK$506,0))&amp;"","")</f>
        <v/>
      </c>
      <c r="X339" s="15" t="str">
        <f>IFERROR(INDEX('Formulación PDN 2027'!$U$7:$U$506,MATCH(ROW()-5,'Formulación PDN 2027'!$AK$7:$AK$506,0))&amp;"","")</f>
        <v/>
      </c>
      <c r="Y339" s="15" t="str">
        <f>IFERROR(INDEX('Formulación PDN 2027'!$AH$7:$AH$506,MATCH(ROW()-5,'Formulación PDN 2027'!$AK$7:$AK$506,0))&amp;"","")</f>
        <v/>
      </c>
    </row>
    <row r="340" spans="1:25" x14ac:dyDescent="0.3">
      <c r="A340" s="15" t="str">
        <f>IFERROR(INDEX('Formulación PDN 2027'!$A$7:$A$506,MATCH(ROW()-5,'Formulación PDN 2027'!$AK$7:$AK$506,0))&amp;"","")</f>
        <v/>
      </c>
      <c r="B340" s="20" t="str">
        <f>IFERROR(INDEX('Formulación PDN 2027'!$M$7:$M$506,MATCH(ROW()-5,'Formulación PDN 2027'!$AK$7:$AK$506,0)),"")</f>
        <v/>
      </c>
      <c r="C340" s="15" t="str">
        <f>IFERROR(INDEX('Formulación PDN 2027'!$N$7:$N$506,MATCH(ROW()-5,'Formulación PDN 2027'!$AK$7:$AK$506,0))&amp;"","")</f>
        <v/>
      </c>
      <c r="D340" s="15" t="str">
        <f>IFERROR(INDEX('Formulación PDN 2027'!$L$7:$L$506,MATCH(ROW()-5,'Formulación PDN 2027'!$AK$7:$AK$506,0))&amp;"","")</f>
        <v/>
      </c>
      <c r="E340" s="15" t="str">
        <f>IFERROR(MATCH(INDEX('Formulación PDN 2027'!$O$7:$O$506,MATCH(ROW()-5,'Formulación PDN 2027'!$AK$7:$AK$506,0)),L_MESES,0),"")</f>
        <v/>
      </c>
      <c r="F340" s="15" t="str">
        <f>IFERROR(MATCH(INDEX('Formulación PDN 2027'!$P$7:$P$506,MATCH(ROW()-5,'Formulación PDN 2027'!$AK$7:$AK$506,0)),L_MESES,0),"")</f>
        <v/>
      </c>
      <c r="G340" s="15" t="str">
        <f>IFERROR(INDEX('Formulación PDN 2027'!$Q$7:$Q$506,MATCH(ROW()-5,'Formulación PDN 2027'!$AK$7:$AK$506,0)),"")</f>
        <v/>
      </c>
      <c r="H340" s="15" t="str">
        <f>IFERROR(INDEX('Formulación PDN 2027'!$R$7:$R$506,MATCH(ROW()-5,'Formulación PDN 2027'!$AK$7:$AK$506,0))&amp;"","")</f>
        <v/>
      </c>
      <c r="I340" s="15" t="str">
        <f>IFERROR(INDEX('Formulación PDN 2027'!$S$7:$S$506,MATCH(ROW()-5,'Formulación PDN 2027'!$AK$7:$AK$506,0))&amp;"","")</f>
        <v/>
      </c>
      <c r="J340" s="15" t="str">
        <f>IFERROR(INDEX('Formulación PDN 2027'!$T$7:$T$506,MATCH(ROW()-5,'Formulación PDN 2027'!$AK$7:$AK$506,0))&amp;"","")</f>
        <v/>
      </c>
      <c r="K340" s="43" t="str">
        <f>IFERROR(INDEX('Formulación PDN 2027'!$W$7:$W$506,MATCH(ROW()-5,'Formulación PDN 2027'!$AK$7:$AK$506,0)),"")</f>
        <v/>
      </c>
      <c r="L340" s="43" t="str">
        <f>IFERROR(INDEX('Formulación PDN 2027'!$X$7:$X$506,MATCH(ROW()-5,'Formulación PDN 2027'!$AK$7:$AK$506,0)),"")</f>
        <v/>
      </c>
      <c r="M340" s="15" t="str">
        <f>IFERROR(INDEX('Formulación PDN 2027'!$Y$7:$Y$506,MATCH(ROW()-5,'Formulación PDN 2027'!$AK$7:$AK$506,0))&amp;"","")</f>
        <v/>
      </c>
      <c r="N340" s="15" t="str">
        <f>IFERROR(INDEX('Formulación PDN 2027'!$Z$7:$Z$506,MATCH(ROW()-5,'Formulación PDN 2027'!$AK$7:$AK$506,0))&amp;"","")</f>
        <v/>
      </c>
      <c r="O340" s="15"/>
      <c r="P340" s="15" t="str">
        <f>IFERROR(INDEX('Formulación PDN 2027'!$AA$7:$AA$506,MATCH(ROW()-5,'Formulación PDN 2027'!$AK$7:$AK$506,0))&amp;"","")</f>
        <v/>
      </c>
      <c r="Q340" s="15" t="str">
        <f>IFERROR(INDEX('Formulación PDN 2027'!$AB$7:$AB$506,MATCH(ROW()-5,'Formulación PDN 2027'!$AK$7:$AK$506,0))&amp;"","")</f>
        <v/>
      </c>
      <c r="R340" s="15" t="str">
        <f>IFERROR(INDEX('Formulación PDN 2027'!$AD$7:$AD$506,MATCH(ROW()-5,'Formulación PDN 2027'!$AK$7:$AK$506,0))&amp;"","")</f>
        <v/>
      </c>
      <c r="S340" s="15" t="str">
        <f>IFERROR(INDEX('Formulación PDN 2027'!$AE$7:$AE$506,MATCH(ROW()-5,'Formulación PDN 2027'!$AK$7:$AK$506,0))&amp;"","")</f>
        <v/>
      </c>
      <c r="T340" s="15" t="str">
        <f>IFERROR(INDEX('Formulación PDN 2027'!$C$7:$C$506,MATCH(ROW()-5,'Formulación PDN 2027'!$AK$7:$AK$506,0))&amp;"","")</f>
        <v/>
      </c>
      <c r="U340" s="15" t="str">
        <f>IFERROR(INDEX('Formulación PDN 2027'!$B$7:$B$506,MATCH(ROW()-5,'Formulación PDN 2027'!$AK$7:$AK$506,0))&amp;"","")</f>
        <v/>
      </c>
      <c r="V340" s="15" t="str">
        <f>IFERROR(LEFT(INDEX('Formulación PDN 2027'!$E$7:$E$506,MATCH(ROW()-5,'Formulación PDN 2027'!$AK$7:$AK$506,0)),7),"")</f>
        <v/>
      </c>
      <c r="W340" s="15" t="str">
        <f>IFERROR(INDEX('Formulación PDN 2027'!$H$7:$H$506,MATCH(ROW()-5,'Formulación PDN 2027'!$AK$7:$AK$506,0))&amp;"","")</f>
        <v/>
      </c>
      <c r="X340" s="15" t="str">
        <f>IFERROR(INDEX('Formulación PDN 2027'!$U$7:$U$506,MATCH(ROW()-5,'Formulación PDN 2027'!$AK$7:$AK$506,0))&amp;"","")</f>
        <v/>
      </c>
      <c r="Y340" s="15" t="str">
        <f>IFERROR(INDEX('Formulación PDN 2027'!$AH$7:$AH$506,MATCH(ROW()-5,'Formulación PDN 2027'!$AK$7:$AK$506,0))&amp;"","")</f>
        <v/>
      </c>
    </row>
    <row r="341" spans="1:25" x14ac:dyDescent="0.3">
      <c r="A341" s="15" t="str">
        <f>IFERROR(INDEX('Formulación PDN 2027'!$A$7:$A$506,MATCH(ROW()-5,'Formulación PDN 2027'!$AK$7:$AK$506,0))&amp;"","")</f>
        <v/>
      </c>
      <c r="B341" s="20" t="str">
        <f>IFERROR(INDEX('Formulación PDN 2027'!$M$7:$M$506,MATCH(ROW()-5,'Formulación PDN 2027'!$AK$7:$AK$506,0)),"")</f>
        <v/>
      </c>
      <c r="C341" s="15" t="str">
        <f>IFERROR(INDEX('Formulación PDN 2027'!$N$7:$N$506,MATCH(ROW()-5,'Formulación PDN 2027'!$AK$7:$AK$506,0))&amp;"","")</f>
        <v/>
      </c>
      <c r="D341" s="15" t="str">
        <f>IFERROR(INDEX('Formulación PDN 2027'!$L$7:$L$506,MATCH(ROW()-5,'Formulación PDN 2027'!$AK$7:$AK$506,0))&amp;"","")</f>
        <v/>
      </c>
      <c r="E341" s="15" t="str">
        <f>IFERROR(MATCH(INDEX('Formulación PDN 2027'!$O$7:$O$506,MATCH(ROW()-5,'Formulación PDN 2027'!$AK$7:$AK$506,0)),L_MESES,0),"")</f>
        <v/>
      </c>
      <c r="F341" s="15" t="str">
        <f>IFERROR(MATCH(INDEX('Formulación PDN 2027'!$P$7:$P$506,MATCH(ROW()-5,'Formulación PDN 2027'!$AK$7:$AK$506,0)),L_MESES,0),"")</f>
        <v/>
      </c>
      <c r="G341" s="15" t="str">
        <f>IFERROR(INDEX('Formulación PDN 2027'!$Q$7:$Q$506,MATCH(ROW()-5,'Formulación PDN 2027'!$AK$7:$AK$506,0)),"")</f>
        <v/>
      </c>
      <c r="H341" s="15" t="str">
        <f>IFERROR(INDEX('Formulación PDN 2027'!$R$7:$R$506,MATCH(ROW()-5,'Formulación PDN 2027'!$AK$7:$AK$506,0))&amp;"","")</f>
        <v/>
      </c>
      <c r="I341" s="15" t="str">
        <f>IFERROR(INDEX('Formulación PDN 2027'!$S$7:$S$506,MATCH(ROW()-5,'Formulación PDN 2027'!$AK$7:$AK$506,0))&amp;"","")</f>
        <v/>
      </c>
      <c r="J341" s="15" t="str">
        <f>IFERROR(INDEX('Formulación PDN 2027'!$T$7:$T$506,MATCH(ROW()-5,'Formulación PDN 2027'!$AK$7:$AK$506,0))&amp;"","")</f>
        <v/>
      </c>
      <c r="K341" s="43" t="str">
        <f>IFERROR(INDEX('Formulación PDN 2027'!$W$7:$W$506,MATCH(ROW()-5,'Formulación PDN 2027'!$AK$7:$AK$506,0)),"")</f>
        <v/>
      </c>
      <c r="L341" s="43" t="str">
        <f>IFERROR(INDEX('Formulación PDN 2027'!$X$7:$X$506,MATCH(ROW()-5,'Formulación PDN 2027'!$AK$7:$AK$506,0)),"")</f>
        <v/>
      </c>
      <c r="M341" s="15" t="str">
        <f>IFERROR(INDEX('Formulación PDN 2027'!$Y$7:$Y$506,MATCH(ROW()-5,'Formulación PDN 2027'!$AK$7:$AK$506,0))&amp;"","")</f>
        <v/>
      </c>
      <c r="N341" s="15" t="str">
        <f>IFERROR(INDEX('Formulación PDN 2027'!$Z$7:$Z$506,MATCH(ROW()-5,'Formulación PDN 2027'!$AK$7:$AK$506,0))&amp;"","")</f>
        <v/>
      </c>
      <c r="O341" s="15"/>
      <c r="P341" s="15" t="str">
        <f>IFERROR(INDEX('Formulación PDN 2027'!$AA$7:$AA$506,MATCH(ROW()-5,'Formulación PDN 2027'!$AK$7:$AK$506,0))&amp;"","")</f>
        <v/>
      </c>
      <c r="Q341" s="15" t="str">
        <f>IFERROR(INDEX('Formulación PDN 2027'!$AB$7:$AB$506,MATCH(ROW()-5,'Formulación PDN 2027'!$AK$7:$AK$506,0))&amp;"","")</f>
        <v/>
      </c>
      <c r="R341" s="15" t="str">
        <f>IFERROR(INDEX('Formulación PDN 2027'!$AD$7:$AD$506,MATCH(ROW()-5,'Formulación PDN 2027'!$AK$7:$AK$506,0))&amp;"","")</f>
        <v/>
      </c>
      <c r="S341" s="15" t="str">
        <f>IFERROR(INDEX('Formulación PDN 2027'!$AE$7:$AE$506,MATCH(ROW()-5,'Formulación PDN 2027'!$AK$7:$AK$506,0))&amp;"","")</f>
        <v/>
      </c>
      <c r="T341" s="15" t="str">
        <f>IFERROR(INDEX('Formulación PDN 2027'!$C$7:$C$506,MATCH(ROW()-5,'Formulación PDN 2027'!$AK$7:$AK$506,0))&amp;"","")</f>
        <v/>
      </c>
      <c r="U341" s="15" t="str">
        <f>IFERROR(INDEX('Formulación PDN 2027'!$B$7:$B$506,MATCH(ROW()-5,'Formulación PDN 2027'!$AK$7:$AK$506,0))&amp;"","")</f>
        <v/>
      </c>
      <c r="V341" s="15" t="str">
        <f>IFERROR(LEFT(INDEX('Formulación PDN 2027'!$E$7:$E$506,MATCH(ROW()-5,'Formulación PDN 2027'!$AK$7:$AK$506,0)),7),"")</f>
        <v/>
      </c>
      <c r="W341" s="15" t="str">
        <f>IFERROR(INDEX('Formulación PDN 2027'!$H$7:$H$506,MATCH(ROW()-5,'Formulación PDN 2027'!$AK$7:$AK$506,0))&amp;"","")</f>
        <v/>
      </c>
      <c r="X341" s="15" t="str">
        <f>IFERROR(INDEX('Formulación PDN 2027'!$U$7:$U$506,MATCH(ROW()-5,'Formulación PDN 2027'!$AK$7:$AK$506,0))&amp;"","")</f>
        <v/>
      </c>
      <c r="Y341" s="15" t="str">
        <f>IFERROR(INDEX('Formulación PDN 2027'!$AH$7:$AH$506,MATCH(ROW()-5,'Formulación PDN 2027'!$AK$7:$AK$506,0))&amp;"","")</f>
        <v/>
      </c>
    </row>
    <row r="342" spans="1:25" x14ac:dyDescent="0.3">
      <c r="A342" s="15" t="str">
        <f>IFERROR(INDEX('Formulación PDN 2027'!$A$7:$A$506,MATCH(ROW()-5,'Formulación PDN 2027'!$AK$7:$AK$506,0))&amp;"","")</f>
        <v/>
      </c>
      <c r="B342" s="20" t="str">
        <f>IFERROR(INDEX('Formulación PDN 2027'!$M$7:$M$506,MATCH(ROW()-5,'Formulación PDN 2027'!$AK$7:$AK$506,0)),"")</f>
        <v/>
      </c>
      <c r="C342" s="15" t="str">
        <f>IFERROR(INDEX('Formulación PDN 2027'!$N$7:$N$506,MATCH(ROW()-5,'Formulación PDN 2027'!$AK$7:$AK$506,0))&amp;"","")</f>
        <v/>
      </c>
      <c r="D342" s="15" t="str">
        <f>IFERROR(INDEX('Formulación PDN 2027'!$L$7:$L$506,MATCH(ROW()-5,'Formulación PDN 2027'!$AK$7:$AK$506,0))&amp;"","")</f>
        <v/>
      </c>
      <c r="E342" s="15" t="str">
        <f>IFERROR(MATCH(INDEX('Formulación PDN 2027'!$O$7:$O$506,MATCH(ROW()-5,'Formulación PDN 2027'!$AK$7:$AK$506,0)),L_MESES,0),"")</f>
        <v/>
      </c>
      <c r="F342" s="15" t="str">
        <f>IFERROR(MATCH(INDEX('Formulación PDN 2027'!$P$7:$P$506,MATCH(ROW()-5,'Formulación PDN 2027'!$AK$7:$AK$506,0)),L_MESES,0),"")</f>
        <v/>
      </c>
      <c r="G342" s="15" t="str">
        <f>IFERROR(INDEX('Formulación PDN 2027'!$Q$7:$Q$506,MATCH(ROW()-5,'Formulación PDN 2027'!$AK$7:$AK$506,0)),"")</f>
        <v/>
      </c>
      <c r="H342" s="15" t="str">
        <f>IFERROR(INDEX('Formulación PDN 2027'!$R$7:$R$506,MATCH(ROW()-5,'Formulación PDN 2027'!$AK$7:$AK$506,0))&amp;"","")</f>
        <v/>
      </c>
      <c r="I342" s="15" t="str">
        <f>IFERROR(INDEX('Formulación PDN 2027'!$S$7:$S$506,MATCH(ROW()-5,'Formulación PDN 2027'!$AK$7:$AK$506,0))&amp;"","")</f>
        <v/>
      </c>
      <c r="J342" s="15" t="str">
        <f>IFERROR(INDEX('Formulación PDN 2027'!$T$7:$T$506,MATCH(ROW()-5,'Formulación PDN 2027'!$AK$7:$AK$506,0))&amp;"","")</f>
        <v/>
      </c>
      <c r="K342" s="43" t="str">
        <f>IFERROR(INDEX('Formulación PDN 2027'!$W$7:$W$506,MATCH(ROW()-5,'Formulación PDN 2027'!$AK$7:$AK$506,0)),"")</f>
        <v/>
      </c>
      <c r="L342" s="43" t="str">
        <f>IFERROR(INDEX('Formulación PDN 2027'!$X$7:$X$506,MATCH(ROW()-5,'Formulación PDN 2027'!$AK$7:$AK$506,0)),"")</f>
        <v/>
      </c>
      <c r="M342" s="15" t="str">
        <f>IFERROR(INDEX('Formulación PDN 2027'!$Y$7:$Y$506,MATCH(ROW()-5,'Formulación PDN 2027'!$AK$7:$AK$506,0))&amp;"","")</f>
        <v/>
      </c>
      <c r="N342" s="15" t="str">
        <f>IFERROR(INDEX('Formulación PDN 2027'!$Z$7:$Z$506,MATCH(ROW()-5,'Formulación PDN 2027'!$AK$7:$AK$506,0))&amp;"","")</f>
        <v/>
      </c>
      <c r="O342" s="15"/>
      <c r="P342" s="15" t="str">
        <f>IFERROR(INDEX('Formulación PDN 2027'!$AA$7:$AA$506,MATCH(ROW()-5,'Formulación PDN 2027'!$AK$7:$AK$506,0))&amp;"","")</f>
        <v/>
      </c>
      <c r="Q342" s="15" t="str">
        <f>IFERROR(INDEX('Formulación PDN 2027'!$AB$7:$AB$506,MATCH(ROW()-5,'Formulación PDN 2027'!$AK$7:$AK$506,0))&amp;"","")</f>
        <v/>
      </c>
      <c r="R342" s="15" t="str">
        <f>IFERROR(INDEX('Formulación PDN 2027'!$AD$7:$AD$506,MATCH(ROW()-5,'Formulación PDN 2027'!$AK$7:$AK$506,0))&amp;"","")</f>
        <v/>
      </c>
      <c r="S342" s="15" t="str">
        <f>IFERROR(INDEX('Formulación PDN 2027'!$AE$7:$AE$506,MATCH(ROW()-5,'Formulación PDN 2027'!$AK$7:$AK$506,0))&amp;"","")</f>
        <v/>
      </c>
      <c r="T342" s="15" t="str">
        <f>IFERROR(INDEX('Formulación PDN 2027'!$C$7:$C$506,MATCH(ROW()-5,'Formulación PDN 2027'!$AK$7:$AK$506,0))&amp;"","")</f>
        <v/>
      </c>
      <c r="U342" s="15" t="str">
        <f>IFERROR(INDEX('Formulación PDN 2027'!$B$7:$B$506,MATCH(ROW()-5,'Formulación PDN 2027'!$AK$7:$AK$506,0))&amp;"","")</f>
        <v/>
      </c>
      <c r="V342" s="15" t="str">
        <f>IFERROR(LEFT(INDEX('Formulación PDN 2027'!$E$7:$E$506,MATCH(ROW()-5,'Formulación PDN 2027'!$AK$7:$AK$506,0)),7),"")</f>
        <v/>
      </c>
      <c r="W342" s="15" t="str">
        <f>IFERROR(INDEX('Formulación PDN 2027'!$H$7:$H$506,MATCH(ROW()-5,'Formulación PDN 2027'!$AK$7:$AK$506,0))&amp;"","")</f>
        <v/>
      </c>
      <c r="X342" s="15" t="str">
        <f>IFERROR(INDEX('Formulación PDN 2027'!$U$7:$U$506,MATCH(ROW()-5,'Formulación PDN 2027'!$AK$7:$AK$506,0))&amp;"","")</f>
        <v/>
      </c>
      <c r="Y342" s="15" t="str">
        <f>IFERROR(INDEX('Formulación PDN 2027'!$AH$7:$AH$506,MATCH(ROW()-5,'Formulación PDN 2027'!$AK$7:$AK$506,0))&amp;"","")</f>
        <v/>
      </c>
    </row>
    <row r="343" spans="1:25" x14ac:dyDescent="0.3">
      <c r="A343" s="15" t="str">
        <f>IFERROR(INDEX('Formulación PDN 2027'!$A$7:$A$506,MATCH(ROW()-5,'Formulación PDN 2027'!$AK$7:$AK$506,0))&amp;"","")</f>
        <v/>
      </c>
      <c r="B343" s="20" t="str">
        <f>IFERROR(INDEX('Formulación PDN 2027'!$M$7:$M$506,MATCH(ROW()-5,'Formulación PDN 2027'!$AK$7:$AK$506,0)),"")</f>
        <v/>
      </c>
      <c r="C343" s="15" t="str">
        <f>IFERROR(INDEX('Formulación PDN 2027'!$N$7:$N$506,MATCH(ROW()-5,'Formulación PDN 2027'!$AK$7:$AK$506,0))&amp;"","")</f>
        <v/>
      </c>
      <c r="D343" s="15" t="str">
        <f>IFERROR(INDEX('Formulación PDN 2027'!$L$7:$L$506,MATCH(ROW()-5,'Formulación PDN 2027'!$AK$7:$AK$506,0))&amp;"","")</f>
        <v/>
      </c>
      <c r="E343" s="15" t="str">
        <f>IFERROR(MATCH(INDEX('Formulación PDN 2027'!$O$7:$O$506,MATCH(ROW()-5,'Formulación PDN 2027'!$AK$7:$AK$506,0)),L_MESES,0),"")</f>
        <v/>
      </c>
      <c r="F343" s="15" t="str">
        <f>IFERROR(MATCH(INDEX('Formulación PDN 2027'!$P$7:$P$506,MATCH(ROW()-5,'Formulación PDN 2027'!$AK$7:$AK$506,0)),L_MESES,0),"")</f>
        <v/>
      </c>
      <c r="G343" s="15" t="str">
        <f>IFERROR(INDEX('Formulación PDN 2027'!$Q$7:$Q$506,MATCH(ROW()-5,'Formulación PDN 2027'!$AK$7:$AK$506,0)),"")</f>
        <v/>
      </c>
      <c r="H343" s="15" t="str">
        <f>IFERROR(INDEX('Formulación PDN 2027'!$R$7:$R$506,MATCH(ROW()-5,'Formulación PDN 2027'!$AK$7:$AK$506,0))&amp;"","")</f>
        <v/>
      </c>
      <c r="I343" s="15" t="str">
        <f>IFERROR(INDEX('Formulación PDN 2027'!$S$7:$S$506,MATCH(ROW()-5,'Formulación PDN 2027'!$AK$7:$AK$506,0))&amp;"","")</f>
        <v/>
      </c>
      <c r="J343" s="15" t="str">
        <f>IFERROR(INDEX('Formulación PDN 2027'!$T$7:$T$506,MATCH(ROW()-5,'Formulación PDN 2027'!$AK$7:$AK$506,0))&amp;"","")</f>
        <v/>
      </c>
      <c r="K343" s="43" t="str">
        <f>IFERROR(INDEX('Formulación PDN 2027'!$W$7:$W$506,MATCH(ROW()-5,'Formulación PDN 2027'!$AK$7:$AK$506,0)),"")</f>
        <v/>
      </c>
      <c r="L343" s="43" t="str">
        <f>IFERROR(INDEX('Formulación PDN 2027'!$X$7:$X$506,MATCH(ROW()-5,'Formulación PDN 2027'!$AK$7:$AK$506,0)),"")</f>
        <v/>
      </c>
      <c r="M343" s="15" t="str">
        <f>IFERROR(INDEX('Formulación PDN 2027'!$Y$7:$Y$506,MATCH(ROW()-5,'Formulación PDN 2027'!$AK$7:$AK$506,0))&amp;"","")</f>
        <v/>
      </c>
      <c r="N343" s="15" t="str">
        <f>IFERROR(INDEX('Formulación PDN 2027'!$Z$7:$Z$506,MATCH(ROW()-5,'Formulación PDN 2027'!$AK$7:$AK$506,0))&amp;"","")</f>
        <v/>
      </c>
      <c r="O343" s="15"/>
      <c r="P343" s="15" t="str">
        <f>IFERROR(INDEX('Formulación PDN 2027'!$AA$7:$AA$506,MATCH(ROW()-5,'Formulación PDN 2027'!$AK$7:$AK$506,0))&amp;"","")</f>
        <v/>
      </c>
      <c r="Q343" s="15" t="str">
        <f>IFERROR(INDEX('Formulación PDN 2027'!$AB$7:$AB$506,MATCH(ROW()-5,'Formulación PDN 2027'!$AK$7:$AK$506,0))&amp;"","")</f>
        <v/>
      </c>
      <c r="R343" s="15" t="str">
        <f>IFERROR(INDEX('Formulación PDN 2027'!$AD$7:$AD$506,MATCH(ROW()-5,'Formulación PDN 2027'!$AK$7:$AK$506,0))&amp;"","")</f>
        <v/>
      </c>
      <c r="S343" s="15" t="str">
        <f>IFERROR(INDEX('Formulación PDN 2027'!$AE$7:$AE$506,MATCH(ROW()-5,'Formulación PDN 2027'!$AK$7:$AK$506,0))&amp;"","")</f>
        <v/>
      </c>
      <c r="T343" s="15" t="str">
        <f>IFERROR(INDEX('Formulación PDN 2027'!$C$7:$C$506,MATCH(ROW()-5,'Formulación PDN 2027'!$AK$7:$AK$506,0))&amp;"","")</f>
        <v/>
      </c>
      <c r="U343" s="15" t="str">
        <f>IFERROR(INDEX('Formulación PDN 2027'!$B$7:$B$506,MATCH(ROW()-5,'Formulación PDN 2027'!$AK$7:$AK$506,0))&amp;"","")</f>
        <v/>
      </c>
      <c r="V343" s="15" t="str">
        <f>IFERROR(LEFT(INDEX('Formulación PDN 2027'!$E$7:$E$506,MATCH(ROW()-5,'Formulación PDN 2027'!$AK$7:$AK$506,0)),7),"")</f>
        <v/>
      </c>
      <c r="W343" s="15" t="str">
        <f>IFERROR(INDEX('Formulación PDN 2027'!$H$7:$H$506,MATCH(ROW()-5,'Formulación PDN 2027'!$AK$7:$AK$506,0))&amp;"","")</f>
        <v/>
      </c>
      <c r="X343" s="15" t="str">
        <f>IFERROR(INDEX('Formulación PDN 2027'!$U$7:$U$506,MATCH(ROW()-5,'Formulación PDN 2027'!$AK$7:$AK$506,0))&amp;"","")</f>
        <v/>
      </c>
      <c r="Y343" s="15" t="str">
        <f>IFERROR(INDEX('Formulación PDN 2027'!$AH$7:$AH$506,MATCH(ROW()-5,'Formulación PDN 2027'!$AK$7:$AK$506,0))&amp;"","")</f>
        <v/>
      </c>
    </row>
    <row r="344" spans="1:25" x14ac:dyDescent="0.3">
      <c r="A344" s="15" t="str">
        <f>IFERROR(INDEX('Formulación PDN 2027'!$A$7:$A$506,MATCH(ROW()-5,'Formulación PDN 2027'!$AK$7:$AK$506,0))&amp;"","")</f>
        <v/>
      </c>
      <c r="B344" s="20" t="str">
        <f>IFERROR(INDEX('Formulación PDN 2027'!$M$7:$M$506,MATCH(ROW()-5,'Formulación PDN 2027'!$AK$7:$AK$506,0)),"")</f>
        <v/>
      </c>
      <c r="C344" s="15" t="str">
        <f>IFERROR(INDEX('Formulación PDN 2027'!$N$7:$N$506,MATCH(ROW()-5,'Formulación PDN 2027'!$AK$7:$AK$506,0))&amp;"","")</f>
        <v/>
      </c>
      <c r="D344" s="15" t="str">
        <f>IFERROR(INDEX('Formulación PDN 2027'!$L$7:$L$506,MATCH(ROW()-5,'Formulación PDN 2027'!$AK$7:$AK$506,0))&amp;"","")</f>
        <v/>
      </c>
      <c r="E344" s="15" t="str">
        <f>IFERROR(MATCH(INDEX('Formulación PDN 2027'!$O$7:$O$506,MATCH(ROW()-5,'Formulación PDN 2027'!$AK$7:$AK$506,0)),L_MESES,0),"")</f>
        <v/>
      </c>
      <c r="F344" s="15" t="str">
        <f>IFERROR(MATCH(INDEX('Formulación PDN 2027'!$P$7:$P$506,MATCH(ROW()-5,'Formulación PDN 2027'!$AK$7:$AK$506,0)),L_MESES,0),"")</f>
        <v/>
      </c>
      <c r="G344" s="15" t="str">
        <f>IFERROR(INDEX('Formulación PDN 2027'!$Q$7:$Q$506,MATCH(ROW()-5,'Formulación PDN 2027'!$AK$7:$AK$506,0)),"")</f>
        <v/>
      </c>
      <c r="H344" s="15" t="str">
        <f>IFERROR(INDEX('Formulación PDN 2027'!$R$7:$R$506,MATCH(ROW()-5,'Formulación PDN 2027'!$AK$7:$AK$506,0))&amp;"","")</f>
        <v/>
      </c>
      <c r="I344" s="15" t="str">
        <f>IFERROR(INDEX('Formulación PDN 2027'!$S$7:$S$506,MATCH(ROW()-5,'Formulación PDN 2027'!$AK$7:$AK$506,0))&amp;"","")</f>
        <v/>
      </c>
      <c r="J344" s="15" t="str">
        <f>IFERROR(INDEX('Formulación PDN 2027'!$T$7:$T$506,MATCH(ROW()-5,'Formulación PDN 2027'!$AK$7:$AK$506,0))&amp;"","")</f>
        <v/>
      </c>
      <c r="K344" s="43" t="str">
        <f>IFERROR(INDEX('Formulación PDN 2027'!$W$7:$W$506,MATCH(ROW()-5,'Formulación PDN 2027'!$AK$7:$AK$506,0)),"")</f>
        <v/>
      </c>
      <c r="L344" s="43" t="str">
        <f>IFERROR(INDEX('Formulación PDN 2027'!$X$7:$X$506,MATCH(ROW()-5,'Formulación PDN 2027'!$AK$7:$AK$506,0)),"")</f>
        <v/>
      </c>
      <c r="M344" s="15" t="str">
        <f>IFERROR(INDEX('Formulación PDN 2027'!$Y$7:$Y$506,MATCH(ROW()-5,'Formulación PDN 2027'!$AK$7:$AK$506,0))&amp;"","")</f>
        <v/>
      </c>
      <c r="N344" s="15" t="str">
        <f>IFERROR(INDEX('Formulación PDN 2027'!$Z$7:$Z$506,MATCH(ROW()-5,'Formulación PDN 2027'!$AK$7:$AK$506,0))&amp;"","")</f>
        <v/>
      </c>
      <c r="O344" s="15"/>
      <c r="P344" s="15" t="str">
        <f>IFERROR(INDEX('Formulación PDN 2027'!$AA$7:$AA$506,MATCH(ROW()-5,'Formulación PDN 2027'!$AK$7:$AK$506,0))&amp;"","")</f>
        <v/>
      </c>
      <c r="Q344" s="15" t="str">
        <f>IFERROR(INDEX('Formulación PDN 2027'!$AB$7:$AB$506,MATCH(ROW()-5,'Formulación PDN 2027'!$AK$7:$AK$506,0))&amp;"","")</f>
        <v/>
      </c>
      <c r="R344" s="15" t="str">
        <f>IFERROR(INDEX('Formulación PDN 2027'!$AD$7:$AD$506,MATCH(ROW()-5,'Formulación PDN 2027'!$AK$7:$AK$506,0))&amp;"","")</f>
        <v/>
      </c>
      <c r="S344" s="15" t="str">
        <f>IFERROR(INDEX('Formulación PDN 2027'!$AE$7:$AE$506,MATCH(ROW()-5,'Formulación PDN 2027'!$AK$7:$AK$506,0))&amp;"","")</f>
        <v/>
      </c>
      <c r="T344" s="15" t="str">
        <f>IFERROR(INDEX('Formulación PDN 2027'!$C$7:$C$506,MATCH(ROW()-5,'Formulación PDN 2027'!$AK$7:$AK$506,0))&amp;"","")</f>
        <v/>
      </c>
      <c r="U344" s="15" t="str">
        <f>IFERROR(INDEX('Formulación PDN 2027'!$B$7:$B$506,MATCH(ROW()-5,'Formulación PDN 2027'!$AK$7:$AK$506,0))&amp;"","")</f>
        <v/>
      </c>
      <c r="V344" s="15" t="str">
        <f>IFERROR(LEFT(INDEX('Formulación PDN 2027'!$E$7:$E$506,MATCH(ROW()-5,'Formulación PDN 2027'!$AK$7:$AK$506,0)),7),"")</f>
        <v/>
      </c>
      <c r="W344" s="15" t="str">
        <f>IFERROR(INDEX('Formulación PDN 2027'!$H$7:$H$506,MATCH(ROW()-5,'Formulación PDN 2027'!$AK$7:$AK$506,0))&amp;"","")</f>
        <v/>
      </c>
      <c r="X344" s="15" t="str">
        <f>IFERROR(INDEX('Formulación PDN 2027'!$U$7:$U$506,MATCH(ROW()-5,'Formulación PDN 2027'!$AK$7:$AK$506,0))&amp;"","")</f>
        <v/>
      </c>
      <c r="Y344" s="15" t="str">
        <f>IFERROR(INDEX('Formulación PDN 2027'!$AH$7:$AH$506,MATCH(ROW()-5,'Formulación PDN 2027'!$AK$7:$AK$506,0))&amp;"","")</f>
        <v/>
      </c>
    </row>
    <row r="345" spans="1:25" x14ac:dyDescent="0.3">
      <c r="A345" s="15" t="str">
        <f>IFERROR(INDEX('Formulación PDN 2027'!$A$7:$A$506,MATCH(ROW()-5,'Formulación PDN 2027'!$AK$7:$AK$506,0))&amp;"","")</f>
        <v/>
      </c>
      <c r="B345" s="20" t="str">
        <f>IFERROR(INDEX('Formulación PDN 2027'!$M$7:$M$506,MATCH(ROW()-5,'Formulación PDN 2027'!$AK$7:$AK$506,0)),"")</f>
        <v/>
      </c>
      <c r="C345" s="15" t="str">
        <f>IFERROR(INDEX('Formulación PDN 2027'!$N$7:$N$506,MATCH(ROW()-5,'Formulación PDN 2027'!$AK$7:$AK$506,0))&amp;"","")</f>
        <v/>
      </c>
      <c r="D345" s="15" t="str">
        <f>IFERROR(INDEX('Formulación PDN 2027'!$L$7:$L$506,MATCH(ROW()-5,'Formulación PDN 2027'!$AK$7:$AK$506,0))&amp;"","")</f>
        <v/>
      </c>
      <c r="E345" s="15" t="str">
        <f>IFERROR(MATCH(INDEX('Formulación PDN 2027'!$O$7:$O$506,MATCH(ROW()-5,'Formulación PDN 2027'!$AK$7:$AK$506,0)),L_MESES,0),"")</f>
        <v/>
      </c>
      <c r="F345" s="15" t="str">
        <f>IFERROR(MATCH(INDEX('Formulación PDN 2027'!$P$7:$P$506,MATCH(ROW()-5,'Formulación PDN 2027'!$AK$7:$AK$506,0)),L_MESES,0),"")</f>
        <v/>
      </c>
      <c r="G345" s="15" t="str">
        <f>IFERROR(INDEX('Formulación PDN 2027'!$Q$7:$Q$506,MATCH(ROW()-5,'Formulación PDN 2027'!$AK$7:$AK$506,0)),"")</f>
        <v/>
      </c>
      <c r="H345" s="15" t="str">
        <f>IFERROR(INDEX('Formulación PDN 2027'!$R$7:$R$506,MATCH(ROW()-5,'Formulación PDN 2027'!$AK$7:$AK$506,0))&amp;"","")</f>
        <v/>
      </c>
      <c r="I345" s="15" t="str">
        <f>IFERROR(INDEX('Formulación PDN 2027'!$S$7:$S$506,MATCH(ROW()-5,'Formulación PDN 2027'!$AK$7:$AK$506,0))&amp;"","")</f>
        <v/>
      </c>
      <c r="J345" s="15" t="str">
        <f>IFERROR(INDEX('Formulación PDN 2027'!$T$7:$T$506,MATCH(ROW()-5,'Formulación PDN 2027'!$AK$7:$AK$506,0))&amp;"","")</f>
        <v/>
      </c>
      <c r="K345" s="43" t="str">
        <f>IFERROR(INDEX('Formulación PDN 2027'!$W$7:$W$506,MATCH(ROW()-5,'Formulación PDN 2027'!$AK$7:$AK$506,0)),"")</f>
        <v/>
      </c>
      <c r="L345" s="43" t="str">
        <f>IFERROR(INDEX('Formulación PDN 2027'!$X$7:$X$506,MATCH(ROW()-5,'Formulación PDN 2027'!$AK$7:$AK$506,0)),"")</f>
        <v/>
      </c>
      <c r="M345" s="15" t="str">
        <f>IFERROR(INDEX('Formulación PDN 2027'!$Y$7:$Y$506,MATCH(ROW()-5,'Formulación PDN 2027'!$AK$7:$AK$506,0))&amp;"","")</f>
        <v/>
      </c>
      <c r="N345" s="15" t="str">
        <f>IFERROR(INDEX('Formulación PDN 2027'!$Z$7:$Z$506,MATCH(ROW()-5,'Formulación PDN 2027'!$AK$7:$AK$506,0))&amp;"","")</f>
        <v/>
      </c>
      <c r="O345" s="15"/>
      <c r="P345" s="15" t="str">
        <f>IFERROR(INDEX('Formulación PDN 2027'!$AA$7:$AA$506,MATCH(ROW()-5,'Formulación PDN 2027'!$AK$7:$AK$506,0))&amp;"","")</f>
        <v/>
      </c>
      <c r="Q345" s="15" t="str">
        <f>IFERROR(INDEX('Formulación PDN 2027'!$AB$7:$AB$506,MATCH(ROW()-5,'Formulación PDN 2027'!$AK$7:$AK$506,0))&amp;"","")</f>
        <v/>
      </c>
      <c r="R345" s="15" t="str">
        <f>IFERROR(INDEX('Formulación PDN 2027'!$AD$7:$AD$506,MATCH(ROW()-5,'Formulación PDN 2027'!$AK$7:$AK$506,0))&amp;"","")</f>
        <v/>
      </c>
      <c r="S345" s="15" t="str">
        <f>IFERROR(INDEX('Formulación PDN 2027'!$AE$7:$AE$506,MATCH(ROW()-5,'Formulación PDN 2027'!$AK$7:$AK$506,0))&amp;"","")</f>
        <v/>
      </c>
      <c r="T345" s="15" t="str">
        <f>IFERROR(INDEX('Formulación PDN 2027'!$C$7:$C$506,MATCH(ROW()-5,'Formulación PDN 2027'!$AK$7:$AK$506,0))&amp;"","")</f>
        <v/>
      </c>
      <c r="U345" s="15" t="str">
        <f>IFERROR(INDEX('Formulación PDN 2027'!$B$7:$B$506,MATCH(ROW()-5,'Formulación PDN 2027'!$AK$7:$AK$506,0))&amp;"","")</f>
        <v/>
      </c>
      <c r="V345" s="15" t="str">
        <f>IFERROR(LEFT(INDEX('Formulación PDN 2027'!$E$7:$E$506,MATCH(ROW()-5,'Formulación PDN 2027'!$AK$7:$AK$506,0)),7),"")</f>
        <v/>
      </c>
      <c r="W345" s="15" t="str">
        <f>IFERROR(INDEX('Formulación PDN 2027'!$H$7:$H$506,MATCH(ROW()-5,'Formulación PDN 2027'!$AK$7:$AK$506,0))&amp;"","")</f>
        <v/>
      </c>
      <c r="X345" s="15" t="str">
        <f>IFERROR(INDEX('Formulación PDN 2027'!$U$7:$U$506,MATCH(ROW()-5,'Formulación PDN 2027'!$AK$7:$AK$506,0))&amp;"","")</f>
        <v/>
      </c>
      <c r="Y345" s="15" t="str">
        <f>IFERROR(INDEX('Formulación PDN 2027'!$AH$7:$AH$506,MATCH(ROW()-5,'Formulación PDN 2027'!$AK$7:$AK$506,0))&amp;"","")</f>
        <v/>
      </c>
    </row>
    <row r="346" spans="1:25" x14ac:dyDescent="0.3">
      <c r="A346" s="15" t="str">
        <f>IFERROR(INDEX('Formulación PDN 2027'!$A$7:$A$506,MATCH(ROW()-5,'Formulación PDN 2027'!$AK$7:$AK$506,0))&amp;"","")</f>
        <v/>
      </c>
      <c r="B346" s="20" t="str">
        <f>IFERROR(INDEX('Formulación PDN 2027'!$M$7:$M$506,MATCH(ROW()-5,'Formulación PDN 2027'!$AK$7:$AK$506,0)),"")</f>
        <v/>
      </c>
      <c r="C346" s="15" t="str">
        <f>IFERROR(INDEX('Formulación PDN 2027'!$N$7:$N$506,MATCH(ROW()-5,'Formulación PDN 2027'!$AK$7:$AK$506,0))&amp;"","")</f>
        <v/>
      </c>
      <c r="D346" s="15" t="str">
        <f>IFERROR(INDEX('Formulación PDN 2027'!$L$7:$L$506,MATCH(ROW()-5,'Formulación PDN 2027'!$AK$7:$AK$506,0))&amp;"","")</f>
        <v/>
      </c>
      <c r="E346" s="15" t="str">
        <f>IFERROR(MATCH(INDEX('Formulación PDN 2027'!$O$7:$O$506,MATCH(ROW()-5,'Formulación PDN 2027'!$AK$7:$AK$506,0)),L_MESES,0),"")</f>
        <v/>
      </c>
      <c r="F346" s="15" t="str">
        <f>IFERROR(MATCH(INDEX('Formulación PDN 2027'!$P$7:$P$506,MATCH(ROW()-5,'Formulación PDN 2027'!$AK$7:$AK$506,0)),L_MESES,0),"")</f>
        <v/>
      </c>
      <c r="G346" s="15" t="str">
        <f>IFERROR(INDEX('Formulación PDN 2027'!$Q$7:$Q$506,MATCH(ROW()-5,'Formulación PDN 2027'!$AK$7:$AK$506,0)),"")</f>
        <v/>
      </c>
      <c r="H346" s="15" t="str">
        <f>IFERROR(INDEX('Formulación PDN 2027'!$R$7:$R$506,MATCH(ROW()-5,'Formulación PDN 2027'!$AK$7:$AK$506,0))&amp;"","")</f>
        <v/>
      </c>
      <c r="I346" s="15" t="str">
        <f>IFERROR(INDEX('Formulación PDN 2027'!$S$7:$S$506,MATCH(ROW()-5,'Formulación PDN 2027'!$AK$7:$AK$506,0))&amp;"","")</f>
        <v/>
      </c>
      <c r="J346" s="15" t="str">
        <f>IFERROR(INDEX('Formulación PDN 2027'!$T$7:$T$506,MATCH(ROW()-5,'Formulación PDN 2027'!$AK$7:$AK$506,0))&amp;"","")</f>
        <v/>
      </c>
      <c r="K346" s="43" t="str">
        <f>IFERROR(INDEX('Formulación PDN 2027'!$W$7:$W$506,MATCH(ROW()-5,'Formulación PDN 2027'!$AK$7:$AK$506,0)),"")</f>
        <v/>
      </c>
      <c r="L346" s="43" t="str">
        <f>IFERROR(INDEX('Formulación PDN 2027'!$X$7:$X$506,MATCH(ROW()-5,'Formulación PDN 2027'!$AK$7:$AK$506,0)),"")</f>
        <v/>
      </c>
      <c r="M346" s="15" t="str">
        <f>IFERROR(INDEX('Formulación PDN 2027'!$Y$7:$Y$506,MATCH(ROW()-5,'Formulación PDN 2027'!$AK$7:$AK$506,0))&amp;"","")</f>
        <v/>
      </c>
      <c r="N346" s="15" t="str">
        <f>IFERROR(INDEX('Formulación PDN 2027'!$Z$7:$Z$506,MATCH(ROW()-5,'Formulación PDN 2027'!$AK$7:$AK$506,0))&amp;"","")</f>
        <v/>
      </c>
      <c r="O346" s="15"/>
      <c r="P346" s="15" t="str">
        <f>IFERROR(INDEX('Formulación PDN 2027'!$AA$7:$AA$506,MATCH(ROW()-5,'Formulación PDN 2027'!$AK$7:$AK$506,0))&amp;"","")</f>
        <v/>
      </c>
      <c r="Q346" s="15" t="str">
        <f>IFERROR(INDEX('Formulación PDN 2027'!$AB$7:$AB$506,MATCH(ROW()-5,'Formulación PDN 2027'!$AK$7:$AK$506,0))&amp;"","")</f>
        <v/>
      </c>
      <c r="R346" s="15" t="str">
        <f>IFERROR(INDEX('Formulación PDN 2027'!$AD$7:$AD$506,MATCH(ROW()-5,'Formulación PDN 2027'!$AK$7:$AK$506,0))&amp;"","")</f>
        <v/>
      </c>
      <c r="S346" s="15" t="str">
        <f>IFERROR(INDEX('Formulación PDN 2027'!$AE$7:$AE$506,MATCH(ROW()-5,'Formulación PDN 2027'!$AK$7:$AK$506,0))&amp;"","")</f>
        <v/>
      </c>
      <c r="T346" s="15" t="str">
        <f>IFERROR(INDEX('Formulación PDN 2027'!$C$7:$C$506,MATCH(ROW()-5,'Formulación PDN 2027'!$AK$7:$AK$506,0))&amp;"","")</f>
        <v/>
      </c>
      <c r="U346" s="15" t="str">
        <f>IFERROR(INDEX('Formulación PDN 2027'!$B$7:$B$506,MATCH(ROW()-5,'Formulación PDN 2027'!$AK$7:$AK$506,0))&amp;"","")</f>
        <v/>
      </c>
      <c r="V346" s="15" t="str">
        <f>IFERROR(LEFT(INDEX('Formulación PDN 2027'!$E$7:$E$506,MATCH(ROW()-5,'Formulación PDN 2027'!$AK$7:$AK$506,0)),7),"")</f>
        <v/>
      </c>
      <c r="W346" s="15" t="str">
        <f>IFERROR(INDEX('Formulación PDN 2027'!$H$7:$H$506,MATCH(ROW()-5,'Formulación PDN 2027'!$AK$7:$AK$506,0))&amp;"","")</f>
        <v/>
      </c>
      <c r="X346" s="15" t="str">
        <f>IFERROR(INDEX('Formulación PDN 2027'!$U$7:$U$506,MATCH(ROW()-5,'Formulación PDN 2027'!$AK$7:$AK$506,0))&amp;"","")</f>
        <v/>
      </c>
      <c r="Y346" s="15" t="str">
        <f>IFERROR(INDEX('Formulación PDN 2027'!$AH$7:$AH$506,MATCH(ROW()-5,'Formulación PDN 2027'!$AK$7:$AK$506,0))&amp;"","")</f>
        <v/>
      </c>
    </row>
    <row r="347" spans="1:25" x14ac:dyDescent="0.3">
      <c r="A347" s="15" t="str">
        <f>IFERROR(INDEX('Formulación PDN 2027'!$A$7:$A$506,MATCH(ROW()-5,'Formulación PDN 2027'!$AK$7:$AK$506,0))&amp;"","")</f>
        <v/>
      </c>
      <c r="B347" s="20" t="str">
        <f>IFERROR(INDEX('Formulación PDN 2027'!$M$7:$M$506,MATCH(ROW()-5,'Formulación PDN 2027'!$AK$7:$AK$506,0)),"")</f>
        <v/>
      </c>
      <c r="C347" s="15" t="str">
        <f>IFERROR(INDEX('Formulación PDN 2027'!$N$7:$N$506,MATCH(ROW()-5,'Formulación PDN 2027'!$AK$7:$AK$506,0))&amp;"","")</f>
        <v/>
      </c>
      <c r="D347" s="15" t="str">
        <f>IFERROR(INDEX('Formulación PDN 2027'!$L$7:$L$506,MATCH(ROW()-5,'Formulación PDN 2027'!$AK$7:$AK$506,0))&amp;"","")</f>
        <v/>
      </c>
      <c r="E347" s="15" t="str">
        <f>IFERROR(MATCH(INDEX('Formulación PDN 2027'!$O$7:$O$506,MATCH(ROW()-5,'Formulación PDN 2027'!$AK$7:$AK$506,0)),L_MESES,0),"")</f>
        <v/>
      </c>
      <c r="F347" s="15" t="str">
        <f>IFERROR(MATCH(INDEX('Formulación PDN 2027'!$P$7:$P$506,MATCH(ROW()-5,'Formulación PDN 2027'!$AK$7:$AK$506,0)),L_MESES,0),"")</f>
        <v/>
      </c>
      <c r="G347" s="15" t="str">
        <f>IFERROR(INDEX('Formulación PDN 2027'!$Q$7:$Q$506,MATCH(ROW()-5,'Formulación PDN 2027'!$AK$7:$AK$506,0)),"")</f>
        <v/>
      </c>
      <c r="H347" s="15" t="str">
        <f>IFERROR(INDEX('Formulación PDN 2027'!$R$7:$R$506,MATCH(ROW()-5,'Formulación PDN 2027'!$AK$7:$AK$506,0))&amp;"","")</f>
        <v/>
      </c>
      <c r="I347" s="15" t="str">
        <f>IFERROR(INDEX('Formulación PDN 2027'!$S$7:$S$506,MATCH(ROW()-5,'Formulación PDN 2027'!$AK$7:$AK$506,0))&amp;"","")</f>
        <v/>
      </c>
      <c r="J347" s="15" t="str">
        <f>IFERROR(INDEX('Formulación PDN 2027'!$T$7:$T$506,MATCH(ROW()-5,'Formulación PDN 2027'!$AK$7:$AK$506,0))&amp;"","")</f>
        <v/>
      </c>
      <c r="K347" s="43" t="str">
        <f>IFERROR(INDEX('Formulación PDN 2027'!$W$7:$W$506,MATCH(ROW()-5,'Formulación PDN 2027'!$AK$7:$AK$506,0)),"")</f>
        <v/>
      </c>
      <c r="L347" s="43" t="str">
        <f>IFERROR(INDEX('Formulación PDN 2027'!$X$7:$X$506,MATCH(ROW()-5,'Formulación PDN 2027'!$AK$7:$AK$506,0)),"")</f>
        <v/>
      </c>
      <c r="M347" s="15" t="str">
        <f>IFERROR(INDEX('Formulación PDN 2027'!$Y$7:$Y$506,MATCH(ROW()-5,'Formulación PDN 2027'!$AK$7:$AK$506,0))&amp;"","")</f>
        <v/>
      </c>
      <c r="N347" s="15" t="str">
        <f>IFERROR(INDEX('Formulación PDN 2027'!$Z$7:$Z$506,MATCH(ROW()-5,'Formulación PDN 2027'!$AK$7:$AK$506,0))&amp;"","")</f>
        <v/>
      </c>
      <c r="O347" s="15"/>
      <c r="P347" s="15" t="str">
        <f>IFERROR(INDEX('Formulación PDN 2027'!$AA$7:$AA$506,MATCH(ROW()-5,'Formulación PDN 2027'!$AK$7:$AK$506,0))&amp;"","")</f>
        <v/>
      </c>
      <c r="Q347" s="15" t="str">
        <f>IFERROR(INDEX('Formulación PDN 2027'!$AB$7:$AB$506,MATCH(ROW()-5,'Formulación PDN 2027'!$AK$7:$AK$506,0))&amp;"","")</f>
        <v/>
      </c>
      <c r="R347" s="15" t="str">
        <f>IFERROR(INDEX('Formulación PDN 2027'!$AD$7:$AD$506,MATCH(ROW()-5,'Formulación PDN 2027'!$AK$7:$AK$506,0))&amp;"","")</f>
        <v/>
      </c>
      <c r="S347" s="15" t="str">
        <f>IFERROR(INDEX('Formulación PDN 2027'!$AE$7:$AE$506,MATCH(ROW()-5,'Formulación PDN 2027'!$AK$7:$AK$506,0))&amp;"","")</f>
        <v/>
      </c>
      <c r="T347" s="15" t="str">
        <f>IFERROR(INDEX('Formulación PDN 2027'!$C$7:$C$506,MATCH(ROW()-5,'Formulación PDN 2027'!$AK$7:$AK$506,0))&amp;"","")</f>
        <v/>
      </c>
      <c r="U347" s="15" t="str">
        <f>IFERROR(INDEX('Formulación PDN 2027'!$B$7:$B$506,MATCH(ROW()-5,'Formulación PDN 2027'!$AK$7:$AK$506,0))&amp;"","")</f>
        <v/>
      </c>
      <c r="V347" s="15" t="str">
        <f>IFERROR(LEFT(INDEX('Formulación PDN 2027'!$E$7:$E$506,MATCH(ROW()-5,'Formulación PDN 2027'!$AK$7:$AK$506,0)),7),"")</f>
        <v/>
      </c>
      <c r="W347" s="15" t="str">
        <f>IFERROR(INDEX('Formulación PDN 2027'!$H$7:$H$506,MATCH(ROW()-5,'Formulación PDN 2027'!$AK$7:$AK$506,0))&amp;"","")</f>
        <v/>
      </c>
      <c r="X347" s="15" t="str">
        <f>IFERROR(INDEX('Formulación PDN 2027'!$U$7:$U$506,MATCH(ROW()-5,'Formulación PDN 2027'!$AK$7:$AK$506,0))&amp;"","")</f>
        <v/>
      </c>
      <c r="Y347" s="15" t="str">
        <f>IFERROR(INDEX('Formulación PDN 2027'!$AH$7:$AH$506,MATCH(ROW()-5,'Formulación PDN 2027'!$AK$7:$AK$506,0))&amp;"","")</f>
        <v/>
      </c>
    </row>
    <row r="348" spans="1:25" x14ac:dyDescent="0.3">
      <c r="A348" s="15" t="str">
        <f>IFERROR(INDEX('Formulación PDN 2027'!$A$7:$A$506,MATCH(ROW()-5,'Formulación PDN 2027'!$AK$7:$AK$506,0))&amp;"","")</f>
        <v/>
      </c>
      <c r="B348" s="20" t="str">
        <f>IFERROR(INDEX('Formulación PDN 2027'!$M$7:$M$506,MATCH(ROW()-5,'Formulación PDN 2027'!$AK$7:$AK$506,0)),"")</f>
        <v/>
      </c>
      <c r="C348" s="15" t="str">
        <f>IFERROR(INDEX('Formulación PDN 2027'!$N$7:$N$506,MATCH(ROW()-5,'Formulación PDN 2027'!$AK$7:$AK$506,0))&amp;"","")</f>
        <v/>
      </c>
      <c r="D348" s="15" t="str">
        <f>IFERROR(INDEX('Formulación PDN 2027'!$L$7:$L$506,MATCH(ROW()-5,'Formulación PDN 2027'!$AK$7:$AK$506,0))&amp;"","")</f>
        <v/>
      </c>
      <c r="E348" s="15" t="str">
        <f>IFERROR(MATCH(INDEX('Formulación PDN 2027'!$O$7:$O$506,MATCH(ROW()-5,'Formulación PDN 2027'!$AK$7:$AK$506,0)),L_MESES,0),"")</f>
        <v/>
      </c>
      <c r="F348" s="15" t="str">
        <f>IFERROR(MATCH(INDEX('Formulación PDN 2027'!$P$7:$P$506,MATCH(ROW()-5,'Formulación PDN 2027'!$AK$7:$AK$506,0)),L_MESES,0),"")</f>
        <v/>
      </c>
      <c r="G348" s="15" t="str">
        <f>IFERROR(INDEX('Formulación PDN 2027'!$Q$7:$Q$506,MATCH(ROW()-5,'Formulación PDN 2027'!$AK$7:$AK$506,0)),"")</f>
        <v/>
      </c>
      <c r="H348" s="15" t="str">
        <f>IFERROR(INDEX('Formulación PDN 2027'!$R$7:$R$506,MATCH(ROW()-5,'Formulación PDN 2027'!$AK$7:$AK$506,0))&amp;"","")</f>
        <v/>
      </c>
      <c r="I348" s="15" t="str">
        <f>IFERROR(INDEX('Formulación PDN 2027'!$S$7:$S$506,MATCH(ROW()-5,'Formulación PDN 2027'!$AK$7:$AK$506,0))&amp;"","")</f>
        <v/>
      </c>
      <c r="J348" s="15" t="str">
        <f>IFERROR(INDEX('Formulación PDN 2027'!$T$7:$T$506,MATCH(ROW()-5,'Formulación PDN 2027'!$AK$7:$AK$506,0))&amp;"","")</f>
        <v/>
      </c>
      <c r="K348" s="43" t="str">
        <f>IFERROR(INDEX('Formulación PDN 2027'!$W$7:$W$506,MATCH(ROW()-5,'Formulación PDN 2027'!$AK$7:$AK$506,0)),"")</f>
        <v/>
      </c>
      <c r="L348" s="43" t="str">
        <f>IFERROR(INDEX('Formulación PDN 2027'!$X$7:$X$506,MATCH(ROW()-5,'Formulación PDN 2027'!$AK$7:$AK$506,0)),"")</f>
        <v/>
      </c>
      <c r="M348" s="15" t="str">
        <f>IFERROR(INDEX('Formulación PDN 2027'!$Y$7:$Y$506,MATCH(ROW()-5,'Formulación PDN 2027'!$AK$7:$AK$506,0))&amp;"","")</f>
        <v/>
      </c>
      <c r="N348" s="15" t="str">
        <f>IFERROR(INDEX('Formulación PDN 2027'!$Z$7:$Z$506,MATCH(ROW()-5,'Formulación PDN 2027'!$AK$7:$AK$506,0))&amp;"","")</f>
        <v/>
      </c>
      <c r="O348" s="15"/>
      <c r="P348" s="15" t="str">
        <f>IFERROR(INDEX('Formulación PDN 2027'!$AA$7:$AA$506,MATCH(ROW()-5,'Formulación PDN 2027'!$AK$7:$AK$506,0))&amp;"","")</f>
        <v/>
      </c>
      <c r="Q348" s="15" t="str">
        <f>IFERROR(INDEX('Formulación PDN 2027'!$AB$7:$AB$506,MATCH(ROW()-5,'Formulación PDN 2027'!$AK$7:$AK$506,0))&amp;"","")</f>
        <v/>
      </c>
      <c r="R348" s="15" t="str">
        <f>IFERROR(INDEX('Formulación PDN 2027'!$AD$7:$AD$506,MATCH(ROW()-5,'Formulación PDN 2027'!$AK$7:$AK$506,0))&amp;"","")</f>
        <v/>
      </c>
      <c r="S348" s="15" t="str">
        <f>IFERROR(INDEX('Formulación PDN 2027'!$AE$7:$AE$506,MATCH(ROW()-5,'Formulación PDN 2027'!$AK$7:$AK$506,0))&amp;"","")</f>
        <v/>
      </c>
      <c r="T348" s="15" t="str">
        <f>IFERROR(INDEX('Formulación PDN 2027'!$C$7:$C$506,MATCH(ROW()-5,'Formulación PDN 2027'!$AK$7:$AK$506,0))&amp;"","")</f>
        <v/>
      </c>
      <c r="U348" s="15" t="str">
        <f>IFERROR(INDEX('Formulación PDN 2027'!$B$7:$B$506,MATCH(ROW()-5,'Formulación PDN 2027'!$AK$7:$AK$506,0))&amp;"","")</f>
        <v/>
      </c>
      <c r="V348" s="15" t="str">
        <f>IFERROR(LEFT(INDEX('Formulación PDN 2027'!$E$7:$E$506,MATCH(ROW()-5,'Formulación PDN 2027'!$AK$7:$AK$506,0)),7),"")</f>
        <v/>
      </c>
      <c r="W348" s="15" t="str">
        <f>IFERROR(INDEX('Formulación PDN 2027'!$H$7:$H$506,MATCH(ROW()-5,'Formulación PDN 2027'!$AK$7:$AK$506,0))&amp;"","")</f>
        <v/>
      </c>
      <c r="X348" s="15" t="str">
        <f>IFERROR(INDEX('Formulación PDN 2027'!$U$7:$U$506,MATCH(ROW()-5,'Formulación PDN 2027'!$AK$7:$AK$506,0))&amp;"","")</f>
        <v/>
      </c>
      <c r="Y348" s="15" t="str">
        <f>IFERROR(INDEX('Formulación PDN 2027'!$AH$7:$AH$506,MATCH(ROW()-5,'Formulación PDN 2027'!$AK$7:$AK$506,0))&amp;"","")</f>
        <v/>
      </c>
    </row>
    <row r="349" spans="1:25" x14ac:dyDescent="0.3">
      <c r="A349" s="15" t="str">
        <f>IFERROR(INDEX('Formulación PDN 2027'!$A$7:$A$506,MATCH(ROW()-5,'Formulación PDN 2027'!$AK$7:$AK$506,0))&amp;"","")</f>
        <v/>
      </c>
      <c r="B349" s="20" t="str">
        <f>IFERROR(INDEX('Formulación PDN 2027'!$M$7:$M$506,MATCH(ROW()-5,'Formulación PDN 2027'!$AK$7:$AK$506,0)),"")</f>
        <v/>
      </c>
      <c r="C349" s="15" t="str">
        <f>IFERROR(INDEX('Formulación PDN 2027'!$N$7:$N$506,MATCH(ROW()-5,'Formulación PDN 2027'!$AK$7:$AK$506,0))&amp;"","")</f>
        <v/>
      </c>
      <c r="D349" s="15" t="str">
        <f>IFERROR(INDEX('Formulación PDN 2027'!$L$7:$L$506,MATCH(ROW()-5,'Formulación PDN 2027'!$AK$7:$AK$506,0))&amp;"","")</f>
        <v/>
      </c>
      <c r="E349" s="15" t="str">
        <f>IFERROR(MATCH(INDEX('Formulación PDN 2027'!$O$7:$O$506,MATCH(ROW()-5,'Formulación PDN 2027'!$AK$7:$AK$506,0)),L_MESES,0),"")</f>
        <v/>
      </c>
      <c r="F349" s="15" t="str">
        <f>IFERROR(MATCH(INDEX('Formulación PDN 2027'!$P$7:$P$506,MATCH(ROW()-5,'Formulación PDN 2027'!$AK$7:$AK$506,0)),L_MESES,0),"")</f>
        <v/>
      </c>
      <c r="G349" s="15" t="str">
        <f>IFERROR(INDEX('Formulación PDN 2027'!$Q$7:$Q$506,MATCH(ROW()-5,'Formulación PDN 2027'!$AK$7:$AK$506,0)),"")</f>
        <v/>
      </c>
      <c r="H349" s="15" t="str">
        <f>IFERROR(INDEX('Formulación PDN 2027'!$R$7:$R$506,MATCH(ROW()-5,'Formulación PDN 2027'!$AK$7:$AK$506,0))&amp;"","")</f>
        <v/>
      </c>
      <c r="I349" s="15" t="str">
        <f>IFERROR(INDEX('Formulación PDN 2027'!$S$7:$S$506,MATCH(ROW()-5,'Formulación PDN 2027'!$AK$7:$AK$506,0))&amp;"","")</f>
        <v/>
      </c>
      <c r="J349" s="15" t="str">
        <f>IFERROR(INDEX('Formulación PDN 2027'!$T$7:$T$506,MATCH(ROW()-5,'Formulación PDN 2027'!$AK$7:$AK$506,0))&amp;"","")</f>
        <v/>
      </c>
      <c r="K349" s="43" t="str">
        <f>IFERROR(INDEX('Formulación PDN 2027'!$W$7:$W$506,MATCH(ROW()-5,'Formulación PDN 2027'!$AK$7:$AK$506,0)),"")</f>
        <v/>
      </c>
      <c r="L349" s="43" t="str">
        <f>IFERROR(INDEX('Formulación PDN 2027'!$X$7:$X$506,MATCH(ROW()-5,'Formulación PDN 2027'!$AK$7:$AK$506,0)),"")</f>
        <v/>
      </c>
      <c r="M349" s="15" t="str">
        <f>IFERROR(INDEX('Formulación PDN 2027'!$Y$7:$Y$506,MATCH(ROW()-5,'Formulación PDN 2027'!$AK$7:$AK$506,0))&amp;"","")</f>
        <v/>
      </c>
      <c r="N349" s="15" t="str">
        <f>IFERROR(INDEX('Formulación PDN 2027'!$Z$7:$Z$506,MATCH(ROW()-5,'Formulación PDN 2027'!$AK$7:$AK$506,0))&amp;"","")</f>
        <v/>
      </c>
      <c r="O349" s="15"/>
      <c r="P349" s="15" t="str">
        <f>IFERROR(INDEX('Formulación PDN 2027'!$AA$7:$AA$506,MATCH(ROW()-5,'Formulación PDN 2027'!$AK$7:$AK$506,0))&amp;"","")</f>
        <v/>
      </c>
      <c r="Q349" s="15" t="str">
        <f>IFERROR(INDEX('Formulación PDN 2027'!$AB$7:$AB$506,MATCH(ROW()-5,'Formulación PDN 2027'!$AK$7:$AK$506,0))&amp;"","")</f>
        <v/>
      </c>
      <c r="R349" s="15" t="str">
        <f>IFERROR(INDEX('Formulación PDN 2027'!$AD$7:$AD$506,MATCH(ROW()-5,'Formulación PDN 2027'!$AK$7:$AK$506,0))&amp;"","")</f>
        <v/>
      </c>
      <c r="S349" s="15" t="str">
        <f>IFERROR(INDEX('Formulación PDN 2027'!$AE$7:$AE$506,MATCH(ROW()-5,'Formulación PDN 2027'!$AK$7:$AK$506,0))&amp;"","")</f>
        <v/>
      </c>
      <c r="T349" s="15" t="str">
        <f>IFERROR(INDEX('Formulación PDN 2027'!$C$7:$C$506,MATCH(ROW()-5,'Formulación PDN 2027'!$AK$7:$AK$506,0))&amp;"","")</f>
        <v/>
      </c>
      <c r="U349" s="15" t="str">
        <f>IFERROR(INDEX('Formulación PDN 2027'!$B$7:$B$506,MATCH(ROW()-5,'Formulación PDN 2027'!$AK$7:$AK$506,0))&amp;"","")</f>
        <v/>
      </c>
      <c r="V349" s="15" t="str">
        <f>IFERROR(LEFT(INDEX('Formulación PDN 2027'!$E$7:$E$506,MATCH(ROW()-5,'Formulación PDN 2027'!$AK$7:$AK$506,0)),7),"")</f>
        <v/>
      </c>
      <c r="W349" s="15" t="str">
        <f>IFERROR(INDEX('Formulación PDN 2027'!$H$7:$H$506,MATCH(ROW()-5,'Formulación PDN 2027'!$AK$7:$AK$506,0))&amp;"","")</f>
        <v/>
      </c>
      <c r="X349" s="15" t="str">
        <f>IFERROR(INDEX('Formulación PDN 2027'!$U$7:$U$506,MATCH(ROW()-5,'Formulación PDN 2027'!$AK$7:$AK$506,0))&amp;"","")</f>
        <v/>
      </c>
      <c r="Y349" s="15" t="str">
        <f>IFERROR(INDEX('Formulación PDN 2027'!$AH$7:$AH$506,MATCH(ROW()-5,'Formulación PDN 2027'!$AK$7:$AK$506,0))&amp;"","")</f>
        <v/>
      </c>
    </row>
    <row r="350" spans="1:25" x14ac:dyDescent="0.3">
      <c r="A350" s="15" t="str">
        <f>IFERROR(INDEX('Formulación PDN 2027'!$A$7:$A$506,MATCH(ROW()-5,'Formulación PDN 2027'!$AK$7:$AK$506,0))&amp;"","")</f>
        <v/>
      </c>
      <c r="B350" s="20" t="str">
        <f>IFERROR(INDEX('Formulación PDN 2027'!$M$7:$M$506,MATCH(ROW()-5,'Formulación PDN 2027'!$AK$7:$AK$506,0)),"")</f>
        <v/>
      </c>
      <c r="C350" s="15" t="str">
        <f>IFERROR(INDEX('Formulación PDN 2027'!$N$7:$N$506,MATCH(ROW()-5,'Formulación PDN 2027'!$AK$7:$AK$506,0))&amp;"","")</f>
        <v/>
      </c>
      <c r="D350" s="15" t="str">
        <f>IFERROR(INDEX('Formulación PDN 2027'!$L$7:$L$506,MATCH(ROW()-5,'Formulación PDN 2027'!$AK$7:$AK$506,0))&amp;"","")</f>
        <v/>
      </c>
      <c r="E350" s="15" t="str">
        <f>IFERROR(MATCH(INDEX('Formulación PDN 2027'!$O$7:$O$506,MATCH(ROW()-5,'Formulación PDN 2027'!$AK$7:$AK$506,0)),L_MESES,0),"")</f>
        <v/>
      </c>
      <c r="F350" s="15" t="str">
        <f>IFERROR(MATCH(INDEX('Formulación PDN 2027'!$P$7:$P$506,MATCH(ROW()-5,'Formulación PDN 2027'!$AK$7:$AK$506,0)),L_MESES,0),"")</f>
        <v/>
      </c>
      <c r="G350" s="15" t="str">
        <f>IFERROR(INDEX('Formulación PDN 2027'!$Q$7:$Q$506,MATCH(ROW()-5,'Formulación PDN 2027'!$AK$7:$AK$506,0)),"")</f>
        <v/>
      </c>
      <c r="H350" s="15" t="str">
        <f>IFERROR(INDEX('Formulación PDN 2027'!$R$7:$R$506,MATCH(ROW()-5,'Formulación PDN 2027'!$AK$7:$AK$506,0))&amp;"","")</f>
        <v/>
      </c>
      <c r="I350" s="15" t="str">
        <f>IFERROR(INDEX('Formulación PDN 2027'!$S$7:$S$506,MATCH(ROW()-5,'Formulación PDN 2027'!$AK$7:$AK$506,0))&amp;"","")</f>
        <v/>
      </c>
      <c r="J350" s="15" t="str">
        <f>IFERROR(INDEX('Formulación PDN 2027'!$T$7:$T$506,MATCH(ROW()-5,'Formulación PDN 2027'!$AK$7:$AK$506,0))&amp;"","")</f>
        <v/>
      </c>
      <c r="K350" s="43" t="str">
        <f>IFERROR(INDEX('Formulación PDN 2027'!$W$7:$W$506,MATCH(ROW()-5,'Formulación PDN 2027'!$AK$7:$AK$506,0)),"")</f>
        <v/>
      </c>
      <c r="L350" s="43" t="str">
        <f>IFERROR(INDEX('Formulación PDN 2027'!$X$7:$X$506,MATCH(ROW()-5,'Formulación PDN 2027'!$AK$7:$AK$506,0)),"")</f>
        <v/>
      </c>
      <c r="M350" s="15" t="str">
        <f>IFERROR(INDEX('Formulación PDN 2027'!$Y$7:$Y$506,MATCH(ROW()-5,'Formulación PDN 2027'!$AK$7:$AK$506,0))&amp;"","")</f>
        <v/>
      </c>
      <c r="N350" s="15" t="str">
        <f>IFERROR(INDEX('Formulación PDN 2027'!$Z$7:$Z$506,MATCH(ROW()-5,'Formulación PDN 2027'!$AK$7:$AK$506,0))&amp;"","")</f>
        <v/>
      </c>
      <c r="O350" s="15"/>
      <c r="P350" s="15" t="str">
        <f>IFERROR(INDEX('Formulación PDN 2027'!$AA$7:$AA$506,MATCH(ROW()-5,'Formulación PDN 2027'!$AK$7:$AK$506,0))&amp;"","")</f>
        <v/>
      </c>
      <c r="Q350" s="15" t="str">
        <f>IFERROR(INDEX('Formulación PDN 2027'!$AB$7:$AB$506,MATCH(ROW()-5,'Formulación PDN 2027'!$AK$7:$AK$506,0))&amp;"","")</f>
        <v/>
      </c>
      <c r="R350" s="15" t="str">
        <f>IFERROR(INDEX('Formulación PDN 2027'!$AD$7:$AD$506,MATCH(ROW()-5,'Formulación PDN 2027'!$AK$7:$AK$506,0))&amp;"","")</f>
        <v/>
      </c>
      <c r="S350" s="15" t="str">
        <f>IFERROR(INDEX('Formulación PDN 2027'!$AE$7:$AE$506,MATCH(ROW()-5,'Formulación PDN 2027'!$AK$7:$AK$506,0))&amp;"","")</f>
        <v/>
      </c>
      <c r="T350" s="15" t="str">
        <f>IFERROR(INDEX('Formulación PDN 2027'!$C$7:$C$506,MATCH(ROW()-5,'Formulación PDN 2027'!$AK$7:$AK$506,0))&amp;"","")</f>
        <v/>
      </c>
      <c r="U350" s="15" t="str">
        <f>IFERROR(INDEX('Formulación PDN 2027'!$B$7:$B$506,MATCH(ROW()-5,'Formulación PDN 2027'!$AK$7:$AK$506,0))&amp;"","")</f>
        <v/>
      </c>
      <c r="V350" s="15" t="str">
        <f>IFERROR(LEFT(INDEX('Formulación PDN 2027'!$E$7:$E$506,MATCH(ROW()-5,'Formulación PDN 2027'!$AK$7:$AK$506,0)),7),"")</f>
        <v/>
      </c>
      <c r="W350" s="15" t="str">
        <f>IFERROR(INDEX('Formulación PDN 2027'!$H$7:$H$506,MATCH(ROW()-5,'Formulación PDN 2027'!$AK$7:$AK$506,0))&amp;"","")</f>
        <v/>
      </c>
      <c r="X350" s="15" t="str">
        <f>IFERROR(INDEX('Formulación PDN 2027'!$U$7:$U$506,MATCH(ROW()-5,'Formulación PDN 2027'!$AK$7:$AK$506,0))&amp;"","")</f>
        <v/>
      </c>
      <c r="Y350" s="15" t="str">
        <f>IFERROR(INDEX('Formulación PDN 2027'!$AH$7:$AH$506,MATCH(ROW()-5,'Formulación PDN 2027'!$AK$7:$AK$506,0))&amp;"","")</f>
        <v/>
      </c>
    </row>
    <row r="351" spans="1:25" x14ac:dyDescent="0.3">
      <c r="A351" s="15" t="str">
        <f>IFERROR(INDEX('Formulación PDN 2027'!$A$7:$A$506,MATCH(ROW()-5,'Formulación PDN 2027'!$AK$7:$AK$506,0))&amp;"","")</f>
        <v/>
      </c>
      <c r="B351" s="20" t="str">
        <f>IFERROR(INDEX('Formulación PDN 2027'!$M$7:$M$506,MATCH(ROW()-5,'Formulación PDN 2027'!$AK$7:$AK$506,0)),"")</f>
        <v/>
      </c>
      <c r="C351" s="15" t="str">
        <f>IFERROR(INDEX('Formulación PDN 2027'!$N$7:$N$506,MATCH(ROW()-5,'Formulación PDN 2027'!$AK$7:$AK$506,0))&amp;"","")</f>
        <v/>
      </c>
      <c r="D351" s="15" t="str">
        <f>IFERROR(INDEX('Formulación PDN 2027'!$L$7:$L$506,MATCH(ROW()-5,'Formulación PDN 2027'!$AK$7:$AK$506,0))&amp;"","")</f>
        <v/>
      </c>
      <c r="E351" s="15" t="str">
        <f>IFERROR(MATCH(INDEX('Formulación PDN 2027'!$O$7:$O$506,MATCH(ROW()-5,'Formulación PDN 2027'!$AK$7:$AK$506,0)),L_MESES,0),"")</f>
        <v/>
      </c>
      <c r="F351" s="15" t="str">
        <f>IFERROR(MATCH(INDEX('Formulación PDN 2027'!$P$7:$P$506,MATCH(ROW()-5,'Formulación PDN 2027'!$AK$7:$AK$506,0)),L_MESES,0),"")</f>
        <v/>
      </c>
      <c r="G351" s="15" t="str">
        <f>IFERROR(INDEX('Formulación PDN 2027'!$Q$7:$Q$506,MATCH(ROW()-5,'Formulación PDN 2027'!$AK$7:$AK$506,0)),"")</f>
        <v/>
      </c>
      <c r="H351" s="15" t="str">
        <f>IFERROR(INDEX('Formulación PDN 2027'!$R$7:$R$506,MATCH(ROW()-5,'Formulación PDN 2027'!$AK$7:$AK$506,0))&amp;"","")</f>
        <v/>
      </c>
      <c r="I351" s="15" t="str">
        <f>IFERROR(INDEX('Formulación PDN 2027'!$S$7:$S$506,MATCH(ROW()-5,'Formulación PDN 2027'!$AK$7:$AK$506,0))&amp;"","")</f>
        <v/>
      </c>
      <c r="J351" s="15" t="str">
        <f>IFERROR(INDEX('Formulación PDN 2027'!$T$7:$T$506,MATCH(ROW()-5,'Formulación PDN 2027'!$AK$7:$AK$506,0))&amp;"","")</f>
        <v/>
      </c>
      <c r="K351" s="43" t="str">
        <f>IFERROR(INDEX('Formulación PDN 2027'!$W$7:$W$506,MATCH(ROW()-5,'Formulación PDN 2027'!$AK$7:$AK$506,0)),"")</f>
        <v/>
      </c>
      <c r="L351" s="43" t="str">
        <f>IFERROR(INDEX('Formulación PDN 2027'!$X$7:$X$506,MATCH(ROW()-5,'Formulación PDN 2027'!$AK$7:$AK$506,0)),"")</f>
        <v/>
      </c>
      <c r="M351" s="15" t="str">
        <f>IFERROR(INDEX('Formulación PDN 2027'!$Y$7:$Y$506,MATCH(ROW()-5,'Formulación PDN 2027'!$AK$7:$AK$506,0))&amp;"","")</f>
        <v/>
      </c>
      <c r="N351" s="15" t="str">
        <f>IFERROR(INDEX('Formulación PDN 2027'!$Z$7:$Z$506,MATCH(ROW()-5,'Formulación PDN 2027'!$AK$7:$AK$506,0))&amp;"","")</f>
        <v/>
      </c>
      <c r="O351" s="15"/>
      <c r="P351" s="15" t="str">
        <f>IFERROR(INDEX('Formulación PDN 2027'!$AA$7:$AA$506,MATCH(ROW()-5,'Formulación PDN 2027'!$AK$7:$AK$506,0))&amp;"","")</f>
        <v/>
      </c>
      <c r="Q351" s="15" t="str">
        <f>IFERROR(INDEX('Formulación PDN 2027'!$AB$7:$AB$506,MATCH(ROW()-5,'Formulación PDN 2027'!$AK$7:$AK$506,0))&amp;"","")</f>
        <v/>
      </c>
      <c r="R351" s="15" t="str">
        <f>IFERROR(INDEX('Formulación PDN 2027'!$AD$7:$AD$506,MATCH(ROW()-5,'Formulación PDN 2027'!$AK$7:$AK$506,0))&amp;"","")</f>
        <v/>
      </c>
      <c r="S351" s="15" t="str">
        <f>IFERROR(INDEX('Formulación PDN 2027'!$AE$7:$AE$506,MATCH(ROW()-5,'Formulación PDN 2027'!$AK$7:$AK$506,0))&amp;"","")</f>
        <v/>
      </c>
      <c r="T351" s="15" t="str">
        <f>IFERROR(INDEX('Formulación PDN 2027'!$C$7:$C$506,MATCH(ROW()-5,'Formulación PDN 2027'!$AK$7:$AK$506,0))&amp;"","")</f>
        <v/>
      </c>
      <c r="U351" s="15" t="str">
        <f>IFERROR(INDEX('Formulación PDN 2027'!$B$7:$B$506,MATCH(ROW()-5,'Formulación PDN 2027'!$AK$7:$AK$506,0))&amp;"","")</f>
        <v/>
      </c>
      <c r="V351" s="15" t="str">
        <f>IFERROR(LEFT(INDEX('Formulación PDN 2027'!$E$7:$E$506,MATCH(ROW()-5,'Formulación PDN 2027'!$AK$7:$AK$506,0)),7),"")</f>
        <v/>
      </c>
      <c r="W351" s="15" t="str">
        <f>IFERROR(INDEX('Formulación PDN 2027'!$H$7:$H$506,MATCH(ROW()-5,'Formulación PDN 2027'!$AK$7:$AK$506,0))&amp;"","")</f>
        <v/>
      </c>
      <c r="X351" s="15" t="str">
        <f>IFERROR(INDEX('Formulación PDN 2027'!$U$7:$U$506,MATCH(ROW()-5,'Formulación PDN 2027'!$AK$7:$AK$506,0))&amp;"","")</f>
        <v/>
      </c>
      <c r="Y351" s="15" t="str">
        <f>IFERROR(INDEX('Formulación PDN 2027'!$AH$7:$AH$506,MATCH(ROW()-5,'Formulación PDN 2027'!$AK$7:$AK$506,0))&amp;"","")</f>
        <v/>
      </c>
    </row>
    <row r="352" spans="1:25" x14ac:dyDescent="0.3">
      <c r="A352" s="15" t="str">
        <f>IFERROR(INDEX('Formulación PDN 2027'!$A$7:$A$506,MATCH(ROW()-5,'Formulación PDN 2027'!$AK$7:$AK$506,0))&amp;"","")</f>
        <v/>
      </c>
      <c r="B352" s="20" t="str">
        <f>IFERROR(INDEX('Formulación PDN 2027'!$M$7:$M$506,MATCH(ROW()-5,'Formulación PDN 2027'!$AK$7:$AK$506,0)),"")</f>
        <v/>
      </c>
      <c r="C352" s="15" t="str">
        <f>IFERROR(INDEX('Formulación PDN 2027'!$N$7:$N$506,MATCH(ROW()-5,'Formulación PDN 2027'!$AK$7:$AK$506,0))&amp;"","")</f>
        <v/>
      </c>
      <c r="D352" s="15" t="str">
        <f>IFERROR(INDEX('Formulación PDN 2027'!$L$7:$L$506,MATCH(ROW()-5,'Formulación PDN 2027'!$AK$7:$AK$506,0))&amp;"","")</f>
        <v/>
      </c>
      <c r="E352" s="15" t="str">
        <f>IFERROR(MATCH(INDEX('Formulación PDN 2027'!$O$7:$O$506,MATCH(ROW()-5,'Formulación PDN 2027'!$AK$7:$AK$506,0)),L_MESES,0),"")</f>
        <v/>
      </c>
      <c r="F352" s="15" t="str">
        <f>IFERROR(MATCH(INDEX('Formulación PDN 2027'!$P$7:$P$506,MATCH(ROW()-5,'Formulación PDN 2027'!$AK$7:$AK$506,0)),L_MESES,0),"")</f>
        <v/>
      </c>
      <c r="G352" s="15" t="str">
        <f>IFERROR(INDEX('Formulación PDN 2027'!$Q$7:$Q$506,MATCH(ROW()-5,'Formulación PDN 2027'!$AK$7:$AK$506,0)),"")</f>
        <v/>
      </c>
      <c r="H352" s="15" t="str">
        <f>IFERROR(INDEX('Formulación PDN 2027'!$R$7:$R$506,MATCH(ROW()-5,'Formulación PDN 2027'!$AK$7:$AK$506,0))&amp;"","")</f>
        <v/>
      </c>
      <c r="I352" s="15" t="str">
        <f>IFERROR(INDEX('Formulación PDN 2027'!$S$7:$S$506,MATCH(ROW()-5,'Formulación PDN 2027'!$AK$7:$AK$506,0))&amp;"","")</f>
        <v/>
      </c>
      <c r="J352" s="15" t="str">
        <f>IFERROR(INDEX('Formulación PDN 2027'!$T$7:$T$506,MATCH(ROW()-5,'Formulación PDN 2027'!$AK$7:$AK$506,0))&amp;"","")</f>
        <v/>
      </c>
      <c r="K352" s="43" t="str">
        <f>IFERROR(INDEX('Formulación PDN 2027'!$W$7:$W$506,MATCH(ROW()-5,'Formulación PDN 2027'!$AK$7:$AK$506,0)),"")</f>
        <v/>
      </c>
      <c r="L352" s="43" t="str">
        <f>IFERROR(INDEX('Formulación PDN 2027'!$X$7:$X$506,MATCH(ROW()-5,'Formulación PDN 2027'!$AK$7:$AK$506,0)),"")</f>
        <v/>
      </c>
      <c r="M352" s="15" t="str">
        <f>IFERROR(INDEX('Formulación PDN 2027'!$Y$7:$Y$506,MATCH(ROW()-5,'Formulación PDN 2027'!$AK$7:$AK$506,0))&amp;"","")</f>
        <v/>
      </c>
      <c r="N352" s="15" t="str">
        <f>IFERROR(INDEX('Formulación PDN 2027'!$Z$7:$Z$506,MATCH(ROW()-5,'Formulación PDN 2027'!$AK$7:$AK$506,0))&amp;"","")</f>
        <v/>
      </c>
      <c r="O352" s="15"/>
      <c r="P352" s="15" t="str">
        <f>IFERROR(INDEX('Formulación PDN 2027'!$AA$7:$AA$506,MATCH(ROW()-5,'Formulación PDN 2027'!$AK$7:$AK$506,0))&amp;"","")</f>
        <v/>
      </c>
      <c r="Q352" s="15" t="str">
        <f>IFERROR(INDEX('Formulación PDN 2027'!$AB$7:$AB$506,MATCH(ROW()-5,'Formulación PDN 2027'!$AK$7:$AK$506,0))&amp;"","")</f>
        <v/>
      </c>
      <c r="R352" s="15" t="str">
        <f>IFERROR(INDEX('Formulación PDN 2027'!$AD$7:$AD$506,MATCH(ROW()-5,'Formulación PDN 2027'!$AK$7:$AK$506,0))&amp;"","")</f>
        <v/>
      </c>
      <c r="S352" s="15" t="str">
        <f>IFERROR(INDEX('Formulación PDN 2027'!$AE$7:$AE$506,MATCH(ROW()-5,'Formulación PDN 2027'!$AK$7:$AK$506,0))&amp;"","")</f>
        <v/>
      </c>
      <c r="T352" s="15" t="str">
        <f>IFERROR(INDEX('Formulación PDN 2027'!$C$7:$C$506,MATCH(ROW()-5,'Formulación PDN 2027'!$AK$7:$AK$506,0))&amp;"","")</f>
        <v/>
      </c>
      <c r="U352" s="15" t="str">
        <f>IFERROR(INDEX('Formulación PDN 2027'!$B$7:$B$506,MATCH(ROW()-5,'Formulación PDN 2027'!$AK$7:$AK$506,0))&amp;"","")</f>
        <v/>
      </c>
      <c r="V352" s="15" t="str">
        <f>IFERROR(LEFT(INDEX('Formulación PDN 2027'!$E$7:$E$506,MATCH(ROW()-5,'Formulación PDN 2027'!$AK$7:$AK$506,0)),7),"")</f>
        <v/>
      </c>
      <c r="W352" s="15" t="str">
        <f>IFERROR(INDEX('Formulación PDN 2027'!$H$7:$H$506,MATCH(ROW()-5,'Formulación PDN 2027'!$AK$7:$AK$506,0))&amp;"","")</f>
        <v/>
      </c>
      <c r="X352" s="15" t="str">
        <f>IFERROR(INDEX('Formulación PDN 2027'!$U$7:$U$506,MATCH(ROW()-5,'Formulación PDN 2027'!$AK$7:$AK$506,0))&amp;"","")</f>
        <v/>
      </c>
      <c r="Y352" s="15" t="str">
        <f>IFERROR(INDEX('Formulación PDN 2027'!$AH$7:$AH$506,MATCH(ROW()-5,'Formulación PDN 2027'!$AK$7:$AK$506,0))&amp;"","")</f>
        <v/>
      </c>
    </row>
    <row r="353" spans="1:25" x14ac:dyDescent="0.3">
      <c r="A353" s="15" t="str">
        <f>IFERROR(INDEX('Formulación PDN 2027'!$A$7:$A$506,MATCH(ROW()-5,'Formulación PDN 2027'!$AK$7:$AK$506,0))&amp;"","")</f>
        <v/>
      </c>
      <c r="B353" s="20" t="str">
        <f>IFERROR(INDEX('Formulación PDN 2027'!$M$7:$M$506,MATCH(ROW()-5,'Formulación PDN 2027'!$AK$7:$AK$506,0)),"")</f>
        <v/>
      </c>
      <c r="C353" s="15" t="str">
        <f>IFERROR(INDEX('Formulación PDN 2027'!$N$7:$N$506,MATCH(ROW()-5,'Formulación PDN 2027'!$AK$7:$AK$506,0))&amp;"","")</f>
        <v/>
      </c>
      <c r="D353" s="15" t="str">
        <f>IFERROR(INDEX('Formulación PDN 2027'!$L$7:$L$506,MATCH(ROW()-5,'Formulación PDN 2027'!$AK$7:$AK$506,0))&amp;"","")</f>
        <v/>
      </c>
      <c r="E353" s="15" t="str">
        <f>IFERROR(MATCH(INDEX('Formulación PDN 2027'!$O$7:$O$506,MATCH(ROW()-5,'Formulación PDN 2027'!$AK$7:$AK$506,0)),L_MESES,0),"")</f>
        <v/>
      </c>
      <c r="F353" s="15" t="str">
        <f>IFERROR(MATCH(INDEX('Formulación PDN 2027'!$P$7:$P$506,MATCH(ROW()-5,'Formulación PDN 2027'!$AK$7:$AK$506,0)),L_MESES,0),"")</f>
        <v/>
      </c>
      <c r="G353" s="15" t="str">
        <f>IFERROR(INDEX('Formulación PDN 2027'!$Q$7:$Q$506,MATCH(ROW()-5,'Formulación PDN 2027'!$AK$7:$AK$506,0)),"")</f>
        <v/>
      </c>
      <c r="H353" s="15" t="str">
        <f>IFERROR(INDEX('Formulación PDN 2027'!$R$7:$R$506,MATCH(ROW()-5,'Formulación PDN 2027'!$AK$7:$AK$506,0))&amp;"","")</f>
        <v/>
      </c>
      <c r="I353" s="15" t="str">
        <f>IFERROR(INDEX('Formulación PDN 2027'!$S$7:$S$506,MATCH(ROW()-5,'Formulación PDN 2027'!$AK$7:$AK$506,0))&amp;"","")</f>
        <v/>
      </c>
      <c r="J353" s="15" t="str">
        <f>IFERROR(INDEX('Formulación PDN 2027'!$T$7:$T$506,MATCH(ROW()-5,'Formulación PDN 2027'!$AK$7:$AK$506,0))&amp;"","")</f>
        <v/>
      </c>
      <c r="K353" s="43" t="str">
        <f>IFERROR(INDEX('Formulación PDN 2027'!$W$7:$W$506,MATCH(ROW()-5,'Formulación PDN 2027'!$AK$7:$AK$506,0)),"")</f>
        <v/>
      </c>
      <c r="L353" s="43" t="str">
        <f>IFERROR(INDEX('Formulación PDN 2027'!$X$7:$X$506,MATCH(ROW()-5,'Formulación PDN 2027'!$AK$7:$AK$506,0)),"")</f>
        <v/>
      </c>
      <c r="M353" s="15" t="str">
        <f>IFERROR(INDEX('Formulación PDN 2027'!$Y$7:$Y$506,MATCH(ROW()-5,'Formulación PDN 2027'!$AK$7:$AK$506,0))&amp;"","")</f>
        <v/>
      </c>
      <c r="N353" s="15" t="str">
        <f>IFERROR(INDEX('Formulación PDN 2027'!$Z$7:$Z$506,MATCH(ROW()-5,'Formulación PDN 2027'!$AK$7:$AK$506,0))&amp;"","")</f>
        <v/>
      </c>
      <c r="O353" s="15"/>
      <c r="P353" s="15" t="str">
        <f>IFERROR(INDEX('Formulación PDN 2027'!$AA$7:$AA$506,MATCH(ROW()-5,'Formulación PDN 2027'!$AK$7:$AK$506,0))&amp;"","")</f>
        <v/>
      </c>
      <c r="Q353" s="15" t="str">
        <f>IFERROR(INDEX('Formulación PDN 2027'!$AB$7:$AB$506,MATCH(ROW()-5,'Formulación PDN 2027'!$AK$7:$AK$506,0))&amp;"","")</f>
        <v/>
      </c>
      <c r="R353" s="15" t="str">
        <f>IFERROR(INDEX('Formulación PDN 2027'!$AD$7:$AD$506,MATCH(ROW()-5,'Formulación PDN 2027'!$AK$7:$AK$506,0))&amp;"","")</f>
        <v/>
      </c>
      <c r="S353" s="15" t="str">
        <f>IFERROR(INDEX('Formulación PDN 2027'!$AE$7:$AE$506,MATCH(ROW()-5,'Formulación PDN 2027'!$AK$7:$AK$506,0))&amp;"","")</f>
        <v/>
      </c>
      <c r="T353" s="15" t="str">
        <f>IFERROR(INDEX('Formulación PDN 2027'!$C$7:$C$506,MATCH(ROW()-5,'Formulación PDN 2027'!$AK$7:$AK$506,0))&amp;"","")</f>
        <v/>
      </c>
      <c r="U353" s="15" t="str">
        <f>IFERROR(INDEX('Formulación PDN 2027'!$B$7:$B$506,MATCH(ROW()-5,'Formulación PDN 2027'!$AK$7:$AK$506,0))&amp;"","")</f>
        <v/>
      </c>
      <c r="V353" s="15" t="str">
        <f>IFERROR(LEFT(INDEX('Formulación PDN 2027'!$E$7:$E$506,MATCH(ROW()-5,'Formulación PDN 2027'!$AK$7:$AK$506,0)),7),"")</f>
        <v/>
      </c>
      <c r="W353" s="15" t="str">
        <f>IFERROR(INDEX('Formulación PDN 2027'!$H$7:$H$506,MATCH(ROW()-5,'Formulación PDN 2027'!$AK$7:$AK$506,0))&amp;"","")</f>
        <v/>
      </c>
      <c r="X353" s="15" t="str">
        <f>IFERROR(INDEX('Formulación PDN 2027'!$U$7:$U$506,MATCH(ROW()-5,'Formulación PDN 2027'!$AK$7:$AK$506,0))&amp;"","")</f>
        <v/>
      </c>
      <c r="Y353" s="15" t="str">
        <f>IFERROR(INDEX('Formulación PDN 2027'!$AH$7:$AH$506,MATCH(ROW()-5,'Formulación PDN 2027'!$AK$7:$AK$506,0))&amp;"","")</f>
        <v/>
      </c>
    </row>
    <row r="354" spans="1:25" x14ac:dyDescent="0.3">
      <c r="A354" s="15" t="str">
        <f>IFERROR(INDEX('Formulación PDN 2027'!$A$7:$A$506,MATCH(ROW()-5,'Formulación PDN 2027'!$AK$7:$AK$506,0))&amp;"","")</f>
        <v/>
      </c>
      <c r="B354" s="20" t="str">
        <f>IFERROR(INDEX('Formulación PDN 2027'!$M$7:$M$506,MATCH(ROW()-5,'Formulación PDN 2027'!$AK$7:$AK$506,0)),"")</f>
        <v/>
      </c>
      <c r="C354" s="15" t="str">
        <f>IFERROR(INDEX('Formulación PDN 2027'!$N$7:$N$506,MATCH(ROW()-5,'Formulación PDN 2027'!$AK$7:$AK$506,0))&amp;"","")</f>
        <v/>
      </c>
      <c r="D354" s="15" t="str">
        <f>IFERROR(INDEX('Formulación PDN 2027'!$L$7:$L$506,MATCH(ROW()-5,'Formulación PDN 2027'!$AK$7:$AK$506,0))&amp;"","")</f>
        <v/>
      </c>
      <c r="E354" s="15" t="str">
        <f>IFERROR(MATCH(INDEX('Formulación PDN 2027'!$O$7:$O$506,MATCH(ROW()-5,'Formulación PDN 2027'!$AK$7:$AK$506,0)),L_MESES,0),"")</f>
        <v/>
      </c>
      <c r="F354" s="15" t="str">
        <f>IFERROR(MATCH(INDEX('Formulación PDN 2027'!$P$7:$P$506,MATCH(ROW()-5,'Formulación PDN 2027'!$AK$7:$AK$506,0)),L_MESES,0),"")</f>
        <v/>
      </c>
      <c r="G354" s="15" t="str">
        <f>IFERROR(INDEX('Formulación PDN 2027'!$Q$7:$Q$506,MATCH(ROW()-5,'Formulación PDN 2027'!$AK$7:$AK$506,0)),"")</f>
        <v/>
      </c>
      <c r="H354" s="15" t="str">
        <f>IFERROR(INDEX('Formulación PDN 2027'!$R$7:$R$506,MATCH(ROW()-5,'Formulación PDN 2027'!$AK$7:$AK$506,0))&amp;"","")</f>
        <v/>
      </c>
      <c r="I354" s="15" t="str">
        <f>IFERROR(INDEX('Formulación PDN 2027'!$S$7:$S$506,MATCH(ROW()-5,'Formulación PDN 2027'!$AK$7:$AK$506,0))&amp;"","")</f>
        <v/>
      </c>
      <c r="J354" s="15" t="str">
        <f>IFERROR(INDEX('Formulación PDN 2027'!$T$7:$T$506,MATCH(ROW()-5,'Formulación PDN 2027'!$AK$7:$AK$506,0))&amp;"","")</f>
        <v/>
      </c>
      <c r="K354" s="43" t="str">
        <f>IFERROR(INDEX('Formulación PDN 2027'!$W$7:$W$506,MATCH(ROW()-5,'Formulación PDN 2027'!$AK$7:$AK$506,0)),"")</f>
        <v/>
      </c>
      <c r="L354" s="43" t="str">
        <f>IFERROR(INDEX('Formulación PDN 2027'!$X$7:$X$506,MATCH(ROW()-5,'Formulación PDN 2027'!$AK$7:$AK$506,0)),"")</f>
        <v/>
      </c>
      <c r="M354" s="15" t="str">
        <f>IFERROR(INDEX('Formulación PDN 2027'!$Y$7:$Y$506,MATCH(ROW()-5,'Formulación PDN 2027'!$AK$7:$AK$506,0))&amp;"","")</f>
        <v/>
      </c>
      <c r="N354" s="15" t="str">
        <f>IFERROR(INDEX('Formulación PDN 2027'!$Z$7:$Z$506,MATCH(ROW()-5,'Formulación PDN 2027'!$AK$7:$AK$506,0))&amp;"","")</f>
        <v/>
      </c>
      <c r="O354" s="15"/>
      <c r="P354" s="15" t="str">
        <f>IFERROR(INDEX('Formulación PDN 2027'!$AA$7:$AA$506,MATCH(ROW()-5,'Formulación PDN 2027'!$AK$7:$AK$506,0))&amp;"","")</f>
        <v/>
      </c>
      <c r="Q354" s="15" t="str">
        <f>IFERROR(INDEX('Formulación PDN 2027'!$AB$7:$AB$506,MATCH(ROW()-5,'Formulación PDN 2027'!$AK$7:$AK$506,0))&amp;"","")</f>
        <v/>
      </c>
      <c r="R354" s="15" t="str">
        <f>IFERROR(INDEX('Formulación PDN 2027'!$AD$7:$AD$506,MATCH(ROW()-5,'Formulación PDN 2027'!$AK$7:$AK$506,0))&amp;"","")</f>
        <v/>
      </c>
      <c r="S354" s="15" t="str">
        <f>IFERROR(INDEX('Formulación PDN 2027'!$AE$7:$AE$506,MATCH(ROW()-5,'Formulación PDN 2027'!$AK$7:$AK$506,0))&amp;"","")</f>
        <v/>
      </c>
      <c r="T354" s="15" t="str">
        <f>IFERROR(INDEX('Formulación PDN 2027'!$C$7:$C$506,MATCH(ROW()-5,'Formulación PDN 2027'!$AK$7:$AK$506,0))&amp;"","")</f>
        <v/>
      </c>
      <c r="U354" s="15" t="str">
        <f>IFERROR(INDEX('Formulación PDN 2027'!$B$7:$B$506,MATCH(ROW()-5,'Formulación PDN 2027'!$AK$7:$AK$506,0))&amp;"","")</f>
        <v/>
      </c>
      <c r="V354" s="15" t="str">
        <f>IFERROR(LEFT(INDEX('Formulación PDN 2027'!$E$7:$E$506,MATCH(ROW()-5,'Formulación PDN 2027'!$AK$7:$AK$506,0)),7),"")</f>
        <v/>
      </c>
      <c r="W354" s="15" t="str">
        <f>IFERROR(INDEX('Formulación PDN 2027'!$H$7:$H$506,MATCH(ROW()-5,'Formulación PDN 2027'!$AK$7:$AK$506,0))&amp;"","")</f>
        <v/>
      </c>
      <c r="X354" s="15" t="str">
        <f>IFERROR(INDEX('Formulación PDN 2027'!$U$7:$U$506,MATCH(ROW()-5,'Formulación PDN 2027'!$AK$7:$AK$506,0))&amp;"","")</f>
        <v/>
      </c>
      <c r="Y354" s="15" t="str">
        <f>IFERROR(INDEX('Formulación PDN 2027'!$AH$7:$AH$506,MATCH(ROW()-5,'Formulación PDN 2027'!$AK$7:$AK$506,0))&amp;"","")</f>
        <v/>
      </c>
    </row>
    <row r="355" spans="1:25" x14ac:dyDescent="0.3">
      <c r="A355" s="15" t="str">
        <f>IFERROR(INDEX('Formulación PDN 2027'!$A$7:$A$506,MATCH(ROW()-5,'Formulación PDN 2027'!$AK$7:$AK$506,0))&amp;"","")</f>
        <v/>
      </c>
      <c r="B355" s="20" t="str">
        <f>IFERROR(INDEX('Formulación PDN 2027'!$M$7:$M$506,MATCH(ROW()-5,'Formulación PDN 2027'!$AK$7:$AK$506,0)),"")</f>
        <v/>
      </c>
      <c r="C355" s="15" t="str">
        <f>IFERROR(INDEX('Formulación PDN 2027'!$N$7:$N$506,MATCH(ROW()-5,'Formulación PDN 2027'!$AK$7:$AK$506,0))&amp;"","")</f>
        <v/>
      </c>
      <c r="D355" s="15" t="str">
        <f>IFERROR(INDEX('Formulación PDN 2027'!$L$7:$L$506,MATCH(ROW()-5,'Formulación PDN 2027'!$AK$7:$AK$506,0))&amp;"","")</f>
        <v/>
      </c>
      <c r="E355" s="15" t="str">
        <f>IFERROR(MATCH(INDEX('Formulación PDN 2027'!$O$7:$O$506,MATCH(ROW()-5,'Formulación PDN 2027'!$AK$7:$AK$506,0)),L_MESES,0),"")</f>
        <v/>
      </c>
      <c r="F355" s="15" t="str">
        <f>IFERROR(MATCH(INDEX('Formulación PDN 2027'!$P$7:$P$506,MATCH(ROW()-5,'Formulación PDN 2027'!$AK$7:$AK$506,0)),L_MESES,0),"")</f>
        <v/>
      </c>
      <c r="G355" s="15" t="str">
        <f>IFERROR(INDEX('Formulación PDN 2027'!$Q$7:$Q$506,MATCH(ROW()-5,'Formulación PDN 2027'!$AK$7:$AK$506,0)),"")</f>
        <v/>
      </c>
      <c r="H355" s="15" t="str">
        <f>IFERROR(INDEX('Formulación PDN 2027'!$R$7:$R$506,MATCH(ROW()-5,'Formulación PDN 2027'!$AK$7:$AK$506,0))&amp;"","")</f>
        <v/>
      </c>
      <c r="I355" s="15" t="str">
        <f>IFERROR(INDEX('Formulación PDN 2027'!$S$7:$S$506,MATCH(ROW()-5,'Formulación PDN 2027'!$AK$7:$AK$506,0))&amp;"","")</f>
        <v/>
      </c>
      <c r="J355" s="15" t="str">
        <f>IFERROR(INDEX('Formulación PDN 2027'!$T$7:$T$506,MATCH(ROW()-5,'Formulación PDN 2027'!$AK$7:$AK$506,0))&amp;"","")</f>
        <v/>
      </c>
      <c r="K355" s="43" t="str">
        <f>IFERROR(INDEX('Formulación PDN 2027'!$W$7:$W$506,MATCH(ROW()-5,'Formulación PDN 2027'!$AK$7:$AK$506,0)),"")</f>
        <v/>
      </c>
      <c r="L355" s="43" t="str">
        <f>IFERROR(INDEX('Formulación PDN 2027'!$X$7:$X$506,MATCH(ROW()-5,'Formulación PDN 2027'!$AK$7:$AK$506,0)),"")</f>
        <v/>
      </c>
      <c r="M355" s="15" t="str">
        <f>IFERROR(INDEX('Formulación PDN 2027'!$Y$7:$Y$506,MATCH(ROW()-5,'Formulación PDN 2027'!$AK$7:$AK$506,0))&amp;"","")</f>
        <v/>
      </c>
      <c r="N355" s="15" t="str">
        <f>IFERROR(INDEX('Formulación PDN 2027'!$Z$7:$Z$506,MATCH(ROW()-5,'Formulación PDN 2027'!$AK$7:$AK$506,0))&amp;"","")</f>
        <v/>
      </c>
      <c r="O355" s="15"/>
      <c r="P355" s="15" t="str">
        <f>IFERROR(INDEX('Formulación PDN 2027'!$AA$7:$AA$506,MATCH(ROW()-5,'Formulación PDN 2027'!$AK$7:$AK$506,0))&amp;"","")</f>
        <v/>
      </c>
      <c r="Q355" s="15" t="str">
        <f>IFERROR(INDEX('Formulación PDN 2027'!$AB$7:$AB$506,MATCH(ROW()-5,'Formulación PDN 2027'!$AK$7:$AK$506,0))&amp;"","")</f>
        <v/>
      </c>
      <c r="R355" s="15" t="str">
        <f>IFERROR(INDEX('Formulación PDN 2027'!$AD$7:$AD$506,MATCH(ROW()-5,'Formulación PDN 2027'!$AK$7:$AK$506,0))&amp;"","")</f>
        <v/>
      </c>
      <c r="S355" s="15" t="str">
        <f>IFERROR(INDEX('Formulación PDN 2027'!$AE$7:$AE$506,MATCH(ROW()-5,'Formulación PDN 2027'!$AK$7:$AK$506,0))&amp;"","")</f>
        <v/>
      </c>
      <c r="T355" s="15" t="str">
        <f>IFERROR(INDEX('Formulación PDN 2027'!$C$7:$C$506,MATCH(ROW()-5,'Formulación PDN 2027'!$AK$7:$AK$506,0))&amp;"","")</f>
        <v/>
      </c>
      <c r="U355" s="15" t="str">
        <f>IFERROR(INDEX('Formulación PDN 2027'!$B$7:$B$506,MATCH(ROW()-5,'Formulación PDN 2027'!$AK$7:$AK$506,0))&amp;"","")</f>
        <v/>
      </c>
      <c r="V355" s="15" t="str">
        <f>IFERROR(LEFT(INDEX('Formulación PDN 2027'!$E$7:$E$506,MATCH(ROW()-5,'Formulación PDN 2027'!$AK$7:$AK$506,0)),7),"")</f>
        <v/>
      </c>
      <c r="W355" s="15" t="str">
        <f>IFERROR(INDEX('Formulación PDN 2027'!$H$7:$H$506,MATCH(ROW()-5,'Formulación PDN 2027'!$AK$7:$AK$506,0))&amp;"","")</f>
        <v/>
      </c>
      <c r="X355" s="15" t="str">
        <f>IFERROR(INDEX('Formulación PDN 2027'!$U$7:$U$506,MATCH(ROW()-5,'Formulación PDN 2027'!$AK$7:$AK$506,0))&amp;"","")</f>
        <v/>
      </c>
      <c r="Y355" s="15" t="str">
        <f>IFERROR(INDEX('Formulación PDN 2027'!$AH$7:$AH$506,MATCH(ROW()-5,'Formulación PDN 2027'!$AK$7:$AK$506,0))&amp;"","")</f>
        <v/>
      </c>
    </row>
    <row r="356" spans="1:25" x14ac:dyDescent="0.3">
      <c r="A356" s="15" t="str">
        <f>IFERROR(INDEX('Formulación PDN 2027'!$A$7:$A$506,MATCH(ROW()-5,'Formulación PDN 2027'!$AK$7:$AK$506,0))&amp;"","")</f>
        <v/>
      </c>
      <c r="B356" s="20" t="str">
        <f>IFERROR(INDEX('Formulación PDN 2027'!$M$7:$M$506,MATCH(ROW()-5,'Formulación PDN 2027'!$AK$7:$AK$506,0)),"")</f>
        <v/>
      </c>
      <c r="C356" s="15" t="str">
        <f>IFERROR(INDEX('Formulación PDN 2027'!$N$7:$N$506,MATCH(ROW()-5,'Formulación PDN 2027'!$AK$7:$AK$506,0))&amp;"","")</f>
        <v/>
      </c>
      <c r="D356" s="15" t="str">
        <f>IFERROR(INDEX('Formulación PDN 2027'!$L$7:$L$506,MATCH(ROW()-5,'Formulación PDN 2027'!$AK$7:$AK$506,0))&amp;"","")</f>
        <v/>
      </c>
      <c r="E356" s="15" t="str">
        <f>IFERROR(MATCH(INDEX('Formulación PDN 2027'!$O$7:$O$506,MATCH(ROW()-5,'Formulación PDN 2027'!$AK$7:$AK$506,0)),L_MESES,0),"")</f>
        <v/>
      </c>
      <c r="F356" s="15" t="str">
        <f>IFERROR(MATCH(INDEX('Formulación PDN 2027'!$P$7:$P$506,MATCH(ROW()-5,'Formulación PDN 2027'!$AK$7:$AK$506,0)),L_MESES,0),"")</f>
        <v/>
      </c>
      <c r="G356" s="15" t="str">
        <f>IFERROR(INDEX('Formulación PDN 2027'!$Q$7:$Q$506,MATCH(ROW()-5,'Formulación PDN 2027'!$AK$7:$AK$506,0)),"")</f>
        <v/>
      </c>
      <c r="H356" s="15" t="str">
        <f>IFERROR(INDEX('Formulación PDN 2027'!$R$7:$R$506,MATCH(ROW()-5,'Formulación PDN 2027'!$AK$7:$AK$506,0))&amp;"","")</f>
        <v/>
      </c>
      <c r="I356" s="15" t="str">
        <f>IFERROR(INDEX('Formulación PDN 2027'!$S$7:$S$506,MATCH(ROW()-5,'Formulación PDN 2027'!$AK$7:$AK$506,0))&amp;"","")</f>
        <v/>
      </c>
      <c r="J356" s="15" t="str">
        <f>IFERROR(INDEX('Formulación PDN 2027'!$T$7:$T$506,MATCH(ROW()-5,'Formulación PDN 2027'!$AK$7:$AK$506,0))&amp;"","")</f>
        <v/>
      </c>
      <c r="K356" s="43" t="str">
        <f>IFERROR(INDEX('Formulación PDN 2027'!$W$7:$W$506,MATCH(ROW()-5,'Formulación PDN 2027'!$AK$7:$AK$506,0)),"")</f>
        <v/>
      </c>
      <c r="L356" s="43" t="str">
        <f>IFERROR(INDEX('Formulación PDN 2027'!$X$7:$X$506,MATCH(ROW()-5,'Formulación PDN 2027'!$AK$7:$AK$506,0)),"")</f>
        <v/>
      </c>
      <c r="M356" s="15" t="str">
        <f>IFERROR(INDEX('Formulación PDN 2027'!$Y$7:$Y$506,MATCH(ROW()-5,'Formulación PDN 2027'!$AK$7:$AK$506,0))&amp;"","")</f>
        <v/>
      </c>
      <c r="N356" s="15" t="str">
        <f>IFERROR(INDEX('Formulación PDN 2027'!$Z$7:$Z$506,MATCH(ROW()-5,'Formulación PDN 2027'!$AK$7:$AK$506,0))&amp;"","")</f>
        <v/>
      </c>
      <c r="O356" s="15"/>
      <c r="P356" s="15" t="str">
        <f>IFERROR(INDEX('Formulación PDN 2027'!$AA$7:$AA$506,MATCH(ROW()-5,'Formulación PDN 2027'!$AK$7:$AK$506,0))&amp;"","")</f>
        <v/>
      </c>
      <c r="Q356" s="15" t="str">
        <f>IFERROR(INDEX('Formulación PDN 2027'!$AB$7:$AB$506,MATCH(ROW()-5,'Formulación PDN 2027'!$AK$7:$AK$506,0))&amp;"","")</f>
        <v/>
      </c>
      <c r="R356" s="15" t="str">
        <f>IFERROR(INDEX('Formulación PDN 2027'!$AD$7:$AD$506,MATCH(ROW()-5,'Formulación PDN 2027'!$AK$7:$AK$506,0))&amp;"","")</f>
        <v/>
      </c>
      <c r="S356" s="15" t="str">
        <f>IFERROR(INDEX('Formulación PDN 2027'!$AE$7:$AE$506,MATCH(ROW()-5,'Formulación PDN 2027'!$AK$7:$AK$506,0))&amp;"","")</f>
        <v/>
      </c>
      <c r="T356" s="15" t="str">
        <f>IFERROR(INDEX('Formulación PDN 2027'!$C$7:$C$506,MATCH(ROW()-5,'Formulación PDN 2027'!$AK$7:$AK$506,0))&amp;"","")</f>
        <v/>
      </c>
      <c r="U356" s="15" t="str">
        <f>IFERROR(INDEX('Formulación PDN 2027'!$B$7:$B$506,MATCH(ROW()-5,'Formulación PDN 2027'!$AK$7:$AK$506,0))&amp;"","")</f>
        <v/>
      </c>
      <c r="V356" s="15" t="str">
        <f>IFERROR(LEFT(INDEX('Formulación PDN 2027'!$E$7:$E$506,MATCH(ROW()-5,'Formulación PDN 2027'!$AK$7:$AK$506,0)),7),"")</f>
        <v/>
      </c>
      <c r="W356" s="15" t="str">
        <f>IFERROR(INDEX('Formulación PDN 2027'!$H$7:$H$506,MATCH(ROW()-5,'Formulación PDN 2027'!$AK$7:$AK$506,0))&amp;"","")</f>
        <v/>
      </c>
      <c r="X356" s="15" t="str">
        <f>IFERROR(INDEX('Formulación PDN 2027'!$U$7:$U$506,MATCH(ROW()-5,'Formulación PDN 2027'!$AK$7:$AK$506,0))&amp;"","")</f>
        <v/>
      </c>
      <c r="Y356" s="15" t="str">
        <f>IFERROR(INDEX('Formulación PDN 2027'!$AH$7:$AH$506,MATCH(ROW()-5,'Formulación PDN 2027'!$AK$7:$AK$506,0))&amp;"","")</f>
        <v/>
      </c>
    </row>
    <row r="357" spans="1:25" x14ac:dyDescent="0.3">
      <c r="A357" s="15" t="str">
        <f>IFERROR(INDEX('Formulación PDN 2027'!$A$7:$A$506,MATCH(ROW()-5,'Formulación PDN 2027'!$AK$7:$AK$506,0))&amp;"","")</f>
        <v/>
      </c>
      <c r="B357" s="20" t="str">
        <f>IFERROR(INDEX('Formulación PDN 2027'!$M$7:$M$506,MATCH(ROW()-5,'Formulación PDN 2027'!$AK$7:$AK$506,0)),"")</f>
        <v/>
      </c>
      <c r="C357" s="15" t="str">
        <f>IFERROR(INDEX('Formulación PDN 2027'!$N$7:$N$506,MATCH(ROW()-5,'Formulación PDN 2027'!$AK$7:$AK$506,0))&amp;"","")</f>
        <v/>
      </c>
      <c r="D357" s="15" t="str">
        <f>IFERROR(INDEX('Formulación PDN 2027'!$L$7:$L$506,MATCH(ROW()-5,'Formulación PDN 2027'!$AK$7:$AK$506,0))&amp;"","")</f>
        <v/>
      </c>
      <c r="E357" s="15" t="str">
        <f>IFERROR(MATCH(INDEX('Formulación PDN 2027'!$O$7:$O$506,MATCH(ROW()-5,'Formulación PDN 2027'!$AK$7:$AK$506,0)),L_MESES,0),"")</f>
        <v/>
      </c>
      <c r="F357" s="15" t="str">
        <f>IFERROR(MATCH(INDEX('Formulación PDN 2027'!$P$7:$P$506,MATCH(ROW()-5,'Formulación PDN 2027'!$AK$7:$AK$506,0)),L_MESES,0),"")</f>
        <v/>
      </c>
      <c r="G357" s="15" t="str">
        <f>IFERROR(INDEX('Formulación PDN 2027'!$Q$7:$Q$506,MATCH(ROW()-5,'Formulación PDN 2027'!$AK$7:$AK$506,0)),"")</f>
        <v/>
      </c>
      <c r="H357" s="15" t="str">
        <f>IFERROR(INDEX('Formulación PDN 2027'!$R$7:$R$506,MATCH(ROW()-5,'Formulación PDN 2027'!$AK$7:$AK$506,0))&amp;"","")</f>
        <v/>
      </c>
      <c r="I357" s="15" t="str">
        <f>IFERROR(INDEX('Formulación PDN 2027'!$S$7:$S$506,MATCH(ROW()-5,'Formulación PDN 2027'!$AK$7:$AK$506,0))&amp;"","")</f>
        <v/>
      </c>
      <c r="J357" s="15" t="str">
        <f>IFERROR(INDEX('Formulación PDN 2027'!$T$7:$T$506,MATCH(ROW()-5,'Formulación PDN 2027'!$AK$7:$AK$506,0))&amp;"","")</f>
        <v/>
      </c>
      <c r="K357" s="43" t="str">
        <f>IFERROR(INDEX('Formulación PDN 2027'!$W$7:$W$506,MATCH(ROW()-5,'Formulación PDN 2027'!$AK$7:$AK$506,0)),"")</f>
        <v/>
      </c>
      <c r="L357" s="43" t="str">
        <f>IFERROR(INDEX('Formulación PDN 2027'!$X$7:$X$506,MATCH(ROW()-5,'Formulación PDN 2027'!$AK$7:$AK$506,0)),"")</f>
        <v/>
      </c>
      <c r="M357" s="15" t="str">
        <f>IFERROR(INDEX('Formulación PDN 2027'!$Y$7:$Y$506,MATCH(ROW()-5,'Formulación PDN 2027'!$AK$7:$AK$506,0))&amp;"","")</f>
        <v/>
      </c>
      <c r="N357" s="15" t="str">
        <f>IFERROR(INDEX('Formulación PDN 2027'!$Z$7:$Z$506,MATCH(ROW()-5,'Formulación PDN 2027'!$AK$7:$AK$506,0))&amp;"","")</f>
        <v/>
      </c>
      <c r="O357" s="15"/>
      <c r="P357" s="15" t="str">
        <f>IFERROR(INDEX('Formulación PDN 2027'!$AA$7:$AA$506,MATCH(ROW()-5,'Formulación PDN 2027'!$AK$7:$AK$506,0))&amp;"","")</f>
        <v/>
      </c>
      <c r="Q357" s="15" t="str">
        <f>IFERROR(INDEX('Formulación PDN 2027'!$AB$7:$AB$506,MATCH(ROW()-5,'Formulación PDN 2027'!$AK$7:$AK$506,0))&amp;"","")</f>
        <v/>
      </c>
      <c r="R357" s="15" t="str">
        <f>IFERROR(INDEX('Formulación PDN 2027'!$AD$7:$AD$506,MATCH(ROW()-5,'Formulación PDN 2027'!$AK$7:$AK$506,0))&amp;"","")</f>
        <v/>
      </c>
      <c r="S357" s="15" t="str">
        <f>IFERROR(INDEX('Formulación PDN 2027'!$AE$7:$AE$506,MATCH(ROW()-5,'Formulación PDN 2027'!$AK$7:$AK$506,0))&amp;"","")</f>
        <v/>
      </c>
      <c r="T357" s="15" t="str">
        <f>IFERROR(INDEX('Formulación PDN 2027'!$C$7:$C$506,MATCH(ROW()-5,'Formulación PDN 2027'!$AK$7:$AK$506,0))&amp;"","")</f>
        <v/>
      </c>
      <c r="U357" s="15" t="str">
        <f>IFERROR(INDEX('Formulación PDN 2027'!$B$7:$B$506,MATCH(ROW()-5,'Formulación PDN 2027'!$AK$7:$AK$506,0))&amp;"","")</f>
        <v/>
      </c>
      <c r="V357" s="15" t="str">
        <f>IFERROR(LEFT(INDEX('Formulación PDN 2027'!$E$7:$E$506,MATCH(ROW()-5,'Formulación PDN 2027'!$AK$7:$AK$506,0)),7),"")</f>
        <v/>
      </c>
      <c r="W357" s="15" t="str">
        <f>IFERROR(INDEX('Formulación PDN 2027'!$H$7:$H$506,MATCH(ROW()-5,'Formulación PDN 2027'!$AK$7:$AK$506,0))&amp;"","")</f>
        <v/>
      </c>
      <c r="X357" s="15" t="str">
        <f>IFERROR(INDEX('Formulación PDN 2027'!$U$7:$U$506,MATCH(ROW()-5,'Formulación PDN 2027'!$AK$7:$AK$506,0))&amp;"","")</f>
        <v/>
      </c>
      <c r="Y357" s="15" t="str">
        <f>IFERROR(INDEX('Formulación PDN 2027'!$AH$7:$AH$506,MATCH(ROW()-5,'Formulación PDN 2027'!$AK$7:$AK$506,0))&amp;"","")</f>
        <v/>
      </c>
    </row>
    <row r="358" spans="1:25" x14ac:dyDescent="0.3">
      <c r="A358" s="15" t="str">
        <f>IFERROR(INDEX('Formulación PDN 2027'!$A$7:$A$506,MATCH(ROW()-5,'Formulación PDN 2027'!$AK$7:$AK$506,0))&amp;"","")</f>
        <v/>
      </c>
      <c r="B358" s="20" t="str">
        <f>IFERROR(INDEX('Formulación PDN 2027'!$M$7:$M$506,MATCH(ROW()-5,'Formulación PDN 2027'!$AK$7:$AK$506,0)),"")</f>
        <v/>
      </c>
      <c r="C358" s="15" t="str">
        <f>IFERROR(INDEX('Formulación PDN 2027'!$N$7:$N$506,MATCH(ROW()-5,'Formulación PDN 2027'!$AK$7:$AK$506,0))&amp;"","")</f>
        <v/>
      </c>
      <c r="D358" s="15" t="str">
        <f>IFERROR(INDEX('Formulación PDN 2027'!$L$7:$L$506,MATCH(ROW()-5,'Formulación PDN 2027'!$AK$7:$AK$506,0))&amp;"","")</f>
        <v/>
      </c>
      <c r="E358" s="15" t="str">
        <f>IFERROR(MATCH(INDEX('Formulación PDN 2027'!$O$7:$O$506,MATCH(ROW()-5,'Formulación PDN 2027'!$AK$7:$AK$506,0)),L_MESES,0),"")</f>
        <v/>
      </c>
      <c r="F358" s="15" t="str">
        <f>IFERROR(MATCH(INDEX('Formulación PDN 2027'!$P$7:$P$506,MATCH(ROW()-5,'Formulación PDN 2027'!$AK$7:$AK$506,0)),L_MESES,0),"")</f>
        <v/>
      </c>
      <c r="G358" s="15" t="str">
        <f>IFERROR(INDEX('Formulación PDN 2027'!$Q$7:$Q$506,MATCH(ROW()-5,'Formulación PDN 2027'!$AK$7:$AK$506,0)),"")</f>
        <v/>
      </c>
      <c r="H358" s="15" t="str">
        <f>IFERROR(INDEX('Formulación PDN 2027'!$R$7:$R$506,MATCH(ROW()-5,'Formulación PDN 2027'!$AK$7:$AK$506,0))&amp;"","")</f>
        <v/>
      </c>
      <c r="I358" s="15" t="str">
        <f>IFERROR(INDEX('Formulación PDN 2027'!$S$7:$S$506,MATCH(ROW()-5,'Formulación PDN 2027'!$AK$7:$AK$506,0))&amp;"","")</f>
        <v/>
      </c>
      <c r="J358" s="15" t="str">
        <f>IFERROR(INDEX('Formulación PDN 2027'!$T$7:$T$506,MATCH(ROW()-5,'Formulación PDN 2027'!$AK$7:$AK$506,0))&amp;"","")</f>
        <v/>
      </c>
      <c r="K358" s="43" t="str">
        <f>IFERROR(INDEX('Formulación PDN 2027'!$W$7:$W$506,MATCH(ROW()-5,'Formulación PDN 2027'!$AK$7:$AK$506,0)),"")</f>
        <v/>
      </c>
      <c r="L358" s="43" t="str">
        <f>IFERROR(INDEX('Formulación PDN 2027'!$X$7:$X$506,MATCH(ROW()-5,'Formulación PDN 2027'!$AK$7:$AK$506,0)),"")</f>
        <v/>
      </c>
      <c r="M358" s="15" t="str">
        <f>IFERROR(INDEX('Formulación PDN 2027'!$Y$7:$Y$506,MATCH(ROW()-5,'Formulación PDN 2027'!$AK$7:$AK$506,0))&amp;"","")</f>
        <v/>
      </c>
      <c r="N358" s="15" t="str">
        <f>IFERROR(INDEX('Formulación PDN 2027'!$Z$7:$Z$506,MATCH(ROW()-5,'Formulación PDN 2027'!$AK$7:$AK$506,0))&amp;"","")</f>
        <v/>
      </c>
      <c r="O358" s="15"/>
      <c r="P358" s="15" t="str">
        <f>IFERROR(INDEX('Formulación PDN 2027'!$AA$7:$AA$506,MATCH(ROW()-5,'Formulación PDN 2027'!$AK$7:$AK$506,0))&amp;"","")</f>
        <v/>
      </c>
      <c r="Q358" s="15" t="str">
        <f>IFERROR(INDEX('Formulación PDN 2027'!$AB$7:$AB$506,MATCH(ROW()-5,'Formulación PDN 2027'!$AK$7:$AK$506,0))&amp;"","")</f>
        <v/>
      </c>
      <c r="R358" s="15" t="str">
        <f>IFERROR(INDEX('Formulación PDN 2027'!$AD$7:$AD$506,MATCH(ROW()-5,'Formulación PDN 2027'!$AK$7:$AK$506,0))&amp;"","")</f>
        <v/>
      </c>
      <c r="S358" s="15" t="str">
        <f>IFERROR(INDEX('Formulación PDN 2027'!$AE$7:$AE$506,MATCH(ROW()-5,'Formulación PDN 2027'!$AK$7:$AK$506,0))&amp;"","")</f>
        <v/>
      </c>
      <c r="T358" s="15" t="str">
        <f>IFERROR(INDEX('Formulación PDN 2027'!$C$7:$C$506,MATCH(ROW()-5,'Formulación PDN 2027'!$AK$7:$AK$506,0))&amp;"","")</f>
        <v/>
      </c>
      <c r="U358" s="15" t="str">
        <f>IFERROR(INDEX('Formulación PDN 2027'!$B$7:$B$506,MATCH(ROW()-5,'Formulación PDN 2027'!$AK$7:$AK$506,0))&amp;"","")</f>
        <v/>
      </c>
      <c r="V358" s="15" t="str">
        <f>IFERROR(LEFT(INDEX('Formulación PDN 2027'!$E$7:$E$506,MATCH(ROW()-5,'Formulación PDN 2027'!$AK$7:$AK$506,0)),7),"")</f>
        <v/>
      </c>
      <c r="W358" s="15" t="str">
        <f>IFERROR(INDEX('Formulación PDN 2027'!$H$7:$H$506,MATCH(ROW()-5,'Formulación PDN 2027'!$AK$7:$AK$506,0))&amp;"","")</f>
        <v/>
      </c>
      <c r="X358" s="15" t="str">
        <f>IFERROR(INDEX('Formulación PDN 2027'!$U$7:$U$506,MATCH(ROW()-5,'Formulación PDN 2027'!$AK$7:$AK$506,0))&amp;"","")</f>
        <v/>
      </c>
      <c r="Y358" s="15" t="str">
        <f>IFERROR(INDEX('Formulación PDN 2027'!$AH$7:$AH$506,MATCH(ROW()-5,'Formulación PDN 2027'!$AK$7:$AK$506,0))&amp;"","")</f>
        <v/>
      </c>
    </row>
    <row r="359" spans="1:25" x14ac:dyDescent="0.3">
      <c r="A359" s="15" t="str">
        <f>IFERROR(INDEX('Formulación PDN 2027'!$A$7:$A$506,MATCH(ROW()-5,'Formulación PDN 2027'!$AK$7:$AK$506,0))&amp;"","")</f>
        <v/>
      </c>
      <c r="B359" s="20" t="str">
        <f>IFERROR(INDEX('Formulación PDN 2027'!$M$7:$M$506,MATCH(ROW()-5,'Formulación PDN 2027'!$AK$7:$AK$506,0)),"")</f>
        <v/>
      </c>
      <c r="C359" s="15" t="str">
        <f>IFERROR(INDEX('Formulación PDN 2027'!$N$7:$N$506,MATCH(ROW()-5,'Formulación PDN 2027'!$AK$7:$AK$506,0))&amp;"","")</f>
        <v/>
      </c>
      <c r="D359" s="15" t="str">
        <f>IFERROR(INDEX('Formulación PDN 2027'!$L$7:$L$506,MATCH(ROW()-5,'Formulación PDN 2027'!$AK$7:$AK$506,0))&amp;"","")</f>
        <v/>
      </c>
      <c r="E359" s="15" t="str">
        <f>IFERROR(MATCH(INDEX('Formulación PDN 2027'!$O$7:$O$506,MATCH(ROW()-5,'Formulación PDN 2027'!$AK$7:$AK$506,0)),L_MESES,0),"")</f>
        <v/>
      </c>
      <c r="F359" s="15" t="str">
        <f>IFERROR(MATCH(INDEX('Formulación PDN 2027'!$P$7:$P$506,MATCH(ROW()-5,'Formulación PDN 2027'!$AK$7:$AK$506,0)),L_MESES,0),"")</f>
        <v/>
      </c>
      <c r="G359" s="15" t="str">
        <f>IFERROR(INDEX('Formulación PDN 2027'!$Q$7:$Q$506,MATCH(ROW()-5,'Formulación PDN 2027'!$AK$7:$AK$506,0)),"")</f>
        <v/>
      </c>
      <c r="H359" s="15" t="str">
        <f>IFERROR(INDEX('Formulación PDN 2027'!$R$7:$R$506,MATCH(ROW()-5,'Formulación PDN 2027'!$AK$7:$AK$506,0))&amp;"","")</f>
        <v/>
      </c>
      <c r="I359" s="15" t="str">
        <f>IFERROR(INDEX('Formulación PDN 2027'!$S$7:$S$506,MATCH(ROW()-5,'Formulación PDN 2027'!$AK$7:$AK$506,0))&amp;"","")</f>
        <v/>
      </c>
      <c r="J359" s="15" t="str">
        <f>IFERROR(INDEX('Formulación PDN 2027'!$T$7:$T$506,MATCH(ROW()-5,'Formulación PDN 2027'!$AK$7:$AK$506,0))&amp;"","")</f>
        <v/>
      </c>
      <c r="K359" s="43" t="str">
        <f>IFERROR(INDEX('Formulación PDN 2027'!$W$7:$W$506,MATCH(ROW()-5,'Formulación PDN 2027'!$AK$7:$AK$506,0)),"")</f>
        <v/>
      </c>
      <c r="L359" s="43" t="str">
        <f>IFERROR(INDEX('Formulación PDN 2027'!$X$7:$X$506,MATCH(ROW()-5,'Formulación PDN 2027'!$AK$7:$AK$506,0)),"")</f>
        <v/>
      </c>
      <c r="M359" s="15" t="str">
        <f>IFERROR(INDEX('Formulación PDN 2027'!$Y$7:$Y$506,MATCH(ROW()-5,'Formulación PDN 2027'!$AK$7:$AK$506,0))&amp;"","")</f>
        <v/>
      </c>
      <c r="N359" s="15" t="str">
        <f>IFERROR(INDEX('Formulación PDN 2027'!$Z$7:$Z$506,MATCH(ROW()-5,'Formulación PDN 2027'!$AK$7:$AK$506,0))&amp;"","")</f>
        <v/>
      </c>
      <c r="O359" s="15"/>
      <c r="P359" s="15" t="str">
        <f>IFERROR(INDEX('Formulación PDN 2027'!$AA$7:$AA$506,MATCH(ROW()-5,'Formulación PDN 2027'!$AK$7:$AK$506,0))&amp;"","")</f>
        <v/>
      </c>
      <c r="Q359" s="15" t="str">
        <f>IFERROR(INDEX('Formulación PDN 2027'!$AB$7:$AB$506,MATCH(ROW()-5,'Formulación PDN 2027'!$AK$7:$AK$506,0))&amp;"","")</f>
        <v/>
      </c>
      <c r="R359" s="15" t="str">
        <f>IFERROR(INDEX('Formulación PDN 2027'!$AD$7:$AD$506,MATCH(ROW()-5,'Formulación PDN 2027'!$AK$7:$AK$506,0))&amp;"","")</f>
        <v/>
      </c>
      <c r="S359" s="15" t="str">
        <f>IFERROR(INDEX('Formulación PDN 2027'!$AE$7:$AE$506,MATCH(ROW()-5,'Formulación PDN 2027'!$AK$7:$AK$506,0))&amp;"","")</f>
        <v/>
      </c>
      <c r="T359" s="15" t="str">
        <f>IFERROR(INDEX('Formulación PDN 2027'!$C$7:$C$506,MATCH(ROW()-5,'Formulación PDN 2027'!$AK$7:$AK$506,0))&amp;"","")</f>
        <v/>
      </c>
      <c r="U359" s="15" t="str">
        <f>IFERROR(INDEX('Formulación PDN 2027'!$B$7:$B$506,MATCH(ROW()-5,'Formulación PDN 2027'!$AK$7:$AK$506,0))&amp;"","")</f>
        <v/>
      </c>
      <c r="V359" s="15" t="str">
        <f>IFERROR(LEFT(INDEX('Formulación PDN 2027'!$E$7:$E$506,MATCH(ROW()-5,'Formulación PDN 2027'!$AK$7:$AK$506,0)),7),"")</f>
        <v/>
      </c>
      <c r="W359" s="15" t="str">
        <f>IFERROR(INDEX('Formulación PDN 2027'!$H$7:$H$506,MATCH(ROW()-5,'Formulación PDN 2027'!$AK$7:$AK$506,0))&amp;"","")</f>
        <v/>
      </c>
      <c r="X359" s="15" t="str">
        <f>IFERROR(INDEX('Formulación PDN 2027'!$U$7:$U$506,MATCH(ROW()-5,'Formulación PDN 2027'!$AK$7:$AK$506,0))&amp;"","")</f>
        <v/>
      </c>
      <c r="Y359" s="15" t="str">
        <f>IFERROR(INDEX('Formulación PDN 2027'!$AH$7:$AH$506,MATCH(ROW()-5,'Formulación PDN 2027'!$AK$7:$AK$506,0))&amp;"","")</f>
        <v/>
      </c>
    </row>
    <row r="360" spans="1:25" x14ac:dyDescent="0.3">
      <c r="A360" s="15" t="str">
        <f>IFERROR(INDEX('Formulación PDN 2027'!$A$7:$A$506,MATCH(ROW()-5,'Formulación PDN 2027'!$AK$7:$AK$506,0))&amp;"","")</f>
        <v/>
      </c>
      <c r="B360" s="20" t="str">
        <f>IFERROR(INDEX('Formulación PDN 2027'!$M$7:$M$506,MATCH(ROW()-5,'Formulación PDN 2027'!$AK$7:$AK$506,0)),"")</f>
        <v/>
      </c>
      <c r="C360" s="15" t="str">
        <f>IFERROR(INDEX('Formulación PDN 2027'!$N$7:$N$506,MATCH(ROW()-5,'Formulación PDN 2027'!$AK$7:$AK$506,0))&amp;"","")</f>
        <v/>
      </c>
      <c r="D360" s="15" t="str">
        <f>IFERROR(INDEX('Formulación PDN 2027'!$L$7:$L$506,MATCH(ROW()-5,'Formulación PDN 2027'!$AK$7:$AK$506,0))&amp;"","")</f>
        <v/>
      </c>
      <c r="E360" s="15" t="str">
        <f>IFERROR(MATCH(INDEX('Formulación PDN 2027'!$O$7:$O$506,MATCH(ROW()-5,'Formulación PDN 2027'!$AK$7:$AK$506,0)),L_MESES,0),"")</f>
        <v/>
      </c>
      <c r="F360" s="15" t="str">
        <f>IFERROR(MATCH(INDEX('Formulación PDN 2027'!$P$7:$P$506,MATCH(ROW()-5,'Formulación PDN 2027'!$AK$7:$AK$506,0)),L_MESES,0),"")</f>
        <v/>
      </c>
      <c r="G360" s="15" t="str">
        <f>IFERROR(INDEX('Formulación PDN 2027'!$Q$7:$Q$506,MATCH(ROW()-5,'Formulación PDN 2027'!$AK$7:$AK$506,0)),"")</f>
        <v/>
      </c>
      <c r="H360" s="15" t="str">
        <f>IFERROR(INDEX('Formulación PDN 2027'!$R$7:$R$506,MATCH(ROW()-5,'Formulación PDN 2027'!$AK$7:$AK$506,0))&amp;"","")</f>
        <v/>
      </c>
      <c r="I360" s="15" t="str">
        <f>IFERROR(INDEX('Formulación PDN 2027'!$S$7:$S$506,MATCH(ROW()-5,'Formulación PDN 2027'!$AK$7:$AK$506,0))&amp;"","")</f>
        <v/>
      </c>
      <c r="J360" s="15" t="str">
        <f>IFERROR(INDEX('Formulación PDN 2027'!$T$7:$T$506,MATCH(ROW()-5,'Formulación PDN 2027'!$AK$7:$AK$506,0))&amp;"","")</f>
        <v/>
      </c>
      <c r="K360" s="43" t="str">
        <f>IFERROR(INDEX('Formulación PDN 2027'!$W$7:$W$506,MATCH(ROW()-5,'Formulación PDN 2027'!$AK$7:$AK$506,0)),"")</f>
        <v/>
      </c>
      <c r="L360" s="43" t="str">
        <f>IFERROR(INDEX('Formulación PDN 2027'!$X$7:$X$506,MATCH(ROW()-5,'Formulación PDN 2027'!$AK$7:$AK$506,0)),"")</f>
        <v/>
      </c>
      <c r="M360" s="15" t="str">
        <f>IFERROR(INDEX('Formulación PDN 2027'!$Y$7:$Y$506,MATCH(ROW()-5,'Formulación PDN 2027'!$AK$7:$AK$506,0))&amp;"","")</f>
        <v/>
      </c>
      <c r="N360" s="15" t="str">
        <f>IFERROR(INDEX('Formulación PDN 2027'!$Z$7:$Z$506,MATCH(ROW()-5,'Formulación PDN 2027'!$AK$7:$AK$506,0))&amp;"","")</f>
        <v/>
      </c>
      <c r="O360" s="15"/>
      <c r="P360" s="15" t="str">
        <f>IFERROR(INDEX('Formulación PDN 2027'!$AA$7:$AA$506,MATCH(ROW()-5,'Formulación PDN 2027'!$AK$7:$AK$506,0))&amp;"","")</f>
        <v/>
      </c>
      <c r="Q360" s="15" t="str">
        <f>IFERROR(INDEX('Formulación PDN 2027'!$AB$7:$AB$506,MATCH(ROW()-5,'Formulación PDN 2027'!$AK$7:$AK$506,0))&amp;"","")</f>
        <v/>
      </c>
      <c r="R360" s="15" t="str">
        <f>IFERROR(INDEX('Formulación PDN 2027'!$AD$7:$AD$506,MATCH(ROW()-5,'Formulación PDN 2027'!$AK$7:$AK$506,0))&amp;"","")</f>
        <v/>
      </c>
      <c r="S360" s="15" t="str">
        <f>IFERROR(INDEX('Formulación PDN 2027'!$AE$7:$AE$506,MATCH(ROW()-5,'Formulación PDN 2027'!$AK$7:$AK$506,0))&amp;"","")</f>
        <v/>
      </c>
      <c r="T360" s="15" t="str">
        <f>IFERROR(INDEX('Formulación PDN 2027'!$C$7:$C$506,MATCH(ROW()-5,'Formulación PDN 2027'!$AK$7:$AK$506,0))&amp;"","")</f>
        <v/>
      </c>
      <c r="U360" s="15" t="str">
        <f>IFERROR(INDEX('Formulación PDN 2027'!$B$7:$B$506,MATCH(ROW()-5,'Formulación PDN 2027'!$AK$7:$AK$506,0))&amp;"","")</f>
        <v/>
      </c>
      <c r="V360" s="15" t="str">
        <f>IFERROR(LEFT(INDEX('Formulación PDN 2027'!$E$7:$E$506,MATCH(ROW()-5,'Formulación PDN 2027'!$AK$7:$AK$506,0)),7),"")</f>
        <v/>
      </c>
      <c r="W360" s="15" t="str">
        <f>IFERROR(INDEX('Formulación PDN 2027'!$H$7:$H$506,MATCH(ROW()-5,'Formulación PDN 2027'!$AK$7:$AK$506,0))&amp;"","")</f>
        <v/>
      </c>
      <c r="X360" s="15" t="str">
        <f>IFERROR(INDEX('Formulación PDN 2027'!$U$7:$U$506,MATCH(ROW()-5,'Formulación PDN 2027'!$AK$7:$AK$506,0))&amp;"","")</f>
        <v/>
      </c>
      <c r="Y360" s="15" t="str">
        <f>IFERROR(INDEX('Formulación PDN 2027'!$AH$7:$AH$506,MATCH(ROW()-5,'Formulación PDN 2027'!$AK$7:$AK$506,0))&amp;"","")</f>
        <v/>
      </c>
    </row>
    <row r="361" spans="1:25" x14ac:dyDescent="0.3">
      <c r="A361" s="15" t="str">
        <f>IFERROR(INDEX('Formulación PDN 2027'!$A$7:$A$506,MATCH(ROW()-5,'Formulación PDN 2027'!$AK$7:$AK$506,0))&amp;"","")</f>
        <v/>
      </c>
      <c r="B361" s="20" t="str">
        <f>IFERROR(INDEX('Formulación PDN 2027'!$M$7:$M$506,MATCH(ROW()-5,'Formulación PDN 2027'!$AK$7:$AK$506,0)),"")</f>
        <v/>
      </c>
      <c r="C361" s="15" t="str">
        <f>IFERROR(INDEX('Formulación PDN 2027'!$N$7:$N$506,MATCH(ROW()-5,'Formulación PDN 2027'!$AK$7:$AK$506,0))&amp;"","")</f>
        <v/>
      </c>
      <c r="D361" s="15" t="str">
        <f>IFERROR(INDEX('Formulación PDN 2027'!$L$7:$L$506,MATCH(ROW()-5,'Formulación PDN 2027'!$AK$7:$AK$506,0))&amp;"","")</f>
        <v/>
      </c>
      <c r="E361" s="15" t="str">
        <f>IFERROR(MATCH(INDEX('Formulación PDN 2027'!$O$7:$O$506,MATCH(ROW()-5,'Formulación PDN 2027'!$AK$7:$AK$506,0)),L_MESES,0),"")</f>
        <v/>
      </c>
      <c r="F361" s="15" t="str">
        <f>IFERROR(MATCH(INDEX('Formulación PDN 2027'!$P$7:$P$506,MATCH(ROW()-5,'Formulación PDN 2027'!$AK$7:$AK$506,0)),L_MESES,0),"")</f>
        <v/>
      </c>
      <c r="G361" s="15" t="str">
        <f>IFERROR(INDEX('Formulación PDN 2027'!$Q$7:$Q$506,MATCH(ROW()-5,'Formulación PDN 2027'!$AK$7:$AK$506,0)),"")</f>
        <v/>
      </c>
      <c r="H361" s="15" t="str">
        <f>IFERROR(INDEX('Formulación PDN 2027'!$R$7:$R$506,MATCH(ROW()-5,'Formulación PDN 2027'!$AK$7:$AK$506,0))&amp;"","")</f>
        <v/>
      </c>
      <c r="I361" s="15" t="str">
        <f>IFERROR(INDEX('Formulación PDN 2027'!$S$7:$S$506,MATCH(ROW()-5,'Formulación PDN 2027'!$AK$7:$AK$506,0))&amp;"","")</f>
        <v/>
      </c>
      <c r="J361" s="15" t="str">
        <f>IFERROR(INDEX('Formulación PDN 2027'!$T$7:$T$506,MATCH(ROW()-5,'Formulación PDN 2027'!$AK$7:$AK$506,0))&amp;"","")</f>
        <v/>
      </c>
      <c r="K361" s="43" t="str">
        <f>IFERROR(INDEX('Formulación PDN 2027'!$W$7:$W$506,MATCH(ROW()-5,'Formulación PDN 2027'!$AK$7:$AK$506,0)),"")</f>
        <v/>
      </c>
      <c r="L361" s="43" t="str">
        <f>IFERROR(INDEX('Formulación PDN 2027'!$X$7:$X$506,MATCH(ROW()-5,'Formulación PDN 2027'!$AK$7:$AK$506,0)),"")</f>
        <v/>
      </c>
      <c r="M361" s="15" t="str">
        <f>IFERROR(INDEX('Formulación PDN 2027'!$Y$7:$Y$506,MATCH(ROW()-5,'Formulación PDN 2027'!$AK$7:$AK$506,0))&amp;"","")</f>
        <v/>
      </c>
      <c r="N361" s="15" t="str">
        <f>IFERROR(INDEX('Formulación PDN 2027'!$Z$7:$Z$506,MATCH(ROW()-5,'Formulación PDN 2027'!$AK$7:$AK$506,0))&amp;"","")</f>
        <v/>
      </c>
      <c r="O361" s="15"/>
      <c r="P361" s="15" t="str">
        <f>IFERROR(INDEX('Formulación PDN 2027'!$AA$7:$AA$506,MATCH(ROW()-5,'Formulación PDN 2027'!$AK$7:$AK$506,0))&amp;"","")</f>
        <v/>
      </c>
      <c r="Q361" s="15" t="str">
        <f>IFERROR(INDEX('Formulación PDN 2027'!$AB$7:$AB$506,MATCH(ROW()-5,'Formulación PDN 2027'!$AK$7:$AK$506,0))&amp;"","")</f>
        <v/>
      </c>
      <c r="R361" s="15" t="str">
        <f>IFERROR(INDEX('Formulación PDN 2027'!$AD$7:$AD$506,MATCH(ROW()-5,'Formulación PDN 2027'!$AK$7:$AK$506,0))&amp;"","")</f>
        <v/>
      </c>
      <c r="S361" s="15" t="str">
        <f>IFERROR(INDEX('Formulación PDN 2027'!$AE$7:$AE$506,MATCH(ROW()-5,'Formulación PDN 2027'!$AK$7:$AK$506,0))&amp;"","")</f>
        <v/>
      </c>
      <c r="T361" s="15" t="str">
        <f>IFERROR(INDEX('Formulación PDN 2027'!$C$7:$C$506,MATCH(ROW()-5,'Formulación PDN 2027'!$AK$7:$AK$506,0))&amp;"","")</f>
        <v/>
      </c>
      <c r="U361" s="15" t="str">
        <f>IFERROR(INDEX('Formulación PDN 2027'!$B$7:$B$506,MATCH(ROW()-5,'Formulación PDN 2027'!$AK$7:$AK$506,0))&amp;"","")</f>
        <v/>
      </c>
      <c r="V361" s="15" t="str">
        <f>IFERROR(LEFT(INDEX('Formulación PDN 2027'!$E$7:$E$506,MATCH(ROW()-5,'Formulación PDN 2027'!$AK$7:$AK$506,0)),7),"")</f>
        <v/>
      </c>
      <c r="W361" s="15" t="str">
        <f>IFERROR(INDEX('Formulación PDN 2027'!$H$7:$H$506,MATCH(ROW()-5,'Formulación PDN 2027'!$AK$7:$AK$506,0))&amp;"","")</f>
        <v/>
      </c>
      <c r="X361" s="15" t="str">
        <f>IFERROR(INDEX('Formulación PDN 2027'!$U$7:$U$506,MATCH(ROW()-5,'Formulación PDN 2027'!$AK$7:$AK$506,0))&amp;"","")</f>
        <v/>
      </c>
      <c r="Y361" s="15" t="str">
        <f>IFERROR(INDEX('Formulación PDN 2027'!$AH$7:$AH$506,MATCH(ROW()-5,'Formulación PDN 2027'!$AK$7:$AK$506,0))&amp;"","")</f>
        <v/>
      </c>
    </row>
    <row r="362" spans="1:25" x14ac:dyDescent="0.3">
      <c r="A362" s="15" t="str">
        <f>IFERROR(INDEX('Formulación PDN 2027'!$A$7:$A$506,MATCH(ROW()-5,'Formulación PDN 2027'!$AK$7:$AK$506,0))&amp;"","")</f>
        <v/>
      </c>
      <c r="B362" s="20" t="str">
        <f>IFERROR(INDEX('Formulación PDN 2027'!$M$7:$M$506,MATCH(ROW()-5,'Formulación PDN 2027'!$AK$7:$AK$506,0)),"")</f>
        <v/>
      </c>
      <c r="C362" s="15" t="str">
        <f>IFERROR(INDEX('Formulación PDN 2027'!$N$7:$N$506,MATCH(ROW()-5,'Formulación PDN 2027'!$AK$7:$AK$506,0))&amp;"","")</f>
        <v/>
      </c>
      <c r="D362" s="15" t="str">
        <f>IFERROR(INDEX('Formulación PDN 2027'!$L$7:$L$506,MATCH(ROW()-5,'Formulación PDN 2027'!$AK$7:$AK$506,0))&amp;"","")</f>
        <v/>
      </c>
      <c r="E362" s="15" t="str">
        <f>IFERROR(MATCH(INDEX('Formulación PDN 2027'!$O$7:$O$506,MATCH(ROW()-5,'Formulación PDN 2027'!$AK$7:$AK$506,0)),L_MESES,0),"")</f>
        <v/>
      </c>
      <c r="F362" s="15" t="str">
        <f>IFERROR(MATCH(INDEX('Formulación PDN 2027'!$P$7:$P$506,MATCH(ROW()-5,'Formulación PDN 2027'!$AK$7:$AK$506,0)),L_MESES,0),"")</f>
        <v/>
      </c>
      <c r="G362" s="15" t="str">
        <f>IFERROR(INDEX('Formulación PDN 2027'!$Q$7:$Q$506,MATCH(ROW()-5,'Formulación PDN 2027'!$AK$7:$AK$506,0)),"")</f>
        <v/>
      </c>
      <c r="H362" s="15" t="str">
        <f>IFERROR(INDEX('Formulación PDN 2027'!$R$7:$R$506,MATCH(ROW()-5,'Formulación PDN 2027'!$AK$7:$AK$506,0))&amp;"","")</f>
        <v/>
      </c>
      <c r="I362" s="15" t="str">
        <f>IFERROR(INDEX('Formulación PDN 2027'!$S$7:$S$506,MATCH(ROW()-5,'Formulación PDN 2027'!$AK$7:$AK$506,0))&amp;"","")</f>
        <v/>
      </c>
      <c r="J362" s="15" t="str">
        <f>IFERROR(INDEX('Formulación PDN 2027'!$T$7:$T$506,MATCH(ROW()-5,'Formulación PDN 2027'!$AK$7:$AK$506,0))&amp;"","")</f>
        <v/>
      </c>
      <c r="K362" s="43" t="str">
        <f>IFERROR(INDEX('Formulación PDN 2027'!$W$7:$W$506,MATCH(ROW()-5,'Formulación PDN 2027'!$AK$7:$AK$506,0)),"")</f>
        <v/>
      </c>
      <c r="L362" s="43" t="str">
        <f>IFERROR(INDEX('Formulación PDN 2027'!$X$7:$X$506,MATCH(ROW()-5,'Formulación PDN 2027'!$AK$7:$AK$506,0)),"")</f>
        <v/>
      </c>
      <c r="M362" s="15" t="str">
        <f>IFERROR(INDEX('Formulación PDN 2027'!$Y$7:$Y$506,MATCH(ROW()-5,'Formulación PDN 2027'!$AK$7:$AK$506,0))&amp;"","")</f>
        <v/>
      </c>
      <c r="N362" s="15" t="str">
        <f>IFERROR(INDEX('Formulación PDN 2027'!$Z$7:$Z$506,MATCH(ROW()-5,'Formulación PDN 2027'!$AK$7:$AK$506,0))&amp;"","")</f>
        <v/>
      </c>
      <c r="O362" s="15"/>
      <c r="P362" s="15" t="str">
        <f>IFERROR(INDEX('Formulación PDN 2027'!$AA$7:$AA$506,MATCH(ROW()-5,'Formulación PDN 2027'!$AK$7:$AK$506,0))&amp;"","")</f>
        <v/>
      </c>
      <c r="Q362" s="15" t="str">
        <f>IFERROR(INDEX('Formulación PDN 2027'!$AB$7:$AB$506,MATCH(ROW()-5,'Formulación PDN 2027'!$AK$7:$AK$506,0))&amp;"","")</f>
        <v/>
      </c>
      <c r="R362" s="15" t="str">
        <f>IFERROR(INDEX('Formulación PDN 2027'!$AD$7:$AD$506,MATCH(ROW()-5,'Formulación PDN 2027'!$AK$7:$AK$506,0))&amp;"","")</f>
        <v/>
      </c>
      <c r="S362" s="15" t="str">
        <f>IFERROR(INDEX('Formulación PDN 2027'!$AE$7:$AE$506,MATCH(ROW()-5,'Formulación PDN 2027'!$AK$7:$AK$506,0))&amp;"","")</f>
        <v/>
      </c>
      <c r="T362" s="15" t="str">
        <f>IFERROR(INDEX('Formulación PDN 2027'!$C$7:$C$506,MATCH(ROW()-5,'Formulación PDN 2027'!$AK$7:$AK$506,0))&amp;"","")</f>
        <v/>
      </c>
      <c r="U362" s="15" t="str">
        <f>IFERROR(INDEX('Formulación PDN 2027'!$B$7:$B$506,MATCH(ROW()-5,'Formulación PDN 2027'!$AK$7:$AK$506,0))&amp;"","")</f>
        <v/>
      </c>
      <c r="V362" s="15" t="str">
        <f>IFERROR(LEFT(INDEX('Formulación PDN 2027'!$E$7:$E$506,MATCH(ROW()-5,'Formulación PDN 2027'!$AK$7:$AK$506,0)),7),"")</f>
        <v/>
      </c>
      <c r="W362" s="15" t="str">
        <f>IFERROR(INDEX('Formulación PDN 2027'!$H$7:$H$506,MATCH(ROW()-5,'Formulación PDN 2027'!$AK$7:$AK$506,0))&amp;"","")</f>
        <v/>
      </c>
      <c r="X362" s="15" t="str">
        <f>IFERROR(INDEX('Formulación PDN 2027'!$U$7:$U$506,MATCH(ROW()-5,'Formulación PDN 2027'!$AK$7:$AK$506,0))&amp;"","")</f>
        <v/>
      </c>
      <c r="Y362" s="15" t="str">
        <f>IFERROR(INDEX('Formulación PDN 2027'!$AH$7:$AH$506,MATCH(ROW()-5,'Formulación PDN 2027'!$AK$7:$AK$506,0))&amp;"","")</f>
        <v/>
      </c>
    </row>
    <row r="363" spans="1:25" x14ac:dyDescent="0.3">
      <c r="A363" s="15" t="str">
        <f>IFERROR(INDEX('Formulación PDN 2027'!$A$7:$A$506,MATCH(ROW()-5,'Formulación PDN 2027'!$AK$7:$AK$506,0))&amp;"","")</f>
        <v/>
      </c>
      <c r="B363" s="20" t="str">
        <f>IFERROR(INDEX('Formulación PDN 2027'!$M$7:$M$506,MATCH(ROW()-5,'Formulación PDN 2027'!$AK$7:$AK$506,0)),"")</f>
        <v/>
      </c>
      <c r="C363" s="15" t="str">
        <f>IFERROR(INDEX('Formulación PDN 2027'!$N$7:$N$506,MATCH(ROW()-5,'Formulación PDN 2027'!$AK$7:$AK$506,0))&amp;"","")</f>
        <v/>
      </c>
      <c r="D363" s="15" t="str">
        <f>IFERROR(INDEX('Formulación PDN 2027'!$L$7:$L$506,MATCH(ROW()-5,'Formulación PDN 2027'!$AK$7:$AK$506,0))&amp;"","")</f>
        <v/>
      </c>
      <c r="E363" s="15" t="str">
        <f>IFERROR(MATCH(INDEX('Formulación PDN 2027'!$O$7:$O$506,MATCH(ROW()-5,'Formulación PDN 2027'!$AK$7:$AK$506,0)),L_MESES,0),"")</f>
        <v/>
      </c>
      <c r="F363" s="15" t="str">
        <f>IFERROR(MATCH(INDEX('Formulación PDN 2027'!$P$7:$P$506,MATCH(ROW()-5,'Formulación PDN 2027'!$AK$7:$AK$506,0)),L_MESES,0),"")</f>
        <v/>
      </c>
      <c r="G363" s="15" t="str">
        <f>IFERROR(INDEX('Formulación PDN 2027'!$Q$7:$Q$506,MATCH(ROW()-5,'Formulación PDN 2027'!$AK$7:$AK$506,0)),"")</f>
        <v/>
      </c>
      <c r="H363" s="15" t="str">
        <f>IFERROR(INDEX('Formulación PDN 2027'!$R$7:$R$506,MATCH(ROW()-5,'Formulación PDN 2027'!$AK$7:$AK$506,0))&amp;"","")</f>
        <v/>
      </c>
      <c r="I363" s="15" t="str">
        <f>IFERROR(INDEX('Formulación PDN 2027'!$S$7:$S$506,MATCH(ROW()-5,'Formulación PDN 2027'!$AK$7:$AK$506,0))&amp;"","")</f>
        <v/>
      </c>
      <c r="J363" s="15" t="str">
        <f>IFERROR(INDEX('Formulación PDN 2027'!$T$7:$T$506,MATCH(ROW()-5,'Formulación PDN 2027'!$AK$7:$AK$506,0))&amp;"","")</f>
        <v/>
      </c>
      <c r="K363" s="43" t="str">
        <f>IFERROR(INDEX('Formulación PDN 2027'!$W$7:$W$506,MATCH(ROW()-5,'Formulación PDN 2027'!$AK$7:$AK$506,0)),"")</f>
        <v/>
      </c>
      <c r="L363" s="43" t="str">
        <f>IFERROR(INDEX('Formulación PDN 2027'!$X$7:$X$506,MATCH(ROW()-5,'Formulación PDN 2027'!$AK$7:$AK$506,0)),"")</f>
        <v/>
      </c>
      <c r="M363" s="15" t="str">
        <f>IFERROR(INDEX('Formulación PDN 2027'!$Y$7:$Y$506,MATCH(ROW()-5,'Formulación PDN 2027'!$AK$7:$AK$506,0))&amp;"","")</f>
        <v/>
      </c>
      <c r="N363" s="15" t="str">
        <f>IFERROR(INDEX('Formulación PDN 2027'!$Z$7:$Z$506,MATCH(ROW()-5,'Formulación PDN 2027'!$AK$7:$AK$506,0))&amp;"","")</f>
        <v/>
      </c>
      <c r="O363" s="15"/>
      <c r="P363" s="15" t="str">
        <f>IFERROR(INDEX('Formulación PDN 2027'!$AA$7:$AA$506,MATCH(ROW()-5,'Formulación PDN 2027'!$AK$7:$AK$506,0))&amp;"","")</f>
        <v/>
      </c>
      <c r="Q363" s="15" t="str">
        <f>IFERROR(INDEX('Formulación PDN 2027'!$AB$7:$AB$506,MATCH(ROW()-5,'Formulación PDN 2027'!$AK$7:$AK$506,0))&amp;"","")</f>
        <v/>
      </c>
      <c r="R363" s="15" t="str">
        <f>IFERROR(INDEX('Formulación PDN 2027'!$AD$7:$AD$506,MATCH(ROW()-5,'Formulación PDN 2027'!$AK$7:$AK$506,0))&amp;"","")</f>
        <v/>
      </c>
      <c r="S363" s="15" t="str">
        <f>IFERROR(INDEX('Formulación PDN 2027'!$AE$7:$AE$506,MATCH(ROW()-5,'Formulación PDN 2027'!$AK$7:$AK$506,0))&amp;"","")</f>
        <v/>
      </c>
      <c r="T363" s="15" t="str">
        <f>IFERROR(INDEX('Formulación PDN 2027'!$C$7:$C$506,MATCH(ROW()-5,'Formulación PDN 2027'!$AK$7:$AK$506,0))&amp;"","")</f>
        <v/>
      </c>
      <c r="U363" s="15" t="str">
        <f>IFERROR(INDEX('Formulación PDN 2027'!$B$7:$B$506,MATCH(ROW()-5,'Formulación PDN 2027'!$AK$7:$AK$506,0))&amp;"","")</f>
        <v/>
      </c>
      <c r="V363" s="15" t="str">
        <f>IFERROR(LEFT(INDEX('Formulación PDN 2027'!$E$7:$E$506,MATCH(ROW()-5,'Formulación PDN 2027'!$AK$7:$AK$506,0)),7),"")</f>
        <v/>
      </c>
      <c r="W363" s="15" t="str">
        <f>IFERROR(INDEX('Formulación PDN 2027'!$H$7:$H$506,MATCH(ROW()-5,'Formulación PDN 2027'!$AK$7:$AK$506,0))&amp;"","")</f>
        <v/>
      </c>
      <c r="X363" s="15" t="str">
        <f>IFERROR(INDEX('Formulación PDN 2027'!$U$7:$U$506,MATCH(ROW()-5,'Formulación PDN 2027'!$AK$7:$AK$506,0))&amp;"","")</f>
        <v/>
      </c>
      <c r="Y363" s="15" t="str">
        <f>IFERROR(INDEX('Formulación PDN 2027'!$AH$7:$AH$506,MATCH(ROW()-5,'Formulación PDN 2027'!$AK$7:$AK$506,0))&amp;"","")</f>
        <v/>
      </c>
    </row>
    <row r="364" spans="1:25" x14ac:dyDescent="0.3">
      <c r="A364" s="15" t="str">
        <f>IFERROR(INDEX('Formulación PDN 2027'!$A$7:$A$506,MATCH(ROW()-5,'Formulación PDN 2027'!$AK$7:$AK$506,0))&amp;"","")</f>
        <v/>
      </c>
      <c r="B364" s="20" t="str">
        <f>IFERROR(INDEX('Formulación PDN 2027'!$M$7:$M$506,MATCH(ROW()-5,'Formulación PDN 2027'!$AK$7:$AK$506,0)),"")</f>
        <v/>
      </c>
      <c r="C364" s="15" t="str">
        <f>IFERROR(INDEX('Formulación PDN 2027'!$N$7:$N$506,MATCH(ROW()-5,'Formulación PDN 2027'!$AK$7:$AK$506,0))&amp;"","")</f>
        <v/>
      </c>
      <c r="D364" s="15" t="str">
        <f>IFERROR(INDEX('Formulación PDN 2027'!$L$7:$L$506,MATCH(ROW()-5,'Formulación PDN 2027'!$AK$7:$AK$506,0))&amp;"","")</f>
        <v/>
      </c>
      <c r="E364" s="15" t="str">
        <f>IFERROR(MATCH(INDEX('Formulación PDN 2027'!$O$7:$O$506,MATCH(ROW()-5,'Formulación PDN 2027'!$AK$7:$AK$506,0)),L_MESES,0),"")</f>
        <v/>
      </c>
      <c r="F364" s="15" t="str">
        <f>IFERROR(MATCH(INDEX('Formulación PDN 2027'!$P$7:$P$506,MATCH(ROW()-5,'Formulación PDN 2027'!$AK$7:$AK$506,0)),L_MESES,0),"")</f>
        <v/>
      </c>
      <c r="G364" s="15" t="str">
        <f>IFERROR(INDEX('Formulación PDN 2027'!$Q$7:$Q$506,MATCH(ROW()-5,'Formulación PDN 2027'!$AK$7:$AK$506,0)),"")</f>
        <v/>
      </c>
      <c r="H364" s="15" t="str">
        <f>IFERROR(INDEX('Formulación PDN 2027'!$R$7:$R$506,MATCH(ROW()-5,'Formulación PDN 2027'!$AK$7:$AK$506,0))&amp;"","")</f>
        <v/>
      </c>
      <c r="I364" s="15" t="str">
        <f>IFERROR(INDEX('Formulación PDN 2027'!$S$7:$S$506,MATCH(ROW()-5,'Formulación PDN 2027'!$AK$7:$AK$506,0))&amp;"","")</f>
        <v/>
      </c>
      <c r="J364" s="15" t="str">
        <f>IFERROR(INDEX('Formulación PDN 2027'!$T$7:$T$506,MATCH(ROW()-5,'Formulación PDN 2027'!$AK$7:$AK$506,0))&amp;"","")</f>
        <v/>
      </c>
      <c r="K364" s="43" t="str">
        <f>IFERROR(INDEX('Formulación PDN 2027'!$W$7:$W$506,MATCH(ROW()-5,'Formulación PDN 2027'!$AK$7:$AK$506,0)),"")</f>
        <v/>
      </c>
      <c r="L364" s="43" t="str">
        <f>IFERROR(INDEX('Formulación PDN 2027'!$X$7:$X$506,MATCH(ROW()-5,'Formulación PDN 2027'!$AK$7:$AK$506,0)),"")</f>
        <v/>
      </c>
      <c r="M364" s="15" t="str">
        <f>IFERROR(INDEX('Formulación PDN 2027'!$Y$7:$Y$506,MATCH(ROW()-5,'Formulación PDN 2027'!$AK$7:$AK$506,0))&amp;"","")</f>
        <v/>
      </c>
      <c r="N364" s="15" t="str">
        <f>IFERROR(INDEX('Formulación PDN 2027'!$Z$7:$Z$506,MATCH(ROW()-5,'Formulación PDN 2027'!$AK$7:$AK$506,0))&amp;"","")</f>
        <v/>
      </c>
      <c r="O364" s="15"/>
      <c r="P364" s="15" t="str">
        <f>IFERROR(INDEX('Formulación PDN 2027'!$AA$7:$AA$506,MATCH(ROW()-5,'Formulación PDN 2027'!$AK$7:$AK$506,0))&amp;"","")</f>
        <v/>
      </c>
      <c r="Q364" s="15" t="str">
        <f>IFERROR(INDEX('Formulación PDN 2027'!$AB$7:$AB$506,MATCH(ROW()-5,'Formulación PDN 2027'!$AK$7:$AK$506,0))&amp;"","")</f>
        <v/>
      </c>
      <c r="R364" s="15" t="str">
        <f>IFERROR(INDEX('Formulación PDN 2027'!$AD$7:$AD$506,MATCH(ROW()-5,'Formulación PDN 2027'!$AK$7:$AK$506,0))&amp;"","")</f>
        <v/>
      </c>
      <c r="S364" s="15" t="str">
        <f>IFERROR(INDEX('Formulación PDN 2027'!$AE$7:$AE$506,MATCH(ROW()-5,'Formulación PDN 2027'!$AK$7:$AK$506,0))&amp;"","")</f>
        <v/>
      </c>
      <c r="T364" s="15" t="str">
        <f>IFERROR(INDEX('Formulación PDN 2027'!$C$7:$C$506,MATCH(ROW()-5,'Formulación PDN 2027'!$AK$7:$AK$506,0))&amp;"","")</f>
        <v/>
      </c>
      <c r="U364" s="15" t="str">
        <f>IFERROR(INDEX('Formulación PDN 2027'!$B$7:$B$506,MATCH(ROW()-5,'Formulación PDN 2027'!$AK$7:$AK$506,0))&amp;"","")</f>
        <v/>
      </c>
      <c r="V364" s="15" t="str">
        <f>IFERROR(LEFT(INDEX('Formulación PDN 2027'!$E$7:$E$506,MATCH(ROW()-5,'Formulación PDN 2027'!$AK$7:$AK$506,0)),7),"")</f>
        <v/>
      </c>
      <c r="W364" s="15" t="str">
        <f>IFERROR(INDEX('Formulación PDN 2027'!$H$7:$H$506,MATCH(ROW()-5,'Formulación PDN 2027'!$AK$7:$AK$506,0))&amp;"","")</f>
        <v/>
      </c>
      <c r="X364" s="15" t="str">
        <f>IFERROR(INDEX('Formulación PDN 2027'!$U$7:$U$506,MATCH(ROW()-5,'Formulación PDN 2027'!$AK$7:$AK$506,0))&amp;"","")</f>
        <v/>
      </c>
      <c r="Y364" s="15" t="str">
        <f>IFERROR(INDEX('Formulación PDN 2027'!$AH$7:$AH$506,MATCH(ROW()-5,'Formulación PDN 2027'!$AK$7:$AK$506,0))&amp;"","")</f>
        <v/>
      </c>
    </row>
    <row r="365" spans="1:25" x14ac:dyDescent="0.3">
      <c r="A365" s="15" t="str">
        <f>IFERROR(INDEX('Formulación PDN 2027'!$A$7:$A$506,MATCH(ROW()-5,'Formulación PDN 2027'!$AK$7:$AK$506,0))&amp;"","")</f>
        <v/>
      </c>
      <c r="B365" s="20" t="str">
        <f>IFERROR(INDEX('Formulación PDN 2027'!$M$7:$M$506,MATCH(ROW()-5,'Formulación PDN 2027'!$AK$7:$AK$506,0)),"")</f>
        <v/>
      </c>
      <c r="C365" s="15" t="str">
        <f>IFERROR(INDEX('Formulación PDN 2027'!$N$7:$N$506,MATCH(ROW()-5,'Formulación PDN 2027'!$AK$7:$AK$506,0))&amp;"","")</f>
        <v/>
      </c>
      <c r="D365" s="15" t="str">
        <f>IFERROR(INDEX('Formulación PDN 2027'!$L$7:$L$506,MATCH(ROW()-5,'Formulación PDN 2027'!$AK$7:$AK$506,0))&amp;"","")</f>
        <v/>
      </c>
      <c r="E365" s="15" t="str">
        <f>IFERROR(MATCH(INDEX('Formulación PDN 2027'!$O$7:$O$506,MATCH(ROW()-5,'Formulación PDN 2027'!$AK$7:$AK$506,0)),L_MESES,0),"")</f>
        <v/>
      </c>
      <c r="F365" s="15" t="str">
        <f>IFERROR(MATCH(INDEX('Formulación PDN 2027'!$P$7:$P$506,MATCH(ROW()-5,'Formulación PDN 2027'!$AK$7:$AK$506,0)),L_MESES,0),"")</f>
        <v/>
      </c>
      <c r="G365" s="15" t="str">
        <f>IFERROR(INDEX('Formulación PDN 2027'!$Q$7:$Q$506,MATCH(ROW()-5,'Formulación PDN 2027'!$AK$7:$AK$506,0)),"")</f>
        <v/>
      </c>
      <c r="H365" s="15" t="str">
        <f>IFERROR(INDEX('Formulación PDN 2027'!$R$7:$R$506,MATCH(ROW()-5,'Formulación PDN 2027'!$AK$7:$AK$506,0))&amp;"","")</f>
        <v/>
      </c>
      <c r="I365" s="15" t="str">
        <f>IFERROR(INDEX('Formulación PDN 2027'!$S$7:$S$506,MATCH(ROW()-5,'Formulación PDN 2027'!$AK$7:$AK$506,0))&amp;"","")</f>
        <v/>
      </c>
      <c r="J365" s="15" t="str">
        <f>IFERROR(INDEX('Formulación PDN 2027'!$T$7:$T$506,MATCH(ROW()-5,'Formulación PDN 2027'!$AK$7:$AK$506,0))&amp;"","")</f>
        <v/>
      </c>
      <c r="K365" s="43" t="str">
        <f>IFERROR(INDEX('Formulación PDN 2027'!$W$7:$W$506,MATCH(ROW()-5,'Formulación PDN 2027'!$AK$7:$AK$506,0)),"")</f>
        <v/>
      </c>
      <c r="L365" s="43" t="str">
        <f>IFERROR(INDEX('Formulación PDN 2027'!$X$7:$X$506,MATCH(ROW()-5,'Formulación PDN 2027'!$AK$7:$AK$506,0)),"")</f>
        <v/>
      </c>
      <c r="M365" s="15" t="str">
        <f>IFERROR(INDEX('Formulación PDN 2027'!$Y$7:$Y$506,MATCH(ROW()-5,'Formulación PDN 2027'!$AK$7:$AK$506,0))&amp;"","")</f>
        <v/>
      </c>
      <c r="N365" s="15" t="str">
        <f>IFERROR(INDEX('Formulación PDN 2027'!$Z$7:$Z$506,MATCH(ROW()-5,'Formulación PDN 2027'!$AK$7:$AK$506,0))&amp;"","")</f>
        <v/>
      </c>
      <c r="O365" s="15"/>
      <c r="P365" s="15" t="str">
        <f>IFERROR(INDEX('Formulación PDN 2027'!$AA$7:$AA$506,MATCH(ROW()-5,'Formulación PDN 2027'!$AK$7:$AK$506,0))&amp;"","")</f>
        <v/>
      </c>
      <c r="Q365" s="15" t="str">
        <f>IFERROR(INDEX('Formulación PDN 2027'!$AB$7:$AB$506,MATCH(ROW()-5,'Formulación PDN 2027'!$AK$7:$AK$506,0))&amp;"","")</f>
        <v/>
      </c>
      <c r="R365" s="15" t="str">
        <f>IFERROR(INDEX('Formulación PDN 2027'!$AD$7:$AD$506,MATCH(ROW()-5,'Formulación PDN 2027'!$AK$7:$AK$506,0))&amp;"","")</f>
        <v/>
      </c>
      <c r="S365" s="15" t="str">
        <f>IFERROR(INDEX('Formulación PDN 2027'!$AE$7:$AE$506,MATCH(ROW()-5,'Formulación PDN 2027'!$AK$7:$AK$506,0))&amp;"","")</f>
        <v/>
      </c>
      <c r="T365" s="15" t="str">
        <f>IFERROR(INDEX('Formulación PDN 2027'!$C$7:$C$506,MATCH(ROW()-5,'Formulación PDN 2027'!$AK$7:$AK$506,0))&amp;"","")</f>
        <v/>
      </c>
      <c r="U365" s="15" t="str">
        <f>IFERROR(INDEX('Formulación PDN 2027'!$B$7:$B$506,MATCH(ROW()-5,'Formulación PDN 2027'!$AK$7:$AK$506,0))&amp;"","")</f>
        <v/>
      </c>
      <c r="V365" s="15" t="str">
        <f>IFERROR(LEFT(INDEX('Formulación PDN 2027'!$E$7:$E$506,MATCH(ROW()-5,'Formulación PDN 2027'!$AK$7:$AK$506,0)),7),"")</f>
        <v/>
      </c>
      <c r="W365" s="15" t="str">
        <f>IFERROR(INDEX('Formulación PDN 2027'!$H$7:$H$506,MATCH(ROW()-5,'Formulación PDN 2027'!$AK$7:$AK$506,0))&amp;"","")</f>
        <v/>
      </c>
      <c r="X365" s="15" t="str">
        <f>IFERROR(INDEX('Formulación PDN 2027'!$U$7:$U$506,MATCH(ROW()-5,'Formulación PDN 2027'!$AK$7:$AK$506,0))&amp;"","")</f>
        <v/>
      </c>
      <c r="Y365" s="15" t="str">
        <f>IFERROR(INDEX('Formulación PDN 2027'!$AH$7:$AH$506,MATCH(ROW()-5,'Formulación PDN 2027'!$AK$7:$AK$506,0))&amp;"","")</f>
        <v/>
      </c>
    </row>
    <row r="366" spans="1:25" x14ac:dyDescent="0.3">
      <c r="A366" s="15" t="str">
        <f>IFERROR(INDEX('Formulación PDN 2027'!$A$7:$A$506,MATCH(ROW()-5,'Formulación PDN 2027'!$AK$7:$AK$506,0))&amp;"","")</f>
        <v/>
      </c>
      <c r="B366" s="20" t="str">
        <f>IFERROR(INDEX('Formulación PDN 2027'!$M$7:$M$506,MATCH(ROW()-5,'Formulación PDN 2027'!$AK$7:$AK$506,0)),"")</f>
        <v/>
      </c>
      <c r="C366" s="15" t="str">
        <f>IFERROR(INDEX('Formulación PDN 2027'!$N$7:$N$506,MATCH(ROW()-5,'Formulación PDN 2027'!$AK$7:$AK$506,0))&amp;"","")</f>
        <v/>
      </c>
      <c r="D366" s="15" t="str">
        <f>IFERROR(INDEX('Formulación PDN 2027'!$L$7:$L$506,MATCH(ROW()-5,'Formulación PDN 2027'!$AK$7:$AK$506,0))&amp;"","")</f>
        <v/>
      </c>
      <c r="E366" s="15" t="str">
        <f>IFERROR(MATCH(INDEX('Formulación PDN 2027'!$O$7:$O$506,MATCH(ROW()-5,'Formulación PDN 2027'!$AK$7:$AK$506,0)),L_MESES,0),"")</f>
        <v/>
      </c>
      <c r="F366" s="15" t="str">
        <f>IFERROR(MATCH(INDEX('Formulación PDN 2027'!$P$7:$P$506,MATCH(ROW()-5,'Formulación PDN 2027'!$AK$7:$AK$506,0)),L_MESES,0),"")</f>
        <v/>
      </c>
      <c r="G366" s="15" t="str">
        <f>IFERROR(INDEX('Formulación PDN 2027'!$Q$7:$Q$506,MATCH(ROW()-5,'Formulación PDN 2027'!$AK$7:$AK$506,0)),"")</f>
        <v/>
      </c>
      <c r="H366" s="15" t="str">
        <f>IFERROR(INDEX('Formulación PDN 2027'!$R$7:$R$506,MATCH(ROW()-5,'Formulación PDN 2027'!$AK$7:$AK$506,0))&amp;"","")</f>
        <v/>
      </c>
      <c r="I366" s="15" t="str">
        <f>IFERROR(INDEX('Formulación PDN 2027'!$S$7:$S$506,MATCH(ROW()-5,'Formulación PDN 2027'!$AK$7:$AK$506,0))&amp;"","")</f>
        <v/>
      </c>
      <c r="J366" s="15" t="str">
        <f>IFERROR(INDEX('Formulación PDN 2027'!$T$7:$T$506,MATCH(ROW()-5,'Formulación PDN 2027'!$AK$7:$AK$506,0))&amp;"","")</f>
        <v/>
      </c>
      <c r="K366" s="43" t="str">
        <f>IFERROR(INDEX('Formulación PDN 2027'!$W$7:$W$506,MATCH(ROW()-5,'Formulación PDN 2027'!$AK$7:$AK$506,0)),"")</f>
        <v/>
      </c>
      <c r="L366" s="43" t="str">
        <f>IFERROR(INDEX('Formulación PDN 2027'!$X$7:$X$506,MATCH(ROW()-5,'Formulación PDN 2027'!$AK$7:$AK$506,0)),"")</f>
        <v/>
      </c>
      <c r="M366" s="15" t="str">
        <f>IFERROR(INDEX('Formulación PDN 2027'!$Y$7:$Y$506,MATCH(ROW()-5,'Formulación PDN 2027'!$AK$7:$AK$506,0))&amp;"","")</f>
        <v/>
      </c>
      <c r="N366" s="15" t="str">
        <f>IFERROR(INDEX('Formulación PDN 2027'!$Z$7:$Z$506,MATCH(ROW()-5,'Formulación PDN 2027'!$AK$7:$AK$506,0))&amp;"","")</f>
        <v/>
      </c>
      <c r="O366" s="15"/>
      <c r="P366" s="15" t="str">
        <f>IFERROR(INDEX('Formulación PDN 2027'!$AA$7:$AA$506,MATCH(ROW()-5,'Formulación PDN 2027'!$AK$7:$AK$506,0))&amp;"","")</f>
        <v/>
      </c>
      <c r="Q366" s="15" t="str">
        <f>IFERROR(INDEX('Formulación PDN 2027'!$AB$7:$AB$506,MATCH(ROW()-5,'Formulación PDN 2027'!$AK$7:$AK$506,0))&amp;"","")</f>
        <v/>
      </c>
      <c r="R366" s="15" t="str">
        <f>IFERROR(INDEX('Formulación PDN 2027'!$AD$7:$AD$506,MATCH(ROW()-5,'Formulación PDN 2027'!$AK$7:$AK$506,0))&amp;"","")</f>
        <v/>
      </c>
      <c r="S366" s="15" t="str">
        <f>IFERROR(INDEX('Formulación PDN 2027'!$AE$7:$AE$506,MATCH(ROW()-5,'Formulación PDN 2027'!$AK$7:$AK$506,0))&amp;"","")</f>
        <v/>
      </c>
      <c r="T366" s="15" t="str">
        <f>IFERROR(INDEX('Formulación PDN 2027'!$C$7:$C$506,MATCH(ROW()-5,'Formulación PDN 2027'!$AK$7:$AK$506,0))&amp;"","")</f>
        <v/>
      </c>
      <c r="U366" s="15" t="str">
        <f>IFERROR(INDEX('Formulación PDN 2027'!$B$7:$B$506,MATCH(ROW()-5,'Formulación PDN 2027'!$AK$7:$AK$506,0))&amp;"","")</f>
        <v/>
      </c>
      <c r="V366" s="15" t="str">
        <f>IFERROR(LEFT(INDEX('Formulación PDN 2027'!$E$7:$E$506,MATCH(ROW()-5,'Formulación PDN 2027'!$AK$7:$AK$506,0)),7),"")</f>
        <v/>
      </c>
      <c r="W366" s="15" t="str">
        <f>IFERROR(INDEX('Formulación PDN 2027'!$H$7:$H$506,MATCH(ROW()-5,'Formulación PDN 2027'!$AK$7:$AK$506,0))&amp;"","")</f>
        <v/>
      </c>
      <c r="X366" s="15" t="str">
        <f>IFERROR(INDEX('Formulación PDN 2027'!$U$7:$U$506,MATCH(ROW()-5,'Formulación PDN 2027'!$AK$7:$AK$506,0))&amp;"","")</f>
        <v/>
      </c>
      <c r="Y366" s="15" t="str">
        <f>IFERROR(INDEX('Formulación PDN 2027'!$AH$7:$AH$506,MATCH(ROW()-5,'Formulación PDN 2027'!$AK$7:$AK$506,0))&amp;"","")</f>
        <v/>
      </c>
    </row>
    <row r="367" spans="1:25" x14ac:dyDescent="0.3">
      <c r="A367" s="15" t="str">
        <f>IFERROR(INDEX('Formulación PDN 2027'!$A$7:$A$506,MATCH(ROW()-5,'Formulación PDN 2027'!$AK$7:$AK$506,0))&amp;"","")</f>
        <v/>
      </c>
      <c r="B367" s="20" t="str">
        <f>IFERROR(INDEX('Formulación PDN 2027'!$M$7:$M$506,MATCH(ROW()-5,'Formulación PDN 2027'!$AK$7:$AK$506,0)),"")</f>
        <v/>
      </c>
      <c r="C367" s="15" t="str">
        <f>IFERROR(INDEX('Formulación PDN 2027'!$N$7:$N$506,MATCH(ROW()-5,'Formulación PDN 2027'!$AK$7:$AK$506,0))&amp;"","")</f>
        <v/>
      </c>
      <c r="D367" s="15" t="str">
        <f>IFERROR(INDEX('Formulación PDN 2027'!$L$7:$L$506,MATCH(ROW()-5,'Formulación PDN 2027'!$AK$7:$AK$506,0))&amp;"","")</f>
        <v/>
      </c>
      <c r="E367" s="15" t="str">
        <f>IFERROR(MATCH(INDEX('Formulación PDN 2027'!$O$7:$O$506,MATCH(ROW()-5,'Formulación PDN 2027'!$AK$7:$AK$506,0)),L_MESES,0),"")</f>
        <v/>
      </c>
      <c r="F367" s="15" t="str">
        <f>IFERROR(MATCH(INDEX('Formulación PDN 2027'!$P$7:$P$506,MATCH(ROW()-5,'Formulación PDN 2027'!$AK$7:$AK$506,0)),L_MESES,0),"")</f>
        <v/>
      </c>
      <c r="G367" s="15" t="str">
        <f>IFERROR(INDEX('Formulación PDN 2027'!$Q$7:$Q$506,MATCH(ROW()-5,'Formulación PDN 2027'!$AK$7:$AK$506,0)),"")</f>
        <v/>
      </c>
      <c r="H367" s="15" t="str">
        <f>IFERROR(INDEX('Formulación PDN 2027'!$R$7:$R$506,MATCH(ROW()-5,'Formulación PDN 2027'!$AK$7:$AK$506,0))&amp;"","")</f>
        <v/>
      </c>
      <c r="I367" s="15" t="str">
        <f>IFERROR(INDEX('Formulación PDN 2027'!$S$7:$S$506,MATCH(ROW()-5,'Formulación PDN 2027'!$AK$7:$AK$506,0))&amp;"","")</f>
        <v/>
      </c>
      <c r="J367" s="15" t="str">
        <f>IFERROR(INDEX('Formulación PDN 2027'!$T$7:$T$506,MATCH(ROW()-5,'Formulación PDN 2027'!$AK$7:$AK$506,0))&amp;"","")</f>
        <v/>
      </c>
      <c r="K367" s="43" t="str">
        <f>IFERROR(INDEX('Formulación PDN 2027'!$W$7:$W$506,MATCH(ROW()-5,'Formulación PDN 2027'!$AK$7:$AK$506,0)),"")</f>
        <v/>
      </c>
      <c r="L367" s="43" t="str">
        <f>IFERROR(INDEX('Formulación PDN 2027'!$X$7:$X$506,MATCH(ROW()-5,'Formulación PDN 2027'!$AK$7:$AK$506,0)),"")</f>
        <v/>
      </c>
      <c r="M367" s="15" t="str">
        <f>IFERROR(INDEX('Formulación PDN 2027'!$Y$7:$Y$506,MATCH(ROW()-5,'Formulación PDN 2027'!$AK$7:$AK$506,0))&amp;"","")</f>
        <v/>
      </c>
      <c r="N367" s="15" t="str">
        <f>IFERROR(INDEX('Formulación PDN 2027'!$Z$7:$Z$506,MATCH(ROW()-5,'Formulación PDN 2027'!$AK$7:$AK$506,0))&amp;"","")</f>
        <v/>
      </c>
      <c r="O367" s="15"/>
      <c r="P367" s="15" t="str">
        <f>IFERROR(INDEX('Formulación PDN 2027'!$AA$7:$AA$506,MATCH(ROW()-5,'Formulación PDN 2027'!$AK$7:$AK$506,0))&amp;"","")</f>
        <v/>
      </c>
      <c r="Q367" s="15" t="str">
        <f>IFERROR(INDEX('Formulación PDN 2027'!$AB$7:$AB$506,MATCH(ROW()-5,'Formulación PDN 2027'!$AK$7:$AK$506,0))&amp;"","")</f>
        <v/>
      </c>
      <c r="R367" s="15" t="str">
        <f>IFERROR(INDEX('Formulación PDN 2027'!$AD$7:$AD$506,MATCH(ROW()-5,'Formulación PDN 2027'!$AK$7:$AK$506,0))&amp;"","")</f>
        <v/>
      </c>
      <c r="S367" s="15" t="str">
        <f>IFERROR(INDEX('Formulación PDN 2027'!$AE$7:$AE$506,MATCH(ROW()-5,'Formulación PDN 2027'!$AK$7:$AK$506,0))&amp;"","")</f>
        <v/>
      </c>
      <c r="T367" s="15" t="str">
        <f>IFERROR(INDEX('Formulación PDN 2027'!$C$7:$C$506,MATCH(ROW()-5,'Formulación PDN 2027'!$AK$7:$AK$506,0))&amp;"","")</f>
        <v/>
      </c>
      <c r="U367" s="15" t="str">
        <f>IFERROR(INDEX('Formulación PDN 2027'!$B$7:$B$506,MATCH(ROW()-5,'Formulación PDN 2027'!$AK$7:$AK$506,0))&amp;"","")</f>
        <v/>
      </c>
      <c r="V367" s="15" t="str">
        <f>IFERROR(LEFT(INDEX('Formulación PDN 2027'!$E$7:$E$506,MATCH(ROW()-5,'Formulación PDN 2027'!$AK$7:$AK$506,0)),7),"")</f>
        <v/>
      </c>
      <c r="W367" s="15" t="str">
        <f>IFERROR(INDEX('Formulación PDN 2027'!$H$7:$H$506,MATCH(ROW()-5,'Formulación PDN 2027'!$AK$7:$AK$506,0))&amp;"","")</f>
        <v/>
      </c>
      <c r="X367" s="15" t="str">
        <f>IFERROR(INDEX('Formulación PDN 2027'!$U$7:$U$506,MATCH(ROW()-5,'Formulación PDN 2027'!$AK$7:$AK$506,0))&amp;"","")</f>
        <v/>
      </c>
      <c r="Y367" s="15" t="str">
        <f>IFERROR(INDEX('Formulación PDN 2027'!$AH$7:$AH$506,MATCH(ROW()-5,'Formulación PDN 2027'!$AK$7:$AK$506,0))&amp;"","")</f>
        <v/>
      </c>
    </row>
    <row r="368" spans="1:25" x14ac:dyDescent="0.3">
      <c r="A368" s="15" t="str">
        <f>IFERROR(INDEX('Formulación PDN 2027'!$A$7:$A$506,MATCH(ROW()-5,'Formulación PDN 2027'!$AK$7:$AK$506,0))&amp;"","")</f>
        <v/>
      </c>
      <c r="B368" s="20" t="str">
        <f>IFERROR(INDEX('Formulación PDN 2027'!$M$7:$M$506,MATCH(ROW()-5,'Formulación PDN 2027'!$AK$7:$AK$506,0)),"")</f>
        <v/>
      </c>
      <c r="C368" s="15" t="str">
        <f>IFERROR(INDEX('Formulación PDN 2027'!$N$7:$N$506,MATCH(ROW()-5,'Formulación PDN 2027'!$AK$7:$AK$506,0))&amp;"","")</f>
        <v/>
      </c>
      <c r="D368" s="15" t="str">
        <f>IFERROR(INDEX('Formulación PDN 2027'!$L$7:$L$506,MATCH(ROW()-5,'Formulación PDN 2027'!$AK$7:$AK$506,0))&amp;"","")</f>
        <v/>
      </c>
      <c r="E368" s="15" t="str">
        <f>IFERROR(MATCH(INDEX('Formulación PDN 2027'!$O$7:$O$506,MATCH(ROW()-5,'Formulación PDN 2027'!$AK$7:$AK$506,0)),L_MESES,0),"")</f>
        <v/>
      </c>
      <c r="F368" s="15" t="str">
        <f>IFERROR(MATCH(INDEX('Formulación PDN 2027'!$P$7:$P$506,MATCH(ROW()-5,'Formulación PDN 2027'!$AK$7:$AK$506,0)),L_MESES,0),"")</f>
        <v/>
      </c>
      <c r="G368" s="15" t="str">
        <f>IFERROR(INDEX('Formulación PDN 2027'!$Q$7:$Q$506,MATCH(ROW()-5,'Formulación PDN 2027'!$AK$7:$AK$506,0)),"")</f>
        <v/>
      </c>
      <c r="H368" s="15" t="str">
        <f>IFERROR(INDEX('Formulación PDN 2027'!$R$7:$R$506,MATCH(ROW()-5,'Formulación PDN 2027'!$AK$7:$AK$506,0))&amp;"","")</f>
        <v/>
      </c>
      <c r="I368" s="15" t="str">
        <f>IFERROR(INDEX('Formulación PDN 2027'!$S$7:$S$506,MATCH(ROW()-5,'Formulación PDN 2027'!$AK$7:$AK$506,0))&amp;"","")</f>
        <v/>
      </c>
      <c r="J368" s="15" t="str">
        <f>IFERROR(INDEX('Formulación PDN 2027'!$T$7:$T$506,MATCH(ROW()-5,'Formulación PDN 2027'!$AK$7:$AK$506,0))&amp;"","")</f>
        <v/>
      </c>
      <c r="K368" s="43" t="str">
        <f>IFERROR(INDEX('Formulación PDN 2027'!$W$7:$W$506,MATCH(ROW()-5,'Formulación PDN 2027'!$AK$7:$AK$506,0)),"")</f>
        <v/>
      </c>
      <c r="L368" s="43" t="str">
        <f>IFERROR(INDEX('Formulación PDN 2027'!$X$7:$X$506,MATCH(ROW()-5,'Formulación PDN 2027'!$AK$7:$AK$506,0)),"")</f>
        <v/>
      </c>
      <c r="M368" s="15" t="str">
        <f>IFERROR(INDEX('Formulación PDN 2027'!$Y$7:$Y$506,MATCH(ROW()-5,'Formulación PDN 2027'!$AK$7:$AK$506,0))&amp;"","")</f>
        <v/>
      </c>
      <c r="N368" s="15" t="str">
        <f>IFERROR(INDEX('Formulación PDN 2027'!$Z$7:$Z$506,MATCH(ROW()-5,'Formulación PDN 2027'!$AK$7:$AK$506,0))&amp;"","")</f>
        <v/>
      </c>
      <c r="O368" s="15"/>
      <c r="P368" s="15" t="str">
        <f>IFERROR(INDEX('Formulación PDN 2027'!$AA$7:$AA$506,MATCH(ROW()-5,'Formulación PDN 2027'!$AK$7:$AK$506,0))&amp;"","")</f>
        <v/>
      </c>
      <c r="Q368" s="15" t="str">
        <f>IFERROR(INDEX('Formulación PDN 2027'!$AB$7:$AB$506,MATCH(ROW()-5,'Formulación PDN 2027'!$AK$7:$AK$506,0))&amp;"","")</f>
        <v/>
      </c>
      <c r="R368" s="15" t="str">
        <f>IFERROR(INDEX('Formulación PDN 2027'!$AD$7:$AD$506,MATCH(ROW()-5,'Formulación PDN 2027'!$AK$7:$AK$506,0))&amp;"","")</f>
        <v/>
      </c>
      <c r="S368" s="15" t="str">
        <f>IFERROR(INDEX('Formulación PDN 2027'!$AE$7:$AE$506,MATCH(ROW()-5,'Formulación PDN 2027'!$AK$7:$AK$506,0))&amp;"","")</f>
        <v/>
      </c>
      <c r="T368" s="15" t="str">
        <f>IFERROR(INDEX('Formulación PDN 2027'!$C$7:$C$506,MATCH(ROW()-5,'Formulación PDN 2027'!$AK$7:$AK$506,0))&amp;"","")</f>
        <v/>
      </c>
      <c r="U368" s="15" t="str">
        <f>IFERROR(INDEX('Formulación PDN 2027'!$B$7:$B$506,MATCH(ROW()-5,'Formulación PDN 2027'!$AK$7:$AK$506,0))&amp;"","")</f>
        <v/>
      </c>
      <c r="V368" s="15" t="str">
        <f>IFERROR(LEFT(INDEX('Formulación PDN 2027'!$E$7:$E$506,MATCH(ROW()-5,'Formulación PDN 2027'!$AK$7:$AK$506,0)),7),"")</f>
        <v/>
      </c>
      <c r="W368" s="15" t="str">
        <f>IFERROR(INDEX('Formulación PDN 2027'!$H$7:$H$506,MATCH(ROW()-5,'Formulación PDN 2027'!$AK$7:$AK$506,0))&amp;"","")</f>
        <v/>
      </c>
      <c r="X368" s="15" t="str">
        <f>IFERROR(INDEX('Formulación PDN 2027'!$U$7:$U$506,MATCH(ROW()-5,'Formulación PDN 2027'!$AK$7:$AK$506,0))&amp;"","")</f>
        <v/>
      </c>
      <c r="Y368" s="15" t="str">
        <f>IFERROR(INDEX('Formulación PDN 2027'!$AH$7:$AH$506,MATCH(ROW()-5,'Formulación PDN 2027'!$AK$7:$AK$506,0))&amp;"","")</f>
        <v/>
      </c>
    </row>
    <row r="369" spans="1:25" x14ac:dyDescent="0.3">
      <c r="A369" s="15" t="str">
        <f>IFERROR(INDEX('Formulación PDN 2027'!$A$7:$A$506,MATCH(ROW()-5,'Formulación PDN 2027'!$AK$7:$AK$506,0))&amp;"","")</f>
        <v/>
      </c>
      <c r="B369" s="20" t="str">
        <f>IFERROR(INDEX('Formulación PDN 2027'!$M$7:$M$506,MATCH(ROW()-5,'Formulación PDN 2027'!$AK$7:$AK$506,0)),"")</f>
        <v/>
      </c>
      <c r="C369" s="15" t="str">
        <f>IFERROR(INDEX('Formulación PDN 2027'!$N$7:$N$506,MATCH(ROW()-5,'Formulación PDN 2027'!$AK$7:$AK$506,0))&amp;"","")</f>
        <v/>
      </c>
      <c r="D369" s="15" t="str">
        <f>IFERROR(INDEX('Formulación PDN 2027'!$L$7:$L$506,MATCH(ROW()-5,'Formulación PDN 2027'!$AK$7:$AK$506,0))&amp;"","")</f>
        <v/>
      </c>
      <c r="E369" s="15" t="str">
        <f>IFERROR(MATCH(INDEX('Formulación PDN 2027'!$O$7:$O$506,MATCH(ROW()-5,'Formulación PDN 2027'!$AK$7:$AK$506,0)),L_MESES,0),"")</f>
        <v/>
      </c>
      <c r="F369" s="15" t="str">
        <f>IFERROR(MATCH(INDEX('Formulación PDN 2027'!$P$7:$P$506,MATCH(ROW()-5,'Formulación PDN 2027'!$AK$7:$AK$506,0)),L_MESES,0),"")</f>
        <v/>
      </c>
      <c r="G369" s="15" t="str">
        <f>IFERROR(INDEX('Formulación PDN 2027'!$Q$7:$Q$506,MATCH(ROW()-5,'Formulación PDN 2027'!$AK$7:$AK$506,0)),"")</f>
        <v/>
      </c>
      <c r="H369" s="15" t="str">
        <f>IFERROR(INDEX('Formulación PDN 2027'!$R$7:$R$506,MATCH(ROW()-5,'Formulación PDN 2027'!$AK$7:$AK$506,0))&amp;"","")</f>
        <v/>
      </c>
      <c r="I369" s="15" t="str">
        <f>IFERROR(INDEX('Formulación PDN 2027'!$S$7:$S$506,MATCH(ROW()-5,'Formulación PDN 2027'!$AK$7:$AK$506,0))&amp;"","")</f>
        <v/>
      </c>
      <c r="J369" s="15" t="str">
        <f>IFERROR(INDEX('Formulación PDN 2027'!$T$7:$T$506,MATCH(ROW()-5,'Formulación PDN 2027'!$AK$7:$AK$506,0))&amp;"","")</f>
        <v/>
      </c>
      <c r="K369" s="43" t="str">
        <f>IFERROR(INDEX('Formulación PDN 2027'!$W$7:$W$506,MATCH(ROW()-5,'Formulación PDN 2027'!$AK$7:$AK$506,0)),"")</f>
        <v/>
      </c>
      <c r="L369" s="43" t="str">
        <f>IFERROR(INDEX('Formulación PDN 2027'!$X$7:$X$506,MATCH(ROW()-5,'Formulación PDN 2027'!$AK$7:$AK$506,0)),"")</f>
        <v/>
      </c>
      <c r="M369" s="15" t="str">
        <f>IFERROR(INDEX('Formulación PDN 2027'!$Y$7:$Y$506,MATCH(ROW()-5,'Formulación PDN 2027'!$AK$7:$AK$506,0))&amp;"","")</f>
        <v/>
      </c>
      <c r="N369" s="15" t="str">
        <f>IFERROR(INDEX('Formulación PDN 2027'!$Z$7:$Z$506,MATCH(ROW()-5,'Formulación PDN 2027'!$AK$7:$AK$506,0))&amp;"","")</f>
        <v/>
      </c>
      <c r="O369" s="15"/>
      <c r="P369" s="15" t="str">
        <f>IFERROR(INDEX('Formulación PDN 2027'!$AA$7:$AA$506,MATCH(ROW()-5,'Formulación PDN 2027'!$AK$7:$AK$506,0))&amp;"","")</f>
        <v/>
      </c>
      <c r="Q369" s="15" t="str">
        <f>IFERROR(INDEX('Formulación PDN 2027'!$AB$7:$AB$506,MATCH(ROW()-5,'Formulación PDN 2027'!$AK$7:$AK$506,0))&amp;"","")</f>
        <v/>
      </c>
      <c r="R369" s="15" t="str">
        <f>IFERROR(INDEX('Formulación PDN 2027'!$AD$7:$AD$506,MATCH(ROW()-5,'Formulación PDN 2027'!$AK$7:$AK$506,0))&amp;"","")</f>
        <v/>
      </c>
      <c r="S369" s="15" t="str">
        <f>IFERROR(INDEX('Formulación PDN 2027'!$AE$7:$AE$506,MATCH(ROW()-5,'Formulación PDN 2027'!$AK$7:$AK$506,0))&amp;"","")</f>
        <v/>
      </c>
      <c r="T369" s="15" t="str">
        <f>IFERROR(INDEX('Formulación PDN 2027'!$C$7:$C$506,MATCH(ROW()-5,'Formulación PDN 2027'!$AK$7:$AK$506,0))&amp;"","")</f>
        <v/>
      </c>
      <c r="U369" s="15" t="str">
        <f>IFERROR(INDEX('Formulación PDN 2027'!$B$7:$B$506,MATCH(ROW()-5,'Formulación PDN 2027'!$AK$7:$AK$506,0))&amp;"","")</f>
        <v/>
      </c>
      <c r="V369" s="15" t="str">
        <f>IFERROR(LEFT(INDEX('Formulación PDN 2027'!$E$7:$E$506,MATCH(ROW()-5,'Formulación PDN 2027'!$AK$7:$AK$506,0)),7),"")</f>
        <v/>
      </c>
      <c r="W369" s="15" t="str">
        <f>IFERROR(INDEX('Formulación PDN 2027'!$H$7:$H$506,MATCH(ROW()-5,'Formulación PDN 2027'!$AK$7:$AK$506,0))&amp;"","")</f>
        <v/>
      </c>
      <c r="X369" s="15" t="str">
        <f>IFERROR(INDEX('Formulación PDN 2027'!$U$7:$U$506,MATCH(ROW()-5,'Formulación PDN 2027'!$AK$7:$AK$506,0))&amp;"","")</f>
        <v/>
      </c>
      <c r="Y369" s="15" t="str">
        <f>IFERROR(INDEX('Formulación PDN 2027'!$AH$7:$AH$506,MATCH(ROW()-5,'Formulación PDN 2027'!$AK$7:$AK$506,0))&amp;"","")</f>
        <v/>
      </c>
    </row>
    <row r="370" spans="1:25" x14ac:dyDescent="0.3">
      <c r="A370" s="15" t="str">
        <f>IFERROR(INDEX('Formulación PDN 2027'!$A$7:$A$506,MATCH(ROW()-5,'Formulación PDN 2027'!$AK$7:$AK$506,0))&amp;"","")</f>
        <v/>
      </c>
      <c r="B370" s="20" t="str">
        <f>IFERROR(INDEX('Formulación PDN 2027'!$M$7:$M$506,MATCH(ROW()-5,'Formulación PDN 2027'!$AK$7:$AK$506,0)),"")</f>
        <v/>
      </c>
      <c r="C370" s="15" t="str">
        <f>IFERROR(INDEX('Formulación PDN 2027'!$N$7:$N$506,MATCH(ROW()-5,'Formulación PDN 2027'!$AK$7:$AK$506,0))&amp;"","")</f>
        <v/>
      </c>
      <c r="D370" s="15" t="str">
        <f>IFERROR(INDEX('Formulación PDN 2027'!$L$7:$L$506,MATCH(ROW()-5,'Formulación PDN 2027'!$AK$7:$AK$506,0))&amp;"","")</f>
        <v/>
      </c>
      <c r="E370" s="15" t="str">
        <f>IFERROR(MATCH(INDEX('Formulación PDN 2027'!$O$7:$O$506,MATCH(ROW()-5,'Formulación PDN 2027'!$AK$7:$AK$506,0)),L_MESES,0),"")</f>
        <v/>
      </c>
      <c r="F370" s="15" t="str">
        <f>IFERROR(MATCH(INDEX('Formulación PDN 2027'!$P$7:$P$506,MATCH(ROW()-5,'Formulación PDN 2027'!$AK$7:$AK$506,0)),L_MESES,0),"")</f>
        <v/>
      </c>
      <c r="G370" s="15" t="str">
        <f>IFERROR(INDEX('Formulación PDN 2027'!$Q$7:$Q$506,MATCH(ROW()-5,'Formulación PDN 2027'!$AK$7:$AK$506,0)),"")</f>
        <v/>
      </c>
      <c r="H370" s="15" t="str">
        <f>IFERROR(INDEX('Formulación PDN 2027'!$R$7:$R$506,MATCH(ROW()-5,'Formulación PDN 2027'!$AK$7:$AK$506,0))&amp;"","")</f>
        <v/>
      </c>
      <c r="I370" s="15" t="str">
        <f>IFERROR(INDEX('Formulación PDN 2027'!$S$7:$S$506,MATCH(ROW()-5,'Formulación PDN 2027'!$AK$7:$AK$506,0))&amp;"","")</f>
        <v/>
      </c>
      <c r="J370" s="15" t="str">
        <f>IFERROR(INDEX('Formulación PDN 2027'!$T$7:$T$506,MATCH(ROW()-5,'Formulación PDN 2027'!$AK$7:$AK$506,0))&amp;"","")</f>
        <v/>
      </c>
      <c r="K370" s="43" t="str">
        <f>IFERROR(INDEX('Formulación PDN 2027'!$W$7:$W$506,MATCH(ROW()-5,'Formulación PDN 2027'!$AK$7:$AK$506,0)),"")</f>
        <v/>
      </c>
      <c r="L370" s="43" t="str">
        <f>IFERROR(INDEX('Formulación PDN 2027'!$X$7:$X$506,MATCH(ROW()-5,'Formulación PDN 2027'!$AK$7:$AK$506,0)),"")</f>
        <v/>
      </c>
      <c r="M370" s="15" t="str">
        <f>IFERROR(INDEX('Formulación PDN 2027'!$Y$7:$Y$506,MATCH(ROW()-5,'Formulación PDN 2027'!$AK$7:$AK$506,0))&amp;"","")</f>
        <v/>
      </c>
      <c r="N370" s="15" t="str">
        <f>IFERROR(INDEX('Formulación PDN 2027'!$Z$7:$Z$506,MATCH(ROW()-5,'Formulación PDN 2027'!$AK$7:$AK$506,0))&amp;"","")</f>
        <v/>
      </c>
      <c r="O370" s="15"/>
      <c r="P370" s="15" t="str">
        <f>IFERROR(INDEX('Formulación PDN 2027'!$AA$7:$AA$506,MATCH(ROW()-5,'Formulación PDN 2027'!$AK$7:$AK$506,0))&amp;"","")</f>
        <v/>
      </c>
      <c r="Q370" s="15" t="str">
        <f>IFERROR(INDEX('Formulación PDN 2027'!$AB$7:$AB$506,MATCH(ROW()-5,'Formulación PDN 2027'!$AK$7:$AK$506,0))&amp;"","")</f>
        <v/>
      </c>
      <c r="R370" s="15" t="str">
        <f>IFERROR(INDEX('Formulación PDN 2027'!$AD$7:$AD$506,MATCH(ROW()-5,'Formulación PDN 2027'!$AK$7:$AK$506,0))&amp;"","")</f>
        <v/>
      </c>
      <c r="S370" s="15" t="str">
        <f>IFERROR(INDEX('Formulación PDN 2027'!$AE$7:$AE$506,MATCH(ROW()-5,'Formulación PDN 2027'!$AK$7:$AK$506,0))&amp;"","")</f>
        <v/>
      </c>
      <c r="T370" s="15" t="str">
        <f>IFERROR(INDEX('Formulación PDN 2027'!$C$7:$C$506,MATCH(ROW()-5,'Formulación PDN 2027'!$AK$7:$AK$506,0))&amp;"","")</f>
        <v/>
      </c>
      <c r="U370" s="15" t="str">
        <f>IFERROR(INDEX('Formulación PDN 2027'!$B$7:$B$506,MATCH(ROW()-5,'Formulación PDN 2027'!$AK$7:$AK$506,0))&amp;"","")</f>
        <v/>
      </c>
      <c r="V370" s="15" t="str">
        <f>IFERROR(LEFT(INDEX('Formulación PDN 2027'!$E$7:$E$506,MATCH(ROW()-5,'Formulación PDN 2027'!$AK$7:$AK$506,0)),7),"")</f>
        <v/>
      </c>
      <c r="W370" s="15" t="str">
        <f>IFERROR(INDEX('Formulación PDN 2027'!$H$7:$H$506,MATCH(ROW()-5,'Formulación PDN 2027'!$AK$7:$AK$506,0))&amp;"","")</f>
        <v/>
      </c>
      <c r="X370" s="15" t="str">
        <f>IFERROR(INDEX('Formulación PDN 2027'!$U$7:$U$506,MATCH(ROW()-5,'Formulación PDN 2027'!$AK$7:$AK$506,0))&amp;"","")</f>
        <v/>
      </c>
      <c r="Y370" s="15" t="str">
        <f>IFERROR(INDEX('Formulación PDN 2027'!$AH$7:$AH$506,MATCH(ROW()-5,'Formulación PDN 2027'!$AK$7:$AK$506,0))&amp;"","")</f>
        <v/>
      </c>
    </row>
    <row r="371" spans="1:25" x14ac:dyDescent="0.3">
      <c r="A371" s="15" t="str">
        <f>IFERROR(INDEX('Formulación PDN 2027'!$A$7:$A$506,MATCH(ROW()-5,'Formulación PDN 2027'!$AK$7:$AK$506,0))&amp;"","")</f>
        <v/>
      </c>
      <c r="B371" s="20" t="str">
        <f>IFERROR(INDEX('Formulación PDN 2027'!$M$7:$M$506,MATCH(ROW()-5,'Formulación PDN 2027'!$AK$7:$AK$506,0)),"")</f>
        <v/>
      </c>
      <c r="C371" s="15" t="str">
        <f>IFERROR(INDEX('Formulación PDN 2027'!$N$7:$N$506,MATCH(ROW()-5,'Formulación PDN 2027'!$AK$7:$AK$506,0))&amp;"","")</f>
        <v/>
      </c>
      <c r="D371" s="15" t="str">
        <f>IFERROR(INDEX('Formulación PDN 2027'!$L$7:$L$506,MATCH(ROW()-5,'Formulación PDN 2027'!$AK$7:$AK$506,0))&amp;"","")</f>
        <v/>
      </c>
      <c r="E371" s="15" t="str">
        <f>IFERROR(MATCH(INDEX('Formulación PDN 2027'!$O$7:$O$506,MATCH(ROW()-5,'Formulación PDN 2027'!$AK$7:$AK$506,0)),L_MESES,0),"")</f>
        <v/>
      </c>
      <c r="F371" s="15" t="str">
        <f>IFERROR(MATCH(INDEX('Formulación PDN 2027'!$P$7:$P$506,MATCH(ROW()-5,'Formulación PDN 2027'!$AK$7:$AK$506,0)),L_MESES,0),"")</f>
        <v/>
      </c>
      <c r="G371" s="15" t="str">
        <f>IFERROR(INDEX('Formulación PDN 2027'!$Q$7:$Q$506,MATCH(ROW()-5,'Formulación PDN 2027'!$AK$7:$AK$506,0)),"")</f>
        <v/>
      </c>
      <c r="H371" s="15" t="str">
        <f>IFERROR(INDEX('Formulación PDN 2027'!$R$7:$R$506,MATCH(ROW()-5,'Formulación PDN 2027'!$AK$7:$AK$506,0))&amp;"","")</f>
        <v/>
      </c>
      <c r="I371" s="15" t="str">
        <f>IFERROR(INDEX('Formulación PDN 2027'!$S$7:$S$506,MATCH(ROW()-5,'Formulación PDN 2027'!$AK$7:$AK$506,0))&amp;"","")</f>
        <v/>
      </c>
      <c r="J371" s="15" t="str">
        <f>IFERROR(INDEX('Formulación PDN 2027'!$T$7:$T$506,MATCH(ROW()-5,'Formulación PDN 2027'!$AK$7:$AK$506,0))&amp;"","")</f>
        <v/>
      </c>
      <c r="K371" s="43" t="str">
        <f>IFERROR(INDEX('Formulación PDN 2027'!$W$7:$W$506,MATCH(ROW()-5,'Formulación PDN 2027'!$AK$7:$AK$506,0)),"")</f>
        <v/>
      </c>
      <c r="L371" s="43" t="str">
        <f>IFERROR(INDEX('Formulación PDN 2027'!$X$7:$X$506,MATCH(ROW()-5,'Formulación PDN 2027'!$AK$7:$AK$506,0)),"")</f>
        <v/>
      </c>
      <c r="M371" s="15" t="str">
        <f>IFERROR(INDEX('Formulación PDN 2027'!$Y$7:$Y$506,MATCH(ROW()-5,'Formulación PDN 2027'!$AK$7:$AK$506,0))&amp;"","")</f>
        <v/>
      </c>
      <c r="N371" s="15" t="str">
        <f>IFERROR(INDEX('Formulación PDN 2027'!$Z$7:$Z$506,MATCH(ROW()-5,'Formulación PDN 2027'!$AK$7:$AK$506,0))&amp;"","")</f>
        <v/>
      </c>
      <c r="O371" s="15"/>
      <c r="P371" s="15" t="str">
        <f>IFERROR(INDEX('Formulación PDN 2027'!$AA$7:$AA$506,MATCH(ROW()-5,'Formulación PDN 2027'!$AK$7:$AK$506,0))&amp;"","")</f>
        <v/>
      </c>
      <c r="Q371" s="15" t="str">
        <f>IFERROR(INDEX('Formulación PDN 2027'!$AB$7:$AB$506,MATCH(ROW()-5,'Formulación PDN 2027'!$AK$7:$AK$506,0))&amp;"","")</f>
        <v/>
      </c>
      <c r="R371" s="15" t="str">
        <f>IFERROR(INDEX('Formulación PDN 2027'!$AD$7:$AD$506,MATCH(ROW()-5,'Formulación PDN 2027'!$AK$7:$AK$506,0))&amp;"","")</f>
        <v/>
      </c>
      <c r="S371" s="15" t="str">
        <f>IFERROR(INDEX('Formulación PDN 2027'!$AE$7:$AE$506,MATCH(ROW()-5,'Formulación PDN 2027'!$AK$7:$AK$506,0))&amp;"","")</f>
        <v/>
      </c>
      <c r="T371" s="15" t="str">
        <f>IFERROR(INDEX('Formulación PDN 2027'!$C$7:$C$506,MATCH(ROW()-5,'Formulación PDN 2027'!$AK$7:$AK$506,0))&amp;"","")</f>
        <v/>
      </c>
      <c r="U371" s="15" t="str">
        <f>IFERROR(INDEX('Formulación PDN 2027'!$B$7:$B$506,MATCH(ROW()-5,'Formulación PDN 2027'!$AK$7:$AK$506,0))&amp;"","")</f>
        <v/>
      </c>
      <c r="V371" s="15" t="str">
        <f>IFERROR(LEFT(INDEX('Formulación PDN 2027'!$E$7:$E$506,MATCH(ROW()-5,'Formulación PDN 2027'!$AK$7:$AK$506,0)),7),"")</f>
        <v/>
      </c>
      <c r="W371" s="15" t="str">
        <f>IFERROR(INDEX('Formulación PDN 2027'!$H$7:$H$506,MATCH(ROW()-5,'Formulación PDN 2027'!$AK$7:$AK$506,0))&amp;"","")</f>
        <v/>
      </c>
      <c r="X371" s="15" t="str">
        <f>IFERROR(INDEX('Formulación PDN 2027'!$U$7:$U$506,MATCH(ROW()-5,'Formulación PDN 2027'!$AK$7:$AK$506,0))&amp;"","")</f>
        <v/>
      </c>
      <c r="Y371" s="15" t="str">
        <f>IFERROR(INDEX('Formulación PDN 2027'!$AH$7:$AH$506,MATCH(ROW()-5,'Formulación PDN 2027'!$AK$7:$AK$506,0))&amp;"","")</f>
        <v/>
      </c>
    </row>
    <row r="372" spans="1:25" x14ac:dyDescent="0.3">
      <c r="A372" s="15" t="str">
        <f>IFERROR(INDEX('Formulación PDN 2027'!$A$7:$A$506,MATCH(ROW()-5,'Formulación PDN 2027'!$AK$7:$AK$506,0))&amp;"","")</f>
        <v/>
      </c>
      <c r="B372" s="20" t="str">
        <f>IFERROR(INDEX('Formulación PDN 2027'!$M$7:$M$506,MATCH(ROW()-5,'Formulación PDN 2027'!$AK$7:$AK$506,0)),"")</f>
        <v/>
      </c>
      <c r="C372" s="15" t="str">
        <f>IFERROR(INDEX('Formulación PDN 2027'!$N$7:$N$506,MATCH(ROW()-5,'Formulación PDN 2027'!$AK$7:$AK$506,0))&amp;"","")</f>
        <v/>
      </c>
      <c r="D372" s="15" t="str">
        <f>IFERROR(INDEX('Formulación PDN 2027'!$L$7:$L$506,MATCH(ROW()-5,'Formulación PDN 2027'!$AK$7:$AK$506,0))&amp;"","")</f>
        <v/>
      </c>
      <c r="E372" s="15" t="str">
        <f>IFERROR(MATCH(INDEX('Formulación PDN 2027'!$O$7:$O$506,MATCH(ROW()-5,'Formulación PDN 2027'!$AK$7:$AK$506,0)),L_MESES,0),"")</f>
        <v/>
      </c>
      <c r="F372" s="15" t="str">
        <f>IFERROR(MATCH(INDEX('Formulación PDN 2027'!$P$7:$P$506,MATCH(ROW()-5,'Formulación PDN 2027'!$AK$7:$AK$506,0)),L_MESES,0),"")</f>
        <v/>
      </c>
      <c r="G372" s="15" t="str">
        <f>IFERROR(INDEX('Formulación PDN 2027'!$Q$7:$Q$506,MATCH(ROW()-5,'Formulación PDN 2027'!$AK$7:$AK$506,0)),"")</f>
        <v/>
      </c>
      <c r="H372" s="15" t="str">
        <f>IFERROR(INDEX('Formulación PDN 2027'!$R$7:$R$506,MATCH(ROW()-5,'Formulación PDN 2027'!$AK$7:$AK$506,0))&amp;"","")</f>
        <v/>
      </c>
      <c r="I372" s="15" t="str">
        <f>IFERROR(INDEX('Formulación PDN 2027'!$S$7:$S$506,MATCH(ROW()-5,'Formulación PDN 2027'!$AK$7:$AK$506,0))&amp;"","")</f>
        <v/>
      </c>
      <c r="J372" s="15" t="str">
        <f>IFERROR(INDEX('Formulación PDN 2027'!$T$7:$T$506,MATCH(ROW()-5,'Formulación PDN 2027'!$AK$7:$AK$506,0))&amp;"","")</f>
        <v/>
      </c>
      <c r="K372" s="43" t="str">
        <f>IFERROR(INDEX('Formulación PDN 2027'!$W$7:$W$506,MATCH(ROW()-5,'Formulación PDN 2027'!$AK$7:$AK$506,0)),"")</f>
        <v/>
      </c>
      <c r="L372" s="43" t="str">
        <f>IFERROR(INDEX('Formulación PDN 2027'!$X$7:$X$506,MATCH(ROW()-5,'Formulación PDN 2027'!$AK$7:$AK$506,0)),"")</f>
        <v/>
      </c>
      <c r="M372" s="15" t="str">
        <f>IFERROR(INDEX('Formulación PDN 2027'!$Y$7:$Y$506,MATCH(ROW()-5,'Formulación PDN 2027'!$AK$7:$AK$506,0))&amp;"","")</f>
        <v/>
      </c>
      <c r="N372" s="15" t="str">
        <f>IFERROR(INDEX('Formulación PDN 2027'!$Z$7:$Z$506,MATCH(ROW()-5,'Formulación PDN 2027'!$AK$7:$AK$506,0))&amp;"","")</f>
        <v/>
      </c>
      <c r="O372" s="15"/>
      <c r="P372" s="15" t="str">
        <f>IFERROR(INDEX('Formulación PDN 2027'!$AA$7:$AA$506,MATCH(ROW()-5,'Formulación PDN 2027'!$AK$7:$AK$506,0))&amp;"","")</f>
        <v/>
      </c>
      <c r="Q372" s="15" t="str">
        <f>IFERROR(INDEX('Formulación PDN 2027'!$AB$7:$AB$506,MATCH(ROW()-5,'Formulación PDN 2027'!$AK$7:$AK$506,0))&amp;"","")</f>
        <v/>
      </c>
      <c r="R372" s="15" t="str">
        <f>IFERROR(INDEX('Formulación PDN 2027'!$AD$7:$AD$506,MATCH(ROW()-5,'Formulación PDN 2027'!$AK$7:$AK$506,0))&amp;"","")</f>
        <v/>
      </c>
      <c r="S372" s="15" t="str">
        <f>IFERROR(INDEX('Formulación PDN 2027'!$AE$7:$AE$506,MATCH(ROW()-5,'Formulación PDN 2027'!$AK$7:$AK$506,0))&amp;"","")</f>
        <v/>
      </c>
      <c r="T372" s="15" t="str">
        <f>IFERROR(INDEX('Formulación PDN 2027'!$C$7:$C$506,MATCH(ROW()-5,'Formulación PDN 2027'!$AK$7:$AK$506,0))&amp;"","")</f>
        <v/>
      </c>
      <c r="U372" s="15" t="str">
        <f>IFERROR(INDEX('Formulación PDN 2027'!$B$7:$B$506,MATCH(ROW()-5,'Formulación PDN 2027'!$AK$7:$AK$506,0))&amp;"","")</f>
        <v/>
      </c>
      <c r="V372" s="15" t="str">
        <f>IFERROR(LEFT(INDEX('Formulación PDN 2027'!$E$7:$E$506,MATCH(ROW()-5,'Formulación PDN 2027'!$AK$7:$AK$506,0)),7),"")</f>
        <v/>
      </c>
      <c r="W372" s="15" t="str">
        <f>IFERROR(INDEX('Formulación PDN 2027'!$H$7:$H$506,MATCH(ROW()-5,'Formulación PDN 2027'!$AK$7:$AK$506,0))&amp;"","")</f>
        <v/>
      </c>
      <c r="X372" s="15" t="str">
        <f>IFERROR(INDEX('Formulación PDN 2027'!$U$7:$U$506,MATCH(ROW()-5,'Formulación PDN 2027'!$AK$7:$AK$506,0))&amp;"","")</f>
        <v/>
      </c>
      <c r="Y372" s="15" t="str">
        <f>IFERROR(INDEX('Formulación PDN 2027'!$AH$7:$AH$506,MATCH(ROW()-5,'Formulación PDN 2027'!$AK$7:$AK$506,0))&amp;"","")</f>
        <v/>
      </c>
    </row>
    <row r="373" spans="1:25" x14ac:dyDescent="0.3">
      <c r="A373" s="15" t="str">
        <f>IFERROR(INDEX('Formulación PDN 2027'!$A$7:$A$506,MATCH(ROW()-5,'Formulación PDN 2027'!$AK$7:$AK$506,0))&amp;"","")</f>
        <v/>
      </c>
      <c r="B373" s="20" t="str">
        <f>IFERROR(INDEX('Formulación PDN 2027'!$M$7:$M$506,MATCH(ROW()-5,'Formulación PDN 2027'!$AK$7:$AK$506,0)),"")</f>
        <v/>
      </c>
      <c r="C373" s="15" t="str">
        <f>IFERROR(INDEX('Formulación PDN 2027'!$N$7:$N$506,MATCH(ROW()-5,'Formulación PDN 2027'!$AK$7:$AK$506,0))&amp;"","")</f>
        <v/>
      </c>
      <c r="D373" s="15" t="str">
        <f>IFERROR(INDEX('Formulación PDN 2027'!$L$7:$L$506,MATCH(ROW()-5,'Formulación PDN 2027'!$AK$7:$AK$506,0))&amp;"","")</f>
        <v/>
      </c>
      <c r="E373" s="15" t="str">
        <f>IFERROR(MATCH(INDEX('Formulación PDN 2027'!$O$7:$O$506,MATCH(ROW()-5,'Formulación PDN 2027'!$AK$7:$AK$506,0)),L_MESES,0),"")</f>
        <v/>
      </c>
      <c r="F373" s="15" t="str">
        <f>IFERROR(MATCH(INDEX('Formulación PDN 2027'!$P$7:$P$506,MATCH(ROW()-5,'Formulación PDN 2027'!$AK$7:$AK$506,0)),L_MESES,0),"")</f>
        <v/>
      </c>
      <c r="G373" s="15" t="str">
        <f>IFERROR(INDEX('Formulación PDN 2027'!$Q$7:$Q$506,MATCH(ROW()-5,'Formulación PDN 2027'!$AK$7:$AK$506,0)),"")</f>
        <v/>
      </c>
      <c r="H373" s="15" t="str">
        <f>IFERROR(INDEX('Formulación PDN 2027'!$R$7:$R$506,MATCH(ROW()-5,'Formulación PDN 2027'!$AK$7:$AK$506,0))&amp;"","")</f>
        <v/>
      </c>
      <c r="I373" s="15" t="str">
        <f>IFERROR(INDEX('Formulación PDN 2027'!$S$7:$S$506,MATCH(ROW()-5,'Formulación PDN 2027'!$AK$7:$AK$506,0))&amp;"","")</f>
        <v/>
      </c>
      <c r="J373" s="15" t="str">
        <f>IFERROR(INDEX('Formulación PDN 2027'!$T$7:$T$506,MATCH(ROW()-5,'Formulación PDN 2027'!$AK$7:$AK$506,0))&amp;"","")</f>
        <v/>
      </c>
      <c r="K373" s="43" t="str">
        <f>IFERROR(INDEX('Formulación PDN 2027'!$W$7:$W$506,MATCH(ROW()-5,'Formulación PDN 2027'!$AK$7:$AK$506,0)),"")</f>
        <v/>
      </c>
      <c r="L373" s="43" t="str">
        <f>IFERROR(INDEX('Formulación PDN 2027'!$X$7:$X$506,MATCH(ROW()-5,'Formulación PDN 2027'!$AK$7:$AK$506,0)),"")</f>
        <v/>
      </c>
      <c r="M373" s="15" t="str">
        <f>IFERROR(INDEX('Formulación PDN 2027'!$Y$7:$Y$506,MATCH(ROW()-5,'Formulación PDN 2027'!$AK$7:$AK$506,0))&amp;"","")</f>
        <v/>
      </c>
      <c r="N373" s="15" t="str">
        <f>IFERROR(INDEX('Formulación PDN 2027'!$Z$7:$Z$506,MATCH(ROW()-5,'Formulación PDN 2027'!$AK$7:$AK$506,0))&amp;"","")</f>
        <v/>
      </c>
      <c r="O373" s="15"/>
      <c r="P373" s="15" t="str">
        <f>IFERROR(INDEX('Formulación PDN 2027'!$AA$7:$AA$506,MATCH(ROW()-5,'Formulación PDN 2027'!$AK$7:$AK$506,0))&amp;"","")</f>
        <v/>
      </c>
      <c r="Q373" s="15" t="str">
        <f>IFERROR(INDEX('Formulación PDN 2027'!$AB$7:$AB$506,MATCH(ROW()-5,'Formulación PDN 2027'!$AK$7:$AK$506,0))&amp;"","")</f>
        <v/>
      </c>
      <c r="R373" s="15" t="str">
        <f>IFERROR(INDEX('Formulación PDN 2027'!$AD$7:$AD$506,MATCH(ROW()-5,'Formulación PDN 2027'!$AK$7:$AK$506,0))&amp;"","")</f>
        <v/>
      </c>
      <c r="S373" s="15" t="str">
        <f>IFERROR(INDEX('Formulación PDN 2027'!$AE$7:$AE$506,MATCH(ROW()-5,'Formulación PDN 2027'!$AK$7:$AK$506,0))&amp;"","")</f>
        <v/>
      </c>
      <c r="T373" s="15" t="str">
        <f>IFERROR(INDEX('Formulación PDN 2027'!$C$7:$C$506,MATCH(ROW()-5,'Formulación PDN 2027'!$AK$7:$AK$506,0))&amp;"","")</f>
        <v/>
      </c>
      <c r="U373" s="15" t="str">
        <f>IFERROR(INDEX('Formulación PDN 2027'!$B$7:$B$506,MATCH(ROW()-5,'Formulación PDN 2027'!$AK$7:$AK$506,0))&amp;"","")</f>
        <v/>
      </c>
      <c r="V373" s="15" t="str">
        <f>IFERROR(LEFT(INDEX('Formulación PDN 2027'!$E$7:$E$506,MATCH(ROW()-5,'Formulación PDN 2027'!$AK$7:$AK$506,0)),7),"")</f>
        <v/>
      </c>
      <c r="W373" s="15" t="str">
        <f>IFERROR(INDEX('Formulación PDN 2027'!$H$7:$H$506,MATCH(ROW()-5,'Formulación PDN 2027'!$AK$7:$AK$506,0))&amp;"","")</f>
        <v/>
      </c>
      <c r="X373" s="15" t="str">
        <f>IFERROR(INDEX('Formulación PDN 2027'!$U$7:$U$506,MATCH(ROW()-5,'Formulación PDN 2027'!$AK$7:$AK$506,0))&amp;"","")</f>
        <v/>
      </c>
      <c r="Y373" s="15" t="str">
        <f>IFERROR(INDEX('Formulación PDN 2027'!$AH$7:$AH$506,MATCH(ROW()-5,'Formulación PDN 2027'!$AK$7:$AK$506,0))&amp;"","")</f>
        <v/>
      </c>
    </row>
    <row r="374" spans="1:25" x14ac:dyDescent="0.3">
      <c r="A374" s="15" t="str">
        <f>IFERROR(INDEX('Formulación PDN 2027'!$A$7:$A$506,MATCH(ROW()-5,'Formulación PDN 2027'!$AK$7:$AK$506,0))&amp;"","")</f>
        <v/>
      </c>
      <c r="B374" s="20" t="str">
        <f>IFERROR(INDEX('Formulación PDN 2027'!$M$7:$M$506,MATCH(ROW()-5,'Formulación PDN 2027'!$AK$7:$AK$506,0)),"")</f>
        <v/>
      </c>
      <c r="C374" s="15" t="str">
        <f>IFERROR(INDEX('Formulación PDN 2027'!$N$7:$N$506,MATCH(ROW()-5,'Formulación PDN 2027'!$AK$7:$AK$506,0))&amp;"","")</f>
        <v/>
      </c>
      <c r="D374" s="15" t="str">
        <f>IFERROR(INDEX('Formulación PDN 2027'!$L$7:$L$506,MATCH(ROW()-5,'Formulación PDN 2027'!$AK$7:$AK$506,0))&amp;"","")</f>
        <v/>
      </c>
      <c r="E374" s="15" t="str">
        <f>IFERROR(MATCH(INDEX('Formulación PDN 2027'!$O$7:$O$506,MATCH(ROW()-5,'Formulación PDN 2027'!$AK$7:$AK$506,0)),L_MESES,0),"")</f>
        <v/>
      </c>
      <c r="F374" s="15" t="str">
        <f>IFERROR(MATCH(INDEX('Formulación PDN 2027'!$P$7:$P$506,MATCH(ROW()-5,'Formulación PDN 2027'!$AK$7:$AK$506,0)),L_MESES,0),"")</f>
        <v/>
      </c>
      <c r="G374" s="15" t="str">
        <f>IFERROR(INDEX('Formulación PDN 2027'!$Q$7:$Q$506,MATCH(ROW()-5,'Formulación PDN 2027'!$AK$7:$AK$506,0)),"")</f>
        <v/>
      </c>
      <c r="H374" s="15" t="str">
        <f>IFERROR(INDEX('Formulación PDN 2027'!$R$7:$R$506,MATCH(ROW()-5,'Formulación PDN 2027'!$AK$7:$AK$506,0))&amp;"","")</f>
        <v/>
      </c>
      <c r="I374" s="15" t="str">
        <f>IFERROR(INDEX('Formulación PDN 2027'!$S$7:$S$506,MATCH(ROW()-5,'Formulación PDN 2027'!$AK$7:$AK$506,0))&amp;"","")</f>
        <v/>
      </c>
      <c r="J374" s="15" t="str">
        <f>IFERROR(INDEX('Formulación PDN 2027'!$T$7:$T$506,MATCH(ROW()-5,'Formulación PDN 2027'!$AK$7:$AK$506,0))&amp;"","")</f>
        <v/>
      </c>
      <c r="K374" s="43" t="str">
        <f>IFERROR(INDEX('Formulación PDN 2027'!$W$7:$W$506,MATCH(ROW()-5,'Formulación PDN 2027'!$AK$7:$AK$506,0)),"")</f>
        <v/>
      </c>
      <c r="L374" s="43" t="str">
        <f>IFERROR(INDEX('Formulación PDN 2027'!$X$7:$X$506,MATCH(ROW()-5,'Formulación PDN 2027'!$AK$7:$AK$506,0)),"")</f>
        <v/>
      </c>
      <c r="M374" s="15" t="str">
        <f>IFERROR(INDEX('Formulación PDN 2027'!$Y$7:$Y$506,MATCH(ROW()-5,'Formulación PDN 2027'!$AK$7:$AK$506,0))&amp;"","")</f>
        <v/>
      </c>
      <c r="N374" s="15" t="str">
        <f>IFERROR(INDEX('Formulación PDN 2027'!$Z$7:$Z$506,MATCH(ROW()-5,'Formulación PDN 2027'!$AK$7:$AK$506,0))&amp;"","")</f>
        <v/>
      </c>
      <c r="O374" s="15"/>
      <c r="P374" s="15" t="str">
        <f>IFERROR(INDEX('Formulación PDN 2027'!$AA$7:$AA$506,MATCH(ROW()-5,'Formulación PDN 2027'!$AK$7:$AK$506,0))&amp;"","")</f>
        <v/>
      </c>
      <c r="Q374" s="15" t="str">
        <f>IFERROR(INDEX('Formulación PDN 2027'!$AB$7:$AB$506,MATCH(ROW()-5,'Formulación PDN 2027'!$AK$7:$AK$506,0))&amp;"","")</f>
        <v/>
      </c>
      <c r="R374" s="15" t="str">
        <f>IFERROR(INDEX('Formulación PDN 2027'!$AD$7:$AD$506,MATCH(ROW()-5,'Formulación PDN 2027'!$AK$7:$AK$506,0))&amp;"","")</f>
        <v/>
      </c>
      <c r="S374" s="15" t="str">
        <f>IFERROR(INDEX('Formulación PDN 2027'!$AE$7:$AE$506,MATCH(ROW()-5,'Formulación PDN 2027'!$AK$7:$AK$506,0))&amp;"","")</f>
        <v/>
      </c>
      <c r="T374" s="15" t="str">
        <f>IFERROR(INDEX('Formulación PDN 2027'!$C$7:$C$506,MATCH(ROW()-5,'Formulación PDN 2027'!$AK$7:$AK$506,0))&amp;"","")</f>
        <v/>
      </c>
      <c r="U374" s="15" t="str">
        <f>IFERROR(INDEX('Formulación PDN 2027'!$B$7:$B$506,MATCH(ROW()-5,'Formulación PDN 2027'!$AK$7:$AK$506,0))&amp;"","")</f>
        <v/>
      </c>
      <c r="V374" s="15" t="str">
        <f>IFERROR(LEFT(INDEX('Formulación PDN 2027'!$E$7:$E$506,MATCH(ROW()-5,'Formulación PDN 2027'!$AK$7:$AK$506,0)),7),"")</f>
        <v/>
      </c>
      <c r="W374" s="15" t="str">
        <f>IFERROR(INDEX('Formulación PDN 2027'!$H$7:$H$506,MATCH(ROW()-5,'Formulación PDN 2027'!$AK$7:$AK$506,0))&amp;"","")</f>
        <v/>
      </c>
      <c r="X374" s="15" t="str">
        <f>IFERROR(INDEX('Formulación PDN 2027'!$U$7:$U$506,MATCH(ROW()-5,'Formulación PDN 2027'!$AK$7:$AK$506,0))&amp;"","")</f>
        <v/>
      </c>
      <c r="Y374" s="15" t="str">
        <f>IFERROR(INDEX('Formulación PDN 2027'!$AH$7:$AH$506,MATCH(ROW()-5,'Formulación PDN 2027'!$AK$7:$AK$506,0))&amp;"","")</f>
        <v/>
      </c>
    </row>
    <row r="375" spans="1:25" x14ac:dyDescent="0.3">
      <c r="A375" s="15" t="str">
        <f>IFERROR(INDEX('Formulación PDN 2027'!$A$7:$A$506,MATCH(ROW()-5,'Formulación PDN 2027'!$AK$7:$AK$506,0))&amp;"","")</f>
        <v/>
      </c>
      <c r="B375" s="20" t="str">
        <f>IFERROR(INDEX('Formulación PDN 2027'!$M$7:$M$506,MATCH(ROW()-5,'Formulación PDN 2027'!$AK$7:$AK$506,0)),"")</f>
        <v/>
      </c>
      <c r="C375" s="15" t="str">
        <f>IFERROR(INDEX('Formulación PDN 2027'!$N$7:$N$506,MATCH(ROW()-5,'Formulación PDN 2027'!$AK$7:$AK$506,0))&amp;"","")</f>
        <v/>
      </c>
      <c r="D375" s="15" t="str">
        <f>IFERROR(INDEX('Formulación PDN 2027'!$L$7:$L$506,MATCH(ROW()-5,'Formulación PDN 2027'!$AK$7:$AK$506,0))&amp;"","")</f>
        <v/>
      </c>
      <c r="E375" s="15" t="str">
        <f>IFERROR(MATCH(INDEX('Formulación PDN 2027'!$O$7:$O$506,MATCH(ROW()-5,'Formulación PDN 2027'!$AK$7:$AK$506,0)),L_MESES,0),"")</f>
        <v/>
      </c>
      <c r="F375" s="15" t="str">
        <f>IFERROR(MATCH(INDEX('Formulación PDN 2027'!$P$7:$P$506,MATCH(ROW()-5,'Formulación PDN 2027'!$AK$7:$AK$506,0)),L_MESES,0),"")</f>
        <v/>
      </c>
      <c r="G375" s="15" t="str">
        <f>IFERROR(INDEX('Formulación PDN 2027'!$Q$7:$Q$506,MATCH(ROW()-5,'Formulación PDN 2027'!$AK$7:$AK$506,0)),"")</f>
        <v/>
      </c>
      <c r="H375" s="15" t="str">
        <f>IFERROR(INDEX('Formulación PDN 2027'!$R$7:$R$506,MATCH(ROW()-5,'Formulación PDN 2027'!$AK$7:$AK$506,0))&amp;"","")</f>
        <v/>
      </c>
      <c r="I375" s="15" t="str">
        <f>IFERROR(INDEX('Formulación PDN 2027'!$S$7:$S$506,MATCH(ROW()-5,'Formulación PDN 2027'!$AK$7:$AK$506,0))&amp;"","")</f>
        <v/>
      </c>
      <c r="J375" s="15" t="str">
        <f>IFERROR(INDEX('Formulación PDN 2027'!$T$7:$T$506,MATCH(ROW()-5,'Formulación PDN 2027'!$AK$7:$AK$506,0))&amp;"","")</f>
        <v/>
      </c>
      <c r="K375" s="43" t="str">
        <f>IFERROR(INDEX('Formulación PDN 2027'!$W$7:$W$506,MATCH(ROW()-5,'Formulación PDN 2027'!$AK$7:$AK$506,0)),"")</f>
        <v/>
      </c>
      <c r="L375" s="43" t="str">
        <f>IFERROR(INDEX('Formulación PDN 2027'!$X$7:$X$506,MATCH(ROW()-5,'Formulación PDN 2027'!$AK$7:$AK$506,0)),"")</f>
        <v/>
      </c>
      <c r="M375" s="15" t="str">
        <f>IFERROR(INDEX('Formulación PDN 2027'!$Y$7:$Y$506,MATCH(ROW()-5,'Formulación PDN 2027'!$AK$7:$AK$506,0))&amp;"","")</f>
        <v/>
      </c>
      <c r="N375" s="15" t="str">
        <f>IFERROR(INDEX('Formulación PDN 2027'!$Z$7:$Z$506,MATCH(ROW()-5,'Formulación PDN 2027'!$AK$7:$AK$506,0))&amp;"","")</f>
        <v/>
      </c>
      <c r="O375" s="15"/>
      <c r="P375" s="15" t="str">
        <f>IFERROR(INDEX('Formulación PDN 2027'!$AA$7:$AA$506,MATCH(ROW()-5,'Formulación PDN 2027'!$AK$7:$AK$506,0))&amp;"","")</f>
        <v/>
      </c>
      <c r="Q375" s="15" t="str">
        <f>IFERROR(INDEX('Formulación PDN 2027'!$AB$7:$AB$506,MATCH(ROW()-5,'Formulación PDN 2027'!$AK$7:$AK$506,0))&amp;"","")</f>
        <v/>
      </c>
      <c r="R375" s="15" t="str">
        <f>IFERROR(INDEX('Formulación PDN 2027'!$AD$7:$AD$506,MATCH(ROW()-5,'Formulación PDN 2027'!$AK$7:$AK$506,0))&amp;"","")</f>
        <v/>
      </c>
      <c r="S375" s="15" t="str">
        <f>IFERROR(INDEX('Formulación PDN 2027'!$AE$7:$AE$506,MATCH(ROW()-5,'Formulación PDN 2027'!$AK$7:$AK$506,0))&amp;"","")</f>
        <v/>
      </c>
      <c r="T375" s="15" t="str">
        <f>IFERROR(INDEX('Formulación PDN 2027'!$C$7:$C$506,MATCH(ROW()-5,'Formulación PDN 2027'!$AK$7:$AK$506,0))&amp;"","")</f>
        <v/>
      </c>
      <c r="U375" s="15" t="str">
        <f>IFERROR(INDEX('Formulación PDN 2027'!$B$7:$B$506,MATCH(ROW()-5,'Formulación PDN 2027'!$AK$7:$AK$506,0))&amp;"","")</f>
        <v/>
      </c>
      <c r="V375" s="15" t="str">
        <f>IFERROR(LEFT(INDEX('Formulación PDN 2027'!$E$7:$E$506,MATCH(ROW()-5,'Formulación PDN 2027'!$AK$7:$AK$506,0)),7),"")</f>
        <v/>
      </c>
      <c r="W375" s="15" t="str">
        <f>IFERROR(INDEX('Formulación PDN 2027'!$H$7:$H$506,MATCH(ROW()-5,'Formulación PDN 2027'!$AK$7:$AK$506,0))&amp;"","")</f>
        <v/>
      </c>
      <c r="X375" s="15" t="str">
        <f>IFERROR(INDEX('Formulación PDN 2027'!$U$7:$U$506,MATCH(ROW()-5,'Formulación PDN 2027'!$AK$7:$AK$506,0))&amp;"","")</f>
        <v/>
      </c>
      <c r="Y375" s="15" t="str">
        <f>IFERROR(INDEX('Formulación PDN 2027'!$AH$7:$AH$506,MATCH(ROW()-5,'Formulación PDN 2027'!$AK$7:$AK$506,0))&amp;"","")</f>
        <v/>
      </c>
    </row>
    <row r="376" spans="1:25" x14ac:dyDescent="0.3">
      <c r="A376" s="15" t="str">
        <f>IFERROR(INDEX('Formulación PDN 2027'!$A$7:$A$506,MATCH(ROW()-5,'Formulación PDN 2027'!$AK$7:$AK$506,0))&amp;"","")</f>
        <v/>
      </c>
      <c r="B376" s="20" t="str">
        <f>IFERROR(INDEX('Formulación PDN 2027'!$M$7:$M$506,MATCH(ROW()-5,'Formulación PDN 2027'!$AK$7:$AK$506,0)),"")</f>
        <v/>
      </c>
      <c r="C376" s="15" t="str">
        <f>IFERROR(INDEX('Formulación PDN 2027'!$N$7:$N$506,MATCH(ROW()-5,'Formulación PDN 2027'!$AK$7:$AK$506,0))&amp;"","")</f>
        <v/>
      </c>
      <c r="D376" s="15" t="str">
        <f>IFERROR(INDEX('Formulación PDN 2027'!$L$7:$L$506,MATCH(ROW()-5,'Formulación PDN 2027'!$AK$7:$AK$506,0))&amp;"","")</f>
        <v/>
      </c>
      <c r="E376" s="15" t="str">
        <f>IFERROR(MATCH(INDEX('Formulación PDN 2027'!$O$7:$O$506,MATCH(ROW()-5,'Formulación PDN 2027'!$AK$7:$AK$506,0)),L_MESES,0),"")</f>
        <v/>
      </c>
      <c r="F376" s="15" t="str">
        <f>IFERROR(MATCH(INDEX('Formulación PDN 2027'!$P$7:$P$506,MATCH(ROW()-5,'Formulación PDN 2027'!$AK$7:$AK$506,0)),L_MESES,0),"")</f>
        <v/>
      </c>
      <c r="G376" s="15" t="str">
        <f>IFERROR(INDEX('Formulación PDN 2027'!$Q$7:$Q$506,MATCH(ROW()-5,'Formulación PDN 2027'!$AK$7:$AK$506,0)),"")</f>
        <v/>
      </c>
      <c r="H376" s="15" t="str">
        <f>IFERROR(INDEX('Formulación PDN 2027'!$R$7:$R$506,MATCH(ROW()-5,'Formulación PDN 2027'!$AK$7:$AK$506,0))&amp;"","")</f>
        <v/>
      </c>
      <c r="I376" s="15" t="str">
        <f>IFERROR(INDEX('Formulación PDN 2027'!$S$7:$S$506,MATCH(ROW()-5,'Formulación PDN 2027'!$AK$7:$AK$506,0))&amp;"","")</f>
        <v/>
      </c>
      <c r="J376" s="15" t="str">
        <f>IFERROR(INDEX('Formulación PDN 2027'!$T$7:$T$506,MATCH(ROW()-5,'Formulación PDN 2027'!$AK$7:$AK$506,0))&amp;"","")</f>
        <v/>
      </c>
      <c r="K376" s="43" t="str">
        <f>IFERROR(INDEX('Formulación PDN 2027'!$W$7:$W$506,MATCH(ROW()-5,'Formulación PDN 2027'!$AK$7:$AK$506,0)),"")</f>
        <v/>
      </c>
      <c r="L376" s="43" t="str">
        <f>IFERROR(INDEX('Formulación PDN 2027'!$X$7:$X$506,MATCH(ROW()-5,'Formulación PDN 2027'!$AK$7:$AK$506,0)),"")</f>
        <v/>
      </c>
      <c r="M376" s="15" t="str">
        <f>IFERROR(INDEX('Formulación PDN 2027'!$Y$7:$Y$506,MATCH(ROW()-5,'Formulación PDN 2027'!$AK$7:$AK$506,0))&amp;"","")</f>
        <v/>
      </c>
      <c r="N376" s="15" t="str">
        <f>IFERROR(INDEX('Formulación PDN 2027'!$Z$7:$Z$506,MATCH(ROW()-5,'Formulación PDN 2027'!$AK$7:$AK$506,0))&amp;"","")</f>
        <v/>
      </c>
      <c r="O376" s="15"/>
      <c r="P376" s="15" t="str">
        <f>IFERROR(INDEX('Formulación PDN 2027'!$AA$7:$AA$506,MATCH(ROW()-5,'Formulación PDN 2027'!$AK$7:$AK$506,0))&amp;"","")</f>
        <v/>
      </c>
      <c r="Q376" s="15" t="str">
        <f>IFERROR(INDEX('Formulación PDN 2027'!$AB$7:$AB$506,MATCH(ROW()-5,'Formulación PDN 2027'!$AK$7:$AK$506,0))&amp;"","")</f>
        <v/>
      </c>
      <c r="R376" s="15" t="str">
        <f>IFERROR(INDEX('Formulación PDN 2027'!$AD$7:$AD$506,MATCH(ROW()-5,'Formulación PDN 2027'!$AK$7:$AK$506,0))&amp;"","")</f>
        <v/>
      </c>
      <c r="S376" s="15" t="str">
        <f>IFERROR(INDEX('Formulación PDN 2027'!$AE$7:$AE$506,MATCH(ROW()-5,'Formulación PDN 2027'!$AK$7:$AK$506,0))&amp;"","")</f>
        <v/>
      </c>
      <c r="T376" s="15" t="str">
        <f>IFERROR(INDEX('Formulación PDN 2027'!$C$7:$C$506,MATCH(ROW()-5,'Formulación PDN 2027'!$AK$7:$AK$506,0))&amp;"","")</f>
        <v/>
      </c>
      <c r="U376" s="15" t="str">
        <f>IFERROR(INDEX('Formulación PDN 2027'!$B$7:$B$506,MATCH(ROW()-5,'Formulación PDN 2027'!$AK$7:$AK$506,0))&amp;"","")</f>
        <v/>
      </c>
      <c r="V376" s="15" t="str">
        <f>IFERROR(LEFT(INDEX('Formulación PDN 2027'!$E$7:$E$506,MATCH(ROW()-5,'Formulación PDN 2027'!$AK$7:$AK$506,0)),7),"")</f>
        <v/>
      </c>
      <c r="W376" s="15" t="str">
        <f>IFERROR(INDEX('Formulación PDN 2027'!$H$7:$H$506,MATCH(ROW()-5,'Formulación PDN 2027'!$AK$7:$AK$506,0))&amp;"","")</f>
        <v/>
      </c>
      <c r="X376" s="15" t="str">
        <f>IFERROR(INDEX('Formulación PDN 2027'!$U$7:$U$506,MATCH(ROW()-5,'Formulación PDN 2027'!$AK$7:$AK$506,0))&amp;"","")</f>
        <v/>
      </c>
      <c r="Y376" s="15" t="str">
        <f>IFERROR(INDEX('Formulación PDN 2027'!$AH$7:$AH$506,MATCH(ROW()-5,'Formulación PDN 2027'!$AK$7:$AK$506,0))&amp;"","")</f>
        <v/>
      </c>
    </row>
    <row r="377" spans="1:25" x14ac:dyDescent="0.3">
      <c r="A377" s="15" t="str">
        <f>IFERROR(INDEX('Formulación PDN 2027'!$A$7:$A$506,MATCH(ROW()-5,'Formulación PDN 2027'!$AK$7:$AK$506,0))&amp;"","")</f>
        <v/>
      </c>
      <c r="B377" s="20" t="str">
        <f>IFERROR(INDEX('Formulación PDN 2027'!$M$7:$M$506,MATCH(ROW()-5,'Formulación PDN 2027'!$AK$7:$AK$506,0)),"")</f>
        <v/>
      </c>
      <c r="C377" s="15" t="str">
        <f>IFERROR(INDEX('Formulación PDN 2027'!$N$7:$N$506,MATCH(ROW()-5,'Formulación PDN 2027'!$AK$7:$AK$506,0))&amp;"","")</f>
        <v/>
      </c>
      <c r="D377" s="15" t="str">
        <f>IFERROR(INDEX('Formulación PDN 2027'!$L$7:$L$506,MATCH(ROW()-5,'Formulación PDN 2027'!$AK$7:$AK$506,0))&amp;"","")</f>
        <v/>
      </c>
      <c r="E377" s="15" t="str">
        <f>IFERROR(MATCH(INDEX('Formulación PDN 2027'!$O$7:$O$506,MATCH(ROW()-5,'Formulación PDN 2027'!$AK$7:$AK$506,0)),L_MESES,0),"")</f>
        <v/>
      </c>
      <c r="F377" s="15" t="str">
        <f>IFERROR(MATCH(INDEX('Formulación PDN 2027'!$P$7:$P$506,MATCH(ROW()-5,'Formulación PDN 2027'!$AK$7:$AK$506,0)),L_MESES,0),"")</f>
        <v/>
      </c>
      <c r="G377" s="15" t="str">
        <f>IFERROR(INDEX('Formulación PDN 2027'!$Q$7:$Q$506,MATCH(ROW()-5,'Formulación PDN 2027'!$AK$7:$AK$506,0)),"")</f>
        <v/>
      </c>
      <c r="H377" s="15" t="str">
        <f>IFERROR(INDEX('Formulación PDN 2027'!$R$7:$R$506,MATCH(ROW()-5,'Formulación PDN 2027'!$AK$7:$AK$506,0))&amp;"","")</f>
        <v/>
      </c>
      <c r="I377" s="15" t="str">
        <f>IFERROR(INDEX('Formulación PDN 2027'!$S$7:$S$506,MATCH(ROW()-5,'Formulación PDN 2027'!$AK$7:$AK$506,0))&amp;"","")</f>
        <v/>
      </c>
      <c r="J377" s="15" t="str">
        <f>IFERROR(INDEX('Formulación PDN 2027'!$T$7:$T$506,MATCH(ROW()-5,'Formulación PDN 2027'!$AK$7:$AK$506,0))&amp;"","")</f>
        <v/>
      </c>
      <c r="K377" s="43" t="str">
        <f>IFERROR(INDEX('Formulación PDN 2027'!$W$7:$W$506,MATCH(ROW()-5,'Formulación PDN 2027'!$AK$7:$AK$506,0)),"")</f>
        <v/>
      </c>
      <c r="L377" s="43" t="str">
        <f>IFERROR(INDEX('Formulación PDN 2027'!$X$7:$X$506,MATCH(ROW()-5,'Formulación PDN 2027'!$AK$7:$AK$506,0)),"")</f>
        <v/>
      </c>
      <c r="M377" s="15" t="str">
        <f>IFERROR(INDEX('Formulación PDN 2027'!$Y$7:$Y$506,MATCH(ROW()-5,'Formulación PDN 2027'!$AK$7:$AK$506,0))&amp;"","")</f>
        <v/>
      </c>
      <c r="N377" s="15" t="str">
        <f>IFERROR(INDEX('Formulación PDN 2027'!$Z$7:$Z$506,MATCH(ROW()-5,'Formulación PDN 2027'!$AK$7:$AK$506,0))&amp;"","")</f>
        <v/>
      </c>
      <c r="O377" s="15"/>
      <c r="P377" s="15" t="str">
        <f>IFERROR(INDEX('Formulación PDN 2027'!$AA$7:$AA$506,MATCH(ROW()-5,'Formulación PDN 2027'!$AK$7:$AK$506,0))&amp;"","")</f>
        <v/>
      </c>
      <c r="Q377" s="15" t="str">
        <f>IFERROR(INDEX('Formulación PDN 2027'!$AB$7:$AB$506,MATCH(ROW()-5,'Formulación PDN 2027'!$AK$7:$AK$506,0))&amp;"","")</f>
        <v/>
      </c>
      <c r="R377" s="15" t="str">
        <f>IFERROR(INDEX('Formulación PDN 2027'!$AD$7:$AD$506,MATCH(ROW()-5,'Formulación PDN 2027'!$AK$7:$AK$506,0))&amp;"","")</f>
        <v/>
      </c>
      <c r="S377" s="15" t="str">
        <f>IFERROR(INDEX('Formulación PDN 2027'!$AE$7:$AE$506,MATCH(ROW()-5,'Formulación PDN 2027'!$AK$7:$AK$506,0))&amp;"","")</f>
        <v/>
      </c>
      <c r="T377" s="15" t="str">
        <f>IFERROR(INDEX('Formulación PDN 2027'!$C$7:$C$506,MATCH(ROW()-5,'Formulación PDN 2027'!$AK$7:$AK$506,0))&amp;"","")</f>
        <v/>
      </c>
      <c r="U377" s="15" t="str">
        <f>IFERROR(INDEX('Formulación PDN 2027'!$B$7:$B$506,MATCH(ROW()-5,'Formulación PDN 2027'!$AK$7:$AK$506,0))&amp;"","")</f>
        <v/>
      </c>
      <c r="V377" s="15" t="str">
        <f>IFERROR(LEFT(INDEX('Formulación PDN 2027'!$E$7:$E$506,MATCH(ROW()-5,'Formulación PDN 2027'!$AK$7:$AK$506,0)),7),"")</f>
        <v/>
      </c>
      <c r="W377" s="15" t="str">
        <f>IFERROR(INDEX('Formulación PDN 2027'!$H$7:$H$506,MATCH(ROW()-5,'Formulación PDN 2027'!$AK$7:$AK$506,0))&amp;"","")</f>
        <v/>
      </c>
      <c r="X377" s="15" t="str">
        <f>IFERROR(INDEX('Formulación PDN 2027'!$U$7:$U$506,MATCH(ROW()-5,'Formulación PDN 2027'!$AK$7:$AK$506,0))&amp;"","")</f>
        <v/>
      </c>
      <c r="Y377" s="15" t="str">
        <f>IFERROR(INDEX('Formulación PDN 2027'!$AH$7:$AH$506,MATCH(ROW()-5,'Formulación PDN 2027'!$AK$7:$AK$506,0))&amp;"","")</f>
        <v/>
      </c>
    </row>
    <row r="378" spans="1:25" x14ac:dyDescent="0.3">
      <c r="A378" s="15" t="str">
        <f>IFERROR(INDEX('Formulación PDN 2027'!$A$7:$A$506,MATCH(ROW()-5,'Formulación PDN 2027'!$AK$7:$AK$506,0))&amp;"","")</f>
        <v/>
      </c>
      <c r="B378" s="20" t="str">
        <f>IFERROR(INDEX('Formulación PDN 2027'!$M$7:$M$506,MATCH(ROW()-5,'Formulación PDN 2027'!$AK$7:$AK$506,0)),"")</f>
        <v/>
      </c>
      <c r="C378" s="15" t="str">
        <f>IFERROR(INDEX('Formulación PDN 2027'!$N$7:$N$506,MATCH(ROW()-5,'Formulación PDN 2027'!$AK$7:$AK$506,0))&amp;"","")</f>
        <v/>
      </c>
      <c r="D378" s="15" t="str">
        <f>IFERROR(INDEX('Formulación PDN 2027'!$L$7:$L$506,MATCH(ROW()-5,'Formulación PDN 2027'!$AK$7:$AK$506,0))&amp;"","")</f>
        <v/>
      </c>
      <c r="E378" s="15" t="str">
        <f>IFERROR(MATCH(INDEX('Formulación PDN 2027'!$O$7:$O$506,MATCH(ROW()-5,'Formulación PDN 2027'!$AK$7:$AK$506,0)),L_MESES,0),"")</f>
        <v/>
      </c>
      <c r="F378" s="15" t="str">
        <f>IFERROR(MATCH(INDEX('Formulación PDN 2027'!$P$7:$P$506,MATCH(ROW()-5,'Formulación PDN 2027'!$AK$7:$AK$506,0)),L_MESES,0),"")</f>
        <v/>
      </c>
      <c r="G378" s="15" t="str">
        <f>IFERROR(INDEX('Formulación PDN 2027'!$Q$7:$Q$506,MATCH(ROW()-5,'Formulación PDN 2027'!$AK$7:$AK$506,0)),"")</f>
        <v/>
      </c>
      <c r="H378" s="15" t="str">
        <f>IFERROR(INDEX('Formulación PDN 2027'!$R$7:$R$506,MATCH(ROW()-5,'Formulación PDN 2027'!$AK$7:$AK$506,0))&amp;"","")</f>
        <v/>
      </c>
      <c r="I378" s="15" t="str">
        <f>IFERROR(INDEX('Formulación PDN 2027'!$S$7:$S$506,MATCH(ROW()-5,'Formulación PDN 2027'!$AK$7:$AK$506,0))&amp;"","")</f>
        <v/>
      </c>
      <c r="J378" s="15" t="str">
        <f>IFERROR(INDEX('Formulación PDN 2027'!$T$7:$T$506,MATCH(ROW()-5,'Formulación PDN 2027'!$AK$7:$AK$506,0))&amp;"","")</f>
        <v/>
      </c>
      <c r="K378" s="43" t="str">
        <f>IFERROR(INDEX('Formulación PDN 2027'!$W$7:$W$506,MATCH(ROW()-5,'Formulación PDN 2027'!$AK$7:$AK$506,0)),"")</f>
        <v/>
      </c>
      <c r="L378" s="43" t="str">
        <f>IFERROR(INDEX('Formulación PDN 2027'!$X$7:$X$506,MATCH(ROW()-5,'Formulación PDN 2027'!$AK$7:$AK$506,0)),"")</f>
        <v/>
      </c>
      <c r="M378" s="15" t="str">
        <f>IFERROR(INDEX('Formulación PDN 2027'!$Y$7:$Y$506,MATCH(ROW()-5,'Formulación PDN 2027'!$AK$7:$AK$506,0))&amp;"","")</f>
        <v/>
      </c>
      <c r="N378" s="15" t="str">
        <f>IFERROR(INDEX('Formulación PDN 2027'!$Z$7:$Z$506,MATCH(ROW()-5,'Formulación PDN 2027'!$AK$7:$AK$506,0))&amp;"","")</f>
        <v/>
      </c>
      <c r="O378" s="15"/>
      <c r="P378" s="15" t="str">
        <f>IFERROR(INDEX('Formulación PDN 2027'!$AA$7:$AA$506,MATCH(ROW()-5,'Formulación PDN 2027'!$AK$7:$AK$506,0))&amp;"","")</f>
        <v/>
      </c>
      <c r="Q378" s="15" t="str">
        <f>IFERROR(INDEX('Formulación PDN 2027'!$AB$7:$AB$506,MATCH(ROW()-5,'Formulación PDN 2027'!$AK$7:$AK$506,0))&amp;"","")</f>
        <v/>
      </c>
      <c r="R378" s="15" t="str">
        <f>IFERROR(INDEX('Formulación PDN 2027'!$AD$7:$AD$506,MATCH(ROW()-5,'Formulación PDN 2027'!$AK$7:$AK$506,0))&amp;"","")</f>
        <v/>
      </c>
      <c r="S378" s="15" t="str">
        <f>IFERROR(INDEX('Formulación PDN 2027'!$AE$7:$AE$506,MATCH(ROW()-5,'Formulación PDN 2027'!$AK$7:$AK$506,0))&amp;"","")</f>
        <v/>
      </c>
      <c r="T378" s="15" t="str">
        <f>IFERROR(INDEX('Formulación PDN 2027'!$C$7:$C$506,MATCH(ROW()-5,'Formulación PDN 2027'!$AK$7:$AK$506,0))&amp;"","")</f>
        <v/>
      </c>
      <c r="U378" s="15" t="str">
        <f>IFERROR(INDEX('Formulación PDN 2027'!$B$7:$B$506,MATCH(ROW()-5,'Formulación PDN 2027'!$AK$7:$AK$506,0))&amp;"","")</f>
        <v/>
      </c>
      <c r="V378" s="15" t="str">
        <f>IFERROR(LEFT(INDEX('Formulación PDN 2027'!$E$7:$E$506,MATCH(ROW()-5,'Formulación PDN 2027'!$AK$7:$AK$506,0)),7),"")</f>
        <v/>
      </c>
      <c r="W378" s="15" t="str">
        <f>IFERROR(INDEX('Formulación PDN 2027'!$H$7:$H$506,MATCH(ROW()-5,'Formulación PDN 2027'!$AK$7:$AK$506,0))&amp;"","")</f>
        <v/>
      </c>
      <c r="X378" s="15" t="str">
        <f>IFERROR(INDEX('Formulación PDN 2027'!$U$7:$U$506,MATCH(ROW()-5,'Formulación PDN 2027'!$AK$7:$AK$506,0))&amp;"","")</f>
        <v/>
      </c>
      <c r="Y378" s="15" t="str">
        <f>IFERROR(INDEX('Formulación PDN 2027'!$AH$7:$AH$506,MATCH(ROW()-5,'Formulación PDN 2027'!$AK$7:$AK$506,0))&amp;"","")</f>
        <v/>
      </c>
    </row>
    <row r="379" spans="1:25" x14ac:dyDescent="0.3">
      <c r="A379" s="15" t="str">
        <f>IFERROR(INDEX('Formulación PDN 2027'!$A$7:$A$506,MATCH(ROW()-5,'Formulación PDN 2027'!$AK$7:$AK$506,0))&amp;"","")</f>
        <v/>
      </c>
      <c r="B379" s="20" t="str">
        <f>IFERROR(INDEX('Formulación PDN 2027'!$M$7:$M$506,MATCH(ROW()-5,'Formulación PDN 2027'!$AK$7:$AK$506,0)),"")</f>
        <v/>
      </c>
      <c r="C379" s="15" t="str">
        <f>IFERROR(INDEX('Formulación PDN 2027'!$N$7:$N$506,MATCH(ROW()-5,'Formulación PDN 2027'!$AK$7:$AK$506,0))&amp;"","")</f>
        <v/>
      </c>
      <c r="D379" s="15" t="str">
        <f>IFERROR(INDEX('Formulación PDN 2027'!$L$7:$L$506,MATCH(ROW()-5,'Formulación PDN 2027'!$AK$7:$AK$506,0))&amp;"","")</f>
        <v/>
      </c>
      <c r="E379" s="15" t="str">
        <f>IFERROR(MATCH(INDEX('Formulación PDN 2027'!$O$7:$O$506,MATCH(ROW()-5,'Formulación PDN 2027'!$AK$7:$AK$506,0)),L_MESES,0),"")</f>
        <v/>
      </c>
      <c r="F379" s="15" t="str">
        <f>IFERROR(MATCH(INDEX('Formulación PDN 2027'!$P$7:$P$506,MATCH(ROW()-5,'Formulación PDN 2027'!$AK$7:$AK$506,0)),L_MESES,0),"")</f>
        <v/>
      </c>
      <c r="G379" s="15" t="str">
        <f>IFERROR(INDEX('Formulación PDN 2027'!$Q$7:$Q$506,MATCH(ROW()-5,'Formulación PDN 2027'!$AK$7:$AK$506,0)),"")</f>
        <v/>
      </c>
      <c r="H379" s="15" t="str">
        <f>IFERROR(INDEX('Formulación PDN 2027'!$R$7:$R$506,MATCH(ROW()-5,'Formulación PDN 2027'!$AK$7:$AK$506,0))&amp;"","")</f>
        <v/>
      </c>
      <c r="I379" s="15" t="str">
        <f>IFERROR(INDEX('Formulación PDN 2027'!$S$7:$S$506,MATCH(ROW()-5,'Formulación PDN 2027'!$AK$7:$AK$506,0))&amp;"","")</f>
        <v/>
      </c>
      <c r="J379" s="15" t="str">
        <f>IFERROR(INDEX('Formulación PDN 2027'!$T$7:$T$506,MATCH(ROW()-5,'Formulación PDN 2027'!$AK$7:$AK$506,0))&amp;"","")</f>
        <v/>
      </c>
      <c r="K379" s="43" t="str">
        <f>IFERROR(INDEX('Formulación PDN 2027'!$W$7:$W$506,MATCH(ROW()-5,'Formulación PDN 2027'!$AK$7:$AK$506,0)),"")</f>
        <v/>
      </c>
      <c r="L379" s="43" t="str">
        <f>IFERROR(INDEX('Formulación PDN 2027'!$X$7:$X$506,MATCH(ROW()-5,'Formulación PDN 2027'!$AK$7:$AK$506,0)),"")</f>
        <v/>
      </c>
      <c r="M379" s="15" t="str">
        <f>IFERROR(INDEX('Formulación PDN 2027'!$Y$7:$Y$506,MATCH(ROW()-5,'Formulación PDN 2027'!$AK$7:$AK$506,0))&amp;"","")</f>
        <v/>
      </c>
      <c r="N379" s="15" t="str">
        <f>IFERROR(INDEX('Formulación PDN 2027'!$Z$7:$Z$506,MATCH(ROW()-5,'Formulación PDN 2027'!$AK$7:$AK$506,0))&amp;"","")</f>
        <v/>
      </c>
      <c r="O379" s="15"/>
      <c r="P379" s="15" t="str">
        <f>IFERROR(INDEX('Formulación PDN 2027'!$AA$7:$AA$506,MATCH(ROW()-5,'Formulación PDN 2027'!$AK$7:$AK$506,0))&amp;"","")</f>
        <v/>
      </c>
      <c r="Q379" s="15" t="str">
        <f>IFERROR(INDEX('Formulación PDN 2027'!$AB$7:$AB$506,MATCH(ROW()-5,'Formulación PDN 2027'!$AK$7:$AK$506,0))&amp;"","")</f>
        <v/>
      </c>
      <c r="R379" s="15" t="str">
        <f>IFERROR(INDEX('Formulación PDN 2027'!$AD$7:$AD$506,MATCH(ROW()-5,'Formulación PDN 2027'!$AK$7:$AK$506,0))&amp;"","")</f>
        <v/>
      </c>
      <c r="S379" s="15" t="str">
        <f>IFERROR(INDEX('Formulación PDN 2027'!$AE$7:$AE$506,MATCH(ROW()-5,'Formulación PDN 2027'!$AK$7:$AK$506,0))&amp;"","")</f>
        <v/>
      </c>
      <c r="T379" s="15" t="str">
        <f>IFERROR(INDEX('Formulación PDN 2027'!$C$7:$C$506,MATCH(ROW()-5,'Formulación PDN 2027'!$AK$7:$AK$506,0))&amp;"","")</f>
        <v/>
      </c>
      <c r="U379" s="15" t="str">
        <f>IFERROR(INDEX('Formulación PDN 2027'!$B$7:$B$506,MATCH(ROW()-5,'Formulación PDN 2027'!$AK$7:$AK$506,0))&amp;"","")</f>
        <v/>
      </c>
      <c r="V379" s="15" t="str">
        <f>IFERROR(LEFT(INDEX('Formulación PDN 2027'!$E$7:$E$506,MATCH(ROW()-5,'Formulación PDN 2027'!$AK$7:$AK$506,0)),7),"")</f>
        <v/>
      </c>
      <c r="W379" s="15" t="str">
        <f>IFERROR(INDEX('Formulación PDN 2027'!$H$7:$H$506,MATCH(ROW()-5,'Formulación PDN 2027'!$AK$7:$AK$506,0))&amp;"","")</f>
        <v/>
      </c>
      <c r="X379" s="15" t="str">
        <f>IFERROR(INDEX('Formulación PDN 2027'!$U$7:$U$506,MATCH(ROW()-5,'Formulación PDN 2027'!$AK$7:$AK$506,0))&amp;"","")</f>
        <v/>
      </c>
      <c r="Y379" s="15" t="str">
        <f>IFERROR(INDEX('Formulación PDN 2027'!$AH$7:$AH$506,MATCH(ROW()-5,'Formulación PDN 2027'!$AK$7:$AK$506,0))&amp;"","")</f>
        <v/>
      </c>
    </row>
    <row r="380" spans="1:25" x14ac:dyDescent="0.3">
      <c r="A380" s="15" t="str">
        <f>IFERROR(INDEX('Formulación PDN 2027'!$A$7:$A$506,MATCH(ROW()-5,'Formulación PDN 2027'!$AK$7:$AK$506,0))&amp;"","")</f>
        <v/>
      </c>
      <c r="B380" s="20" t="str">
        <f>IFERROR(INDEX('Formulación PDN 2027'!$M$7:$M$506,MATCH(ROW()-5,'Formulación PDN 2027'!$AK$7:$AK$506,0)),"")</f>
        <v/>
      </c>
      <c r="C380" s="15" t="str">
        <f>IFERROR(INDEX('Formulación PDN 2027'!$N$7:$N$506,MATCH(ROW()-5,'Formulación PDN 2027'!$AK$7:$AK$506,0))&amp;"","")</f>
        <v/>
      </c>
      <c r="D380" s="15" t="str">
        <f>IFERROR(INDEX('Formulación PDN 2027'!$L$7:$L$506,MATCH(ROW()-5,'Formulación PDN 2027'!$AK$7:$AK$506,0))&amp;"","")</f>
        <v/>
      </c>
      <c r="E380" s="15" t="str">
        <f>IFERROR(MATCH(INDEX('Formulación PDN 2027'!$O$7:$O$506,MATCH(ROW()-5,'Formulación PDN 2027'!$AK$7:$AK$506,0)),L_MESES,0),"")</f>
        <v/>
      </c>
      <c r="F380" s="15" t="str">
        <f>IFERROR(MATCH(INDEX('Formulación PDN 2027'!$P$7:$P$506,MATCH(ROW()-5,'Formulación PDN 2027'!$AK$7:$AK$506,0)),L_MESES,0),"")</f>
        <v/>
      </c>
      <c r="G380" s="15" t="str">
        <f>IFERROR(INDEX('Formulación PDN 2027'!$Q$7:$Q$506,MATCH(ROW()-5,'Formulación PDN 2027'!$AK$7:$AK$506,0)),"")</f>
        <v/>
      </c>
      <c r="H380" s="15" t="str">
        <f>IFERROR(INDEX('Formulación PDN 2027'!$R$7:$R$506,MATCH(ROW()-5,'Formulación PDN 2027'!$AK$7:$AK$506,0))&amp;"","")</f>
        <v/>
      </c>
      <c r="I380" s="15" t="str">
        <f>IFERROR(INDEX('Formulación PDN 2027'!$S$7:$S$506,MATCH(ROW()-5,'Formulación PDN 2027'!$AK$7:$AK$506,0))&amp;"","")</f>
        <v/>
      </c>
      <c r="J380" s="15" t="str">
        <f>IFERROR(INDEX('Formulación PDN 2027'!$T$7:$T$506,MATCH(ROW()-5,'Formulación PDN 2027'!$AK$7:$AK$506,0))&amp;"","")</f>
        <v/>
      </c>
      <c r="K380" s="43" t="str">
        <f>IFERROR(INDEX('Formulación PDN 2027'!$W$7:$W$506,MATCH(ROW()-5,'Formulación PDN 2027'!$AK$7:$AK$506,0)),"")</f>
        <v/>
      </c>
      <c r="L380" s="43" t="str">
        <f>IFERROR(INDEX('Formulación PDN 2027'!$X$7:$X$506,MATCH(ROW()-5,'Formulación PDN 2027'!$AK$7:$AK$506,0)),"")</f>
        <v/>
      </c>
      <c r="M380" s="15" t="str">
        <f>IFERROR(INDEX('Formulación PDN 2027'!$Y$7:$Y$506,MATCH(ROW()-5,'Formulación PDN 2027'!$AK$7:$AK$506,0))&amp;"","")</f>
        <v/>
      </c>
      <c r="N380" s="15" t="str">
        <f>IFERROR(INDEX('Formulación PDN 2027'!$Z$7:$Z$506,MATCH(ROW()-5,'Formulación PDN 2027'!$AK$7:$AK$506,0))&amp;"","")</f>
        <v/>
      </c>
      <c r="O380" s="15"/>
      <c r="P380" s="15" t="str">
        <f>IFERROR(INDEX('Formulación PDN 2027'!$AA$7:$AA$506,MATCH(ROW()-5,'Formulación PDN 2027'!$AK$7:$AK$506,0))&amp;"","")</f>
        <v/>
      </c>
      <c r="Q380" s="15" t="str">
        <f>IFERROR(INDEX('Formulación PDN 2027'!$AB$7:$AB$506,MATCH(ROW()-5,'Formulación PDN 2027'!$AK$7:$AK$506,0))&amp;"","")</f>
        <v/>
      </c>
      <c r="R380" s="15" t="str">
        <f>IFERROR(INDEX('Formulación PDN 2027'!$AD$7:$AD$506,MATCH(ROW()-5,'Formulación PDN 2027'!$AK$7:$AK$506,0))&amp;"","")</f>
        <v/>
      </c>
      <c r="S380" s="15" t="str">
        <f>IFERROR(INDEX('Formulación PDN 2027'!$AE$7:$AE$506,MATCH(ROW()-5,'Formulación PDN 2027'!$AK$7:$AK$506,0))&amp;"","")</f>
        <v/>
      </c>
      <c r="T380" s="15" t="str">
        <f>IFERROR(INDEX('Formulación PDN 2027'!$C$7:$C$506,MATCH(ROW()-5,'Formulación PDN 2027'!$AK$7:$AK$506,0))&amp;"","")</f>
        <v/>
      </c>
      <c r="U380" s="15" t="str">
        <f>IFERROR(INDEX('Formulación PDN 2027'!$B$7:$B$506,MATCH(ROW()-5,'Formulación PDN 2027'!$AK$7:$AK$506,0))&amp;"","")</f>
        <v/>
      </c>
      <c r="V380" s="15" t="str">
        <f>IFERROR(LEFT(INDEX('Formulación PDN 2027'!$E$7:$E$506,MATCH(ROW()-5,'Formulación PDN 2027'!$AK$7:$AK$506,0)),7),"")</f>
        <v/>
      </c>
      <c r="W380" s="15" t="str">
        <f>IFERROR(INDEX('Formulación PDN 2027'!$H$7:$H$506,MATCH(ROW()-5,'Formulación PDN 2027'!$AK$7:$AK$506,0))&amp;"","")</f>
        <v/>
      </c>
      <c r="X380" s="15" t="str">
        <f>IFERROR(INDEX('Formulación PDN 2027'!$U$7:$U$506,MATCH(ROW()-5,'Formulación PDN 2027'!$AK$7:$AK$506,0))&amp;"","")</f>
        <v/>
      </c>
      <c r="Y380" s="15" t="str">
        <f>IFERROR(INDEX('Formulación PDN 2027'!$AH$7:$AH$506,MATCH(ROW()-5,'Formulación PDN 2027'!$AK$7:$AK$506,0))&amp;"","")</f>
        <v/>
      </c>
    </row>
    <row r="381" spans="1:25" x14ac:dyDescent="0.3">
      <c r="A381" s="15" t="str">
        <f>IFERROR(INDEX('Formulación PDN 2027'!$A$7:$A$506,MATCH(ROW()-5,'Formulación PDN 2027'!$AK$7:$AK$506,0))&amp;"","")</f>
        <v/>
      </c>
      <c r="B381" s="20" t="str">
        <f>IFERROR(INDEX('Formulación PDN 2027'!$M$7:$M$506,MATCH(ROW()-5,'Formulación PDN 2027'!$AK$7:$AK$506,0)),"")</f>
        <v/>
      </c>
      <c r="C381" s="15" t="str">
        <f>IFERROR(INDEX('Formulación PDN 2027'!$N$7:$N$506,MATCH(ROW()-5,'Formulación PDN 2027'!$AK$7:$AK$506,0))&amp;"","")</f>
        <v/>
      </c>
      <c r="D381" s="15" t="str">
        <f>IFERROR(INDEX('Formulación PDN 2027'!$L$7:$L$506,MATCH(ROW()-5,'Formulación PDN 2027'!$AK$7:$AK$506,0))&amp;"","")</f>
        <v/>
      </c>
      <c r="E381" s="15" t="str">
        <f>IFERROR(MATCH(INDEX('Formulación PDN 2027'!$O$7:$O$506,MATCH(ROW()-5,'Formulación PDN 2027'!$AK$7:$AK$506,0)),L_MESES,0),"")</f>
        <v/>
      </c>
      <c r="F381" s="15" t="str">
        <f>IFERROR(MATCH(INDEX('Formulación PDN 2027'!$P$7:$P$506,MATCH(ROW()-5,'Formulación PDN 2027'!$AK$7:$AK$506,0)),L_MESES,0),"")</f>
        <v/>
      </c>
      <c r="G381" s="15" t="str">
        <f>IFERROR(INDEX('Formulación PDN 2027'!$Q$7:$Q$506,MATCH(ROW()-5,'Formulación PDN 2027'!$AK$7:$AK$506,0)),"")</f>
        <v/>
      </c>
      <c r="H381" s="15" t="str">
        <f>IFERROR(INDEX('Formulación PDN 2027'!$R$7:$R$506,MATCH(ROW()-5,'Formulación PDN 2027'!$AK$7:$AK$506,0))&amp;"","")</f>
        <v/>
      </c>
      <c r="I381" s="15" t="str">
        <f>IFERROR(INDEX('Formulación PDN 2027'!$S$7:$S$506,MATCH(ROW()-5,'Formulación PDN 2027'!$AK$7:$AK$506,0))&amp;"","")</f>
        <v/>
      </c>
      <c r="J381" s="15" t="str">
        <f>IFERROR(INDEX('Formulación PDN 2027'!$T$7:$T$506,MATCH(ROW()-5,'Formulación PDN 2027'!$AK$7:$AK$506,0))&amp;"","")</f>
        <v/>
      </c>
      <c r="K381" s="43" t="str">
        <f>IFERROR(INDEX('Formulación PDN 2027'!$W$7:$W$506,MATCH(ROW()-5,'Formulación PDN 2027'!$AK$7:$AK$506,0)),"")</f>
        <v/>
      </c>
      <c r="L381" s="43" t="str">
        <f>IFERROR(INDEX('Formulación PDN 2027'!$X$7:$X$506,MATCH(ROW()-5,'Formulación PDN 2027'!$AK$7:$AK$506,0)),"")</f>
        <v/>
      </c>
      <c r="M381" s="15" t="str">
        <f>IFERROR(INDEX('Formulación PDN 2027'!$Y$7:$Y$506,MATCH(ROW()-5,'Formulación PDN 2027'!$AK$7:$AK$506,0))&amp;"","")</f>
        <v/>
      </c>
      <c r="N381" s="15" t="str">
        <f>IFERROR(INDEX('Formulación PDN 2027'!$Z$7:$Z$506,MATCH(ROW()-5,'Formulación PDN 2027'!$AK$7:$AK$506,0))&amp;"","")</f>
        <v/>
      </c>
      <c r="O381" s="15"/>
      <c r="P381" s="15" t="str">
        <f>IFERROR(INDEX('Formulación PDN 2027'!$AA$7:$AA$506,MATCH(ROW()-5,'Formulación PDN 2027'!$AK$7:$AK$506,0))&amp;"","")</f>
        <v/>
      </c>
      <c r="Q381" s="15" t="str">
        <f>IFERROR(INDEX('Formulación PDN 2027'!$AB$7:$AB$506,MATCH(ROW()-5,'Formulación PDN 2027'!$AK$7:$AK$506,0))&amp;"","")</f>
        <v/>
      </c>
      <c r="R381" s="15" t="str">
        <f>IFERROR(INDEX('Formulación PDN 2027'!$AD$7:$AD$506,MATCH(ROW()-5,'Formulación PDN 2027'!$AK$7:$AK$506,0))&amp;"","")</f>
        <v/>
      </c>
      <c r="S381" s="15" t="str">
        <f>IFERROR(INDEX('Formulación PDN 2027'!$AE$7:$AE$506,MATCH(ROW()-5,'Formulación PDN 2027'!$AK$7:$AK$506,0))&amp;"","")</f>
        <v/>
      </c>
      <c r="T381" s="15" t="str">
        <f>IFERROR(INDEX('Formulación PDN 2027'!$C$7:$C$506,MATCH(ROW()-5,'Formulación PDN 2027'!$AK$7:$AK$506,0))&amp;"","")</f>
        <v/>
      </c>
      <c r="U381" s="15" t="str">
        <f>IFERROR(INDEX('Formulación PDN 2027'!$B$7:$B$506,MATCH(ROW()-5,'Formulación PDN 2027'!$AK$7:$AK$506,0))&amp;"","")</f>
        <v/>
      </c>
      <c r="V381" s="15" t="str">
        <f>IFERROR(LEFT(INDEX('Formulación PDN 2027'!$E$7:$E$506,MATCH(ROW()-5,'Formulación PDN 2027'!$AK$7:$AK$506,0)),7),"")</f>
        <v/>
      </c>
      <c r="W381" s="15" t="str">
        <f>IFERROR(INDEX('Formulación PDN 2027'!$H$7:$H$506,MATCH(ROW()-5,'Formulación PDN 2027'!$AK$7:$AK$506,0))&amp;"","")</f>
        <v/>
      </c>
      <c r="X381" s="15" t="str">
        <f>IFERROR(INDEX('Formulación PDN 2027'!$U$7:$U$506,MATCH(ROW()-5,'Formulación PDN 2027'!$AK$7:$AK$506,0))&amp;"","")</f>
        <v/>
      </c>
      <c r="Y381" s="15" t="str">
        <f>IFERROR(INDEX('Formulación PDN 2027'!$AH$7:$AH$506,MATCH(ROW()-5,'Formulación PDN 2027'!$AK$7:$AK$506,0))&amp;"","")</f>
        <v/>
      </c>
    </row>
    <row r="382" spans="1:25" x14ac:dyDescent="0.3">
      <c r="A382" s="15" t="str">
        <f>IFERROR(INDEX('Formulación PDN 2027'!$A$7:$A$506,MATCH(ROW()-5,'Formulación PDN 2027'!$AK$7:$AK$506,0))&amp;"","")</f>
        <v/>
      </c>
      <c r="B382" s="20" t="str">
        <f>IFERROR(INDEX('Formulación PDN 2027'!$M$7:$M$506,MATCH(ROW()-5,'Formulación PDN 2027'!$AK$7:$AK$506,0)),"")</f>
        <v/>
      </c>
      <c r="C382" s="15" t="str">
        <f>IFERROR(INDEX('Formulación PDN 2027'!$N$7:$N$506,MATCH(ROW()-5,'Formulación PDN 2027'!$AK$7:$AK$506,0))&amp;"","")</f>
        <v/>
      </c>
      <c r="D382" s="15" t="str">
        <f>IFERROR(INDEX('Formulación PDN 2027'!$L$7:$L$506,MATCH(ROW()-5,'Formulación PDN 2027'!$AK$7:$AK$506,0))&amp;"","")</f>
        <v/>
      </c>
      <c r="E382" s="15" t="str">
        <f>IFERROR(MATCH(INDEX('Formulación PDN 2027'!$O$7:$O$506,MATCH(ROW()-5,'Formulación PDN 2027'!$AK$7:$AK$506,0)),L_MESES,0),"")</f>
        <v/>
      </c>
      <c r="F382" s="15" t="str">
        <f>IFERROR(MATCH(INDEX('Formulación PDN 2027'!$P$7:$P$506,MATCH(ROW()-5,'Formulación PDN 2027'!$AK$7:$AK$506,0)),L_MESES,0),"")</f>
        <v/>
      </c>
      <c r="G382" s="15" t="str">
        <f>IFERROR(INDEX('Formulación PDN 2027'!$Q$7:$Q$506,MATCH(ROW()-5,'Formulación PDN 2027'!$AK$7:$AK$506,0)),"")</f>
        <v/>
      </c>
      <c r="H382" s="15" t="str">
        <f>IFERROR(INDEX('Formulación PDN 2027'!$R$7:$R$506,MATCH(ROW()-5,'Formulación PDN 2027'!$AK$7:$AK$506,0))&amp;"","")</f>
        <v/>
      </c>
      <c r="I382" s="15" t="str">
        <f>IFERROR(INDEX('Formulación PDN 2027'!$S$7:$S$506,MATCH(ROW()-5,'Formulación PDN 2027'!$AK$7:$AK$506,0))&amp;"","")</f>
        <v/>
      </c>
      <c r="J382" s="15" t="str">
        <f>IFERROR(INDEX('Formulación PDN 2027'!$T$7:$T$506,MATCH(ROW()-5,'Formulación PDN 2027'!$AK$7:$AK$506,0))&amp;"","")</f>
        <v/>
      </c>
      <c r="K382" s="43" t="str">
        <f>IFERROR(INDEX('Formulación PDN 2027'!$W$7:$W$506,MATCH(ROW()-5,'Formulación PDN 2027'!$AK$7:$AK$506,0)),"")</f>
        <v/>
      </c>
      <c r="L382" s="43" t="str">
        <f>IFERROR(INDEX('Formulación PDN 2027'!$X$7:$X$506,MATCH(ROW()-5,'Formulación PDN 2027'!$AK$7:$AK$506,0)),"")</f>
        <v/>
      </c>
      <c r="M382" s="15" t="str">
        <f>IFERROR(INDEX('Formulación PDN 2027'!$Y$7:$Y$506,MATCH(ROW()-5,'Formulación PDN 2027'!$AK$7:$AK$506,0))&amp;"","")</f>
        <v/>
      </c>
      <c r="N382" s="15" t="str">
        <f>IFERROR(INDEX('Formulación PDN 2027'!$Z$7:$Z$506,MATCH(ROW()-5,'Formulación PDN 2027'!$AK$7:$AK$506,0))&amp;"","")</f>
        <v/>
      </c>
      <c r="O382" s="15"/>
      <c r="P382" s="15" t="str">
        <f>IFERROR(INDEX('Formulación PDN 2027'!$AA$7:$AA$506,MATCH(ROW()-5,'Formulación PDN 2027'!$AK$7:$AK$506,0))&amp;"","")</f>
        <v/>
      </c>
      <c r="Q382" s="15" t="str">
        <f>IFERROR(INDEX('Formulación PDN 2027'!$AB$7:$AB$506,MATCH(ROW()-5,'Formulación PDN 2027'!$AK$7:$AK$506,0))&amp;"","")</f>
        <v/>
      </c>
      <c r="R382" s="15" t="str">
        <f>IFERROR(INDEX('Formulación PDN 2027'!$AD$7:$AD$506,MATCH(ROW()-5,'Formulación PDN 2027'!$AK$7:$AK$506,0))&amp;"","")</f>
        <v/>
      </c>
      <c r="S382" s="15" t="str">
        <f>IFERROR(INDEX('Formulación PDN 2027'!$AE$7:$AE$506,MATCH(ROW()-5,'Formulación PDN 2027'!$AK$7:$AK$506,0))&amp;"","")</f>
        <v/>
      </c>
      <c r="T382" s="15" t="str">
        <f>IFERROR(INDEX('Formulación PDN 2027'!$C$7:$C$506,MATCH(ROW()-5,'Formulación PDN 2027'!$AK$7:$AK$506,0))&amp;"","")</f>
        <v/>
      </c>
      <c r="U382" s="15" t="str">
        <f>IFERROR(INDEX('Formulación PDN 2027'!$B$7:$B$506,MATCH(ROW()-5,'Formulación PDN 2027'!$AK$7:$AK$506,0))&amp;"","")</f>
        <v/>
      </c>
      <c r="V382" s="15" t="str">
        <f>IFERROR(LEFT(INDEX('Formulación PDN 2027'!$E$7:$E$506,MATCH(ROW()-5,'Formulación PDN 2027'!$AK$7:$AK$506,0)),7),"")</f>
        <v/>
      </c>
      <c r="W382" s="15" t="str">
        <f>IFERROR(INDEX('Formulación PDN 2027'!$H$7:$H$506,MATCH(ROW()-5,'Formulación PDN 2027'!$AK$7:$AK$506,0))&amp;"","")</f>
        <v/>
      </c>
      <c r="X382" s="15" t="str">
        <f>IFERROR(INDEX('Formulación PDN 2027'!$U$7:$U$506,MATCH(ROW()-5,'Formulación PDN 2027'!$AK$7:$AK$506,0))&amp;"","")</f>
        <v/>
      </c>
      <c r="Y382" s="15" t="str">
        <f>IFERROR(INDEX('Formulación PDN 2027'!$AH$7:$AH$506,MATCH(ROW()-5,'Formulación PDN 2027'!$AK$7:$AK$506,0))&amp;"","")</f>
        <v/>
      </c>
    </row>
    <row r="383" spans="1:25" x14ac:dyDescent="0.3">
      <c r="A383" s="15" t="str">
        <f>IFERROR(INDEX('Formulación PDN 2027'!$A$7:$A$506,MATCH(ROW()-5,'Formulación PDN 2027'!$AK$7:$AK$506,0))&amp;"","")</f>
        <v/>
      </c>
      <c r="B383" s="20" t="str">
        <f>IFERROR(INDEX('Formulación PDN 2027'!$M$7:$M$506,MATCH(ROW()-5,'Formulación PDN 2027'!$AK$7:$AK$506,0)),"")</f>
        <v/>
      </c>
      <c r="C383" s="15" t="str">
        <f>IFERROR(INDEX('Formulación PDN 2027'!$N$7:$N$506,MATCH(ROW()-5,'Formulación PDN 2027'!$AK$7:$AK$506,0))&amp;"","")</f>
        <v/>
      </c>
      <c r="D383" s="15" t="str">
        <f>IFERROR(INDEX('Formulación PDN 2027'!$L$7:$L$506,MATCH(ROW()-5,'Formulación PDN 2027'!$AK$7:$AK$506,0))&amp;"","")</f>
        <v/>
      </c>
      <c r="E383" s="15" t="str">
        <f>IFERROR(MATCH(INDEX('Formulación PDN 2027'!$O$7:$O$506,MATCH(ROW()-5,'Formulación PDN 2027'!$AK$7:$AK$506,0)),L_MESES,0),"")</f>
        <v/>
      </c>
      <c r="F383" s="15" t="str">
        <f>IFERROR(MATCH(INDEX('Formulación PDN 2027'!$P$7:$P$506,MATCH(ROW()-5,'Formulación PDN 2027'!$AK$7:$AK$506,0)),L_MESES,0),"")</f>
        <v/>
      </c>
      <c r="G383" s="15" t="str">
        <f>IFERROR(INDEX('Formulación PDN 2027'!$Q$7:$Q$506,MATCH(ROW()-5,'Formulación PDN 2027'!$AK$7:$AK$506,0)),"")</f>
        <v/>
      </c>
      <c r="H383" s="15" t="str">
        <f>IFERROR(INDEX('Formulación PDN 2027'!$R$7:$R$506,MATCH(ROW()-5,'Formulación PDN 2027'!$AK$7:$AK$506,0))&amp;"","")</f>
        <v/>
      </c>
      <c r="I383" s="15" t="str">
        <f>IFERROR(INDEX('Formulación PDN 2027'!$S$7:$S$506,MATCH(ROW()-5,'Formulación PDN 2027'!$AK$7:$AK$506,0))&amp;"","")</f>
        <v/>
      </c>
      <c r="J383" s="15" t="str">
        <f>IFERROR(INDEX('Formulación PDN 2027'!$T$7:$T$506,MATCH(ROW()-5,'Formulación PDN 2027'!$AK$7:$AK$506,0))&amp;"","")</f>
        <v/>
      </c>
      <c r="K383" s="43" t="str">
        <f>IFERROR(INDEX('Formulación PDN 2027'!$W$7:$W$506,MATCH(ROW()-5,'Formulación PDN 2027'!$AK$7:$AK$506,0)),"")</f>
        <v/>
      </c>
      <c r="L383" s="43" t="str">
        <f>IFERROR(INDEX('Formulación PDN 2027'!$X$7:$X$506,MATCH(ROW()-5,'Formulación PDN 2027'!$AK$7:$AK$506,0)),"")</f>
        <v/>
      </c>
      <c r="M383" s="15" t="str">
        <f>IFERROR(INDEX('Formulación PDN 2027'!$Y$7:$Y$506,MATCH(ROW()-5,'Formulación PDN 2027'!$AK$7:$AK$506,0))&amp;"","")</f>
        <v/>
      </c>
      <c r="N383" s="15" t="str">
        <f>IFERROR(INDEX('Formulación PDN 2027'!$Z$7:$Z$506,MATCH(ROW()-5,'Formulación PDN 2027'!$AK$7:$AK$506,0))&amp;"","")</f>
        <v/>
      </c>
      <c r="O383" s="15"/>
      <c r="P383" s="15" t="str">
        <f>IFERROR(INDEX('Formulación PDN 2027'!$AA$7:$AA$506,MATCH(ROW()-5,'Formulación PDN 2027'!$AK$7:$AK$506,0))&amp;"","")</f>
        <v/>
      </c>
      <c r="Q383" s="15" t="str">
        <f>IFERROR(INDEX('Formulación PDN 2027'!$AB$7:$AB$506,MATCH(ROW()-5,'Formulación PDN 2027'!$AK$7:$AK$506,0))&amp;"","")</f>
        <v/>
      </c>
      <c r="R383" s="15" t="str">
        <f>IFERROR(INDEX('Formulación PDN 2027'!$AD$7:$AD$506,MATCH(ROW()-5,'Formulación PDN 2027'!$AK$7:$AK$506,0))&amp;"","")</f>
        <v/>
      </c>
      <c r="S383" s="15" t="str">
        <f>IFERROR(INDEX('Formulación PDN 2027'!$AE$7:$AE$506,MATCH(ROW()-5,'Formulación PDN 2027'!$AK$7:$AK$506,0))&amp;"","")</f>
        <v/>
      </c>
      <c r="T383" s="15" t="str">
        <f>IFERROR(INDEX('Formulación PDN 2027'!$C$7:$C$506,MATCH(ROW()-5,'Formulación PDN 2027'!$AK$7:$AK$506,0))&amp;"","")</f>
        <v/>
      </c>
      <c r="U383" s="15" t="str">
        <f>IFERROR(INDEX('Formulación PDN 2027'!$B$7:$B$506,MATCH(ROW()-5,'Formulación PDN 2027'!$AK$7:$AK$506,0))&amp;"","")</f>
        <v/>
      </c>
      <c r="V383" s="15" t="str">
        <f>IFERROR(LEFT(INDEX('Formulación PDN 2027'!$E$7:$E$506,MATCH(ROW()-5,'Formulación PDN 2027'!$AK$7:$AK$506,0)),7),"")</f>
        <v/>
      </c>
      <c r="W383" s="15" t="str">
        <f>IFERROR(INDEX('Formulación PDN 2027'!$H$7:$H$506,MATCH(ROW()-5,'Formulación PDN 2027'!$AK$7:$AK$506,0))&amp;"","")</f>
        <v/>
      </c>
      <c r="X383" s="15" t="str">
        <f>IFERROR(INDEX('Formulación PDN 2027'!$U$7:$U$506,MATCH(ROW()-5,'Formulación PDN 2027'!$AK$7:$AK$506,0))&amp;"","")</f>
        <v/>
      </c>
      <c r="Y383" s="15" t="str">
        <f>IFERROR(INDEX('Formulación PDN 2027'!$AH$7:$AH$506,MATCH(ROW()-5,'Formulación PDN 2027'!$AK$7:$AK$506,0))&amp;"","")</f>
        <v/>
      </c>
    </row>
    <row r="384" spans="1:25" x14ac:dyDescent="0.3">
      <c r="A384" s="15" t="str">
        <f>IFERROR(INDEX('Formulación PDN 2027'!$A$7:$A$506,MATCH(ROW()-5,'Formulación PDN 2027'!$AK$7:$AK$506,0))&amp;"","")</f>
        <v/>
      </c>
      <c r="B384" s="20" t="str">
        <f>IFERROR(INDEX('Formulación PDN 2027'!$M$7:$M$506,MATCH(ROW()-5,'Formulación PDN 2027'!$AK$7:$AK$506,0)),"")</f>
        <v/>
      </c>
      <c r="C384" s="15" t="str">
        <f>IFERROR(INDEX('Formulación PDN 2027'!$N$7:$N$506,MATCH(ROW()-5,'Formulación PDN 2027'!$AK$7:$AK$506,0))&amp;"","")</f>
        <v/>
      </c>
      <c r="D384" s="15" t="str">
        <f>IFERROR(INDEX('Formulación PDN 2027'!$L$7:$L$506,MATCH(ROW()-5,'Formulación PDN 2027'!$AK$7:$AK$506,0))&amp;"","")</f>
        <v/>
      </c>
      <c r="E384" s="15" t="str">
        <f>IFERROR(MATCH(INDEX('Formulación PDN 2027'!$O$7:$O$506,MATCH(ROW()-5,'Formulación PDN 2027'!$AK$7:$AK$506,0)),L_MESES,0),"")</f>
        <v/>
      </c>
      <c r="F384" s="15" t="str">
        <f>IFERROR(MATCH(INDEX('Formulación PDN 2027'!$P$7:$P$506,MATCH(ROW()-5,'Formulación PDN 2027'!$AK$7:$AK$506,0)),L_MESES,0),"")</f>
        <v/>
      </c>
      <c r="G384" s="15" t="str">
        <f>IFERROR(INDEX('Formulación PDN 2027'!$Q$7:$Q$506,MATCH(ROW()-5,'Formulación PDN 2027'!$AK$7:$AK$506,0)),"")</f>
        <v/>
      </c>
      <c r="H384" s="15" t="str">
        <f>IFERROR(INDEX('Formulación PDN 2027'!$R$7:$R$506,MATCH(ROW()-5,'Formulación PDN 2027'!$AK$7:$AK$506,0))&amp;"","")</f>
        <v/>
      </c>
      <c r="I384" s="15" t="str">
        <f>IFERROR(INDEX('Formulación PDN 2027'!$S$7:$S$506,MATCH(ROW()-5,'Formulación PDN 2027'!$AK$7:$AK$506,0))&amp;"","")</f>
        <v/>
      </c>
      <c r="J384" s="15" t="str">
        <f>IFERROR(INDEX('Formulación PDN 2027'!$T$7:$T$506,MATCH(ROW()-5,'Formulación PDN 2027'!$AK$7:$AK$506,0))&amp;"","")</f>
        <v/>
      </c>
      <c r="K384" s="43" t="str">
        <f>IFERROR(INDEX('Formulación PDN 2027'!$W$7:$W$506,MATCH(ROW()-5,'Formulación PDN 2027'!$AK$7:$AK$506,0)),"")</f>
        <v/>
      </c>
      <c r="L384" s="43" t="str">
        <f>IFERROR(INDEX('Formulación PDN 2027'!$X$7:$X$506,MATCH(ROW()-5,'Formulación PDN 2027'!$AK$7:$AK$506,0)),"")</f>
        <v/>
      </c>
      <c r="M384" s="15" t="str">
        <f>IFERROR(INDEX('Formulación PDN 2027'!$Y$7:$Y$506,MATCH(ROW()-5,'Formulación PDN 2027'!$AK$7:$AK$506,0))&amp;"","")</f>
        <v/>
      </c>
      <c r="N384" s="15" t="str">
        <f>IFERROR(INDEX('Formulación PDN 2027'!$Z$7:$Z$506,MATCH(ROW()-5,'Formulación PDN 2027'!$AK$7:$AK$506,0))&amp;"","")</f>
        <v/>
      </c>
      <c r="O384" s="15"/>
      <c r="P384" s="15" t="str">
        <f>IFERROR(INDEX('Formulación PDN 2027'!$AA$7:$AA$506,MATCH(ROW()-5,'Formulación PDN 2027'!$AK$7:$AK$506,0))&amp;"","")</f>
        <v/>
      </c>
      <c r="Q384" s="15" t="str">
        <f>IFERROR(INDEX('Formulación PDN 2027'!$AB$7:$AB$506,MATCH(ROW()-5,'Formulación PDN 2027'!$AK$7:$AK$506,0))&amp;"","")</f>
        <v/>
      </c>
      <c r="R384" s="15" t="str">
        <f>IFERROR(INDEX('Formulación PDN 2027'!$AD$7:$AD$506,MATCH(ROW()-5,'Formulación PDN 2027'!$AK$7:$AK$506,0))&amp;"","")</f>
        <v/>
      </c>
      <c r="S384" s="15" t="str">
        <f>IFERROR(INDEX('Formulación PDN 2027'!$AE$7:$AE$506,MATCH(ROW()-5,'Formulación PDN 2027'!$AK$7:$AK$506,0))&amp;"","")</f>
        <v/>
      </c>
      <c r="T384" s="15" t="str">
        <f>IFERROR(INDEX('Formulación PDN 2027'!$C$7:$C$506,MATCH(ROW()-5,'Formulación PDN 2027'!$AK$7:$AK$506,0))&amp;"","")</f>
        <v/>
      </c>
      <c r="U384" s="15" t="str">
        <f>IFERROR(INDEX('Formulación PDN 2027'!$B$7:$B$506,MATCH(ROW()-5,'Formulación PDN 2027'!$AK$7:$AK$506,0))&amp;"","")</f>
        <v/>
      </c>
      <c r="V384" s="15" t="str">
        <f>IFERROR(LEFT(INDEX('Formulación PDN 2027'!$E$7:$E$506,MATCH(ROW()-5,'Formulación PDN 2027'!$AK$7:$AK$506,0)),7),"")</f>
        <v/>
      </c>
      <c r="W384" s="15" t="str">
        <f>IFERROR(INDEX('Formulación PDN 2027'!$H$7:$H$506,MATCH(ROW()-5,'Formulación PDN 2027'!$AK$7:$AK$506,0))&amp;"","")</f>
        <v/>
      </c>
      <c r="X384" s="15" t="str">
        <f>IFERROR(INDEX('Formulación PDN 2027'!$U$7:$U$506,MATCH(ROW()-5,'Formulación PDN 2027'!$AK$7:$AK$506,0))&amp;"","")</f>
        <v/>
      </c>
      <c r="Y384" s="15" t="str">
        <f>IFERROR(INDEX('Formulación PDN 2027'!$AH$7:$AH$506,MATCH(ROW()-5,'Formulación PDN 2027'!$AK$7:$AK$506,0))&amp;"","")</f>
        <v/>
      </c>
    </row>
    <row r="385" spans="1:25" x14ac:dyDescent="0.3">
      <c r="A385" s="15" t="str">
        <f>IFERROR(INDEX('Formulación PDN 2027'!$A$7:$A$506,MATCH(ROW()-5,'Formulación PDN 2027'!$AK$7:$AK$506,0))&amp;"","")</f>
        <v/>
      </c>
      <c r="B385" s="20" t="str">
        <f>IFERROR(INDEX('Formulación PDN 2027'!$M$7:$M$506,MATCH(ROW()-5,'Formulación PDN 2027'!$AK$7:$AK$506,0)),"")</f>
        <v/>
      </c>
      <c r="C385" s="15" t="str">
        <f>IFERROR(INDEX('Formulación PDN 2027'!$N$7:$N$506,MATCH(ROW()-5,'Formulación PDN 2027'!$AK$7:$AK$506,0))&amp;"","")</f>
        <v/>
      </c>
      <c r="D385" s="15" t="str">
        <f>IFERROR(INDEX('Formulación PDN 2027'!$L$7:$L$506,MATCH(ROW()-5,'Formulación PDN 2027'!$AK$7:$AK$506,0))&amp;"","")</f>
        <v/>
      </c>
      <c r="E385" s="15" t="str">
        <f>IFERROR(MATCH(INDEX('Formulación PDN 2027'!$O$7:$O$506,MATCH(ROW()-5,'Formulación PDN 2027'!$AK$7:$AK$506,0)),L_MESES,0),"")</f>
        <v/>
      </c>
      <c r="F385" s="15" t="str">
        <f>IFERROR(MATCH(INDEX('Formulación PDN 2027'!$P$7:$P$506,MATCH(ROW()-5,'Formulación PDN 2027'!$AK$7:$AK$506,0)),L_MESES,0),"")</f>
        <v/>
      </c>
      <c r="G385" s="15" t="str">
        <f>IFERROR(INDEX('Formulación PDN 2027'!$Q$7:$Q$506,MATCH(ROW()-5,'Formulación PDN 2027'!$AK$7:$AK$506,0)),"")</f>
        <v/>
      </c>
      <c r="H385" s="15" t="str">
        <f>IFERROR(INDEX('Formulación PDN 2027'!$R$7:$R$506,MATCH(ROW()-5,'Formulación PDN 2027'!$AK$7:$AK$506,0))&amp;"","")</f>
        <v/>
      </c>
      <c r="I385" s="15" t="str">
        <f>IFERROR(INDEX('Formulación PDN 2027'!$S$7:$S$506,MATCH(ROW()-5,'Formulación PDN 2027'!$AK$7:$AK$506,0))&amp;"","")</f>
        <v/>
      </c>
      <c r="J385" s="15" t="str">
        <f>IFERROR(INDEX('Formulación PDN 2027'!$T$7:$T$506,MATCH(ROW()-5,'Formulación PDN 2027'!$AK$7:$AK$506,0))&amp;"","")</f>
        <v/>
      </c>
      <c r="K385" s="43" t="str">
        <f>IFERROR(INDEX('Formulación PDN 2027'!$W$7:$W$506,MATCH(ROW()-5,'Formulación PDN 2027'!$AK$7:$AK$506,0)),"")</f>
        <v/>
      </c>
      <c r="L385" s="43" t="str">
        <f>IFERROR(INDEX('Formulación PDN 2027'!$X$7:$X$506,MATCH(ROW()-5,'Formulación PDN 2027'!$AK$7:$AK$506,0)),"")</f>
        <v/>
      </c>
      <c r="M385" s="15" t="str">
        <f>IFERROR(INDEX('Formulación PDN 2027'!$Y$7:$Y$506,MATCH(ROW()-5,'Formulación PDN 2027'!$AK$7:$AK$506,0))&amp;"","")</f>
        <v/>
      </c>
      <c r="N385" s="15" t="str">
        <f>IFERROR(INDEX('Formulación PDN 2027'!$Z$7:$Z$506,MATCH(ROW()-5,'Formulación PDN 2027'!$AK$7:$AK$506,0))&amp;"","")</f>
        <v/>
      </c>
      <c r="O385" s="15"/>
      <c r="P385" s="15" t="str">
        <f>IFERROR(INDEX('Formulación PDN 2027'!$AA$7:$AA$506,MATCH(ROW()-5,'Formulación PDN 2027'!$AK$7:$AK$506,0))&amp;"","")</f>
        <v/>
      </c>
      <c r="Q385" s="15" t="str">
        <f>IFERROR(INDEX('Formulación PDN 2027'!$AB$7:$AB$506,MATCH(ROW()-5,'Formulación PDN 2027'!$AK$7:$AK$506,0))&amp;"","")</f>
        <v/>
      </c>
      <c r="R385" s="15" t="str">
        <f>IFERROR(INDEX('Formulación PDN 2027'!$AD$7:$AD$506,MATCH(ROW()-5,'Formulación PDN 2027'!$AK$7:$AK$506,0))&amp;"","")</f>
        <v/>
      </c>
      <c r="S385" s="15" t="str">
        <f>IFERROR(INDEX('Formulación PDN 2027'!$AE$7:$AE$506,MATCH(ROW()-5,'Formulación PDN 2027'!$AK$7:$AK$506,0))&amp;"","")</f>
        <v/>
      </c>
      <c r="T385" s="15" t="str">
        <f>IFERROR(INDEX('Formulación PDN 2027'!$C$7:$C$506,MATCH(ROW()-5,'Formulación PDN 2027'!$AK$7:$AK$506,0))&amp;"","")</f>
        <v/>
      </c>
      <c r="U385" s="15" t="str">
        <f>IFERROR(INDEX('Formulación PDN 2027'!$B$7:$B$506,MATCH(ROW()-5,'Formulación PDN 2027'!$AK$7:$AK$506,0))&amp;"","")</f>
        <v/>
      </c>
      <c r="V385" s="15" t="str">
        <f>IFERROR(LEFT(INDEX('Formulación PDN 2027'!$E$7:$E$506,MATCH(ROW()-5,'Formulación PDN 2027'!$AK$7:$AK$506,0)),7),"")</f>
        <v/>
      </c>
      <c r="W385" s="15" t="str">
        <f>IFERROR(INDEX('Formulación PDN 2027'!$H$7:$H$506,MATCH(ROW()-5,'Formulación PDN 2027'!$AK$7:$AK$506,0))&amp;"","")</f>
        <v/>
      </c>
      <c r="X385" s="15" t="str">
        <f>IFERROR(INDEX('Formulación PDN 2027'!$U$7:$U$506,MATCH(ROW()-5,'Formulación PDN 2027'!$AK$7:$AK$506,0))&amp;"","")</f>
        <v/>
      </c>
      <c r="Y385" s="15" t="str">
        <f>IFERROR(INDEX('Formulación PDN 2027'!$AH$7:$AH$506,MATCH(ROW()-5,'Formulación PDN 2027'!$AK$7:$AK$506,0))&amp;"","")</f>
        <v/>
      </c>
    </row>
    <row r="386" spans="1:25" x14ac:dyDescent="0.3">
      <c r="A386" s="15" t="str">
        <f>IFERROR(INDEX('Formulación PDN 2027'!$A$7:$A$506,MATCH(ROW()-5,'Formulación PDN 2027'!$AK$7:$AK$506,0))&amp;"","")</f>
        <v/>
      </c>
      <c r="B386" s="20" t="str">
        <f>IFERROR(INDEX('Formulación PDN 2027'!$M$7:$M$506,MATCH(ROW()-5,'Formulación PDN 2027'!$AK$7:$AK$506,0)),"")</f>
        <v/>
      </c>
      <c r="C386" s="15" t="str">
        <f>IFERROR(INDEX('Formulación PDN 2027'!$N$7:$N$506,MATCH(ROW()-5,'Formulación PDN 2027'!$AK$7:$AK$506,0))&amp;"","")</f>
        <v/>
      </c>
      <c r="D386" s="15" t="str">
        <f>IFERROR(INDEX('Formulación PDN 2027'!$L$7:$L$506,MATCH(ROW()-5,'Formulación PDN 2027'!$AK$7:$AK$506,0))&amp;"","")</f>
        <v/>
      </c>
      <c r="E386" s="15" t="str">
        <f>IFERROR(MATCH(INDEX('Formulación PDN 2027'!$O$7:$O$506,MATCH(ROW()-5,'Formulación PDN 2027'!$AK$7:$AK$506,0)),L_MESES,0),"")</f>
        <v/>
      </c>
      <c r="F386" s="15" t="str">
        <f>IFERROR(MATCH(INDEX('Formulación PDN 2027'!$P$7:$P$506,MATCH(ROW()-5,'Formulación PDN 2027'!$AK$7:$AK$506,0)),L_MESES,0),"")</f>
        <v/>
      </c>
      <c r="G386" s="15" t="str">
        <f>IFERROR(INDEX('Formulación PDN 2027'!$Q$7:$Q$506,MATCH(ROW()-5,'Formulación PDN 2027'!$AK$7:$AK$506,0)),"")</f>
        <v/>
      </c>
      <c r="H386" s="15" t="str">
        <f>IFERROR(INDEX('Formulación PDN 2027'!$R$7:$R$506,MATCH(ROW()-5,'Formulación PDN 2027'!$AK$7:$AK$506,0))&amp;"","")</f>
        <v/>
      </c>
      <c r="I386" s="15" t="str">
        <f>IFERROR(INDEX('Formulación PDN 2027'!$S$7:$S$506,MATCH(ROW()-5,'Formulación PDN 2027'!$AK$7:$AK$506,0))&amp;"","")</f>
        <v/>
      </c>
      <c r="J386" s="15" t="str">
        <f>IFERROR(INDEX('Formulación PDN 2027'!$T$7:$T$506,MATCH(ROW()-5,'Formulación PDN 2027'!$AK$7:$AK$506,0))&amp;"","")</f>
        <v/>
      </c>
      <c r="K386" s="43" t="str">
        <f>IFERROR(INDEX('Formulación PDN 2027'!$W$7:$W$506,MATCH(ROW()-5,'Formulación PDN 2027'!$AK$7:$AK$506,0)),"")</f>
        <v/>
      </c>
      <c r="L386" s="43" t="str">
        <f>IFERROR(INDEX('Formulación PDN 2027'!$X$7:$X$506,MATCH(ROW()-5,'Formulación PDN 2027'!$AK$7:$AK$506,0)),"")</f>
        <v/>
      </c>
      <c r="M386" s="15" t="str">
        <f>IFERROR(INDEX('Formulación PDN 2027'!$Y$7:$Y$506,MATCH(ROW()-5,'Formulación PDN 2027'!$AK$7:$AK$506,0))&amp;"","")</f>
        <v/>
      </c>
      <c r="N386" s="15" t="str">
        <f>IFERROR(INDEX('Formulación PDN 2027'!$Z$7:$Z$506,MATCH(ROW()-5,'Formulación PDN 2027'!$AK$7:$AK$506,0))&amp;"","")</f>
        <v/>
      </c>
      <c r="O386" s="15"/>
      <c r="P386" s="15" t="str">
        <f>IFERROR(INDEX('Formulación PDN 2027'!$AA$7:$AA$506,MATCH(ROW()-5,'Formulación PDN 2027'!$AK$7:$AK$506,0))&amp;"","")</f>
        <v/>
      </c>
      <c r="Q386" s="15" t="str">
        <f>IFERROR(INDEX('Formulación PDN 2027'!$AB$7:$AB$506,MATCH(ROW()-5,'Formulación PDN 2027'!$AK$7:$AK$506,0))&amp;"","")</f>
        <v/>
      </c>
      <c r="R386" s="15" t="str">
        <f>IFERROR(INDEX('Formulación PDN 2027'!$AD$7:$AD$506,MATCH(ROW()-5,'Formulación PDN 2027'!$AK$7:$AK$506,0))&amp;"","")</f>
        <v/>
      </c>
      <c r="S386" s="15" t="str">
        <f>IFERROR(INDEX('Formulación PDN 2027'!$AE$7:$AE$506,MATCH(ROW()-5,'Formulación PDN 2027'!$AK$7:$AK$506,0))&amp;"","")</f>
        <v/>
      </c>
      <c r="T386" s="15" t="str">
        <f>IFERROR(INDEX('Formulación PDN 2027'!$C$7:$C$506,MATCH(ROW()-5,'Formulación PDN 2027'!$AK$7:$AK$506,0))&amp;"","")</f>
        <v/>
      </c>
      <c r="U386" s="15" t="str">
        <f>IFERROR(INDEX('Formulación PDN 2027'!$B$7:$B$506,MATCH(ROW()-5,'Formulación PDN 2027'!$AK$7:$AK$506,0))&amp;"","")</f>
        <v/>
      </c>
      <c r="V386" s="15" t="str">
        <f>IFERROR(LEFT(INDEX('Formulación PDN 2027'!$E$7:$E$506,MATCH(ROW()-5,'Formulación PDN 2027'!$AK$7:$AK$506,0)),7),"")</f>
        <v/>
      </c>
      <c r="W386" s="15" t="str">
        <f>IFERROR(INDEX('Formulación PDN 2027'!$H$7:$H$506,MATCH(ROW()-5,'Formulación PDN 2027'!$AK$7:$AK$506,0))&amp;"","")</f>
        <v/>
      </c>
      <c r="X386" s="15" t="str">
        <f>IFERROR(INDEX('Formulación PDN 2027'!$U$7:$U$506,MATCH(ROW()-5,'Formulación PDN 2027'!$AK$7:$AK$506,0))&amp;"","")</f>
        <v/>
      </c>
      <c r="Y386" s="15" t="str">
        <f>IFERROR(INDEX('Formulación PDN 2027'!$AH$7:$AH$506,MATCH(ROW()-5,'Formulación PDN 2027'!$AK$7:$AK$506,0))&amp;"","")</f>
        <v/>
      </c>
    </row>
    <row r="387" spans="1:25" x14ac:dyDescent="0.3">
      <c r="A387" s="15" t="str">
        <f>IFERROR(INDEX('Formulación PDN 2027'!$A$7:$A$506,MATCH(ROW()-5,'Formulación PDN 2027'!$AK$7:$AK$506,0))&amp;"","")</f>
        <v/>
      </c>
      <c r="B387" s="20" t="str">
        <f>IFERROR(INDEX('Formulación PDN 2027'!$M$7:$M$506,MATCH(ROW()-5,'Formulación PDN 2027'!$AK$7:$AK$506,0)),"")</f>
        <v/>
      </c>
      <c r="C387" s="15" t="str">
        <f>IFERROR(INDEX('Formulación PDN 2027'!$N$7:$N$506,MATCH(ROW()-5,'Formulación PDN 2027'!$AK$7:$AK$506,0))&amp;"","")</f>
        <v/>
      </c>
      <c r="D387" s="15" t="str">
        <f>IFERROR(INDEX('Formulación PDN 2027'!$L$7:$L$506,MATCH(ROW()-5,'Formulación PDN 2027'!$AK$7:$AK$506,0))&amp;"","")</f>
        <v/>
      </c>
      <c r="E387" s="15" t="str">
        <f>IFERROR(MATCH(INDEX('Formulación PDN 2027'!$O$7:$O$506,MATCH(ROW()-5,'Formulación PDN 2027'!$AK$7:$AK$506,0)),L_MESES,0),"")</f>
        <v/>
      </c>
      <c r="F387" s="15" t="str">
        <f>IFERROR(MATCH(INDEX('Formulación PDN 2027'!$P$7:$P$506,MATCH(ROW()-5,'Formulación PDN 2027'!$AK$7:$AK$506,0)),L_MESES,0),"")</f>
        <v/>
      </c>
      <c r="G387" s="15" t="str">
        <f>IFERROR(INDEX('Formulación PDN 2027'!$Q$7:$Q$506,MATCH(ROW()-5,'Formulación PDN 2027'!$AK$7:$AK$506,0)),"")</f>
        <v/>
      </c>
      <c r="H387" s="15" t="str">
        <f>IFERROR(INDEX('Formulación PDN 2027'!$R$7:$R$506,MATCH(ROW()-5,'Formulación PDN 2027'!$AK$7:$AK$506,0))&amp;"","")</f>
        <v/>
      </c>
      <c r="I387" s="15" t="str">
        <f>IFERROR(INDEX('Formulación PDN 2027'!$S$7:$S$506,MATCH(ROW()-5,'Formulación PDN 2027'!$AK$7:$AK$506,0))&amp;"","")</f>
        <v/>
      </c>
      <c r="J387" s="15" t="str">
        <f>IFERROR(INDEX('Formulación PDN 2027'!$T$7:$T$506,MATCH(ROW()-5,'Formulación PDN 2027'!$AK$7:$AK$506,0))&amp;"","")</f>
        <v/>
      </c>
      <c r="K387" s="43" t="str">
        <f>IFERROR(INDEX('Formulación PDN 2027'!$W$7:$W$506,MATCH(ROW()-5,'Formulación PDN 2027'!$AK$7:$AK$506,0)),"")</f>
        <v/>
      </c>
      <c r="L387" s="43" t="str">
        <f>IFERROR(INDEX('Formulación PDN 2027'!$X$7:$X$506,MATCH(ROW()-5,'Formulación PDN 2027'!$AK$7:$AK$506,0)),"")</f>
        <v/>
      </c>
      <c r="M387" s="15" t="str">
        <f>IFERROR(INDEX('Formulación PDN 2027'!$Y$7:$Y$506,MATCH(ROW()-5,'Formulación PDN 2027'!$AK$7:$AK$506,0))&amp;"","")</f>
        <v/>
      </c>
      <c r="N387" s="15" t="str">
        <f>IFERROR(INDEX('Formulación PDN 2027'!$Z$7:$Z$506,MATCH(ROW()-5,'Formulación PDN 2027'!$AK$7:$AK$506,0))&amp;"","")</f>
        <v/>
      </c>
      <c r="O387" s="15"/>
      <c r="P387" s="15" t="str">
        <f>IFERROR(INDEX('Formulación PDN 2027'!$AA$7:$AA$506,MATCH(ROW()-5,'Formulación PDN 2027'!$AK$7:$AK$506,0))&amp;"","")</f>
        <v/>
      </c>
      <c r="Q387" s="15" t="str">
        <f>IFERROR(INDEX('Formulación PDN 2027'!$AB$7:$AB$506,MATCH(ROW()-5,'Formulación PDN 2027'!$AK$7:$AK$506,0))&amp;"","")</f>
        <v/>
      </c>
      <c r="R387" s="15" t="str">
        <f>IFERROR(INDEX('Formulación PDN 2027'!$AD$7:$AD$506,MATCH(ROW()-5,'Formulación PDN 2027'!$AK$7:$AK$506,0))&amp;"","")</f>
        <v/>
      </c>
      <c r="S387" s="15" t="str">
        <f>IFERROR(INDEX('Formulación PDN 2027'!$AE$7:$AE$506,MATCH(ROW()-5,'Formulación PDN 2027'!$AK$7:$AK$506,0))&amp;"","")</f>
        <v/>
      </c>
      <c r="T387" s="15" t="str">
        <f>IFERROR(INDEX('Formulación PDN 2027'!$C$7:$C$506,MATCH(ROW()-5,'Formulación PDN 2027'!$AK$7:$AK$506,0))&amp;"","")</f>
        <v/>
      </c>
      <c r="U387" s="15" t="str">
        <f>IFERROR(INDEX('Formulación PDN 2027'!$B$7:$B$506,MATCH(ROW()-5,'Formulación PDN 2027'!$AK$7:$AK$506,0))&amp;"","")</f>
        <v/>
      </c>
      <c r="V387" s="15" t="str">
        <f>IFERROR(LEFT(INDEX('Formulación PDN 2027'!$E$7:$E$506,MATCH(ROW()-5,'Formulación PDN 2027'!$AK$7:$AK$506,0)),7),"")</f>
        <v/>
      </c>
      <c r="W387" s="15" t="str">
        <f>IFERROR(INDEX('Formulación PDN 2027'!$H$7:$H$506,MATCH(ROW()-5,'Formulación PDN 2027'!$AK$7:$AK$506,0))&amp;"","")</f>
        <v/>
      </c>
      <c r="X387" s="15" t="str">
        <f>IFERROR(INDEX('Formulación PDN 2027'!$U$7:$U$506,MATCH(ROW()-5,'Formulación PDN 2027'!$AK$7:$AK$506,0))&amp;"","")</f>
        <v/>
      </c>
      <c r="Y387" s="15" t="str">
        <f>IFERROR(INDEX('Formulación PDN 2027'!$AH$7:$AH$506,MATCH(ROW()-5,'Formulación PDN 2027'!$AK$7:$AK$506,0))&amp;"","")</f>
        <v/>
      </c>
    </row>
    <row r="388" spans="1:25" x14ac:dyDescent="0.3">
      <c r="A388" s="15" t="str">
        <f>IFERROR(INDEX('Formulación PDN 2027'!$A$7:$A$506,MATCH(ROW()-5,'Formulación PDN 2027'!$AK$7:$AK$506,0))&amp;"","")</f>
        <v/>
      </c>
      <c r="B388" s="20" t="str">
        <f>IFERROR(INDEX('Formulación PDN 2027'!$M$7:$M$506,MATCH(ROW()-5,'Formulación PDN 2027'!$AK$7:$AK$506,0)),"")</f>
        <v/>
      </c>
      <c r="C388" s="15" t="str">
        <f>IFERROR(INDEX('Formulación PDN 2027'!$N$7:$N$506,MATCH(ROW()-5,'Formulación PDN 2027'!$AK$7:$AK$506,0))&amp;"","")</f>
        <v/>
      </c>
      <c r="D388" s="15" t="str">
        <f>IFERROR(INDEX('Formulación PDN 2027'!$L$7:$L$506,MATCH(ROW()-5,'Formulación PDN 2027'!$AK$7:$AK$506,0))&amp;"","")</f>
        <v/>
      </c>
      <c r="E388" s="15" t="str">
        <f>IFERROR(MATCH(INDEX('Formulación PDN 2027'!$O$7:$O$506,MATCH(ROW()-5,'Formulación PDN 2027'!$AK$7:$AK$506,0)),L_MESES,0),"")</f>
        <v/>
      </c>
      <c r="F388" s="15" t="str">
        <f>IFERROR(MATCH(INDEX('Formulación PDN 2027'!$P$7:$P$506,MATCH(ROW()-5,'Formulación PDN 2027'!$AK$7:$AK$506,0)),L_MESES,0),"")</f>
        <v/>
      </c>
      <c r="G388" s="15" t="str">
        <f>IFERROR(INDEX('Formulación PDN 2027'!$Q$7:$Q$506,MATCH(ROW()-5,'Formulación PDN 2027'!$AK$7:$AK$506,0)),"")</f>
        <v/>
      </c>
      <c r="H388" s="15" t="str">
        <f>IFERROR(INDEX('Formulación PDN 2027'!$R$7:$R$506,MATCH(ROW()-5,'Formulación PDN 2027'!$AK$7:$AK$506,0))&amp;"","")</f>
        <v/>
      </c>
      <c r="I388" s="15" t="str">
        <f>IFERROR(INDEX('Formulación PDN 2027'!$S$7:$S$506,MATCH(ROW()-5,'Formulación PDN 2027'!$AK$7:$AK$506,0))&amp;"","")</f>
        <v/>
      </c>
      <c r="J388" s="15" t="str">
        <f>IFERROR(INDEX('Formulación PDN 2027'!$T$7:$T$506,MATCH(ROW()-5,'Formulación PDN 2027'!$AK$7:$AK$506,0))&amp;"","")</f>
        <v/>
      </c>
      <c r="K388" s="43" t="str">
        <f>IFERROR(INDEX('Formulación PDN 2027'!$W$7:$W$506,MATCH(ROW()-5,'Formulación PDN 2027'!$AK$7:$AK$506,0)),"")</f>
        <v/>
      </c>
      <c r="L388" s="43" t="str">
        <f>IFERROR(INDEX('Formulación PDN 2027'!$X$7:$X$506,MATCH(ROW()-5,'Formulación PDN 2027'!$AK$7:$AK$506,0)),"")</f>
        <v/>
      </c>
      <c r="M388" s="15" t="str">
        <f>IFERROR(INDEX('Formulación PDN 2027'!$Y$7:$Y$506,MATCH(ROW()-5,'Formulación PDN 2027'!$AK$7:$AK$506,0))&amp;"","")</f>
        <v/>
      </c>
      <c r="N388" s="15" t="str">
        <f>IFERROR(INDEX('Formulación PDN 2027'!$Z$7:$Z$506,MATCH(ROW()-5,'Formulación PDN 2027'!$AK$7:$AK$506,0))&amp;"","")</f>
        <v/>
      </c>
      <c r="O388" s="15"/>
      <c r="P388" s="15" t="str">
        <f>IFERROR(INDEX('Formulación PDN 2027'!$AA$7:$AA$506,MATCH(ROW()-5,'Formulación PDN 2027'!$AK$7:$AK$506,0))&amp;"","")</f>
        <v/>
      </c>
      <c r="Q388" s="15" t="str">
        <f>IFERROR(INDEX('Formulación PDN 2027'!$AB$7:$AB$506,MATCH(ROW()-5,'Formulación PDN 2027'!$AK$7:$AK$506,0))&amp;"","")</f>
        <v/>
      </c>
      <c r="R388" s="15" t="str">
        <f>IFERROR(INDEX('Formulación PDN 2027'!$AD$7:$AD$506,MATCH(ROW()-5,'Formulación PDN 2027'!$AK$7:$AK$506,0))&amp;"","")</f>
        <v/>
      </c>
      <c r="S388" s="15" t="str">
        <f>IFERROR(INDEX('Formulación PDN 2027'!$AE$7:$AE$506,MATCH(ROW()-5,'Formulación PDN 2027'!$AK$7:$AK$506,0))&amp;"","")</f>
        <v/>
      </c>
      <c r="T388" s="15" t="str">
        <f>IFERROR(INDEX('Formulación PDN 2027'!$C$7:$C$506,MATCH(ROW()-5,'Formulación PDN 2027'!$AK$7:$AK$506,0))&amp;"","")</f>
        <v/>
      </c>
      <c r="U388" s="15" t="str">
        <f>IFERROR(INDEX('Formulación PDN 2027'!$B$7:$B$506,MATCH(ROW()-5,'Formulación PDN 2027'!$AK$7:$AK$506,0))&amp;"","")</f>
        <v/>
      </c>
      <c r="V388" s="15" t="str">
        <f>IFERROR(LEFT(INDEX('Formulación PDN 2027'!$E$7:$E$506,MATCH(ROW()-5,'Formulación PDN 2027'!$AK$7:$AK$506,0)),7),"")</f>
        <v/>
      </c>
      <c r="W388" s="15" t="str">
        <f>IFERROR(INDEX('Formulación PDN 2027'!$H$7:$H$506,MATCH(ROW()-5,'Formulación PDN 2027'!$AK$7:$AK$506,0))&amp;"","")</f>
        <v/>
      </c>
      <c r="X388" s="15" t="str">
        <f>IFERROR(INDEX('Formulación PDN 2027'!$U$7:$U$506,MATCH(ROW()-5,'Formulación PDN 2027'!$AK$7:$AK$506,0))&amp;"","")</f>
        <v/>
      </c>
      <c r="Y388" s="15" t="str">
        <f>IFERROR(INDEX('Formulación PDN 2027'!$AH$7:$AH$506,MATCH(ROW()-5,'Formulación PDN 2027'!$AK$7:$AK$506,0))&amp;"","")</f>
        <v/>
      </c>
    </row>
    <row r="389" spans="1:25" x14ac:dyDescent="0.3">
      <c r="A389" s="15" t="str">
        <f>IFERROR(INDEX('Formulación PDN 2027'!$A$7:$A$506,MATCH(ROW()-5,'Formulación PDN 2027'!$AK$7:$AK$506,0))&amp;"","")</f>
        <v/>
      </c>
      <c r="B389" s="20" t="str">
        <f>IFERROR(INDEX('Formulación PDN 2027'!$M$7:$M$506,MATCH(ROW()-5,'Formulación PDN 2027'!$AK$7:$AK$506,0)),"")</f>
        <v/>
      </c>
      <c r="C389" s="15" t="str">
        <f>IFERROR(INDEX('Formulación PDN 2027'!$N$7:$N$506,MATCH(ROW()-5,'Formulación PDN 2027'!$AK$7:$AK$506,0))&amp;"","")</f>
        <v/>
      </c>
      <c r="D389" s="15" t="str">
        <f>IFERROR(INDEX('Formulación PDN 2027'!$L$7:$L$506,MATCH(ROW()-5,'Formulación PDN 2027'!$AK$7:$AK$506,0))&amp;"","")</f>
        <v/>
      </c>
      <c r="E389" s="15" t="str">
        <f>IFERROR(MATCH(INDEX('Formulación PDN 2027'!$O$7:$O$506,MATCH(ROW()-5,'Formulación PDN 2027'!$AK$7:$AK$506,0)),L_MESES,0),"")</f>
        <v/>
      </c>
      <c r="F389" s="15" t="str">
        <f>IFERROR(MATCH(INDEX('Formulación PDN 2027'!$P$7:$P$506,MATCH(ROW()-5,'Formulación PDN 2027'!$AK$7:$AK$506,0)),L_MESES,0),"")</f>
        <v/>
      </c>
      <c r="G389" s="15" t="str">
        <f>IFERROR(INDEX('Formulación PDN 2027'!$Q$7:$Q$506,MATCH(ROW()-5,'Formulación PDN 2027'!$AK$7:$AK$506,0)),"")</f>
        <v/>
      </c>
      <c r="H389" s="15" t="str">
        <f>IFERROR(INDEX('Formulación PDN 2027'!$R$7:$R$506,MATCH(ROW()-5,'Formulación PDN 2027'!$AK$7:$AK$506,0))&amp;"","")</f>
        <v/>
      </c>
      <c r="I389" s="15" t="str">
        <f>IFERROR(INDEX('Formulación PDN 2027'!$S$7:$S$506,MATCH(ROW()-5,'Formulación PDN 2027'!$AK$7:$AK$506,0))&amp;"","")</f>
        <v/>
      </c>
      <c r="J389" s="15" t="str">
        <f>IFERROR(INDEX('Formulación PDN 2027'!$T$7:$T$506,MATCH(ROW()-5,'Formulación PDN 2027'!$AK$7:$AK$506,0))&amp;"","")</f>
        <v/>
      </c>
      <c r="K389" s="43" t="str">
        <f>IFERROR(INDEX('Formulación PDN 2027'!$W$7:$W$506,MATCH(ROW()-5,'Formulación PDN 2027'!$AK$7:$AK$506,0)),"")</f>
        <v/>
      </c>
      <c r="L389" s="43" t="str">
        <f>IFERROR(INDEX('Formulación PDN 2027'!$X$7:$X$506,MATCH(ROW()-5,'Formulación PDN 2027'!$AK$7:$AK$506,0)),"")</f>
        <v/>
      </c>
      <c r="M389" s="15" t="str">
        <f>IFERROR(INDEX('Formulación PDN 2027'!$Y$7:$Y$506,MATCH(ROW()-5,'Formulación PDN 2027'!$AK$7:$AK$506,0))&amp;"","")</f>
        <v/>
      </c>
      <c r="N389" s="15" t="str">
        <f>IFERROR(INDEX('Formulación PDN 2027'!$Z$7:$Z$506,MATCH(ROW()-5,'Formulación PDN 2027'!$AK$7:$AK$506,0))&amp;"","")</f>
        <v/>
      </c>
      <c r="O389" s="15"/>
      <c r="P389" s="15" t="str">
        <f>IFERROR(INDEX('Formulación PDN 2027'!$AA$7:$AA$506,MATCH(ROW()-5,'Formulación PDN 2027'!$AK$7:$AK$506,0))&amp;"","")</f>
        <v/>
      </c>
      <c r="Q389" s="15" t="str">
        <f>IFERROR(INDEX('Formulación PDN 2027'!$AB$7:$AB$506,MATCH(ROW()-5,'Formulación PDN 2027'!$AK$7:$AK$506,0))&amp;"","")</f>
        <v/>
      </c>
      <c r="R389" s="15" t="str">
        <f>IFERROR(INDEX('Formulación PDN 2027'!$AD$7:$AD$506,MATCH(ROW()-5,'Formulación PDN 2027'!$AK$7:$AK$506,0))&amp;"","")</f>
        <v/>
      </c>
      <c r="S389" s="15" t="str">
        <f>IFERROR(INDEX('Formulación PDN 2027'!$AE$7:$AE$506,MATCH(ROW()-5,'Formulación PDN 2027'!$AK$7:$AK$506,0))&amp;"","")</f>
        <v/>
      </c>
      <c r="T389" s="15" t="str">
        <f>IFERROR(INDEX('Formulación PDN 2027'!$C$7:$C$506,MATCH(ROW()-5,'Formulación PDN 2027'!$AK$7:$AK$506,0))&amp;"","")</f>
        <v/>
      </c>
      <c r="U389" s="15" t="str">
        <f>IFERROR(INDEX('Formulación PDN 2027'!$B$7:$B$506,MATCH(ROW()-5,'Formulación PDN 2027'!$AK$7:$AK$506,0))&amp;"","")</f>
        <v/>
      </c>
      <c r="V389" s="15" t="str">
        <f>IFERROR(LEFT(INDEX('Formulación PDN 2027'!$E$7:$E$506,MATCH(ROW()-5,'Formulación PDN 2027'!$AK$7:$AK$506,0)),7),"")</f>
        <v/>
      </c>
      <c r="W389" s="15" t="str">
        <f>IFERROR(INDEX('Formulación PDN 2027'!$H$7:$H$506,MATCH(ROW()-5,'Formulación PDN 2027'!$AK$7:$AK$506,0))&amp;"","")</f>
        <v/>
      </c>
      <c r="X389" s="15" t="str">
        <f>IFERROR(INDEX('Formulación PDN 2027'!$U$7:$U$506,MATCH(ROW()-5,'Formulación PDN 2027'!$AK$7:$AK$506,0))&amp;"","")</f>
        <v/>
      </c>
      <c r="Y389" s="15" t="str">
        <f>IFERROR(INDEX('Formulación PDN 2027'!$AH$7:$AH$506,MATCH(ROW()-5,'Formulación PDN 2027'!$AK$7:$AK$506,0))&amp;"","")</f>
        <v/>
      </c>
    </row>
    <row r="390" spans="1:25" x14ac:dyDescent="0.3">
      <c r="A390" s="15" t="str">
        <f>IFERROR(INDEX('Formulación PDN 2027'!$A$7:$A$506,MATCH(ROW()-5,'Formulación PDN 2027'!$AK$7:$AK$506,0))&amp;"","")</f>
        <v/>
      </c>
      <c r="B390" s="20" t="str">
        <f>IFERROR(INDEX('Formulación PDN 2027'!$M$7:$M$506,MATCH(ROW()-5,'Formulación PDN 2027'!$AK$7:$AK$506,0)),"")</f>
        <v/>
      </c>
      <c r="C390" s="15" t="str">
        <f>IFERROR(INDEX('Formulación PDN 2027'!$N$7:$N$506,MATCH(ROW()-5,'Formulación PDN 2027'!$AK$7:$AK$506,0))&amp;"","")</f>
        <v/>
      </c>
      <c r="D390" s="15" t="str">
        <f>IFERROR(INDEX('Formulación PDN 2027'!$L$7:$L$506,MATCH(ROW()-5,'Formulación PDN 2027'!$AK$7:$AK$506,0))&amp;"","")</f>
        <v/>
      </c>
      <c r="E390" s="15" t="str">
        <f>IFERROR(MATCH(INDEX('Formulación PDN 2027'!$O$7:$O$506,MATCH(ROW()-5,'Formulación PDN 2027'!$AK$7:$AK$506,0)),L_MESES,0),"")</f>
        <v/>
      </c>
      <c r="F390" s="15" t="str">
        <f>IFERROR(MATCH(INDEX('Formulación PDN 2027'!$P$7:$P$506,MATCH(ROW()-5,'Formulación PDN 2027'!$AK$7:$AK$506,0)),L_MESES,0),"")</f>
        <v/>
      </c>
      <c r="G390" s="15" t="str">
        <f>IFERROR(INDEX('Formulación PDN 2027'!$Q$7:$Q$506,MATCH(ROW()-5,'Formulación PDN 2027'!$AK$7:$AK$506,0)),"")</f>
        <v/>
      </c>
      <c r="H390" s="15" t="str">
        <f>IFERROR(INDEX('Formulación PDN 2027'!$R$7:$R$506,MATCH(ROW()-5,'Formulación PDN 2027'!$AK$7:$AK$506,0))&amp;"","")</f>
        <v/>
      </c>
      <c r="I390" s="15" t="str">
        <f>IFERROR(INDEX('Formulación PDN 2027'!$S$7:$S$506,MATCH(ROW()-5,'Formulación PDN 2027'!$AK$7:$AK$506,0))&amp;"","")</f>
        <v/>
      </c>
      <c r="J390" s="15" t="str">
        <f>IFERROR(INDEX('Formulación PDN 2027'!$T$7:$T$506,MATCH(ROW()-5,'Formulación PDN 2027'!$AK$7:$AK$506,0))&amp;"","")</f>
        <v/>
      </c>
      <c r="K390" s="43" t="str">
        <f>IFERROR(INDEX('Formulación PDN 2027'!$W$7:$W$506,MATCH(ROW()-5,'Formulación PDN 2027'!$AK$7:$AK$506,0)),"")</f>
        <v/>
      </c>
      <c r="L390" s="43" t="str">
        <f>IFERROR(INDEX('Formulación PDN 2027'!$X$7:$X$506,MATCH(ROW()-5,'Formulación PDN 2027'!$AK$7:$AK$506,0)),"")</f>
        <v/>
      </c>
      <c r="M390" s="15" t="str">
        <f>IFERROR(INDEX('Formulación PDN 2027'!$Y$7:$Y$506,MATCH(ROW()-5,'Formulación PDN 2027'!$AK$7:$AK$506,0))&amp;"","")</f>
        <v/>
      </c>
      <c r="N390" s="15" t="str">
        <f>IFERROR(INDEX('Formulación PDN 2027'!$Z$7:$Z$506,MATCH(ROW()-5,'Formulación PDN 2027'!$AK$7:$AK$506,0))&amp;"","")</f>
        <v/>
      </c>
      <c r="O390" s="15"/>
      <c r="P390" s="15" t="str">
        <f>IFERROR(INDEX('Formulación PDN 2027'!$AA$7:$AA$506,MATCH(ROW()-5,'Formulación PDN 2027'!$AK$7:$AK$506,0))&amp;"","")</f>
        <v/>
      </c>
      <c r="Q390" s="15" t="str">
        <f>IFERROR(INDEX('Formulación PDN 2027'!$AB$7:$AB$506,MATCH(ROW()-5,'Formulación PDN 2027'!$AK$7:$AK$506,0))&amp;"","")</f>
        <v/>
      </c>
      <c r="R390" s="15" t="str">
        <f>IFERROR(INDEX('Formulación PDN 2027'!$AD$7:$AD$506,MATCH(ROW()-5,'Formulación PDN 2027'!$AK$7:$AK$506,0))&amp;"","")</f>
        <v/>
      </c>
      <c r="S390" s="15" t="str">
        <f>IFERROR(INDEX('Formulación PDN 2027'!$AE$7:$AE$506,MATCH(ROW()-5,'Formulación PDN 2027'!$AK$7:$AK$506,0))&amp;"","")</f>
        <v/>
      </c>
      <c r="T390" s="15" t="str">
        <f>IFERROR(INDEX('Formulación PDN 2027'!$C$7:$C$506,MATCH(ROW()-5,'Formulación PDN 2027'!$AK$7:$AK$506,0))&amp;"","")</f>
        <v/>
      </c>
      <c r="U390" s="15" t="str">
        <f>IFERROR(INDEX('Formulación PDN 2027'!$B$7:$B$506,MATCH(ROW()-5,'Formulación PDN 2027'!$AK$7:$AK$506,0))&amp;"","")</f>
        <v/>
      </c>
      <c r="V390" s="15" t="str">
        <f>IFERROR(LEFT(INDEX('Formulación PDN 2027'!$E$7:$E$506,MATCH(ROW()-5,'Formulación PDN 2027'!$AK$7:$AK$506,0)),7),"")</f>
        <v/>
      </c>
      <c r="W390" s="15" t="str">
        <f>IFERROR(INDEX('Formulación PDN 2027'!$H$7:$H$506,MATCH(ROW()-5,'Formulación PDN 2027'!$AK$7:$AK$506,0))&amp;"","")</f>
        <v/>
      </c>
      <c r="X390" s="15" t="str">
        <f>IFERROR(INDEX('Formulación PDN 2027'!$U$7:$U$506,MATCH(ROW()-5,'Formulación PDN 2027'!$AK$7:$AK$506,0))&amp;"","")</f>
        <v/>
      </c>
      <c r="Y390" s="15" t="str">
        <f>IFERROR(INDEX('Formulación PDN 2027'!$AH$7:$AH$506,MATCH(ROW()-5,'Formulación PDN 2027'!$AK$7:$AK$506,0))&amp;"","")</f>
        <v/>
      </c>
    </row>
    <row r="391" spans="1:25" x14ac:dyDescent="0.3">
      <c r="A391" s="15" t="str">
        <f>IFERROR(INDEX('Formulación PDN 2027'!$A$7:$A$506,MATCH(ROW()-5,'Formulación PDN 2027'!$AK$7:$AK$506,0))&amp;"","")</f>
        <v/>
      </c>
      <c r="B391" s="20" t="str">
        <f>IFERROR(INDEX('Formulación PDN 2027'!$M$7:$M$506,MATCH(ROW()-5,'Formulación PDN 2027'!$AK$7:$AK$506,0)),"")</f>
        <v/>
      </c>
      <c r="C391" s="15" t="str">
        <f>IFERROR(INDEX('Formulación PDN 2027'!$N$7:$N$506,MATCH(ROW()-5,'Formulación PDN 2027'!$AK$7:$AK$506,0))&amp;"","")</f>
        <v/>
      </c>
      <c r="D391" s="15" t="str">
        <f>IFERROR(INDEX('Formulación PDN 2027'!$L$7:$L$506,MATCH(ROW()-5,'Formulación PDN 2027'!$AK$7:$AK$506,0))&amp;"","")</f>
        <v/>
      </c>
      <c r="E391" s="15" t="str">
        <f>IFERROR(MATCH(INDEX('Formulación PDN 2027'!$O$7:$O$506,MATCH(ROW()-5,'Formulación PDN 2027'!$AK$7:$AK$506,0)),L_MESES,0),"")</f>
        <v/>
      </c>
      <c r="F391" s="15" t="str">
        <f>IFERROR(MATCH(INDEX('Formulación PDN 2027'!$P$7:$P$506,MATCH(ROW()-5,'Formulación PDN 2027'!$AK$7:$AK$506,0)),L_MESES,0),"")</f>
        <v/>
      </c>
      <c r="G391" s="15" t="str">
        <f>IFERROR(INDEX('Formulación PDN 2027'!$Q$7:$Q$506,MATCH(ROW()-5,'Formulación PDN 2027'!$AK$7:$AK$506,0)),"")</f>
        <v/>
      </c>
      <c r="H391" s="15" t="str">
        <f>IFERROR(INDEX('Formulación PDN 2027'!$R$7:$R$506,MATCH(ROW()-5,'Formulación PDN 2027'!$AK$7:$AK$506,0))&amp;"","")</f>
        <v/>
      </c>
      <c r="I391" s="15" t="str">
        <f>IFERROR(INDEX('Formulación PDN 2027'!$S$7:$S$506,MATCH(ROW()-5,'Formulación PDN 2027'!$AK$7:$AK$506,0))&amp;"","")</f>
        <v/>
      </c>
      <c r="J391" s="15" t="str">
        <f>IFERROR(INDEX('Formulación PDN 2027'!$T$7:$T$506,MATCH(ROW()-5,'Formulación PDN 2027'!$AK$7:$AK$506,0))&amp;"","")</f>
        <v/>
      </c>
      <c r="K391" s="43" t="str">
        <f>IFERROR(INDEX('Formulación PDN 2027'!$W$7:$W$506,MATCH(ROW()-5,'Formulación PDN 2027'!$AK$7:$AK$506,0)),"")</f>
        <v/>
      </c>
      <c r="L391" s="43" t="str">
        <f>IFERROR(INDEX('Formulación PDN 2027'!$X$7:$X$506,MATCH(ROW()-5,'Formulación PDN 2027'!$AK$7:$AK$506,0)),"")</f>
        <v/>
      </c>
      <c r="M391" s="15" t="str">
        <f>IFERROR(INDEX('Formulación PDN 2027'!$Y$7:$Y$506,MATCH(ROW()-5,'Formulación PDN 2027'!$AK$7:$AK$506,0))&amp;"","")</f>
        <v/>
      </c>
      <c r="N391" s="15" t="str">
        <f>IFERROR(INDEX('Formulación PDN 2027'!$Z$7:$Z$506,MATCH(ROW()-5,'Formulación PDN 2027'!$AK$7:$AK$506,0))&amp;"","")</f>
        <v/>
      </c>
      <c r="O391" s="15"/>
      <c r="P391" s="15" t="str">
        <f>IFERROR(INDEX('Formulación PDN 2027'!$AA$7:$AA$506,MATCH(ROW()-5,'Formulación PDN 2027'!$AK$7:$AK$506,0))&amp;"","")</f>
        <v/>
      </c>
      <c r="Q391" s="15" t="str">
        <f>IFERROR(INDEX('Formulación PDN 2027'!$AB$7:$AB$506,MATCH(ROW()-5,'Formulación PDN 2027'!$AK$7:$AK$506,0))&amp;"","")</f>
        <v/>
      </c>
      <c r="R391" s="15" t="str">
        <f>IFERROR(INDEX('Formulación PDN 2027'!$AD$7:$AD$506,MATCH(ROW()-5,'Formulación PDN 2027'!$AK$7:$AK$506,0))&amp;"","")</f>
        <v/>
      </c>
      <c r="S391" s="15" t="str">
        <f>IFERROR(INDEX('Formulación PDN 2027'!$AE$7:$AE$506,MATCH(ROW()-5,'Formulación PDN 2027'!$AK$7:$AK$506,0))&amp;"","")</f>
        <v/>
      </c>
      <c r="T391" s="15" t="str">
        <f>IFERROR(INDEX('Formulación PDN 2027'!$C$7:$C$506,MATCH(ROW()-5,'Formulación PDN 2027'!$AK$7:$AK$506,0))&amp;"","")</f>
        <v/>
      </c>
      <c r="U391" s="15" t="str">
        <f>IFERROR(INDEX('Formulación PDN 2027'!$B$7:$B$506,MATCH(ROW()-5,'Formulación PDN 2027'!$AK$7:$AK$506,0))&amp;"","")</f>
        <v/>
      </c>
      <c r="V391" s="15" t="str">
        <f>IFERROR(LEFT(INDEX('Formulación PDN 2027'!$E$7:$E$506,MATCH(ROW()-5,'Formulación PDN 2027'!$AK$7:$AK$506,0)),7),"")</f>
        <v/>
      </c>
      <c r="W391" s="15" t="str">
        <f>IFERROR(INDEX('Formulación PDN 2027'!$H$7:$H$506,MATCH(ROW()-5,'Formulación PDN 2027'!$AK$7:$AK$506,0))&amp;"","")</f>
        <v/>
      </c>
      <c r="X391" s="15" t="str">
        <f>IFERROR(INDEX('Formulación PDN 2027'!$U$7:$U$506,MATCH(ROW()-5,'Formulación PDN 2027'!$AK$7:$AK$506,0))&amp;"","")</f>
        <v/>
      </c>
      <c r="Y391" s="15" t="str">
        <f>IFERROR(INDEX('Formulación PDN 2027'!$AH$7:$AH$506,MATCH(ROW()-5,'Formulación PDN 2027'!$AK$7:$AK$506,0))&amp;"","")</f>
        <v/>
      </c>
    </row>
    <row r="392" spans="1:25" x14ac:dyDescent="0.3">
      <c r="A392" s="15" t="str">
        <f>IFERROR(INDEX('Formulación PDN 2027'!$A$7:$A$506,MATCH(ROW()-5,'Formulación PDN 2027'!$AK$7:$AK$506,0))&amp;"","")</f>
        <v/>
      </c>
      <c r="B392" s="20" t="str">
        <f>IFERROR(INDEX('Formulación PDN 2027'!$M$7:$M$506,MATCH(ROW()-5,'Formulación PDN 2027'!$AK$7:$AK$506,0)),"")</f>
        <v/>
      </c>
      <c r="C392" s="15" t="str">
        <f>IFERROR(INDEX('Formulación PDN 2027'!$N$7:$N$506,MATCH(ROW()-5,'Formulación PDN 2027'!$AK$7:$AK$506,0))&amp;"","")</f>
        <v/>
      </c>
      <c r="D392" s="15" t="str">
        <f>IFERROR(INDEX('Formulación PDN 2027'!$L$7:$L$506,MATCH(ROW()-5,'Formulación PDN 2027'!$AK$7:$AK$506,0))&amp;"","")</f>
        <v/>
      </c>
      <c r="E392" s="15" t="str">
        <f>IFERROR(MATCH(INDEX('Formulación PDN 2027'!$O$7:$O$506,MATCH(ROW()-5,'Formulación PDN 2027'!$AK$7:$AK$506,0)),L_MESES,0),"")</f>
        <v/>
      </c>
      <c r="F392" s="15" t="str">
        <f>IFERROR(MATCH(INDEX('Formulación PDN 2027'!$P$7:$P$506,MATCH(ROW()-5,'Formulación PDN 2027'!$AK$7:$AK$506,0)),L_MESES,0),"")</f>
        <v/>
      </c>
      <c r="G392" s="15" t="str">
        <f>IFERROR(INDEX('Formulación PDN 2027'!$Q$7:$Q$506,MATCH(ROW()-5,'Formulación PDN 2027'!$AK$7:$AK$506,0)),"")</f>
        <v/>
      </c>
      <c r="H392" s="15" t="str">
        <f>IFERROR(INDEX('Formulación PDN 2027'!$R$7:$R$506,MATCH(ROW()-5,'Formulación PDN 2027'!$AK$7:$AK$506,0))&amp;"","")</f>
        <v/>
      </c>
      <c r="I392" s="15" t="str">
        <f>IFERROR(INDEX('Formulación PDN 2027'!$S$7:$S$506,MATCH(ROW()-5,'Formulación PDN 2027'!$AK$7:$AK$506,0))&amp;"","")</f>
        <v/>
      </c>
      <c r="J392" s="15" t="str">
        <f>IFERROR(INDEX('Formulación PDN 2027'!$T$7:$T$506,MATCH(ROW()-5,'Formulación PDN 2027'!$AK$7:$AK$506,0))&amp;"","")</f>
        <v/>
      </c>
      <c r="K392" s="43" t="str">
        <f>IFERROR(INDEX('Formulación PDN 2027'!$W$7:$W$506,MATCH(ROW()-5,'Formulación PDN 2027'!$AK$7:$AK$506,0)),"")</f>
        <v/>
      </c>
      <c r="L392" s="43" t="str">
        <f>IFERROR(INDEX('Formulación PDN 2027'!$X$7:$X$506,MATCH(ROW()-5,'Formulación PDN 2027'!$AK$7:$AK$506,0)),"")</f>
        <v/>
      </c>
      <c r="M392" s="15" t="str">
        <f>IFERROR(INDEX('Formulación PDN 2027'!$Y$7:$Y$506,MATCH(ROW()-5,'Formulación PDN 2027'!$AK$7:$AK$506,0))&amp;"","")</f>
        <v/>
      </c>
      <c r="N392" s="15" t="str">
        <f>IFERROR(INDEX('Formulación PDN 2027'!$Z$7:$Z$506,MATCH(ROW()-5,'Formulación PDN 2027'!$AK$7:$AK$506,0))&amp;"","")</f>
        <v/>
      </c>
      <c r="O392" s="15"/>
      <c r="P392" s="15" t="str">
        <f>IFERROR(INDEX('Formulación PDN 2027'!$AA$7:$AA$506,MATCH(ROW()-5,'Formulación PDN 2027'!$AK$7:$AK$506,0))&amp;"","")</f>
        <v/>
      </c>
      <c r="Q392" s="15" t="str">
        <f>IFERROR(INDEX('Formulación PDN 2027'!$AB$7:$AB$506,MATCH(ROW()-5,'Formulación PDN 2027'!$AK$7:$AK$506,0))&amp;"","")</f>
        <v/>
      </c>
      <c r="R392" s="15" t="str">
        <f>IFERROR(INDEX('Formulación PDN 2027'!$AD$7:$AD$506,MATCH(ROW()-5,'Formulación PDN 2027'!$AK$7:$AK$506,0))&amp;"","")</f>
        <v/>
      </c>
      <c r="S392" s="15" t="str">
        <f>IFERROR(INDEX('Formulación PDN 2027'!$AE$7:$AE$506,MATCH(ROW()-5,'Formulación PDN 2027'!$AK$7:$AK$506,0))&amp;"","")</f>
        <v/>
      </c>
      <c r="T392" s="15" t="str">
        <f>IFERROR(INDEX('Formulación PDN 2027'!$C$7:$C$506,MATCH(ROW()-5,'Formulación PDN 2027'!$AK$7:$AK$506,0))&amp;"","")</f>
        <v/>
      </c>
      <c r="U392" s="15" t="str">
        <f>IFERROR(INDEX('Formulación PDN 2027'!$B$7:$B$506,MATCH(ROW()-5,'Formulación PDN 2027'!$AK$7:$AK$506,0))&amp;"","")</f>
        <v/>
      </c>
      <c r="V392" s="15" t="str">
        <f>IFERROR(LEFT(INDEX('Formulación PDN 2027'!$E$7:$E$506,MATCH(ROW()-5,'Formulación PDN 2027'!$AK$7:$AK$506,0)),7),"")</f>
        <v/>
      </c>
      <c r="W392" s="15" t="str">
        <f>IFERROR(INDEX('Formulación PDN 2027'!$H$7:$H$506,MATCH(ROW()-5,'Formulación PDN 2027'!$AK$7:$AK$506,0))&amp;"","")</f>
        <v/>
      </c>
      <c r="X392" s="15" t="str">
        <f>IFERROR(INDEX('Formulación PDN 2027'!$U$7:$U$506,MATCH(ROW()-5,'Formulación PDN 2027'!$AK$7:$AK$506,0))&amp;"","")</f>
        <v/>
      </c>
      <c r="Y392" s="15" t="str">
        <f>IFERROR(INDEX('Formulación PDN 2027'!$AH$7:$AH$506,MATCH(ROW()-5,'Formulación PDN 2027'!$AK$7:$AK$506,0))&amp;"","")</f>
        <v/>
      </c>
    </row>
    <row r="393" spans="1:25" x14ac:dyDescent="0.3">
      <c r="A393" s="15" t="str">
        <f>IFERROR(INDEX('Formulación PDN 2027'!$A$7:$A$506,MATCH(ROW()-5,'Formulación PDN 2027'!$AK$7:$AK$506,0))&amp;"","")</f>
        <v/>
      </c>
      <c r="B393" s="20" t="str">
        <f>IFERROR(INDEX('Formulación PDN 2027'!$M$7:$M$506,MATCH(ROW()-5,'Formulación PDN 2027'!$AK$7:$AK$506,0)),"")</f>
        <v/>
      </c>
      <c r="C393" s="15" t="str">
        <f>IFERROR(INDEX('Formulación PDN 2027'!$N$7:$N$506,MATCH(ROW()-5,'Formulación PDN 2027'!$AK$7:$AK$506,0))&amp;"","")</f>
        <v/>
      </c>
      <c r="D393" s="15" t="str">
        <f>IFERROR(INDEX('Formulación PDN 2027'!$L$7:$L$506,MATCH(ROW()-5,'Formulación PDN 2027'!$AK$7:$AK$506,0))&amp;"","")</f>
        <v/>
      </c>
      <c r="E393" s="15" t="str">
        <f>IFERROR(MATCH(INDEX('Formulación PDN 2027'!$O$7:$O$506,MATCH(ROW()-5,'Formulación PDN 2027'!$AK$7:$AK$506,0)),L_MESES,0),"")</f>
        <v/>
      </c>
      <c r="F393" s="15" t="str">
        <f>IFERROR(MATCH(INDEX('Formulación PDN 2027'!$P$7:$P$506,MATCH(ROW()-5,'Formulación PDN 2027'!$AK$7:$AK$506,0)),L_MESES,0),"")</f>
        <v/>
      </c>
      <c r="G393" s="15" t="str">
        <f>IFERROR(INDEX('Formulación PDN 2027'!$Q$7:$Q$506,MATCH(ROW()-5,'Formulación PDN 2027'!$AK$7:$AK$506,0)),"")</f>
        <v/>
      </c>
      <c r="H393" s="15" t="str">
        <f>IFERROR(INDEX('Formulación PDN 2027'!$R$7:$R$506,MATCH(ROW()-5,'Formulación PDN 2027'!$AK$7:$AK$506,0))&amp;"","")</f>
        <v/>
      </c>
      <c r="I393" s="15" t="str">
        <f>IFERROR(INDEX('Formulación PDN 2027'!$S$7:$S$506,MATCH(ROW()-5,'Formulación PDN 2027'!$AK$7:$AK$506,0))&amp;"","")</f>
        <v/>
      </c>
      <c r="J393" s="15" t="str">
        <f>IFERROR(INDEX('Formulación PDN 2027'!$T$7:$T$506,MATCH(ROW()-5,'Formulación PDN 2027'!$AK$7:$AK$506,0))&amp;"","")</f>
        <v/>
      </c>
      <c r="K393" s="43" t="str">
        <f>IFERROR(INDEX('Formulación PDN 2027'!$W$7:$W$506,MATCH(ROW()-5,'Formulación PDN 2027'!$AK$7:$AK$506,0)),"")</f>
        <v/>
      </c>
      <c r="L393" s="43" t="str">
        <f>IFERROR(INDEX('Formulación PDN 2027'!$X$7:$X$506,MATCH(ROW()-5,'Formulación PDN 2027'!$AK$7:$AK$506,0)),"")</f>
        <v/>
      </c>
      <c r="M393" s="15" t="str">
        <f>IFERROR(INDEX('Formulación PDN 2027'!$Y$7:$Y$506,MATCH(ROW()-5,'Formulación PDN 2027'!$AK$7:$AK$506,0))&amp;"","")</f>
        <v/>
      </c>
      <c r="N393" s="15" t="str">
        <f>IFERROR(INDEX('Formulación PDN 2027'!$Z$7:$Z$506,MATCH(ROW()-5,'Formulación PDN 2027'!$AK$7:$AK$506,0))&amp;"","")</f>
        <v/>
      </c>
      <c r="O393" s="15"/>
      <c r="P393" s="15" t="str">
        <f>IFERROR(INDEX('Formulación PDN 2027'!$AA$7:$AA$506,MATCH(ROW()-5,'Formulación PDN 2027'!$AK$7:$AK$506,0))&amp;"","")</f>
        <v/>
      </c>
      <c r="Q393" s="15" t="str">
        <f>IFERROR(INDEX('Formulación PDN 2027'!$AB$7:$AB$506,MATCH(ROW()-5,'Formulación PDN 2027'!$AK$7:$AK$506,0))&amp;"","")</f>
        <v/>
      </c>
      <c r="R393" s="15" t="str">
        <f>IFERROR(INDEX('Formulación PDN 2027'!$AD$7:$AD$506,MATCH(ROW()-5,'Formulación PDN 2027'!$AK$7:$AK$506,0))&amp;"","")</f>
        <v/>
      </c>
      <c r="S393" s="15" t="str">
        <f>IFERROR(INDEX('Formulación PDN 2027'!$AE$7:$AE$506,MATCH(ROW()-5,'Formulación PDN 2027'!$AK$7:$AK$506,0))&amp;"","")</f>
        <v/>
      </c>
      <c r="T393" s="15" t="str">
        <f>IFERROR(INDEX('Formulación PDN 2027'!$C$7:$C$506,MATCH(ROW()-5,'Formulación PDN 2027'!$AK$7:$AK$506,0))&amp;"","")</f>
        <v/>
      </c>
      <c r="U393" s="15" t="str">
        <f>IFERROR(INDEX('Formulación PDN 2027'!$B$7:$B$506,MATCH(ROW()-5,'Formulación PDN 2027'!$AK$7:$AK$506,0))&amp;"","")</f>
        <v/>
      </c>
      <c r="V393" s="15" t="str">
        <f>IFERROR(LEFT(INDEX('Formulación PDN 2027'!$E$7:$E$506,MATCH(ROW()-5,'Formulación PDN 2027'!$AK$7:$AK$506,0)),7),"")</f>
        <v/>
      </c>
      <c r="W393" s="15" t="str">
        <f>IFERROR(INDEX('Formulación PDN 2027'!$H$7:$H$506,MATCH(ROW()-5,'Formulación PDN 2027'!$AK$7:$AK$506,0))&amp;"","")</f>
        <v/>
      </c>
      <c r="X393" s="15" t="str">
        <f>IFERROR(INDEX('Formulación PDN 2027'!$U$7:$U$506,MATCH(ROW()-5,'Formulación PDN 2027'!$AK$7:$AK$506,0))&amp;"","")</f>
        <v/>
      </c>
      <c r="Y393" s="15" t="str">
        <f>IFERROR(INDEX('Formulación PDN 2027'!$AH$7:$AH$506,MATCH(ROW()-5,'Formulación PDN 2027'!$AK$7:$AK$506,0))&amp;"","")</f>
        <v/>
      </c>
    </row>
    <row r="394" spans="1:25" x14ac:dyDescent="0.3">
      <c r="A394" s="15" t="str">
        <f>IFERROR(INDEX('Formulación PDN 2027'!$A$7:$A$506,MATCH(ROW()-5,'Formulación PDN 2027'!$AK$7:$AK$506,0))&amp;"","")</f>
        <v/>
      </c>
      <c r="B394" s="20" t="str">
        <f>IFERROR(INDEX('Formulación PDN 2027'!$M$7:$M$506,MATCH(ROW()-5,'Formulación PDN 2027'!$AK$7:$AK$506,0)),"")</f>
        <v/>
      </c>
      <c r="C394" s="15" t="str">
        <f>IFERROR(INDEX('Formulación PDN 2027'!$N$7:$N$506,MATCH(ROW()-5,'Formulación PDN 2027'!$AK$7:$AK$506,0))&amp;"","")</f>
        <v/>
      </c>
      <c r="D394" s="15" t="str">
        <f>IFERROR(INDEX('Formulación PDN 2027'!$L$7:$L$506,MATCH(ROW()-5,'Formulación PDN 2027'!$AK$7:$AK$506,0))&amp;"","")</f>
        <v/>
      </c>
      <c r="E394" s="15" t="str">
        <f>IFERROR(MATCH(INDEX('Formulación PDN 2027'!$O$7:$O$506,MATCH(ROW()-5,'Formulación PDN 2027'!$AK$7:$AK$506,0)),L_MESES,0),"")</f>
        <v/>
      </c>
      <c r="F394" s="15" t="str">
        <f>IFERROR(MATCH(INDEX('Formulación PDN 2027'!$P$7:$P$506,MATCH(ROW()-5,'Formulación PDN 2027'!$AK$7:$AK$506,0)),L_MESES,0),"")</f>
        <v/>
      </c>
      <c r="G394" s="15" t="str">
        <f>IFERROR(INDEX('Formulación PDN 2027'!$Q$7:$Q$506,MATCH(ROW()-5,'Formulación PDN 2027'!$AK$7:$AK$506,0)),"")</f>
        <v/>
      </c>
      <c r="H394" s="15" t="str">
        <f>IFERROR(INDEX('Formulación PDN 2027'!$R$7:$R$506,MATCH(ROW()-5,'Formulación PDN 2027'!$AK$7:$AK$506,0))&amp;"","")</f>
        <v/>
      </c>
      <c r="I394" s="15" t="str">
        <f>IFERROR(INDEX('Formulación PDN 2027'!$S$7:$S$506,MATCH(ROW()-5,'Formulación PDN 2027'!$AK$7:$AK$506,0))&amp;"","")</f>
        <v/>
      </c>
      <c r="J394" s="15" t="str">
        <f>IFERROR(INDEX('Formulación PDN 2027'!$T$7:$T$506,MATCH(ROW()-5,'Formulación PDN 2027'!$AK$7:$AK$506,0))&amp;"","")</f>
        <v/>
      </c>
      <c r="K394" s="43" t="str">
        <f>IFERROR(INDEX('Formulación PDN 2027'!$W$7:$W$506,MATCH(ROW()-5,'Formulación PDN 2027'!$AK$7:$AK$506,0)),"")</f>
        <v/>
      </c>
      <c r="L394" s="43" t="str">
        <f>IFERROR(INDEX('Formulación PDN 2027'!$X$7:$X$506,MATCH(ROW()-5,'Formulación PDN 2027'!$AK$7:$AK$506,0)),"")</f>
        <v/>
      </c>
      <c r="M394" s="15" t="str">
        <f>IFERROR(INDEX('Formulación PDN 2027'!$Y$7:$Y$506,MATCH(ROW()-5,'Formulación PDN 2027'!$AK$7:$AK$506,0))&amp;"","")</f>
        <v/>
      </c>
      <c r="N394" s="15" t="str">
        <f>IFERROR(INDEX('Formulación PDN 2027'!$Z$7:$Z$506,MATCH(ROW()-5,'Formulación PDN 2027'!$AK$7:$AK$506,0))&amp;"","")</f>
        <v/>
      </c>
      <c r="O394" s="15"/>
      <c r="P394" s="15" t="str">
        <f>IFERROR(INDEX('Formulación PDN 2027'!$AA$7:$AA$506,MATCH(ROW()-5,'Formulación PDN 2027'!$AK$7:$AK$506,0))&amp;"","")</f>
        <v/>
      </c>
      <c r="Q394" s="15" t="str">
        <f>IFERROR(INDEX('Formulación PDN 2027'!$AB$7:$AB$506,MATCH(ROW()-5,'Formulación PDN 2027'!$AK$7:$AK$506,0))&amp;"","")</f>
        <v/>
      </c>
      <c r="R394" s="15" t="str">
        <f>IFERROR(INDEX('Formulación PDN 2027'!$AD$7:$AD$506,MATCH(ROW()-5,'Formulación PDN 2027'!$AK$7:$AK$506,0))&amp;"","")</f>
        <v/>
      </c>
      <c r="S394" s="15" t="str">
        <f>IFERROR(INDEX('Formulación PDN 2027'!$AE$7:$AE$506,MATCH(ROW()-5,'Formulación PDN 2027'!$AK$7:$AK$506,0))&amp;"","")</f>
        <v/>
      </c>
      <c r="T394" s="15" t="str">
        <f>IFERROR(INDEX('Formulación PDN 2027'!$C$7:$C$506,MATCH(ROW()-5,'Formulación PDN 2027'!$AK$7:$AK$506,0))&amp;"","")</f>
        <v/>
      </c>
      <c r="U394" s="15" t="str">
        <f>IFERROR(INDEX('Formulación PDN 2027'!$B$7:$B$506,MATCH(ROW()-5,'Formulación PDN 2027'!$AK$7:$AK$506,0))&amp;"","")</f>
        <v/>
      </c>
      <c r="V394" s="15" t="str">
        <f>IFERROR(LEFT(INDEX('Formulación PDN 2027'!$E$7:$E$506,MATCH(ROW()-5,'Formulación PDN 2027'!$AK$7:$AK$506,0)),7),"")</f>
        <v/>
      </c>
      <c r="W394" s="15" t="str">
        <f>IFERROR(INDEX('Formulación PDN 2027'!$H$7:$H$506,MATCH(ROW()-5,'Formulación PDN 2027'!$AK$7:$AK$506,0))&amp;"","")</f>
        <v/>
      </c>
      <c r="X394" s="15" t="str">
        <f>IFERROR(INDEX('Formulación PDN 2027'!$U$7:$U$506,MATCH(ROW()-5,'Formulación PDN 2027'!$AK$7:$AK$506,0))&amp;"","")</f>
        <v/>
      </c>
      <c r="Y394" s="15" t="str">
        <f>IFERROR(INDEX('Formulación PDN 2027'!$AH$7:$AH$506,MATCH(ROW()-5,'Formulación PDN 2027'!$AK$7:$AK$506,0))&amp;"","")</f>
        <v/>
      </c>
    </row>
    <row r="395" spans="1:25" x14ac:dyDescent="0.3">
      <c r="A395" s="15" t="str">
        <f>IFERROR(INDEX('Formulación PDN 2027'!$A$7:$A$506,MATCH(ROW()-5,'Formulación PDN 2027'!$AK$7:$AK$506,0))&amp;"","")</f>
        <v/>
      </c>
      <c r="B395" s="20" t="str">
        <f>IFERROR(INDEX('Formulación PDN 2027'!$M$7:$M$506,MATCH(ROW()-5,'Formulación PDN 2027'!$AK$7:$AK$506,0)),"")</f>
        <v/>
      </c>
      <c r="C395" s="15" t="str">
        <f>IFERROR(INDEX('Formulación PDN 2027'!$N$7:$N$506,MATCH(ROW()-5,'Formulación PDN 2027'!$AK$7:$AK$506,0))&amp;"","")</f>
        <v/>
      </c>
      <c r="D395" s="15" t="str">
        <f>IFERROR(INDEX('Formulación PDN 2027'!$L$7:$L$506,MATCH(ROW()-5,'Formulación PDN 2027'!$AK$7:$AK$506,0))&amp;"","")</f>
        <v/>
      </c>
      <c r="E395" s="15" t="str">
        <f>IFERROR(MATCH(INDEX('Formulación PDN 2027'!$O$7:$O$506,MATCH(ROW()-5,'Formulación PDN 2027'!$AK$7:$AK$506,0)),L_MESES,0),"")</f>
        <v/>
      </c>
      <c r="F395" s="15" t="str">
        <f>IFERROR(MATCH(INDEX('Formulación PDN 2027'!$P$7:$P$506,MATCH(ROW()-5,'Formulación PDN 2027'!$AK$7:$AK$506,0)),L_MESES,0),"")</f>
        <v/>
      </c>
      <c r="G395" s="15" t="str">
        <f>IFERROR(INDEX('Formulación PDN 2027'!$Q$7:$Q$506,MATCH(ROW()-5,'Formulación PDN 2027'!$AK$7:$AK$506,0)),"")</f>
        <v/>
      </c>
      <c r="H395" s="15" t="str">
        <f>IFERROR(INDEX('Formulación PDN 2027'!$R$7:$R$506,MATCH(ROW()-5,'Formulación PDN 2027'!$AK$7:$AK$506,0))&amp;"","")</f>
        <v/>
      </c>
      <c r="I395" s="15" t="str">
        <f>IFERROR(INDEX('Formulación PDN 2027'!$S$7:$S$506,MATCH(ROW()-5,'Formulación PDN 2027'!$AK$7:$AK$506,0))&amp;"","")</f>
        <v/>
      </c>
      <c r="J395" s="15" t="str">
        <f>IFERROR(INDEX('Formulación PDN 2027'!$T$7:$T$506,MATCH(ROW()-5,'Formulación PDN 2027'!$AK$7:$AK$506,0))&amp;"","")</f>
        <v/>
      </c>
      <c r="K395" s="43" t="str">
        <f>IFERROR(INDEX('Formulación PDN 2027'!$W$7:$W$506,MATCH(ROW()-5,'Formulación PDN 2027'!$AK$7:$AK$506,0)),"")</f>
        <v/>
      </c>
      <c r="L395" s="43" t="str">
        <f>IFERROR(INDEX('Formulación PDN 2027'!$X$7:$X$506,MATCH(ROW()-5,'Formulación PDN 2027'!$AK$7:$AK$506,0)),"")</f>
        <v/>
      </c>
      <c r="M395" s="15" t="str">
        <f>IFERROR(INDEX('Formulación PDN 2027'!$Y$7:$Y$506,MATCH(ROW()-5,'Formulación PDN 2027'!$AK$7:$AK$506,0))&amp;"","")</f>
        <v/>
      </c>
      <c r="N395" s="15" t="str">
        <f>IFERROR(INDEX('Formulación PDN 2027'!$Z$7:$Z$506,MATCH(ROW()-5,'Formulación PDN 2027'!$AK$7:$AK$506,0))&amp;"","")</f>
        <v/>
      </c>
      <c r="O395" s="15"/>
      <c r="P395" s="15" t="str">
        <f>IFERROR(INDEX('Formulación PDN 2027'!$AA$7:$AA$506,MATCH(ROW()-5,'Formulación PDN 2027'!$AK$7:$AK$506,0))&amp;"","")</f>
        <v/>
      </c>
      <c r="Q395" s="15" t="str">
        <f>IFERROR(INDEX('Formulación PDN 2027'!$AB$7:$AB$506,MATCH(ROW()-5,'Formulación PDN 2027'!$AK$7:$AK$506,0))&amp;"","")</f>
        <v/>
      </c>
      <c r="R395" s="15" t="str">
        <f>IFERROR(INDEX('Formulación PDN 2027'!$AD$7:$AD$506,MATCH(ROW()-5,'Formulación PDN 2027'!$AK$7:$AK$506,0))&amp;"","")</f>
        <v/>
      </c>
      <c r="S395" s="15" t="str">
        <f>IFERROR(INDEX('Formulación PDN 2027'!$AE$7:$AE$506,MATCH(ROW()-5,'Formulación PDN 2027'!$AK$7:$AK$506,0))&amp;"","")</f>
        <v/>
      </c>
      <c r="T395" s="15" t="str">
        <f>IFERROR(INDEX('Formulación PDN 2027'!$C$7:$C$506,MATCH(ROW()-5,'Formulación PDN 2027'!$AK$7:$AK$506,0))&amp;"","")</f>
        <v/>
      </c>
      <c r="U395" s="15" t="str">
        <f>IFERROR(INDEX('Formulación PDN 2027'!$B$7:$B$506,MATCH(ROW()-5,'Formulación PDN 2027'!$AK$7:$AK$506,0))&amp;"","")</f>
        <v/>
      </c>
      <c r="V395" s="15" t="str">
        <f>IFERROR(LEFT(INDEX('Formulación PDN 2027'!$E$7:$E$506,MATCH(ROW()-5,'Formulación PDN 2027'!$AK$7:$AK$506,0)),7),"")</f>
        <v/>
      </c>
      <c r="W395" s="15" t="str">
        <f>IFERROR(INDEX('Formulación PDN 2027'!$H$7:$H$506,MATCH(ROW()-5,'Formulación PDN 2027'!$AK$7:$AK$506,0))&amp;"","")</f>
        <v/>
      </c>
      <c r="X395" s="15" t="str">
        <f>IFERROR(INDEX('Formulación PDN 2027'!$U$7:$U$506,MATCH(ROW()-5,'Formulación PDN 2027'!$AK$7:$AK$506,0))&amp;"","")</f>
        <v/>
      </c>
      <c r="Y395" s="15" t="str">
        <f>IFERROR(INDEX('Formulación PDN 2027'!$AH$7:$AH$506,MATCH(ROW()-5,'Formulación PDN 2027'!$AK$7:$AK$506,0))&amp;"","")</f>
        <v/>
      </c>
    </row>
    <row r="396" spans="1:25" x14ac:dyDescent="0.3">
      <c r="A396" s="15" t="str">
        <f>IFERROR(INDEX('Formulación PDN 2027'!$A$7:$A$506,MATCH(ROW()-5,'Formulación PDN 2027'!$AK$7:$AK$506,0))&amp;"","")</f>
        <v/>
      </c>
      <c r="B396" s="20" t="str">
        <f>IFERROR(INDEX('Formulación PDN 2027'!$M$7:$M$506,MATCH(ROW()-5,'Formulación PDN 2027'!$AK$7:$AK$506,0)),"")</f>
        <v/>
      </c>
      <c r="C396" s="15" t="str">
        <f>IFERROR(INDEX('Formulación PDN 2027'!$N$7:$N$506,MATCH(ROW()-5,'Formulación PDN 2027'!$AK$7:$AK$506,0))&amp;"","")</f>
        <v/>
      </c>
      <c r="D396" s="15" t="str">
        <f>IFERROR(INDEX('Formulación PDN 2027'!$L$7:$L$506,MATCH(ROW()-5,'Formulación PDN 2027'!$AK$7:$AK$506,0))&amp;"","")</f>
        <v/>
      </c>
      <c r="E396" s="15" t="str">
        <f>IFERROR(MATCH(INDEX('Formulación PDN 2027'!$O$7:$O$506,MATCH(ROW()-5,'Formulación PDN 2027'!$AK$7:$AK$506,0)),L_MESES,0),"")</f>
        <v/>
      </c>
      <c r="F396" s="15" t="str">
        <f>IFERROR(MATCH(INDEX('Formulación PDN 2027'!$P$7:$P$506,MATCH(ROW()-5,'Formulación PDN 2027'!$AK$7:$AK$506,0)),L_MESES,0),"")</f>
        <v/>
      </c>
      <c r="G396" s="15" t="str">
        <f>IFERROR(INDEX('Formulación PDN 2027'!$Q$7:$Q$506,MATCH(ROW()-5,'Formulación PDN 2027'!$AK$7:$AK$506,0)),"")</f>
        <v/>
      </c>
      <c r="H396" s="15" t="str">
        <f>IFERROR(INDEX('Formulación PDN 2027'!$R$7:$R$506,MATCH(ROW()-5,'Formulación PDN 2027'!$AK$7:$AK$506,0))&amp;"","")</f>
        <v/>
      </c>
      <c r="I396" s="15" t="str">
        <f>IFERROR(INDEX('Formulación PDN 2027'!$S$7:$S$506,MATCH(ROW()-5,'Formulación PDN 2027'!$AK$7:$AK$506,0))&amp;"","")</f>
        <v/>
      </c>
      <c r="J396" s="15" t="str">
        <f>IFERROR(INDEX('Formulación PDN 2027'!$T$7:$T$506,MATCH(ROW()-5,'Formulación PDN 2027'!$AK$7:$AK$506,0))&amp;"","")</f>
        <v/>
      </c>
      <c r="K396" s="43" t="str">
        <f>IFERROR(INDEX('Formulación PDN 2027'!$W$7:$W$506,MATCH(ROW()-5,'Formulación PDN 2027'!$AK$7:$AK$506,0)),"")</f>
        <v/>
      </c>
      <c r="L396" s="43" t="str">
        <f>IFERROR(INDEX('Formulación PDN 2027'!$X$7:$X$506,MATCH(ROW()-5,'Formulación PDN 2027'!$AK$7:$AK$506,0)),"")</f>
        <v/>
      </c>
      <c r="M396" s="15" t="str">
        <f>IFERROR(INDEX('Formulación PDN 2027'!$Y$7:$Y$506,MATCH(ROW()-5,'Formulación PDN 2027'!$AK$7:$AK$506,0))&amp;"","")</f>
        <v/>
      </c>
      <c r="N396" s="15" t="str">
        <f>IFERROR(INDEX('Formulación PDN 2027'!$Z$7:$Z$506,MATCH(ROW()-5,'Formulación PDN 2027'!$AK$7:$AK$506,0))&amp;"","")</f>
        <v/>
      </c>
      <c r="O396" s="15"/>
      <c r="P396" s="15" t="str">
        <f>IFERROR(INDEX('Formulación PDN 2027'!$AA$7:$AA$506,MATCH(ROW()-5,'Formulación PDN 2027'!$AK$7:$AK$506,0))&amp;"","")</f>
        <v/>
      </c>
      <c r="Q396" s="15" t="str">
        <f>IFERROR(INDEX('Formulación PDN 2027'!$AB$7:$AB$506,MATCH(ROW()-5,'Formulación PDN 2027'!$AK$7:$AK$506,0))&amp;"","")</f>
        <v/>
      </c>
      <c r="R396" s="15" t="str">
        <f>IFERROR(INDEX('Formulación PDN 2027'!$AD$7:$AD$506,MATCH(ROW()-5,'Formulación PDN 2027'!$AK$7:$AK$506,0))&amp;"","")</f>
        <v/>
      </c>
      <c r="S396" s="15" t="str">
        <f>IFERROR(INDEX('Formulación PDN 2027'!$AE$7:$AE$506,MATCH(ROW()-5,'Formulación PDN 2027'!$AK$7:$AK$506,0))&amp;"","")</f>
        <v/>
      </c>
      <c r="T396" s="15" t="str">
        <f>IFERROR(INDEX('Formulación PDN 2027'!$C$7:$C$506,MATCH(ROW()-5,'Formulación PDN 2027'!$AK$7:$AK$506,0))&amp;"","")</f>
        <v/>
      </c>
      <c r="U396" s="15" t="str">
        <f>IFERROR(INDEX('Formulación PDN 2027'!$B$7:$B$506,MATCH(ROW()-5,'Formulación PDN 2027'!$AK$7:$AK$506,0))&amp;"","")</f>
        <v/>
      </c>
      <c r="V396" s="15" t="str">
        <f>IFERROR(LEFT(INDEX('Formulación PDN 2027'!$E$7:$E$506,MATCH(ROW()-5,'Formulación PDN 2027'!$AK$7:$AK$506,0)),7),"")</f>
        <v/>
      </c>
      <c r="W396" s="15" t="str">
        <f>IFERROR(INDEX('Formulación PDN 2027'!$H$7:$H$506,MATCH(ROW()-5,'Formulación PDN 2027'!$AK$7:$AK$506,0))&amp;"","")</f>
        <v/>
      </c>
      <c r="X396" s="15" t="str">
        <f>IFERROR(INDEX('Formulación PDN 2027'!$U$7:$U$506,MATCH(ROW()-5,'Formulación PDN 2027'!$AK$7:$AK$506,0))&amp;"","")</f>
        <v/>
      </c>
      <c r="Y396" s="15" t="str">
        <f>IFERROR(INDEX('Formulación PDN 2027'!$AH$7:$AH$506,MATCH(ROW()-5,'Formulación PDN 2027'!$AK$7:$AK$506,0))&amp;"","")</f>
        <v/>
      </c>
    </row>
    <row r="397" spans="1:25" x14ac:dyDescent="0.3">
      <c r="A397" s="15" t="str">
        <f>IFERROR(INDEX('Formulación PDN 2027'!$A$7:$A$506,MATCH(ROW()-5,'Formulación PDN 2027'!$AK$7:$AK$506,0))&amp;"","")</f>
        <v/>
      </c>
      <c r="B397" s="20" t="str">
        <f>IFERROR(INDEX('Formulación PDN 2027'!$M$7:$M$506,MATCH(ROW()-5,'Formulación PDN 2027'!$AK$7:$AK$506,0)),"")</f>
        <v/>
      </c>
      <c r="C397" s="15" t="str">
        <f>IFERROR(INDEX('Formulación PDN 2027'!$N$7:$N$506,MATCH(ROW()-5,'Formulación PDN 2027'!$AK$7:$AK$506,0))&amp;"","")</f>
        <v/>
      </c>
      <c r="D397" s="15" t="str">
        <f>IFERROR(INDEX('Formulación PDN 2027'!$L$7:$L$506,MATCH(ROW()-5,'Formulación PDN 2027'!$AK$7:$AK$506,0))&amp;"","")</f>
        <v/>
      </c>
      <c r="E397" s="15" t="str">
        <f>IFERROR(MATCH(INDEX('Formulación PDN 2027'!$O$7:$O$506,MATCH(ROW()-5,'Formulación PDN 2027'!$AK$7:$AK$506,0)),L_MESES,0),"")</f>
        <v/>
      </c>
      <c r="F397" s="15" t="str">
        <f>IFERROR(MATCH(INDEX('Formulación PDN 2027'!$P$7:$P$506,MATCH(ROW()-5,'Formulación PDN 2027'!$AK$7:$AK$506,0)),L_MESES,0),"")</f>
        <v/>
      </c>
      <c r="G397" s="15" t="str">
        <f>IFERROR(INDEX('Formulación PDN 2027'!$Q$7:$Q$506,MATCH(ROW()-5,'Formulación PDN 2027'!$AK$7:$AK$506,0)),"")</f>
        <v/>
      </c>
      <c r="H397" s="15" t="str">
        <f>IFERROR(INDEX('Formulación PDN 2027'!$R$7:$R$506,MATCH(ROW()-5,'Formulación PDN 2027'!$AK$7:$AK$506,0))&amp;"","")</f>
        <v/>
      </c>
      <c r="I397" s="15" t="str">
        <f>IFERROR(INDEX('Formulación PDN 2027'!$S$7:$S$506,MATCH(ROW()-5,'Formulación PDN 2027'!$AK$7:$AK$506,0))&amp;"","")</f>
        <v/>
      </c>
      <c r="J397" s="15" t="str">
        <f>IFERROR(INDEX('Formulación PDN 2027'!$T$7:$T$506,MATCH(ROW()-5,'Formulación PDN 2027'!$AK$7:$AK$506,0))&amp;"","")</f>
        <v/>
      </c>
      <c r="K397" s="43" t="str">
        <f>IFERROR(INDEX('Formulación PDN 2027'!$W$7:$W$506,MATCH(ROW()-5,'Formulación PDN 2027'!$AK$7:$AK$506,0)),"")</f>
        <v/>
      </c>
      <c r="L397" s="43" t="str">
        <f>IFERROR(INDEX('Formulación PDN 2027'!$X$7:$X$506,MATCH(ROW()-5,'Formulación PDN 2027'!$AK$7:$AK$506,0)),"")</f>
        <v/>
      </c>
      <c r="M397" s="15" t="str">
        <f>IFERROR(INDEX('Formulación PDN 2027'!$Y$7:$Y$506,MATCH(ROW()-5,'Formulación PDN 2027'!$AK$7:$AK$506,0))&amp;"","")</f>
        <v/>
      </c>
      <c r="N397" s="15" t="str">
        <f>IFERROR(INDEX('Formulación PDN 2027'!$Z$7:$Z$506,MATCH(ROW()-5,'Formulación PDN 2027'!$AK$7:$AK$506,0))&amp;"","")</f>
        <v/>
      </c>
      <c r="O397" s="15"/>
      <c r="P397" s="15" t="str">
        <f>IFERROR(INDEX('Formulación PDN 2027'!$AA$7:$AA$506,MATCH(ROW()-5,'Formulación PDN 2027'!$AK$7:$AK$506,0))&amp;"","")</f>
        <v/>
      </c>
      <c r="Q397" s="15" t="str">
        <f>IFERROR(INDEX('Formulación PDN 2027'!$AB$7:$AB$506,MATCH(ROW()-5,'Formulación PDN 2027'!$AK$7:$AK$506,0))&amp;"","")</f>
        <v/>
      </c>
      <c r="R397" s="15" t="str">
        <f>IFERROR(INDEX('Formulación PDN 2027'!$AD$7:$AD$506,MATCH(ROW()-5,'Formulación PDN 2027'!$AK$7:$AK$506,0))&amp;"","")</f>
        <v/>
      </c>
      <c r="S397" s="15" t="str">
        <f>IFERROR(INDEX('Formulación PDN 2027'!$AE$7:$AE$506,MATCH(ROW()-5,'Formulación PDN 2027'!$AK$7:$AK$506,0))&amp;"","")</f>
        <v/>
      </c>
      <c r="T397" s="15" t="str">
        <f>IFERROR(INDEX('Formulación PDN 2027'!$C$7:$C$506,MATCH(ROW()-5,'Formulación PDN 2027'!$AK$7:$AK$506,0))&amp;"","")</f>
        <v/>
      </c>
      <c r="U397" s="15" t="str">
        <f>IFERROR(INDEX('Formulación PDN 2027'!$B$7:$B$506,MATCH(ROW()-5,'Formulación PDN 2027'!$AK$7:$AK$506,0))&amp;"","")</f>
        <v/>
      </c>
      <c r="V397" s="15" t="str">
        <f>IFERROR(LEFT(INDEX('Formulación PDN 2027'!$E$7:$E$506,MATCH(ROW()-5,'Formulación PDN 2027'!$AK$7:$AK$506,0)),7),"")</f>
        <v/>
      </c>
      <c r="W397" s="15" t="str">
        <f>IFERROR(INDEX('Formulación PDN 2027'!$H$7:$H$506,MATCH(ROW()-5,'Formulación PDN 2027'!$AK$7:$AK$506,0))&amp;"","")</f>
        <v/>
      </c>
      <c r="X397" s="15" t="str">
        <f>IFERROR(INDEX('Formulación PDN 2027'!$U$7:$U$506,MATCH(ROW()-5,'Formulación PDN 2027'!$AK$7:$AK$506,0))&amp;"","")</f>
        <v/>
      </c>
      <c r="Y397" s="15" t="str">
        <f>IFERROR(INDEX('Formulación PDN 2027'!$AH$7:$AH$506,MATCH(ROW()-5,'Formulación PDN 2027'!$AK$7:$AK$506,0))&amp;"","")</f>
        <v/>
      </c>
    </row>
    <row r="398" spans="1:25" x14ac:dyDescent="0.3">
      <c r="A398" s="15" t="str">
        <f>IFERROR(INDEX('Formulación PDN 2027'!$A$7:$A$506,MATCH(ROW()-5,'Formulación PDN 2027'!$AK$7:$AK$506,0))&amp;"","")</f>
        <v/>
      </c>
      <c r="B398" s="20" t="str">
        <f>IFERROR(INDEX('Formulación PDN 2027'!$M$7:$M$506,MATCH(ROW()-5,'Formulación PDN 2027'!$AK$7:$AK$506,0)),"")</f>
        <v/>
      </c>
      <c r="C398" s="15" t="str">
        <f>IFERROR(INDEX('Formulación PDN 2027'!$N$7:$N$506,MATCH(ROW()-5,'Formulación PDN 2027'!$AK$7:$AK$506,0))&amp;"","")</f>
        <v/>
      </c>
      <c r="D398" s="15" t="str">
        <f>IFERROR(INDEX('Formulación PDN 2027'!$L$7:$L$506,MATCH(ROW()-5,'Formulación PDN 2027'!$AK$7:$AK$506,0))&amp;"","")</f>
        <v/>
      </c>
      <c r="E398" s="15" t="str">
        <f>IFERROR(MATCH(INDEX('Formulación PDN 2027'!$O$7:$O$506,MATCH(ROW()-5,'Formulación PDN 2027'!$AK$7:$AK$506,0)),L_MESES,0),"")</f>
        <v/>
      </c>
      <c r="F398" s="15" t="str">
        <f>IFERROR(MATCH(INDEX('Formulación PDN 2027'!$P$7:$P$506,MATCH(ROW()-5,'Formulación PDN 2027'!$AK$7:$AK$506,0)),L_MESES,0),"")</f>
        <v/>
      </c>
      <c r="G398" s="15" t="str">
        <f>IFERROR(INDEX('Formulación PDN 2027'!$Q$7:$Q$506,MATCH(ROW()-5,'Formulación PDN 2027'!$AK$7:$AK$506,0)),"")</f>
        <v/>
      </c>
      <c r="H398" s="15" t="str">
        <f>IFERROR(INDEX('Formulación PDN 2027'!$R$7:$R$506,MATCH(ROW()-5,'Formulación PDN 2027'!$AK$7:$AK$506,0))&amp;"","")</f>
        <v/>
      </c>
      <c r="I398" s="15" t="str">
        <f>IFERROR(INDEX('Formulación PDN 2027'!$S$7:$S$506,MATCH(ROW()-5,'Formulación PDN 2027'!$AK$7:$AK$506,0))&amp;"","")</f>
        <v/>
      </c>
      <c r="J398" s="15" t="str">
        <f>IFERROR(INDEX('Formulación PDN 2027'!$T$7:$T$506,MATCH(ROW()-5,'Formulación PDN 2027'!$AK$7:$AK$506,0))&amp;"","")</f>
        <v/>
      </c>
      <c r="K398" s="43" t="str">
        <f>IFERROR(INDEX('Formulación PDN 2027'!$W$7:$W$506,MATCH(ROW()-5,'Formulación PDN 2027'!$AK$7:$AK$506,0)),"")</f>
        <v/>
      </c>
      <c r="L398" s="43" t="str">
        <f>IFERROR(INDEX('Formulación PDN 2027'!$X$7:$X$506,MATCH(ROW()-5,'Formulación PDN 2027'!$AK$7:$AK$506,0)),"")</f>
        <v/>
      </c>
      <c r="M398" s="15" t="str">
        <f>IFERROR(INDEX('Formulación PDN 2027'!$Y$7:$Y$506,MATCH(ROW()-5,'Formulación PDN 2027'!$AK$7:$AK$506,0))&amp;"","")</f>
        <v/>
      </c>
      <c r="N398" s="15" t="str">
        <f>IFERROR(INDEX('Formulación PDN 2027'!$Z$7:$Z$506,MATCH(ROW()-5,'Formulación PDN 2027'!$AK$7:$AK$506,0))&amp;"","")</f>
        <v/>
      </c>
      <c r="O398" s="15"/>
      <c r="P398" s="15" t="str">
        <f>IFERROR(INDEX('Formulación PDN 2027'!$AA$7:$AA$506,MATCH(ROW()-5,'Formulación PDN 2027'!$AK$7:$AK$506,0))&amp;"","")</f>
        <v/>
      </c>
      <c r="Q398" s="15" t="str">
        <f>IFERROR(INDEX('Formulación PDN 2027'!$AB$7:$AB$506,MATCH(ROW()-5,'Formulación PDN 2027'!$AK$7:$AK$506,0))&amp;"","")</f>
        <v/>
      </c>
      <c r="R398" s="15" t="str">
        <f>IFERROR(INDEX('Formulación PDN 2027'!$AD$7:$AD$506,MATCH(ROW()-5,'Formulación PDN 2027'!$AK$7:$AK$506,0))&amp;"","")</f>
        <v/>
      </c>
      <c r="S398" s="15" t="str">
        <f>IFERROR(INDEX('Formulación PDN 2027'!$AE$7:$AE$506,MATCH(ROW()-5,'Formulación PDN 2027'!$AK$7:$AK$506,0))&amp;"","")</f>
        <v/>
      </c>
      <c r="T398" s="15" t="str">
        <f>IFERROR(INDEX('Formulación PDN 2027'!$C$7:$C$506,MATCH(ROW()-5,'Formulación PDN 2027'!$AK$7:$AK$506,0))&amp;"","")</f>
        <v/>
      </c>
      <c r="U398" s="15" t="str">
        <f>IFERROR(INDEX('Formulación PDN 2027'!$B$7:$B$506,MATCH(ROW()-5,'Formulación PDN 2027'!$AK$7:$AK$506,0))&amp;"","")</f>
        <v/>
      </c>
      <c r="V398" s="15" t="str">
        <f>IFERROR(LEFT(INDEX('Formulación PDN 2027'!$E$7:$E$506,MATCH(ROW()-5,'Formulación PDN 2027'!$AK$7:$AK$506,0)),7),"")</f>
        <v/>
      </c>
      <c r="W398" s="15" t="str">
        <f>IFERROR(INDEX('Formulación PDN 2027'!$H$7:$H$506,MATCH(ROW()-5,'Formulación PDN 2027'!$AK$7:$AK$506,0))&amp;"","")</f>
        <v/>
      </c>
      <c r="X398" s="15" t="str">
        <f>IFERROR(INDEX('Formulación PDN 2027'!$U$7:$U$506,MATCH(ROW()-5,'Formulación PDN 2027'!$AK$7:$AK$506,0))&amp;"","")</f>
        <v/>
      </c>
      <c r="Y398" s="15" t="str">
        <f>IFERROR(INDEX('Formulación PDN 2027'!$AH$7:$AH$506,MATCH(ROW()-5,'Formulación PDN 2027'!$AK$7:$AK$506,0))&amp;"","")</f>
        <v/>
      </c>
    </row>
    <row r="399" spans="1:25" x14ac:dyDescent="0.3">
      <c r="A399" s="15" t="str">
        <f>IFERROR(INDEX('Formulación PDN 2027'!$A$7:$A$506,MATCH(ROW()-5,'Formulación PDN 2027'!$AK$7:$AK$506,0))&amp;"","")</f>
        <v/>
      </c>
      <c r="B399" s="20" t="str">
        <f>IFERROR(INDEX('Formulación PDN 2027'!$M$7:$M$506,MATCH(ROW()-5,'Formulación PDN 2027'!$AK$7:$AK$506,0)),"")</f>
        <v/>
      </c>
      <c r="C399" s="15" t="str">
        <f>IFERROR(INDEX('Formulación PDN 2027'!$N$7:$N$506,MATCH(ROW()-5,'Formulación PDN 2027'!$AK$7:$AK$506,0))&amp;"","")</f>
        <v/>
      </c>
      <c r="D399" s="15" t="str">
        <f>IFERROR(INDEX('Formulación PDN 2027'!$L$7:$L$506,MATCH(ROW()-5,'Formulación PDN 2027'!$AK$7:$AK$506,0))&amp;"","")</f>
        <v/>
      </c>
      <c r="E399" s="15" t="str">
        <f>IFERROR(MATCH(INDEX('Formulación PDN 2027'!$O$7:$O$506,MATCH(ROW()-5,'Formulación PDN 2027'!$AK$7:$AK$506,0)),L_MESES,0),"")</f>
        <v/>
      </c>
      <c r="F399" s="15" t="str">
        <f>IFERROR(MATCH(INDEX('Formulación PDN 2027'!$P$7:$P$506,MATCH(ROW()-5,'Formulación PDN 2027'!$AK$7:$AK$506,0)),L_MESES,0),"")</f>
        <v/>
      </c>
      <c r="G399" s="15" t="str">
        <f>IFERROR(INDEX('Formulación PDN 2027'!$Q$7:$Q$506,MATCH(ROW()-5,'Formulación PDN 2027'!$AK$7:$AK$506,0)),"")</f>
        <v/>
      </c>
      <c r="H399" s="15" t="str">
        <f>IFERROR(INDEX('Formulación PDN 2027'!$R$7:$R$506,MATCH(ROW()-5,'Formulación PDN 2027'!$AK$7:$AK$506,0))&amp;"","")</f>
        <v/>
      </c>
      <c r="I399" s="15" t="str">
        <f>IFERROR(INDEX('Formulación PDN 2027'!$S$7:$S$506,MATCH(ROW()-5,'Formulación PDN 2027'!$AK$7:$AK$506,0))&amp;"","")</f>
        <v/>
      </c>
      <c r="J399" s="15" t="str">
        <f>IFERROR(INDEX('Formulación PDN 2027'!$T$7:$T$506,MATCH(ROW()-5,'Formulación PDN 2027'!$AK$7:$AK$506,0))&amp;"","")</f>
        <v/>
      </c>
      <c r="K399" s="43" t="str">
        <f>IFERROR(INDEX('Formulación PDN 2027'!$W$7:$W$506,MATCH(ROW()-5,'Formulación PDN 2027'!$AK$7:$AK$506,0)),"")</f>
        <v/>
      </c>
      <c r="L399" s="43" t="str">
        <f>IFERROR(INDEX('Formulación PDN 2027'!$X$7:$X$506,MATCH(ROW()-5,'Formulación PDN 2027'!$AK$7:$AK$506,0)),"")</f>
        <v/>
      </c>
      <c r="M399" s="15" t="str">
        <f>IFERROR(INDEX('Formulación PDN 2027'!$Y$7:$Y$506,MATCH(ROW()-5,'Formulación PDN 2027'!$AK$7:$AK$506,0))&amp;"","")</f>
        <v/>
      </c>
      <c r="N399" s="15" t="str">
        <f>IFERROR(INDEX('Formulación PDN 2027'!$Z$7:$Z$506,MATCH(ROW()-5,'Formulación PDN 2027'!$AK$7:$AK$506,0))&amp;"","")</f>
        <v/>
      </c>
      <c r="O399" s="15"/>
      <c r="P399" s="15" t="str">
        <f>IFERROR(INDEX('Formulación PDN 2027'!$AA$7:$AA$506,MATCH(ROW()-5,'Formulación PDN 2027'!$AK$7:$AK$506,0))&amp;"","")</f>
        <v/>
      </c>
      <c r="Q399" s="15" t="str">
        <f>IFERROR(INDEX('Formulación PDN 2027'!$AB$7:$AB$506,MATCH(ROW()-5,'Formulación PDN 2027'!$AK$7:$AK$506,0))&amp;"","")</f>
        <v/>
      </c>
      <c r="R399" s="15" t="str">
        <f>IFERROR(INDEX('Formulación PDN 2027'!$AD$7:$AD$506,MATCH(ROW()-5,'Formulación PDN 2027'!$AK$7:$AK$506,0))&amp;"","")</f>
        <v/>
      </c>
      <c r="S399" s="15" t="str">
        <f>IFERROR(INDEX('Formulación PDN 2027'!$AE$7:$AE$506,MATCH(ROW()-5,'Formulación PDN 2027'!$AK$7:$AK$506,0))&amp;"","")</f>
        <v/>
      </c>
      <c r="T399" s="15" t="str">
        <f>IFERROR(INDEX('Formulación PDN 2027'!$C$7:$C$506,MATCH(ROW()-5,'Formulación PDN 2027'!$AK$7:$AK$506,0))&amp;"","")</f>
        <v/>
      </c>
      <c r="U399" s="15" t="str">
        <f>IFERROR(INDEX('Formulación PDN 2027'!$B$7:$B$506,MATCH(ROW()-5,'Formulación PDN 2027'!$AK$7:$AK$506,0))&amp;"","")</f>
        <v/>
      </c>
      <c r="V399" s="15" t="str">
        <f>IFERROR(LEFT(INDEX('Formulación PDN 2027'!$E$7:$E$506,MATCH(ROW()-5,'Formulación PDN 2027'!$AK$7:$AK$506,0)),7),"")</f>
        <v/>
      </c>
      <c r="W399" s="15" t="str">
        <f>IFERROR(INDEX('Formulación PDN 2027'!$H$7:$H$506,MATCH(ROW()-5,'Formulación PDN 2027'!$AK$7:$AK$506,0))&amp;"","")</f>
        <v/>
      </c>
      <c r="X399" s="15" t="str">
        <f>IFERROR(INDEX('Formulación PDN 2027'!$U$7:$U$506,MATCH(ROW()-5,'Formulación PDN 2027'!$AK$7:$AK$506,0))&amp;"","")</f>
        <v/>
      </c>
      <c r="Y399" s="15" t="str">
        <f>IFERROR(INDEX('Formulación PDN 2027'!$AH$7:$AH$506,MATCH(ROW()-5,'Formulación PDN 2027'!$AK$7:$AK$506,0))&amp;"","")</f>
        <v/>
      </c>
    </row>
    <row r="400" spans="1:25" x14ac:dyDescent="0.3">
      <c r="A400" s="15" t="str">
        <f>IFERROR(INDEX('Formulación PDN 2027'!$A$7:$A$506,MATCH(ROW()-5,'Formulación PDN 2027'!$AK$7:$AK$506,0))&amp;"","")</f>
        <v/>
      </c>
      <c r="B400" s="20" t="str">
        <f>IFERROR(INDEX('Formulación PDN 2027'!$M$7:$M$506,MATCH(ROW()-5,'Formulación PDN 2027'!$AK$7:$AK$506,0)),"")</f>
        <v/>
      </c>
      <c r="C400" s="15" t="str">
        <f>IFERROR(INDEX('Formulación PDN 2027'!$N$7:$N$506,MATCH(ROW()-5,'Formulación PDN 2027'!$AK$7:$AK$506,0))&amp;"","")</f>
        <v/>
      </c>
      <c r="D400" s="15" t="str">
        <f>IFERROR(INDEX('Formulación PDN 2027'!$L$7:$L$506,MATCH(ROW()-5,'Formulación PDN 2027'!$AK$7:$AK$506,0))&amp;"","")</f>
        <v/>
      </c>
      <c r="E400" s="15" t="str">
        <f>IFERROR(MATCH(INDEX('Formulación PDN 2027'!$O$7:$O$506,MATCH(ROW()-5,'Formulación PDN 2027'!$AK$7:$AK$506,0)),L_MESES,0),"")</f>
        <v/>
      </c>
      <c r="F400" s="15" t="str">
        <f>IFERROR(MATCH(INDEX('Formulación PDN 2027'!$P$7:$P$506,MATCH(ROW()-5,'Formulación PDN 2027'!$AK$7:$AK$506,0)),L_MESES,0),"")</f>
        <v/>
      </c>
      <c r="G400" s="15" t="str">
        <f>IFERROR(INDEX('Formulación PDN 2027'!$Q$7:$Q$506,MATCH(ROW()-5,'Formulación PDN 2027'!$AK$7:$AK$506,0)),"")</f>
        <v/>
      </c>
      <c r="H400" s="15" t="str">
        <f>IFERROR(INDEX('Formulación PDN 2027'!$R$7:$R$506,MATCH(ROW()-5,'Formulación PDN 2027'!$AK$7:$AK$506,0))&amp;"","")</f>
        <v/>
      </c>
      <c r="I400" s="15" t="str">
        <f>IFERROR(INDEX('Formulación PDN 2027'!$S$7:$S$506,MATCH(ROW()-5,'Formulación PDN 2027'!$AK$7:$AK$506,0))&amp;"","")</f>
        <v/>
      </c>
      <c r="J400" s="15" t="str">
        <f>IFERROR(INDEX('Formulación PDN 2027'!$T$7:$T$506,MATCH(ROW()-5,'Formulación PDN 2027'!$AK$7:$AK$506,0))&amp;"","")</f>
        <v/>
      </c>
      <c r="K400" s="43" t="str">
        <f>IFERROR(INDEX('Formulación PDN 2027'!$W$7:$W$506,MATCH(ROW()-5,'Formulación PDN 2027'!$AK$7:$AK$506,0)),"")</f>
        <v/>
      </c>
      <c r="L400" s="43" t="str">
        <f>IFERROR(INDEX('Formulación PDN 2027'!$X$7:$X$506,MATCH(ROW()-5,'Formulación PDN 2027'!$AK$7:$AK$506,0)),"")</f>
        <v/>
      </c>
      <c r="M400" s="15" t="str">
        <f>IFERROR(INDEX('Formulación PDN 2027'!$Y$7:$Y$506,MATCH(ROW()-5,'Formulación PDN 2027'!$AK$7:$AK$506,0))&amp;"","")</f>
        <v/>
      </c>
      <c r="N400" s="15" t="str">
        <f>IFERROR(INDEX('Formulación PDN 2027'!$Z$7:$Z$506,MATCH(ROW()-5,'Formulación PDN 2027'!$AK$7:$AK$506,0))&amp;"","")</f>
        <v/>
      </c>
      <c r="O400" s="15"/>
      <c r="P400" s="15" t="str">
        <f>IFERROR(INDEX('Formulación PDN 2027'!$AA$7:$AA$506,MATCH(ROW()-5,'Formulación PDN 2027'!$AK$7:$AK$506,0))&amp;"","")</f>
        <v/>
      </c>
      <c r="Q400" s="15" t="str">
        <f>IFERROR(INDEX('Formulación PDN 2027'!$AB$7:$AB$506,MATCH(ROW()-5,'Formulación PDN 2027'!$AK$7:$AK$506,0))&amp;"","")</f>
        <v/>
      </c>
      <c r="R400" s="15" t="str">
        <f>IFERROR(INDEX('Formulación PDN 2027'!$AD$7:$AD$506,MATCH(ROW()-5,'Formulación PDN 2027'!$AK$7:$AK$506,0))&amp;"","")</f>
        <v/>
      </c>
      <c r="S400" s="15" t="str">
        <f>IFERROR(INDEX('Formulación PDN 2027'!$AE$7:$AE$506,MATCH(ROW()-5,'Formulación PDN 2027'!$AK$7:$AK$506,0))&amp;"","")</f>
        <v/>
      </c>
      <c r="T400" s="15" t="str">
        <f>IFERROR(INDEX('Formulación PDN 2027'!$C$7:$C$506,MATCH(ROW()-5,'Formulación PDN 2027'!$AK$7:$AK$506,0))&amp;"","")</f>
        <v/>
      </c>
      <c r="U400" s="15" t="str">
        <f>IFERROR(INDEX('Formulación PDN 2027'!$B$7:$B$506,MATCH(ROW()-5,'Formulación PDN 2027'!$AK$7:$AK$506,0))&amp;"","")</f>
        <v/>
      </c>
      <c r="V400" s="15" t="str">
        <f>IFERROR(LEFT(INDEX('Formulación PDN 2027'!$E$7:$E$506,MATCH(ROW()-5,'Formulación PDN 2027'!$AK$7:$AK$506,0)),7),"")</f>
        <v/>
      </c>
      <c r="W400" s="15" t="str">
        <f>IFERROR(INDEX('Formulación PDN 2027'!$H$7:$H$506,MATCH(ROW()-5,'Formulación PDN 2027'!$AK$7:$AK$506,0))&amp;"","")</f>
        <v/>
      </c>
      <c r="X400" s="15" t="str">
        <f>IFERROR(INDEX('Formulación PDN 2027'!$U$7:$U$506,MATCH(ROW()-5,'Formulación PDN 2027'!$AK$7:$AK$506,0))&amp;"","")</f>
        <v/>
      </c>
      <c r="Y400" s="15" t="str">
        <f>IFERROR(INDEX('Formulación PDN 2027'!$AH$7:$AH$506,MATCH(ROW()-5,'Formulación PDN 2027'!$AK$7:$AK$506,0))&amp;"","")</f>
        <v/>
      </c>
    </row>
    <row r="401" spans="1:25" x14ac:dyDescent="0.3">
      <c r="A401" s="15" t="str">
        <f>IFERROR(INDEX('Formulación PDN 2027'!$A$7:$A$506,MATCH(ROW()-5,'Formulación PDN 2027'!$AK$7:$AK$506,0))&amp;"","")</f>
        <v/>
      </c>
      <c r="B401" s="20" t="str">
        <f>IFERROR(INDEX('Formulación PDN 2027'!$M$7:$M$506,MATCH(ROW()-5,'Formulación PDN 2027'!$AK$7:$AK$506,0)),"")</f>
        <v/>
      </c>
      <c r="C401" s="15" t="str">
        <f>IFERROR(INDEX('Formulación PDN 2027'!$N$7:$N$506,MATCH(ROW()-5,'Formulación PDN 2027'!$AK$7:$AK$506,0))&amp;"","")</f>
        <v/>
      </c>
      <c r="D401" s="15" t="str">
        <f>IFERROR(INDEX('Formulación PDN 2027'!$L$7:$L$506,MATCH(ROW()-5,'Formulación PDN 2027'!$AK$7:$AK$506,0))&amp;"","")</f>
        <v/>
      </c>
      <c r="E401" s="15" t="str">
        <f>IFERROR(MATCH(INDEX('Formulación PDN 2027'!$O$7:$O$506,MATCH(ROW()-5,'Formulación PDN 2027'!$AK$7:$AK$506,0)),L_MESES,0),"")</f>
        <v/>
      </c>
      <c r="F401" s="15" t="str">
        <f>IFERROR(MATCH(INDEX('Formulación PDN 2027'!$P$7:$P$506,MATCH(ROW()-5,'Formulación PDN 2027'!$AK$7:$AK$506,0)),L_MESES,0),"")</f>
        <v/>
      </c>
      <c r="G401" s="15" t="str">
        <f>IFERROR(INDEX('Formulación PDN 2027'!$Q$7:$Q$506,MATCH(ROW()-5,'Formulación PDN 2027'!$AK$7:$AK$506,0)),"")</f>
        <v/>
      </c>
      <c r="H401" s="15" t="str">
        <f>IFERROR(INDEX('Formulación PDN 2027'!$R$7:$R$506,MATCH(ROW()-5,'Formulación PDN 2027'!$AK$7:$AK$506,0))&amp;"","")</f>
        <v/>
      </c>
      <c r="I401" s="15" t="str">
        <f>IFERROR(INDEX('Formulación PDN 2027'!$S$7:$S$506,MATCH(ROW()-5,'Formulación PDN 2027'!$AK$7:$AK$506,0))&amp;"","")</f>
        <v/>
      </c>
      <c r="J401" s="15" t="str">
        <f>IFERROR(INDEX('Formulación PDN 2027'!$T$7:$T$506,MATCH(ROW()-5,'Formulación PDN 2027'!$AK$7:$AK$506,0))&amp;"","")</f>
        <v/>
      </c>
      <c r="K401" s="43" t="str">
        <f>IFERROR(INDEX('Formulación PDN 2027'!$W$7:$W$506,MATCH(ROW()-5,'Formulación PDN 2027'!$AK$7:$AK$506,0)),"")</f>
        <v/>
      </c>
      <c r="L401" s="43" t="str">
        <f>IFERROR(INDEX('Formulación PDN 2027'!$X$7:$X$506,MATCH(ROW()-5,'Formulación PDN 2027'!$AK$7:$AK$506,0)),"")</f>
        <v/>
      </c>
      <c r="M401" s="15" t="str">
        <f>IFERROR(INDEX('Formulación PDN 2027'!$Y$7:$Y$506,MATCH(ROW()-5,'Formulación PDN 2027'!$AK$7:$AK$506,0))&amp;"","")</f>
        <v/>
      </c>
      <c r="N401" s="15" t="str">
        <f>IFERROR(INDEX('Formulación PDN 2027'!$Z$7:$Z$506,MATCH(ROW()-5,'Formulación PDN 2027'!$AK$7:$AK$506,0))&amp;"","")</f>
        <v/>
      </c>
      <c r="O401" s="15"/>
      <c r="P401" s="15" t="str">
        <f>IFERROR(INDEX('Formulación PDN 2027'!$AA$7:$AA$506,MATCH(ROW()-5,'Formulación PDN 2027'!$AK$7:$AK$506,0))&amp;"","")</f>
        <v/>
      </c>
      <c r="Q401" s="15" t="str">
        <f>IFERROR(INDEX('Formulación PDN 2027'!$AB$7:$AB$506,MATCH(ROW()-5,'Formulación PDN 2027'!$AK$7:$AK$506,0))&amp;"","")</f>
        <v/>
      </c>
      <c r="R401" s="15" t="str">
        <f>IFERROR(INDEX('Formulación PDN 2027'!$AD$7:$AD$506,MATCH(ROW()-5,'Formulación PDN 2027'!$AK$7:$AK$506,0))&amp;"","")</f>
        <v/>
      </c>
      <c r="S401" s="15" t="str">
        <f>IFERROR(INDEX('Formulación PDN 2027'!$AE$7:$AE$506,MATCH(ROW()-5,'Formulación PDN 2027'!$AK$7:$AK$506,0))&amp;"","")</f>
        <v/>
      </c>
      <c r="T401" s="15" t="str">
        <f>IFERROR(INDEX('Formulación PDN 2027'!$C$7:$C$506,MATCH(ROW()-5,'Formulación PDN 2027'!$AK$7:$AK$506,0))&amp;"","")</f>
        <v/>
      </c>
      <c r="U401" s="15" t="str">
        <f>IFERROR(INDEX('Formulación PDN 2027'!$B$7:$B$506,MATCH(ROW()-5,'Formulación PDN 2027'!$AK$7:$AK$506,0))&amp;"","")</f>
        <v/>
      </c>
      <c r="V401" s="15" t="str">
        <f>IFERROR(LEFT(INDEX('Formulación PDN 2027'!$E$7:$E$506,MATCH(ROW()-5,'Formulación PDN 2027'!$AK$7:$AK$506,0)),7),"")</f>
        <v/>
      </c>
      <c r="W401" s="15" t="str">
        <f>IFERROR(INDEX('Formulación PDN 2027'!$H$7:$H$506,MATCH(ROW()-5,'Formulación PDN 2027'!$AK$7:$AK$506,0))&amp;"","")</f>
        <v/>
      </c>
      <c r="X401" s="15" t="str">
        <f>IFERROR(INDEX('Formulación PDN 2027'!$U$7:$U$506,MATCH(ROW()-5,'Formulación PDN 2027'!$AK$7:$AK$506,0))&amp;"","")</f>
        <v/>
      </c>
      <c r="Y401" s="15" t="str">
        <f>IFERROR(INDEX('Formulación PDN 2027'!$AH$7:$AH$506,MATCH(ROW()-5,'Formulación PDN 2027'!$AK$7:$AK$506,0))&amp;"","")</f>
        <v/>
      </c>
    </row>
    <row r="402" spans="1:25" x14ac:dyDescent="0.3">
      <c r="A402" s="15" t="str">
        <f>IFERROR(INDEX('Formulación PDN 2027'!$A$7:$A$506,MATCH(ROW()-5,'Formulación PDN 2027'!$AK$7:$AK$506,0))&amp;"","")</f>
        <v/>
      </c>
      <c r="B402" s="20" t="str">
        <f>IFERROR(INDEX('Formulación PDN 2027'!$M$7:$M$506,MATCH(ROW()-5,'Formulación PDN 2027'!$AK$7:$AK$506,0)),"")</f>
        <v/>
      </c>
      <c r="C402" s="15" t="str">
        <f>IFERROR(INDEX('Formulación PDN 2027'!$N$7:$N$506,MATCH(ROW()-5,'Formulación PDN 2027'!$AK$7:$AK$506,0))&amp;"","")</f>
        <v/>
      </c>
      <c r="D402" s="15" t="str">
        <f>IFERROR(INDEX('Formulación PDN 2027'!$L$7:$L$506,MATCH(ROW()-5,'Formulación PDN 2027'!$AK$7:$AK$506,0))&amp;"","")</f>
        <v/>
      </c>
      <c r="E402" s="15" t="str">
        <f>IFERROR(MATCH(INDEX('Formulación PDN 2027'!$O$7:$O$506,MATCH(ROW()-5,'Formulación PDN 2027'!$AK$7:$AK$506,0)),L_MESES,0),"")</f>
        <v/>
      </c>
      <c r="F402" s="15" t="str">
        <f>IFERROR(MATCH(INDEX('Formulación PDN 2027'!$P$7:$P$506,MATCH(ROW()-5,'Formulación PDN 2027'!$AK$7:$AK$506,0)),L_MESES,0),"")</f>
        <v/>
      </c>
      <c r="G402" s="15" t="str">
        <f>IFERROR(INDEX('Formulación PDN 2027'!$Q$7:$Q$506,MATCH(ROW()-5,'Formulación PDN 2027'!$AK$7:$AK$506,0)),"")</f>
        <v/>
      </c>
      <c r="H402" s="15" t="str">
        <f>IFERROR(INDEX('Formulación PDN 2027'!$R$7:$R$506,MATCH(ROW()-5,'Formulación PDN 2027'!$AK$7:$AK$506,0))&amp;"","")</f>
        <v/>
      </c>
      <c r="I402" s="15" t="str">
        <f>IFERROR(INDEX('Formulación PDN 2027'!$S$7:$S$506,MATCH(ROW()-5,'Formulación PDN 2027'!$AK$7:$AK$506,0))&amp;"","")</f>
        <v/>
      </c>
      <c r="J402" s="15" t="str">
        <f>IFERROR(INDEX('Formulación PDN 2027'!$T$7:$T$506,MATCH(ROW()-5,'Formulación PDN 2027'!$AK$7:$AK$506,0))&amp;"","")</f>
        <v/>
      </c>
      <c r="K402" s="43" t="str">
        <f>IFERROR(INDEX('Formulación PDN 2027'!$W$7:$W$506,MATCH(ROW()-5,'Formulación PDN 2027'!$AK$7:$AK$506,0)),"")</f>
        <v/>
      </c>
      <c r="L402" s="43" t="str">
        <f>IFERROR(INDEX('Formulación PDN 2027'!$X$7:$X$506,MATCH(ROW()-5,'Formulación PDN 2027'!$AK$7:$AK$506,0)),"")</f>
        <v/>
      </c>
      <c r="M402" s="15" t="str">
        <f>IFERROR(INDEX('Formulación PDN 2027'!$Y$7:$Y$506,MATCH(ROW()-5,'Formulación PDN 2027'!$AK$7:$AK$506,0))&amp;"","")</f>
        <v/>
      </c>
      <c r="N402" s="15" t="str">
        <f>IFERROR(INDEX('Formulación PDN 2027'!$Z$7:$Z$506,MATCH(ROW()-5,'Formulación PDN 2027'!$AK$7:$AK$506,0))&amp;"","")</f>
        <v/>
      </c>
      <c r="O402" s="15"/>
      <c r="P402" s="15" t="str">
        <f>IFERROR(INDEX('Formulación PDN 2027'!$AA$7:$AA$506,MATCH(ROW()-5,'Formulación PDN 2027'!$AK$7:$AK$506,0))&amp;"","")</f>
        <v/>
      </c>
      <c r="Q402" s="15" t="str">
        <f>IFERROR(INDEX('Formulación PDN 2027'!$AB$7:$AB$506,MATCH(ROW()-5,'Formulación PDN 2027'!$AK$7:$AK$506,0))&amp;"","")</f>
        <v/>
      </c>
      <c r="R402" s="15" t="str">
        <f>IFERROR(INDEX('Formulación PDN 2027'!$AD$7:$AD$506,MATCH(ROW()-5,'Formulación PDN 2027'!$AK$7:$AK$506,0))&amp;"","")</f>
        <v/>
      </c>
      <c r="S402" s="15" t="str">
        <f>IFERROR(INDEX('Formulación PDN 2027'!$AE$7:$AE$506,MATCH(ROW()-5,'Formulación PDN 2027'!$AK$7:$AK$506,0))&amp;"","")</f>
        <v/>
      </c>
      <c r="T402" s="15" t="str">
        <f>IFERROR(INDEX('Formulación PDN 2027'!$C$7:$C$506,MATCH(ROW()-5,'Formulación PDN 2027'!$AK$7:$AK$506,0))&amp;"","")</f>
        <v/>
      </c>
      <c r="U402" s="15" t="str">
        <f>IFERROR(INDEX('Formulación PDN 2027'!$B$7:$B$506,MATCH(ROW()-5,'Formulación PDN 2027'!$AK$7:$AK$506,0))&amp;"","")</f>
        <v/>
      </c>
      <c r="V402" s="15" t="str">
        <f>IFERROR(LEFT(INDEX('Formulación PDN 2027'!$E$7:$E$506,MATCH(ROW()-5,'Formulación PDN 2027'!$AK$7:$AK$506,0)),7),"")</f>
        <v/>
      </c>
      <c r="W402" s="15" t="str">
        <f>IFERROR(INDEX('Formulación PDN 2027'!$H$7:$H$506,MATCH(ROW()-5,'Formulación PDN 2027'!$AK$7:$AK$506,0))&amp;"","")</f>
        <v/>
      </c>
      <c r="X402" s="15" t="str">
        <f>IFERROR(INDEX('Formulación PDN 2027'!$U$7:$U$506,MATCH(ROW()-5,'Formulación PDN 2027'!$AK$7:$AK$506,0))&amp;"","")</f>
        <v/>
      </c>
      <c r="Y402" s="15" t="str">
        <f>IFERROR(INDEX('Formulación PDN 2027'!$AH$7:$AH$506,MATCH(ROW()-5,'Formulación PDN 2027'!$AK$7:$AK$506,0))&amp;"","")</f>
        <v/>
      </c>
    </row>
    <row r="403" spans="1:25" x14ac:dyDescent="0.3">
      <c r="A403" s="15" t="str">
        <f>IFERROR(INDEX('Formulación PDN 2027'!$A$7:$A$506,MATCH(ROW()-5,'Formulación PDN 2027'!$AK$7:$AK$506,0))&amp;"","")</f>
        <v/>
      </c>
      <c r="B403" s="20" t="str">
        <f>IFERROR(INDEX('Formulación PDN 2027'!$M$7:$M$506,MATCH(ROW()-5,'Formulación PDN 2027'!$AK$7:$AK$506,0)),"")</f>
        <v/>
      </c>
      <c r="C403" s="15" t="str">
        <f>IFERROR(INDEX('Formulación PDN 2027'!$N$7:$N$506,MATCH(ROW()-5,'Formulación PDN 2027'!$AK$7:$AK$506,0))&amp;"","")</f>
        <v/>
      </c>
      <c r="D403" s="15" t="str">
        <f>IFERROR(INDEX('Formulación PDN 2027'!$L$7:$L$506,MATCH(ROW()-5,'Formulación PDN 2027'!$AK$7:$AK$506,0))&amp;"","")</f>
        <v/>
      </c>
      <c r="E403" s="15" t="str">
        <f>IFERROR(MATCH(INDEX('Formulación PDN 2027'!$O$7:$O$506,MATCH(ROW()-5,'Formulación PDN 2027'!$AK$7:$AK$506,0)),L_MESES,0),"")</f>
        <v/>
      </c>
      <c r="F403" s="15" t="str">
        <f>IFERROR(MATCH(INDEX('Formulación PDN 2027'!$P$7:$P$506,MATCH(ROW()-5,'Formulación PDN 2027'!$AK$7:$AK$506,0)),L_MESES,0),"")</f>
        <v/>
      </c>
      <c r="G403" s="15" t="str">
        <f>IFERROR(INDEX('Formulación PDN 2027'!$Q$7:$Q$506,MATCH(ROW()-5,'Formulación PDN 2027'!$AK$7:$AK$506,0)),"")</f>
        <v/>
      </c>
      <c r="H403" s="15" t="str">
        <f>IFERROR(INDEX('Formulación PDN 2027'!$R$7:$R$506,MATCH(ROW()-5,'Formulación PDN 2027'!$AK$7:$AK$506,0))&amp;"","")</f>
        <v/>
      </c>
      <c r="I403" s="15" t="str">
        <f>IFERROR(INDEX('Formulación PDN 2027'!$S$7:$S$506,MATCH(ROW()-5,'Formulación PDN 2027'!$AK$7:$AK$506,0))&amp;"","")</f>
        <v/>
      </c>
      <c r="J403" s="15" t="str">
        <f>IFERROR(INDEX('Formulación PDN 2027'!$T$7:$T$506,MATCH(ROW()-5,'Formulación PDN 2027'!$AK$7:$AK$506,0))&amp;"","")</f>
        <v/>
      </c>
      <c r="K403" s="43" t="str">
        <f>IFERROR(INDEX('Formulación PDN 2027'!$W$7:$W$506,MATCH(ROW()-5,'Formulación PDN 2027'!$AK$7:$AK$506,0)),"")</f>
        <v/>
      </c>
      <c r="L403" s="43" t="str">
        <f>IFERROR(INDEX('Formulación PDN 2027'!$X$7:$X$506,MATCH(ROW()-5,'Formulación PDN 2027'!$AK$7:$AK$506,0)),"")</f>
        <v/>
      </c>
      <c r="M403" s="15" t="str">
        <f>IFERROR(INDEX('Formulación PDN 2027'!$Y$7:$Y$506,MATCH(ROW()-5,'Formulación PDN 2027'!$AK$7:$AK$506,0))&amp;"","")</f>
        <v/>
      </c>
      <c r="N403" s="15" t="str">
        <f>IFERROR(INDEX('Formulación PDN 2027'!$Z$7:$Z$506,MATCH(ROW()-5,'Formulación PDN 2027'!$AK$7:$AK$506,0))&amp;"","")</f>
        <v/>
      </c>
      <c r="O403" s="15"/>
      <c r="P403" s="15" t="str">
        <f>IFERROR(INDEX('Formulación PDN 2027'!$AA$7:$AA$506,MATCH(ROW()-5,'Formulación PDN 2027'!$AK$7:$AK$506,0))&amp;"","")</f>
        <v/>
      </c>
      <c r="Q403" s="15" t="str">
        <f>IFERROR(INDEX('Formulación PDN 2027'!$AB$7:$AB$506,MATCH(ROW()-5,'Formulación PDN 2027'!$AK$7:$AK$506,0))&amp;"","")</f>
        <v/>
      </c>
      <c r="R403" s="15" t="str">
        <f>IFERROR(INDEX('Formulación PDN 2027'!$AD$7:$AD$506,MATCH(ROW()-5,'Formulación PDN 2027'!$AK$7:$AK$506,0))&amp;"","")</f>
        <v/>
      </c>
      <c r="S403" s="15" t="str">
        <f>IFERROR(INDEX('Formulación PDN 2027'!$AE$7:$AE$506,MATCH(ROW()-5,'Formulación PDN 2027'!$AK$7:$AK$506,0))&amp;"","")</f>
        <v/>
      </c>
      <c r="T403" s="15" t="str">
        <f>IFERROR(INDEX('Formulación PDN 2027'!$C$7:$C$506,MATCH(ROW()-5,'Formulación PDN 2027'!$AK$7:$AK$506,0))&amp;"","")</f>
        <v/>
      </c>
      <c r="U403" s="15" t="str">
        <f>IFERROR(INDEX('Formulación PDN 2027'!$B$7:$B$506,MATCH(ROW()-5,'Formulación PDN 2027'!$AK$7:$AK$506,0))&amp;"","")</f>
        <v/>
      </c>
      <c r="V403" s="15" t="str">
        <f>IFERROR(LEFT(INDEX('Formulación PDN 2027'!$E$7:$E$506,MATCH(ROW()-5,'Formulación PDN 2027'!$AK$7:$AK$506,0)),7),"")</f>
        <v/>
      </c>
      <c r="W403" s="15" t="str">
        <f>IFERROR(INDEX('Formulación PDN 2027'!$H$7:$H$506,MATCH(ROW()-5,'Formulación PDN 2027'!$AK$7:$AK$506,0))&amp;"","")</f>
        <v/>
      </c>
      <c r="X403" s="15" t="str">
        <f>IFERROR(INDEX('Formulación PDN 2027'!$U$7:$U$506,MATCH(ROW()-5,'Formulación PDN 2027'!$AK$7:$AK$506,0))&amp;"","")</f>
        <v/>
      </c>
      <c r="Y403" s="15" t="str">
        <f>IFERROR(INDEX('Formulación PDN 2027'!$AH$7:$AH$506,MATCH(ROW()-5,'Formulación PDN 2027'!$AK$7:$AK$506,0))&amp;"","")</f>
        <v/>
      </c>
    </row>
    <row r="404" spans="1:25" x14ac:dyDescent="0.3">
      <c r="A404" s="15" t="str">
        <f>IFERROR(INDEX('Formulación PDN 2027'!$A$7:$A$506,MATCH(ROW()-5,'Formulación PDN 2027'!$AK$7:$AK$506,0))&amp;"","")</f>
        <v/>
      </c>
      <c r="B404" s="20" t="str">
        <f>IFERROR(INDEX('Formulación PDN 2027'!$M$7:$M$506,MATCH(ROW()-5,'Formulación PDN 2027'!$AK$7:$AK$506,0)),"")</f>
        <v/>
      </c>
      <c r="C404" s="15" t="str">
        <f>IFERROR(INDEX('Formulación PDN 2027'!$N$7:$N$506,MATCH(ROW()-5,'Formulación PDN 2027'!$AK$7:$AK$506,0))&amp;"","")</f>
        <v/>
      </c>
      <c r="D404" s="15" t="str">
        <f>IFERROR(INDEX('Formulación PDN 2027'!$L$7:$L$506,MATCH(ROW()-5,'Formulación PDN 2027'!$AK$7:$AK$506,0))&amp;"","")</f>
        <v/>
      </c>
      <c r="E404" s="15" t="str">
        <f>IFERROR(MATCH(INDEX('Formulación PDN 2027'!$O$7:$O$506,MATCH(ROW()-5,'Formulación PDN 2027'!$AK$7:$AK$506,0)),L_MESES,0),"")</f>
        <v/>
      </c>
      <c r="F404" s="15" t="str">
        <f>IFERROR(MATCH(INDEX('Formulación PDN 2027'!$P$7:$P$506,MATCH(ROW()-5,'Formulación PDN 2027'!$AK$7:$AK$506,0)),L_MESES,0),"")</f>
        <v/>
      </c>
      <c r="G404" s="15" t="str">
        <f>IFERROR(INDEX('Formulación PDN 2027'!$Q$7:$Q$506,MATCH(ROW()-5,'Formulación PDN 2027'!$AK$7:$AK$506,0)),"")</f>
        <v/>
      </c>
      <c r="H404" s="15" t="str">
        <f>IFERROR(INDEX('Formulación PDN 2027'!$R$7:$R$506,MATCH(ROW()-5,'Formulación PDN 2027'!$AK$7:$AK$506,0))&amp;"","")</f>
        <v/>
      </c>
      <c r="I404" s="15" t="str">
        <f>IFERROR(INDEX('Formulación PDN 2027'!$S$7:$S$506,MATCH(ROW()-5,'Formulación PDN 2027'!$AK$7:$AK$506,0))&amp;"","")</f>
        <v/>
      </c>
      <c r="J404" s="15" t="str">
        <f>IFERROR(INDEX('Formulación PDN 2027'!$T$7:$T$506,MATCH(ROW()-5,'Formulación PDN 2027'!$AK$7:$AK$506,0))&amp;"","")</f>
        <v/>
      </c>
      <c r="K404" s="43" t="str">
        <f>IFERROR(INDEX('Formulación PDN 2027'!$W$7:$W$506,MATCH(ROW()-5,'Formulación PDN 2027'!$AK$7:$AK$506,0)),"")</f>
        <v/>
      </c>
      <c r="L404" s="43" t="str">
        <f>IFERROR(INDEX('Formulación PDN 2027'!$X$7:$X$506,MATCH(ROW()-5,'Formulación PDN 2027'!$AK$7:$AK$506,0)),"")</f>
        <v/>
      </c>
      <c r="M404" s="15" t="str">
        <f>IFERROR(INDEX('Formulación PDN 2027'!$Y$7:$Y$506,MATCH(ROW()-5,'Formulación PDN 2027'!$AK$7:$AK$506,0))&amp;"","")</f>
        <v/>
      </c>
      <c r="N404" s="15" t="str">
        <f>IFERROR(INDEX('Formulación PDN 2027'!$Z$7:$Z$506,MATCH(ROW()-5,'Formulación PDN 2027'!$AK$7:$AK$506,0))&amp;"","")</f>
        <v/>
      </c>
      <c r="O404" s="15"/>
      <c r="P404" s="15" t="str">
        <f>IFERROR(INDEX('Formulación PDN 2027'!$AA$7:$AA$506,MATCH(ROW()-5,'Formulación PDN 2027'!$AK$7:$AK$506,0))&amp;"","")</f>
        <v/>
      </c>
      <c r="Q404" s="15" t="str">
        <f>IFERROR(INDEX('Formulación PDN 2027'!$AB$7:$AB$506,MATCH(ROW()-5,'Formulación PDN 2027'!$AK$7:$AK$506,0))&amp;"","")</f>
        <v/>
      </c>
      <c r="R404" s="15" t="str">
        <f>IFERROR(INDEX('Formulación PDN 2027'!$AD$7:$AD$506,MATCH(ROW()-5,'Formulación PDN 2027'!$AK$7:$AK$506,0))&amp;"","")</f>
        <v/>
      </c>
      <c r="S404" s="15" t="str">
        <f>IFERROR(INDEX('Formulación PDN 2027'!$AE$7:$AE$506,MATCH(ROW()-5,'Formulación PDN 2027'!$AK$7:$AK$506,0))&amp;"","")</f>
        <v/>
      </c>
      <c r="T404" s="15" t="str">
        <f>IFERROR(INDEX('Formulación PDN 2027'!$C$7:$C$506,MATCH(ROW()-5,'Formulación PDN 2027'!$AK$7:$AK$506,0))&amp;"","")</f>
        <v/>
      </c>
      <c r="U404" s="15" t="str">
        <f>IFERROR(INDEX('Formulación PDN 2027'!$B$7:$B$506,MATCH(ROW()-5,'Formulación PDN 2027'!$AK$7:$AK$506,0))&amp;"","")</f>
        <v/>
      </c>
      <c r="V404" s="15" t="str">
        <f>IFERROR(LEFT(INDEX('Formulación PDN 2027'!$E$7:$E$506,MATCH(ROW()-5,'Formulación PDN 2027'!$AK$7:$AK$506,0)),7),"")</f>
        <v/>
      </c>
      <c r="W404" s="15" t="str">
        <f>IFERROR(INDEX('Formulación PDN 2027'!$H$7:$H$506,MATCH(ROW()-5,'Formulación PDN 2027'!$AK$7:$AK$506,0))&amp;"","")</f>
        <v/>
      </c>
      <c r="X404" s="15" t="str">
        <f>IFERROR(INDEX('Formulación PDN 2027'!$U$7:$U$506,MATCH(ROW()-5,'Formulación PDN 2027'!$AK$7:$AK$506,0))&amp;"","")</f>
        <v/>
      </c>
      <c r="Y404" s="15" t="str">
        <f>IFERROR(INDEX('Formulación PDN 2027'!$AH$7:$AH$506,MATCH(ROW()-5,'Formulación PDN 2027'!$AK$7:$AK$506,0))&amp;"","")</f>
        <v/>
      </c>
    </row>
    <row r="405" spans="1:25" x14ac:dyDescent="0.3">
      <c r="A405" s="15" t="str">
        <f>IFERROR(INDEX('Formulación PDN 2027'!$A$7:$A$506,MATCH(ROW()-5,'Formulación PDN 2027'!$AK$7:$AK$506,0))&amp;"","")</f>
        <v/>
      </c>
      <c r="B405" s="20" t="str">
        <f>IFERROR(INDEX('Formulación PDN 2027'!$M$7:$M$506,MATCH(ROW()-5,'Formulación PDN 2027'!$AK$7:$AK$506,0)),"")</f>
        <v/>
      </c>
      <c r="C405" s="15" t="str">
        <f>IFERROR(INDEX('Formulación PDN 2027'!$N$7:$N$506,MATCH(ROW()-5,'Formulación PDN 2027'!$AK$7:$AK$506,0))&amp;"","")</f>
        <v/>
      </c>
      <c r="D405" s="15" t="str">
        <f>IFERROR(INDEX('Formulación PDN 2027'!$L$7:$L$506,MATCH(ROW()-5,'Formulación PDN 2027'!$AK$7:$AK$506,0))&amp;"","")</f>
        <v/>
      </c>
      <c r="E405" s="15" t="str">
        <f>IFERROR(MATCH(INDEX('Formulación PDN 2027'!$O$7:$O$506,MATCH(ROW()-5,'Formulación PDN 2027'!$AK$7:$AK$506,0)),L_MESES,0),"")</f>
        <v/>
      </c>
      <c r="F405" s="15" t="str">
        <f>IFERROR(MATCH(INDEX('Formulación PDN 2027'!$P$7:$P$506,MATCH(ROW()-5,'Formulación PDN 2027'!$AK$7:$AK$506,0)),L_MESES,0),"")</f>
        <v/>
      </c>
      <c r="G405" s="15" t="str">
        <f>IFERROR(INDEX('Formulación PDN 2027'!$Q$7:$Q$506,MATCH(ROW()-5,'Formulación PDN 2027'!$AK$7:$AK$506,0)),"")</f>
        <v/>
      </c>
      <c r="H405" s="15" t="str">
        <f>IFERROR(INDEX('Formulación PDN 2027'!$R$7:$R$506,MATCH(ROW()-5,'Formulación PDN 2027'!$AK$7:$AK$506,0))&amp;"","")</f>
        <v/>
      </c>
      <c r="I405" s="15" t="str">
        <f>IFERROR(INDEX('Formulación PDN 2027'!$S$7:$S$506,MATCH(ROW()-5,'Formulación PDN 2027'!$AK$7:$AK$506,0))&amp;"","")</f>
        <v/>
      </c>
      <c r="J405" s="15" t="str">
        <f>IFERROR(INDEX('Formulación PDN 2027'!$T$7:$T$506,MATCH(ROW()-5,'Formulación PDN 2027'!$AK$7:$AK$506,0))&amp;"","")</f>
        <v/>
      </c>
      <c r="K405" s="43" t="str">
        <f>IFERROR(INDEX('Formulación PDN 2027'!$W$7:$W$506,MATCH(ROW()-5,'Formulación PDN 2027'!$AK$7:$AK$506,0)),"")</f>
        <v/>
      </c>
      <c r="L405" s="43" t="str">
        <f>IFERROR(INDEX('Formulación PDN 2027'!$X$7:$X$506,MATCH(ROW()-5,'Formulación PDN 2027'!$AK$7:$AK$506,0)),"")</f>
        <v/>
      </c>
      <c r="M405" s="15" t="str">
        <f>IFERROR(INDEX('Formulación PDN 2027'!$Y$7:$Y$506,MATCH(ROW()-5,'Formulación PDN 2027'!$AK$7:$AK$506,0))&amp;"","")</f>
        <v/>
      </c>
      <c r="N405" s="15" t="str">
        <f>IFERROR(INDEX('Formulación PDN 2027'!$Z$7:$Z$506,MATCH(ROW()-5,'Formulación PDN 2027'!$AK$7:$AK$506,0))&amp;"","")</f>
        <v/>
      </c>
      <c r="O405" s="15"/>
      <c r="P405" s="15" t="str">
        <f>IFERROR(INDEX('Formulación PDN 2027'!$AA$7:$AA$506,MATCH(ROW()-5,'Formulación PDN 2027'!$AK$7:$AK$506,0))&amp;"","")</f>
        <v/>
      </c>
      <c r="Q405" s="15" t="str">
        <f>IFERROR(INDEX('Formulación PDN 2027'!$AB$7:$AB$506,MATCH(ROW()-5,'Formulación PDN 2027'!$AK$7:$AK$506,0))&amp;"","")</f>
        <v/>
      </c>
      <c r="R405" s="15" t="str">
        <f>IFERROR(INDEX('Formulación PDN 2027'!$AD$7:$AD$506,MATCH(ROW()-5,'Formulación PDN 2027'!$AK$7:$AK$506,0))&amp;"","")</f>
        <v/>
      </c>
      <c r="S405" s="15" t="str">
        <f>IFERROR(INDEX('Formulación PDN 2027'!$AE$7:$AE$506,MATCH(ROW()-5,'Formulación PDN 2027'!$AK$7:$AK$506,0))&amp;"","")</f>
        <v/>
      </c>
      <c r="T405" s="15" t="str">
        <f>IFERROR(INDEX('Formulación PDN 2027'!$C$7:$C$506,MATCH(ROW()-5,'Formulación PDN 2027'!$AK$7:$AK$506,0))&amp;"","")</f>
        <v/>
      </c>
      <c r="U405" s="15" t="str">
        <f>IFERROR(INDEX('Formulación PDN 2027'!$B$7:$B$506,MATCH(ROW()-5,'Formulación PDN 2027'!$AK$7:$AK$506,0))&amp;"","")</f>
        <v/>
      </c>
      <c r="V405" s="15" t="str">
        <f>IFERROR(LEFT(INDEX('Formulación PDN 2027'!$E$7:$E$506,MATCH(ROW()-5,'Formulación PDN 2027'!$AK$7:$AK$506,0)),7),"")</f>
        <v/>
      </c>
      <c r="W405" s="15" t="str">
        <f>IFERROR(INDEX('Formulación PDN 2027'!$H$7:$H$506,MATCH(ROW()-5,'Formulación PDN 2027'!$AK$7:$AK$506,0))&amp;"","")</f>
        <v/>
      </c>
      <c r="X405" s="15" t="str">
        <f>IFERROR(INDEX('Formulación PDN 2027'!$U$7:$U$506,MATCH(ROW()-5,'Formulación PDN 2027'!$AK$7:$AK$506,0))&amp;"","")</f>
        <v/>
      </c>
      <c r="Y405" s="15" t="str">
        <f>IFERROR(INDEX('Formulación PDN 2027'!$AH$7:$AH$506,MATCH(ROW()-5,'Formulación PDN 2027'!$AK$7:$AK$506,0))&amp;"","")</f>
        <v/>
      </c>
    </row>
    <row r="406" spans="1:25" x14ac:dyDescent="0.3">
      <c r="A406" s="15" t="str">
        <f>IFERROR(INDEX('Formulación PDN 2027'!$A$7:$A$506,MATCH(ROW()-5,'Formulación PDN 2027'!$AK$7:$AK$506,0))&amp;"","")</f>
        <v/>
      </c>
      <c r="B406" s="20" t="str">
        <f>IFERROR(INDEX('Formulación PDN 2027'!$M$7:$M$506,MATCH(ROW()-5,'Formulación PDN 2027'!$AK$7:$AK$506,0)),"")</f>
        <v/>
      </c>
      <c r="C406" s="15" t="str">
        <f>IFERROR(INDEX('Formulación PDN 2027'!$N$7:$N$506,MATCH(ROW()-5,'Formulación PDN 2027'!$AK$7:$AK$506,0))&amp;"","")</f>
        <v/>
      </c>
      <c r="D406" s="15" t="str">
        <f>IFERROR(INDEX('Formulación PDN 2027'!$L$7:$L$506,MATCH(ROW()-5,'Formulación PDN 2027'!$AK$7:$AK$506,0))&amp;"","")</f>
        <v/>
      </c>
      <c r="E406" s="15" t="str">
        <f>IFERROR(MATCH(INDEX('Formulación PDN 2027'!$O$7:$O$506,MATCH(ROW()-5,'Formulación PDN 2027'!$AK$7:$AK$506,0)),L_MESES,0),"")</f>
        <v/>
      </c>
      <c r="F406" s="15" t="str">
        <f>IFERROR(MATCH(INDEX('Formulación PDN 2027'!$P$7:$P$506,MATCH(ROW()-5,'Formulación PDN 2027'!$AK$7:$AK$506,0)),L_MESES,0),"")</f>
        <v/>
      </c>
      <c r="G406" s="15" t="str">
        <f>IFERROR(INDEX('Formulación PDN 2027'!$Q$7:$Q$506,MATCH(ROW()-5,'Formulación PDN 2027'!$AK$7:$AK$506,0)),"")</f>
        <v/>
      </c>
      <c r="H406" s="15" t="str">
        <f>IFERROR(INDEX('Formulación PDN 2027'!$R$7:$R$506,MATCH(ROW()-5,'Formulación PDN 2027'!$AK$7:$AK$506,0))&amp;"","")</f>
        <v/>
      </c>
      <c r="I406" s="15" t="str">
        <f>IFERROR(INDEX('Formulación PDN 2027'!$S$7:$S$506,MATCH(ROW()-5,'Formulación PDN 2027'!$AK$7:$AK$506,0))&amp;"","")</f>
        <v/>
      </c>
      <c r="J406" s="15" t="str">
        <f>IFERROR(INDEX('Formulación PDN 2027'!$T$7:$T$506,MATCH(ROW()-5,'Formulación PDN 2027'!$AK$7:$AK$506,0))&amp;"","")</f>
        <v/>
      </c>
      <c r="K406" s="43" t="str">
        <f>IFERROR(INDEX('Formulación PDN 2027'!$W$7:$W$506,MATCH(ROW()-5,'Formulación PDN 2027'!$AK$7:$AK$506,0)),"")</f>
        <v/>
      </c>
      <c r="L406" s="43" t="str">
        <f>IFERROR(INDEX('Formulación PDN 2027'!$X$7:$X$506,MATCH(ROW()-5,'Formulación PDN 2027'!$AK$7:$AK$506,0)),"")</f>
        <v/>
      </c>
      <c r="M406" s="15" t="str">
        <f>IFERROR(INDEX('Formulación PDN 2027'!$Y$7:$Y$506,MATCH(ROW()-5,'Formulación PDN 2027'!$AK$7:$AK$506,0))&amp;"","")</f>
        <v/>
      </c>
      <c r="N406" s="15" t="str">
        <f>IFERROR(INDEX('Formulación PDN 2027'!$Z$7:$Z$506,MATCH(ROW()-5,'Formulación PDN 2027'!$AK$7:$AK$506,0))&amp;"","")</f>
        <v/>
      </c>
      <c r="O406" s="15"/>
      <c r="P406" s="15" t="str">
        <f>IFERROR(INDEX('Formulación PDN 2027'!$AA$7:$AA$506,MATCH(ROW()-5,'Formulación PDN 2027'!$AK$7:$AK$506,0))&amp;"","")</f>
        <v/>
      </c>
      <c r="Q406" s="15" t="str">
        <f>IFERROR(INDEX('Formulación PDN 2027'!$AB$7:$AB$506,MATCH(ROW()-5,'Formulación PDN 2027'!$AK$7:$AK$506,0))&amp;"","")</f>
        <v/>
      </c>
      <c r="R406" s="15" t="str">
        <f>IFERROR(INDEX('Formulación PDN 2027'!$AD$7:$AD$506,MATCH(ROW()-5,'Formulación PDN 2027'!$AK$7:$AK$506,0))&amp;"","")</f>
        <v/>
      </c>
      <c r="S406" s="15" t="str">
        <f>IFERROR(INDEX('Formulación PDN 2027'!$AE$7:$AE$506,MATCH(ROW()-5,'Formulación PDN 2027'!$AK$7:$AK$506,0))&amp;"","")</f>
        <v/>
      </c>
      <c r="T406" s="15" t="str">
        <f>IFERROR(INDEX('Formulación PDN 2027'!$C$7:$C$506,MATCH(ROW()-5,'Formulación PDN 2027'!$AK$7:$AK$506,0))&amp;"","")</f>
        <v/>
      </c>
      <c r="U406" s="15" t="str">
        <f>IFERROR(INDEX('Formulación PDN 2027'!$B$7:$B$506,MATCH(ROW()-5,'Formulación PDN 2027'!$AK$7:$AK$506,0))&amp;"","")</f>
        <v/>
      </c>
      <c r="V406" s="15" t="str">
        <f>IFERROR(LEFT(INDEX('Formulación PDN 2027'!$E$7:$E$506,MATCH(ROW()-5,'Formulación PDN 2027'!$AK$7:$AK$506,0)),7),"")</f>
        <v/>
      </c>
      <c r="W406" s="15" t="str">
        <f>IFERROR(INDEX('Formulación PDN 2027'!$H$7:$H$506,MATCH(ROW()-5,'Formulación PDN 2027'!$AK$7:$AK$506,0))&amp;"","")</f>
        <v/>
      </c>
      <c r="X406" s="15" t="str">
        <f>IFERROR(INDEX('Formulación PDN 2027'!$U$7:$U$506,MATCH(ROW()-5,'Formulación PDN 2027'!$AK$7:$AK$506,0))&amp;"","")</f>
        <v/>
      </c>
      <c r="Y406" s="15" t="str">
        <f>IFERROR(INDEX('Formulación PDN 2027'!$AH$7:$AH$506,MATCH(ROW()-5,'Formulación PDN 2027'!$AK$7:$AK$506,0))&amp;"","")</f>
        <v/>
      </c>
    </row>
    <row r="407" spans="1:25" x14ac:dyDescent="0.3">
      <c r="A407" s="15" t="str">
        <f>IFERROR(INDEX('Formulación PDN 2027'!$A$7:$A$506,MATCH(ROW()-5,'Formulación PDN 2027'!$AK$7:$AK$506,0))&amp;"","")</f>
        <v/>
      </c>
      <c r="B407" s="20" t="str">
        <f>IFERROR(INDEX('Formulación PDN 2027'!$M$7:$M$506,MATCH(ROW()-5,'Formulación PDN 2027'!$AK$7:$AK$506,0)),"")</f>
        <v/>
      </c>
      <c r="C407" s="15" t="str">
        <f>IFERROR(INDEX('Formulación PDN 2027'!$N$7:$N$506,MATCH(ROW()-5,'Formulación PDN 2027'!$AK$7:$AK$506,0))&amp;"","")</f>
        <v/>
      </c>
      <c r="D407" s="15" t="str">
        <f>IFERROR(INDEX('Formulación PDN 2027'!$L$7:$L$506,MATCH(ROW()-5,'Formulación PDN 2027'!$AK$7:$AK$506,0))&amp;"","")</f>
        <v/>
      </c>
      <c r="E407" s="15" t="str">
        <f>IFERROR(MATCH(INDEX('Formulación PDN 2027'!$O$7:$O$506,MATCH(ROW()-5,'Formulación PDN 2027'!$AK$7:$AK$506,0)),L_MESES,0),"")</f>
        <v/>
      </c>
      <c r="F407" s="15" t="str">
        <f>IFERROR(MATCH(INDEX('Formulación PDN 2027'!$P$7:$P$506,MATCH(ROW()-5,'Formulación PDN 2027'!$AK$7:$AK$506,0)),L_MESES,0),"")</f>
        <v/>
      </c>
      <c r="G407" s="15" t="str">
        <f>IFERROR(INDEX('Formulación PDN 2027'!$Q$7:$Q$506,MATCH(ROW()-5,'Formulación PDN 2027'!$AK$7:$AK$506,0)),"")</f>
        <v/>
      </c>
      <c r="H407" s="15" t="str">
        <f>IFERROR(INDEX('Formulación PDN 2027'!$R$7:$R$506,MATCH(ROW()-5,'Formulación PDN 2027'!$AK$7:$AK$506,0))&amp;"","")</f>
        <v/>
      </c>
      <c r="I407" s="15" t="str">
        <f>IFERROR(INDEX('Formulación PDN 2027'!$S$7:$S$506,MATCH(ROW()-5,'Formulación PDN 2027'!$AK$7:$AK$506,0))&amp;"","")</f>
        <v/>
      </c>
      <c r="J407" s="15" t="str">
        <f>IFERROR(INDEX('Formulación PDN 2027'!$T$7:$T$506,MATCH(ROW()-5,'Formulación PDN 2027'!$AK$7:$AK$506,0))&amp;"","")</f>
        <v/>
      </c>
      <c r="K407" s="43" t="str">
        <f>IFERROR(INDEX('Formulación PDN 2027'!$W$7:$W$506,MATCH(ROW()-5,'Formulación PDN 2027'!$AK$7:$AK$506,0)),"")</f>
        <v/>
      </c>
      <c r="L407" s="43" t="str">
        <f>IFERROR(INDEX('Formulación PDN 2027'!$X$7:$X$506,MATCH(ROW()-5,'Formulación PDN 2027'!$AK$7:$AK$506,0)),"")</f>
        <v/>
      </c>
      <c r="M407" s="15" t="str">
        <f>IFERROR(INDEX('Formulación PDN 2027'!$Y$7:$Y$506,MATCH(ROW()-5,'Formulación PDN 2027'!$AK$7:$AK$506,0))&amp;"","")</f>
        <v/>
      </c>
      <c r="N407" s="15" t="str">
        <f>IFERROR(INDEX('Formulación PDN 2027'!$Z$7:$Z$506,MATCH(ROW()-5,'Formulación PDN 2027'!$AK$7:$AK$506,0))&amp;"","")</f>
        <v/>
      </c>
      <c r="O407" s="15"/>
      <c r="P407" s="15" t="str">
        <f>IFERROR(INDEX('Formulación PDN 2027'!$AA$7:$AA$506,MATCH(ROW()-5,'Formulación PDN 2027'!$AK$7:$AK$506,0))&amp;"","")</f>
        <v/>
      </c>
      <c r="Q407" s="15" t="str">
        <f>IFERROR(INDEX('Formulación PDN 2027'!$AB$7:$AB$506,MATCH(ROW()-5,'Formulación PDN 2027'!$AK$7:$AK$506,0))&amp;"","")</f>
        <v/>
      </c>
      <c r="R407" s="15" t="str">
        <f>IFERROR(INDEX('Formulación PDN 2027'!$AD$7:$AD$506,MATCH(ROW()-5,'Formulación PDN 2027'!$AK$7:$AK$506,0))&amp;"","")</f>
        <v/>
      </c>
      <c r="S407" s="15" t="str">
        <f>IFERROR(INDEX('Formulación PDN 2027'!$AE$7:$AE$506,MATCH(ROW()-5,'Formulación PDN 2027'!$AK$7:$AK$506,0))&amp;"","")</f>
        <v/>
      </c>
      <c r="T407" s="15" t="str">
        <f>IFERROR(INDEX('Formulación PDN 2027'!$C$7:$C$506,MATCH(ROW()-5,'Formulación PDN 2027'!$AK$7:$AK$506,0))&amp;"","")</f>
        <v/>
      </c>
      <c r="U407" s="15" t="str">
        <f>IFERROR(INDEX('Formulación PDN 2027'!$B$7:$B$506,MATCH(ROW()-5,'Formulación PDN 2027'!$AK$7:$AK$506,0))&amp;"","")</f>
        <v/>
      </c>
      <c r="V407" s="15" t="str">
        <f>IFERROR(LEFT(INDEX('Formulación PDN 2027'!$E$7:$E$506,MATCH(ROW()-5,'Formulación PDN 2027'!$AK$7:$AK$506,0)),7),"")</f>
        <v/>
      </c>
      <c r="W407" s="15" t="str">
        <f>IFERROR(INDEX('Formulación PDN 2027'!$H$7:$H$506,MATCH(ROW()-5,'Formulación PDN 2027'!$AK$7:$AK$506,0))&amp;"","")</f>
        <v/>
      </c>
      <c r="X407" s="15" t="str">
        <f>IFERROR(INDEX('Formulación PDN 2027'!$U$7:$U$506,MATCH(ROW()-5,'Formulación PDN 2027'!$AK$7:$AK$506,0))&amp;"","")</f>
        <v/>
      </c>
      <c r="Y407" s="15" t="str">
        <f>IFERROR(INDEX('Formulación PDN 2027'!$AH$7:$AH$506,MATCH(ROW()-5,'Formulación PDN 2027'!$AK$7:$AK$506,0))&amp;"","")</f>
        <v/>
      </c>
    </row>
    <row r="408" spans="1:25" x14ac:dyDescent="0.3">
      <c r="A408" s="15" t="str">
        <f>IFERROR(INDEX('Formulación PDN 2027'!$A$7:$A$506,MATCH(ROW()-5,'Formulación PDN 2027'!$AK$7:$AK$506,0))&amp;"","")</f>
        <v/>
      </c>
      <c r="B408" s="20" t="str">
        <f>IFERROR(INDEX('Formulación PDN 2027'!$M$7:$M$506,MATCH(ROW()-5,'Formulación PDN 2027'!$AK$7:$AK$506,0)),"")</f>
        <v/>
      </c>
      <c r="C408" s="15" t="str">
        <f>IFERROR(INDEX('Formulación PDN 2027'!$N$7:$N$506,MATCH(ROW()-5,'Formulación PDN 2027'!$AK$7:$AK$506,0))&amp;"","")</f>
        <v/>
      </c>
      <c r="D408" s="15" t="str">
        <f>IFERROR(INDEX('Formulación PDN 2027'!$L$7:$L$506,MATCH(ROW()-5,'Formulación PDN 2027'!$AK$7:$AK$506,0))&amp;"","")</f>
        <v/>
      </c>
      <c r="E408" s="15" t="str">
        <f>IFERROR(MATCH(INDEX('Formulación PDN 2027'!$O$7:$O$506,MATCH(ROW()-5,'Formulación PDN 2027'!$AK$7:$AK$506,0)),L_MESES,0),"")</f>
        <v/>
      </c>
      <c r="F408" s="15" t="str">
        <f>IFERROR(MATCH(INDEX('Formulación PDN 2027'!$P$7:$P$506,MATCH(ROW()-5,'Formulación PDN 2027'!$AK$7:$AK$506,0)),L_MESES,0),"")</f>
        <v/>
      </c>
      <c r="G408" s="15" t="str">
        <f>IFERROR(INDEX('Formulación PDN 2027'!$Q$7:$Q$506,MATCH(ROW()-5,'Formulación PDN 2027'!$AK$7:$AK$506,0)),"")</f>
        <v/>
      </c>
      <c r="H408" s="15" t="str">
        <f>IFERROR(INDEX('Formulación PDN 2027'!$R$7:$R$506,MATCH(ROW()-5,'Formulación PDN 2027'!$AK$7:$AK$506,0))&amp;"","")</f>
        <v/>
      </c>
      <c r="I408" s="15" t="str">
        <f>IFERROR(INDEX('Formulación PDN 2027'!$S$7:$S$506,MATCH(ROW()-5,'Formulación PDN 2027'!$AK$7:$AK$506,0))&amp;"","")</f>
        <v/>
      </c>
      <c r="J408" s="15" t="str">
        <f>IFERROR(INDEX('Formulación PDN 2027'!$T$7:$T$506,MATCH(ROW()-5,'Formulación PDN 2027'!$AK$7:$AK$506,0))&amp;"","")</f>
        <v/>
      </c>
      <c r="K408" s="43" t="str">
        <f>IFERROR(INDEX('Formulación PDN 2027'!$W$7:$W$506,MATCH(ROW()-5,'Formulación PDN 2027'!$AK$7:$AK$506,0)),"")</f>
        <v/>
      </c>
      <c r="L408" s="43" t="str">
        <f>IFERROR(INDEX('Formulación PDN 2027'!$X$7:$X$506,MATCH(ROW()-5,'Formulación PDN 2027'!$AK$7:$AK$506,0)),"")</f>
        <v/>
      </c>
      <c r="M408" s="15" t="str">
        <f>IFERROR(INDEX('Formulación PDN 2027'!$Y$7:$Y$506,MATCH(ROW()-5,'Formulación PDN 2027'!$AK$7:$AK$506,0))&amp;"","")</f>
        <v/>
      </c>
      <c r="N408" s="15" t="str">
        <f>IFERROR(INDEX('Formulación PDN 2027'!$Z$7:$Z$506,MATCH(ROW()-5,'Formulación PDN 2027'!$AK$7:$AK$506,0))&amp;"","")</f>
        <v/>
      </c>
      <c r="O408" s="15"/>
      <c r="P408" s="15" t="str">
        <f>IFERROR(INDEX('Formulación PDN 2027'!$AA$7:$AA$506,MATCH(ROW()-5,'Formulación PDN 2027'!$AK$7:$AK$506,0))&amp;"","")</f>
        <v/>
      </c>
      <c r="Q408" s="15" t="str">
        <f>IFERROR(INDEX('Formulación PDN 2027'!$AB$7:$AB$506,MATCH(ROW()-5,'Formulación PDN 2027'!$AK$7:$AK$506,0))&amp;"","")</f>
        <v/>
      </c>
      <c r="R408" s="15" t="str">
        <f>IFERROR(INDEX('Formulación PDN 2027'!$AD$7:$AD$506,MATCH(ROW()-5,'Formulación PDN 2027'!$AK$7:$AK$506,0))&amp;"","")</f>
        <v/>
      </c>
      <c r="S408" s="15" t="str">
        <f>IFERROR(INDEX('Formulación PDN 2027'!$AE$7:$AE$506,MATCH(ROW()-5,'Formulación PDN 2027'!$AK$7:$AK$506,0))&amp;"","")</f>
        <v/>
      </c>
      <c r="T408" s="15" t="str">
        <f>IFERROR(INDEX('Formulación PDN 2027'!$C$7:$C$506,MATCH(ROW()-5,'Formulación PDN 2027'!$AK$7:$AK$506,0))&amp;"","")</f>
        <v/>
      </c>
      <c r="U408" s="15" t="str">
        <f>IFERROR(INDEX('Formulación PDN 2027'!$B$7:$B$506,MATCH(ROW()-5,'Formulación PDN 2027'!$AK$7:$AK$506,0))&amp;"","")</f>
        <v/>
      </c>
      <c r="V408" s="15" t="str">
        <f>IFERROR(LEFT(INDEX('Formulación PDN 2027'!$E$7:$E$506,MATCH(ROW()-5,'Formulación PDN 2027'!$AK$7:$AK$506,0)),7),"")</f>
        <v/>
      </c>
      <c r="W408" s="15" t="str">
        <f>IFERROR(INDEX('Formulación PDN 2027'!$H$7:$H$506,MATCH(ROW()-5,'Formulación PDN 2027'!$AK$7:$AK$506,0))&amp;"","")</f>
        <v/>
      </c>
      <c r="X408" s="15" t="str">
        <f>IFERROR(INDEX('Formulación PDN 2027'!$U$7:$U$506,MATCH(ROW()-5,'Formulación PDN 2027'!$AK$7:$AK$506,0))&amp;"","")</f>
        <v/>
      </c>
      <c r="Y408" s="15" t="str">
        <f>IFERROR(INDEX('Formulación PDN 2027'!$AH$7:$AH$506,MATCH(ROW()-5,'Formulación PDN 2027'!$AK$7:$AK$506,0))&amp;"","")</f>
        <v/>
      </c>
    </row>
    <row r="409" spans="1:25" x14ac:dyDescent="0.3">
      <c r="A409" s="15" t="str">
        <f>IFERROR(INDEX('Formulación PDN 2027'!$A$7:$A$506,MATCH(ROW()-5,'Formulación PDN 2027'!$AK$7:$AK$506,0))&amp;"","")</f>
        <v/>
      </c>
      <c r="B409" s="20" t="str">
        <f>IFERROR(INDEX('Formulación PDN 2027'!$M$7:$M$506,MATCH(ROW()-5,'Formulación PDN 2027'!$AK$7:$AK$506,0)),"")</f>
        <v/>
      </c>
      <c r="C409" s="15" t="str">
        <f>IFERROR(INDEX('Formulación PDN 2027'!$N$7:$N$506,MATCH(ROW()-5,'Formulación PDN 2027'!$AK$7:$AK$506,0))&amp;"","")</f>
        <v/>
      </c>
      <c r="D409" s="15" t="str">
        <f>IFERROR(INDEX('Formulación PDN 2027'!$L$7:$L$506,MATCH(ROW()-5,'Formulación PDN 2027'!$AK$7:$AK$506,0))&amp;"","")</f>
        <v/>
      </c>
      <c r="E409" s="15" t="str">
        <f>IFERROR(MATCH(INDEX('Formulación PDN 2027'!$O$7:$O$506,MATCH(ROW()-5,'Formulación PDN 2027'!$AK$7:$AK$506,0)),L_MESES,0),"")</f>
        <v/>
      </c>
      <c r="F409" s="15" t="str">
        <f>IFERROR(MATCH(INDEX('Formulación PDN 2027'!$P$7:$P$506,MATCH(ROW()-5,'Formulación PDN 2027'!$AK$7:$AK$506,0)),L_MESES,0),"")</f>
        <v/>
      </c>
      <c r="G409" s="15" t="str">
        <f>IFERROR(INDEX('Formulación PDN 2027'!$Q$7:$Q$506,MATCH(ROW()-5,'Formulación PDN 2027'!$AK$7:$AK$506,0)),"")</f>
        <v/>
      </c>
      <c r="H409" s="15" t="str">
        <f>IFERROR(INDEX('Formulación PDN 2027'!$R$7:$R$506,MATCH(ROW()-5,'Formulación PDN 2027'!$AK$7:$AK$506,0))&amp;"","")</f>
        <v/>
      </c>
      <c r="I409" s="15" t="str">
        <f>IFERROR(INDEX('Formulación PDN 2027'!$S$7:$S$506,MATCH(ROW()-5,'Formulación PDN 2027'!$AK$7:$AK$506,0))&amp;"","")</f>
        <v/>
      </c>
      <c r="J409" s="15" t="str">
        <f>IFERROR(INDEX('Formulación PDN 2027'!$T$7:$T$506,MATCH(ROW()-5,'Formulación PDN 2027'!$AK$7:$AK$506,0))&amp;"","")</f>
        <v/>
      </c>
      <c r="K409" s="43" t="str">
        <f>IFERROR(INDEX('Formulación PDN 2027'!$W$7:$W$506,MATCH(ROW()-5,'Formulación PDN 2027'!$AK$7:$AK$506,0)),"")</f>
        <v/>
      </c>
      <c r="L409" s="43" t="str">
        <f>IFERROR(INDEX('Formulación PDN 2027'!$X$7:$X$506,MATCH(ROW()-5,'Formulación PDN 2027'!$AK$7:$AK$506,0)),"")</f>
        <v/>
      </c>
      <c r="M409" s="15" t="str">
        <f>IFERROR(INDEX('Formulación PDN 2027'!$Y$7:$Y$506,MATCH(ROW()-5,'Formulación PDN 2027'!$AK$7:$AK$506,0))&amp;"","")</f>
        <v/>
      </c>
      <c r="N409" s="15" t="str">
        <f>IFERROR(INDEX('Formulación PDN 2027'!$Z$7:$Z$506,MATCH(ROW()-5,'Formulación PDN 2027'!$AK$7:$AK$506,0))&amp;"","")</f>
        <v/>
      </c>
      <c r="O409" s="15"/>
      <c r="P409" s="15" t="str">
        <f>IFERROR(INDEX('Formulación PDN 2027'!$AA$7:$AA$506,MATCH(ROW()-5,'Formulación PDN 2027'!$AK$7:$AK$506,0))&amp;"","")</f>
        <v/>
      </c>
      <c r="Q409" s="15" t="str">
        <f>IFERROR(INDEX('Formulación PDN 2027'!$AB$7:$AB$506,MATCH(ROW()-5,'Formulación PDN 2027'!$AK$7:$AK$506,0))&amp;"","")</f>
        <v/>
      </c>
      <c r="R409" s="15" t="str">
        <f>IFERROR(INDEX('Formulación PDN 2027'!$AD$7:$AD$506,MATCH(ROW()-5,'Formulación PDN 2027'!$AK$7:$AK$506,0))&amp;"","")</f>
        <v/>
      </c>
      <c r="S409" s="15" t="str">
        <f>IFERROR(INDEX('Formulación PDN 2027'!$AE$7:$AE$506,MATCH(ROW()-5,'Formulación PDN 2027'!$AK$7:$AK$506,0))&amp;"","")</f>
        <v/>
      </c>
      <c r="T409" s="15" t="str">
        <f>IFERROR(INDEX('Formulación PDN 2027'!$C$7:$C$506,MATCH(ROW()-5,'Formulación PDN 2027'!$AK$7:$AK$506,0))&amp;"","")</f>
        <v/>
      </c>
      <c r="U409" s="15" t="str">
        <f>IFERROR(INDEX('Formulación PDN 2027'!$B$7:$B$506,MATCH(ROW()-5,'Formulación PDN 2027'!$AK$7:$AK$506,0))&amp;"","")</f>
        <v/>
      </c>
      <c r="V409" s="15" t="str">
        <f>IFERROR(LEFT(INDEX('Formulación PDN 2027'!$E$7:$E$506,MATCH(ROW()-5,'Formulación PDN 2027'!$AK$7:$AK$506,0)),7),"")</f>
        <v/>
      </c>
      <c r="W409" s="15" t="str">
        <f>IFERROR(INDEX('Formulación PDN 2027'!$H$7:$H$506,MATCH(ROW()-5,'Formulación PDN 2027'!$AK$7:$AK$506,0))&amp;"","")</f>
        <v/>
      </c>
      <c r="X409" s="15" t="str">
        <f>IFERROR(INDEX('Formulación PDN 2027'!$U$7:$U$506,MATCH(ROW()-5,'Formulación PDN 2027'!$AK$7:$AK$506,0))&amp;"","")</f>
        <v/>
      </c>
      <c r="Y409" s="15" t="str">
        <f>IFERROR(INDEX('Formulación PDN 2027'!$AH$7:$AH$506,MATCH(ROW()-5,'Formulación PDN 2027'!$AK$7:$AK$506,0))&amp;"","")</f>
        <v/>
      </c>
    </row>
    <row r="410" spans="1:25" x14ac:dyDescent="0.3">
      <c r="A410" s="15" t="str">
        <f>IFERROR(INDEX('Formulación PDN 2027'!$A$7:$A$506,MATCH(ROW()-5,'Formulación PDN 2027'!$AK$7:$AK$506,0))&amp;"","")</f>
        <v/>
      </c>
      <c r="B410" s="20" t="str">
        <f>IFERROR(INDEX('Formulación PDN 2027'!$M$7:$M$506,MATCH(ROW()-5,'Formulación PDN 2027'!$AK$7:$AK$506,0)),"")</f>
        <v/>
      </c>
      <c r="C410" s="15" t="str">
        <f>IFERROR(INDEX('Formulación PDN 2027'!$N$7:$N$506,MATCH(ROW()-5,'Formulación PDN 2027'!$AK$7:$AK$506,0))&amp;"","")</f>
        <v/>
      </c>
      <c r="D410" s="15" t="str">
        <f>IFERROR(INDEX('Formulación PDN 2027'!$L$7:$L$506,MATCH(ROW()-5,'Formulación PDN 2027'!$AK$7:$AK$506,0))&amp;"","")</f>
        <v/>
      </c>
      <c r="E410" s="15" t="str">
        <f>IFERROR(MATCH(INDEX('Formulación PDN 2027'!$O$7:$O$506,MATCH(ROW()-5,'Formulación PDN 2027'!$AK$7:$AK$506,0)),L_MESES,0),"")</f>
        <v/>
      </c>
      <c r="F410" s="15" t="str">
        <f>IFERROR(MATCH(INDEX('Formulación PDN 2027'!$P$7:$P$506,MATCH(ROW()-5,'Formulación PDN 2027'!$AK$7:$AK$506,0)),L_MESES,0),"")</f>
        <v/>
      </c>
      <c r="G410" s="15" t="str">
        <f>IFERROR(INDEX('Formulación PDN 2027'!$Q$7:$Q$506,MATCH(ROW()-5,'Formulación PDN 2027'!$AK$7:$AK$506,0)),"")</f>
        <v/>
      </c>
      <c r="H410" s="15" t="str">
        <f>IFERROR(INDEX('Formulación PDN 2027'!$R$7:$R$506,MATCH(ROW()-5,'Formulación PDN 2027'!$AK$7:$AK$506,0))&amp;"","")</f>
        <v/>
      </c>
      <c r="I410" s="15" t="str">
        <f>IFERROR(INDEX('Formulación PDN 2027'!$S$7:$S$506,MATCH(ROW()-5,'Formulación PDN 2027'!$AK$7:$AK$506,0))&amp;"","")</f>
        <v/>
      </c>
      <c r="J410" s="15" t="str">
        <f>IFERROR(INDEX('Formulación PDN 2027'!$T$7:$T$506,MATCH(ROW()-5,'Formulación PDN 2027'!$AK$7:$AK$506,0))&amp;"","")</f>
        <v/>
      </c>
      <c r="K410" s="43" t="str">
        <f>IFERROR(INDEX('Formulación PDN 2027'!$W$7:$W$506,MATCH(ROW()-5,'Formulación PDN 2027'!$AK$7:$AK$506,0)),"")</f>
        <v/>
      </c>
      <c r="L410" s="43" t="str">
        <f>IFERROR(INDEX('Formulación PDN 2027'!$X$7:$X$506,MATCH(ROW()-5,'Formulación PDN 2027'!$AK$7:$AK$506,0)),"")</f>
        <v/>
      </c>
      <c r="M410" s="15" t="str">
        <f>IFERROR(INDEX('Formulación PDN 2027'!$Y$7:$Y$506,MATCH(ROW()-5,'Formulación PDN 2027'!$AK$7:$AK$506,0))&amp;"","")</f>
        <v/>
      </c>
      <c r="N410" s="15" t="str">
        <f>IFERROR(INDEX('Formulación PDN 2027'!$Z$7:$Z$506,MATCH(ROW()-5,'Formulación PDN 2027'!$AK$7:$AK$506,0))&amp;"","")</f>
        <v/>
      </c>
      <c r="O410" s="15"/>
      <c r="P410" s="15" t="str">
        <f>IFERROR(INDEX('Formulación PDN 2027'!$AA$7:$AA$506,MATCH(ROW()-5,'Formulación PDN 2027'!$AK$7:$AK$506,0))&amp;"","")</f>
        <v/>
      </c>
      <c r="Q410" s="15" t="str">
        <f>IFERROR(INDEX('Formulación PDN 2027'!$AB$7:$AB$506,MATCH(ROW()-5,'Formulación PDN 2027'!$AK$7:$AK$506,0))&amp;"","")</f>
        <v/>
      </c>
      <c r="R410" s="15" t="str">
        <f>IFERROR(INDEX('Formulación PDN 2027'!$AD$7:$AD$506,MATCH(ROW()-5,'Formulación PDN 2027'!$AK$7:$AK$506,0))&amp;"","")</f>
        <v/>
      </c>
      <c r="S410" s="15" t="str">
        <f>IFERROR(INDEX('Formulación PDN 2027'!$AE$7:$AE$506,MATCH(ROW()-5,'Formulación PDN 2027'!$AK$7:$AK$506,0))&amp;"","")</f>
        <v/>
      </c>
      <c r="T410" s="15" t="str">
        <f>IFERROR(INDEX('Formulación PDN 2027'!$C$7:$C$506,MATCH(ROW()-5,'Formulación PDN 2027'!$AK$7:$AK$506,0))&amp;"","")</f>
        <v/>
      </c>
      <c r="U410" s="15" t="str">
        <f>IFERROR(INDEX('Formulación PDN 2027'!$B$7:$B$506,MATCH(ROW()-5,'Formulación PDN 2027'!$AK$7:$AK$506,0))&amp;"","")</f>
        <v/>
      </c>
      <c r="V410" s="15" t="str">
        <f>IFERROR(LEFT(INDEX('Formulación PDN 2027'!$E$7:$E$506,MATCH(ROW()-5,'Formulación PDN 2027'!$AK$7:$AK$506,0)),7),"")</f>
        <v/>
      </c>
      <c r="W410" s="15" t="str">
        <f>IFERROR(INDEX('Formulación PDN 2027'!$H$7:$H$506,MATCH(ROW()-5,'Formulación PDN 2027'!$AK$7:$AK$506,0))&amp;"","")</f>
        <v/>
      </c>
      <c r="X410" s="15" t="str">
        <f>IFERROR(INDEX('Formulación PDN 2027'!$U$7:$U$506,MATCH(ROW()-5,'Formulación PDN 2027'!$AK$7:$AK$506,0))&amp;"","")</f>
        <v/>
      </c>
      <c r="Y410" s="15" t="str">
        <f>IFERROR(INDEX('Formulación PDN 2027'!$AH$7:$AH$506,MATCH(ROW()-5,'Formulación PDN 2027'!$AK$7:$AK$506,0))&amp;"","")</f>
        <v/>
      </c>
    </row>
    <row r="411" spans="1:25" x14ac:dyDescent="0.3">
      <c r="A411" s="15" t="str">
        <f>IFERROR(INDEX('Formulación PDN 2027'!$A$7:$A$506,MATCH(ROW()-5,'Formulación PDN 2027'!$AK$7:$AK$506,0))&amp;"","")</f>
        <v/>
      </c>
      <c r="B411" s="20" t="str">
        <f>IFERROR(INDEX('Formulación PDN 2027'!$M$7:$M$506,MATCH(ROW()-5,'Formulación PDN 2027'!$AK$7:$AK$506,0)),"")</f>
        <v/>
      </c>
      <c r="C411" s="15" t="str">
        <f>IFERROR(INDEX('Formulación PDN 2027'!$N$7:$N$506,MATCH(ROW()-5,'Formulación PDN 2027'!$AK$7:$AK$506,0))&amp;"","")</f>
        <v/>
      </c>
      <c r="D411" s="15" t="str">
        <f>IFERROR(INDEX('Formulación PDN 2027'!$L$7:$L$506,MATCH(ROW()-5,'Formulación PDN 2027'!$AK$7:$AK$506,0))&amp;"","")</f>
        <v/>
      </c>
      <c r="E411" s="15" t="str">
        <f>IFERROR(MATCH(INDEX('Formulación PDN 2027'!$O$7:$O$506,MATCH(ROW()-5,'Formulación PDN 2027'!$AK$7:$AK$506,0)),L_MESES,0),"")</f>
        <v/>
      </c>
      <c r="F411" s="15" t="str">
        <f>IFERROR(MATCH(INDEX('Formulación PDN 2027'!$P$7:$P$506,MATCH(ROW()-5,'Formulación PDN 2027'!$AK$7:$AK$506,0)),L_MESES,0),"")</f>
        <v/>
      </c>
      <c r="G411" s="15" t="str">
        <f>IFERROR(INDEX('Formulación PDN 2027'!$Q$7:$Q$506,MATCH(ROW()-5,'Formulación PDN 2027'!$AK$7:$AK$506,0)),"")</f>
        <v/>
      </c>
      <c r="H411" s="15" t="str">
        <f>IFERROR(INDEX('Formulación PDN 2027'!$R$7:$R$506,MATCH(ROW()-5,'Formulación PDN 2027'!$AK$7:$AK$506,0))&amp;"","")</f>
        <v/>
      </c>
      <c r="I411" s="15" t="str">
        <f>IFERROR(INDEX('Formulación PDN 2027'!$S$7:$S$506,MATCH(ROW()-5,'Formulación PDN 2027'!$AK$7:$AK$506,0))&amp;"","")</f>
        <v/>
      </c>
      <c r="J411" s="15" t="str">
        <f>IFERROR(INDEX('Formulación PDN 2027'!$T$7:$T$506,MATCH(ROW()-5,'Formulación PDN 2027'!$AK$7:$AK$506,0))&amp;"","")</f>
        <v/>
      </c>
      <c r="K411" s="43" t="str">
        <f>IFERROR(INDEX('Formulación PDN 2027'!$W$7:$W$506,MATCH(ROW()-5,'Formulación PDN 2027'!$AK$7:$AK$506,0)),"")</f>
        <v/>
      </c>
      <c r="L411" s="43" t="str">
        <f>IFERROR(INDEX('Formulación PDN 2027'!$X$7:$X$506,MATCH(ROW()-5,'Formulación PDN 2027'!$AK$7:$AK$506,0)),"")</f>
        <v/>
      </c>
      <c r="M411" s="15" t="str">
        <f>IFERROR(INDEX('Formulación PDN 2027'!$Y$7:$Y$506,MATCH(ROW()-5,'Formulación PDN 2027'!$AK$7:$AK$506,0))&amp;"","")</f>
        <v/>
      </c>
      <c r="N411" s="15" t="str">
        <f>IFERROR(INDEX('Formulación PDN 2027'!$Z$7:$Z$506,MATCH(ROW()-5,'Formulación PDN 2027'!$AK$7:$AK$506,0))&amp;"","")</f>
        <v/>
      </c>
      <c r="O411" s="15"/>
      <c r="P411" s="15" t="str">
        <f>IFERROR(INDEX('Formulación PDN 2027'!$AA$7:$AA$506,MATCH(ROW()-5,'Formulación PDN 2027'!$AK$7:$AK$506,0))&amp;"","")</f>
        <v/>
      </c>
      <c r="Q411" s="15" t="str">
        <f>IFERROR(INDEX('Formulación PDN 2027'!$AB$7:$AB$506,MATCH(ROW()-5,'Formulación PDN 2027'!$AK$7:$AK$506,0))&amp;"","")</f>
        <v/>
      </c>
      <c r="R411" s="15" t="str">
        <f>IFERROR(INDEX('Formulación PDN 2027'!$AD$7:$AD$506,MATCH(ROW()-5,'Formulación PDN 2027'!$AK$7:$AK$506,0))&amp;"","")</f>
        <v/>
      </c>
      <c r="S411" s="15" t="str">
        <f>IFERROR(INDEX('Formulación PDN 2027'!$AE$7:$AE$506,MATCH(ROW()-5,'Formulación PDN 2027'!$AK$7:$AK$506,0))&amp;"","")</f>
        <v/>
      </c>
      <c r="T411" s="15" t="str">
        <f>IFERROR(INDEX('Formulación PDN 2027'!$C$7:$C$506,MATCH(ROW()-5,'Formulación PDN 2027'!$AK$7:$AK$506,0))&amp;"","")</f>
        <v/>
      </c>
      <c r="U411" s="15" t="str">
        <f>IFERROR(INDEX('Formulación PDN 2027'!$B$7:$B$506,MATCH(ROW()-5,'Formulación PDN 2027'!$AK$7:$AK$506,0))&amp;"","")</f>
        <v/>
      </c>
      <c r="V411" s="15" t="str">
        <f>IFERROR(LEFT(INDEX('Formulación PDN 2027'!$E$7:$E$506,MATCH(ROW()-5,'Formulación PDN 2027'!$AK$7:$AK$506,0)),7),"")</f>
        <v/>
      </c>
      <c r="W411" s="15" t="str">
        <f>IFERROR(INDEX('Formulación PDN 2027'!$H$7:$H$506,MATCH(ROW()-5,'Formulación PDN 2027'!$AK$7:$AK$506,0))&amp;"","")</f>
        <v/>
      </c>
      <c r="X411" s="15" t="str">
        <f>IFERROR(INDEX('Formulación PDN 2027'!$U$7:$U$506,MATCH(ROW()-5,'Formulación PDN 2027'!$AK$7:$AK$506,0))&amp;"","")</f>
        <v/>
      </c>
      <c r="Y411" s="15" t="str">
        <f>IFERROR(INDEX('Formulación PDN 2027'!$AH$7:$AH$506,MATCH(ROW()-5,'Formulación PDN 2027'!$AK$7:$AK$506,0))&amp;"","")</f>
        <v/>
      </c>
    </row>
    <row r="412" spans="1:25" x14ac:dyDescent="0.3">
      <c r="A412" s="15" t="str">
        <f>IFERROR(INDEX('Formulación PDN 2027'!$A$7:$A$506,MATCH(ROW()-5,'Formulación PDN 2027'!$AK$7:$AK$506,0))&amp;"","")</f>
        <v/>
      </c>
      <c r="B412" s="20" t="str">
        <f>IFERROR(INDEX('Formulación PDN 2027'!$M$7:$M$506,MATCH(ROW()-5,'Formulación PDN 2027'!$AK$7:$AK$506,0)),"")</f>
        <v/>
      </c>
      <c r="C412" s="15" t="str">
        <f>IFERROR(INDEX('Formulación PDN 2027'!$N$7:$N$506,MATCH(ROW()-5,'Formulación PDN 2027'!$AK$7:$AK$506,0))&amp;"","")</f>
        <v/>
      </c>
      <c r="D412" s="15" t="str">
        <f>IFERROR(INDEX('Formulación PDN 2027'!$L$7:$L$506,MATCH(ROW()-5,'Formulación PDN 2027'!$AK$7:$AK$506,0))&amp;"","")</f>
        <v/>
      </c>
      <c r="E412" s="15" t="str">
        <f>IFERROR(MATCH(INDEX('Formulación PDN 2027'!$O$7:$O$506,MATCH(ROW()-5,'Formulación PDN 2027'!$AK$7:$AK$506,0)),L_MESES,0),"")</f>
        <v/>
      </c>
      <c r="F412" s="15" t="str">
        <f>IFERROR(MATCH(INDEX('Formulación PDN 2027'!$P$7:$P$506,MATCH(ROW()-5,'Formulación PDN 2027'!$AK$7:$AK$506,0)),L_MESES,0),"")</f>
        <v/>
      </c>
      <c r="G412" s="15" t="str">
        <f>IFERROR(INDEX('Formulación PDN 2027'!$Q$7:$Q$506,MATCH(ROW()-5,'Formulación PDN 2027'!$AK$7:$AK$506,0)),"")</f>
        <v/>
      </c>
      <c r="H412" s="15" t="str">
        <f>IFERROR(INDEX('Formulación PDN 2027'!$R$7:$R$506,MATCH(ROW()-5,'Formulación PDN 2027'!$AK$7:$AK$506,0))&amp;"","")</f>
        <v/>
      </c>
      <c r="I412" s="15" t="str">
        <f>IFERROR(INDEX('Formulación PDN 2027'!$S$7:$S$506,MATCH(ROW()-5,'Formulación PDN 2027'!$AK$7:$AK$506,0))&amp;"","")</f>
        <v/>
      </c>
      <c r="J412" s="15" t="str">
        <f>IFERROR(INDEX('Formulación PDN 2027'!$T$7:$T$506,MATCH(ROW()-5,'Formulación PDN 2027'!$AK$7:$AK$506,0))&amp;"","")</f>
        <v/>
      </c>
      <c r="K412" s="43" t="str">
        <f>IFERROR(INDEX('Formulación PDN 2027'!$W$7:$W$506,MATCH(ROW()-5,'Formulación PDN 2027'!$AK$7:$AK$506,0)),"")</f>
        <v/>
      </c>
      <c r="L412" s="43" t="str">
        <f>IFERROR(INDEX('Formulación PDN 2027'!$X$7:$X$506,MATCH(ROW()-5,'Formulación PDN 2027'!$AK$7:$AK$506,0)),"")</f>
        <v/>
      </c>
      <c r="M412" s="15" t="str">
        <f>IFERROR(INDEX('Formulación PDN 2027'!$Y$7:$Y$506,MATCH(ROW()-5,'Formulación PDN 2027'!$AK$7:$AK$506,0))&amp;"","")</f>
        <v/>
      </c>
      <c r="N412" s="15" t="str">
        <f>IFERROR(INDEX('Formulación PDN 2027'!$Z$7:$Z$506,MATCH(ROW()-5,'Formulación PDN 2027'!$AK$7:$AK$506,0))&amp;"","")</f>
        <v/>
      </c>
      <c r="O412" s="15"/>
      <c r="P412" s="15" t="str">
        <f>IFERROR(INDEX('Formulación PDN 2027'!$AA$7:$AA$506,MATCH(ROW()-5,'Formulación PDN 2027'!$AK$7:$AK$506,0))&amp;"","")</f>
        <v/>
      </c>
      <c r="Q412" s="15" t="str">
        <f>IFERROR(INDEX('Formulación PDN 2027'!$AB$7:$AB$506,MATCH(ROW()-5,'Formulación PDN 2027'!$AK$7:$AK$506,0))&amp;"","")</f>
        <v/>
      </c>
      <c r="R412" s="15" t="str">
        <f>IFERROR(INDEX('Formulación PDN 2027'!$AD$7:$AD$506,MATCH(ROW()-5,'Formulación PDN 2027'!$AK$7:$AK$506,0))&amp;"","")</f>
        <v/>
      </c>
      <c r="S412" s="15" t="str">
        <f>IFERROR(INDEX('Formulación PDN 2027'!$AE$7:$AE$506,MATCH(ROW()-5,'Formulación PDN 2027'!$AK$7:$AK$506,0))&amp;"","")</f>
        <v/>
      </c>
      <c r="T412" s="15" t="str">
        <f>IFERROR(INDEX('Formulación PDN 2027'!$C$7:$C$506,MATCH(ROW()-5,'Formulación PDN 2027'!$AK$7:$AK$506,0))&amp;"","")</f>
        <v/>
      </c>
      <c r="U412" s="15" t="str">
        <f>IFERROR(INDEX('Formulación PDN 2027'!$B$7:$B$506,MATCH(ROW()-5,'Formulación PDN 2027'!$AK$7:$AK$506,0))&amp;"","")</f>
        <v/>
      </c>
      <c r="V412" s="15" t="str">
        <f>IFERROR(LEFT(INDEX('Formulación PDN 2027'!$E$7:$E$506,MATCH(ROW()-5,'Formulación PDN 2027'!$AK$7:$AK$506,0)),7),"")</f>
        <v/>
      </c>
      <c r="W412" s="15" t="str">
        <f>IFERROR(INDEX('Formulación PDN 2027'!$H$7:$H$506,MATCH(ROW()-5,'Formulación PDN 2027'!$AK$7:$AK$506,0))&amp;"","")</f>
        <v/>
      </c>
      <c r="X412" s="15" t="str">
        <f>IFERROR(INDEX('Formulación PDN 2027'!$U$7:$U$506,MATCH(ROW()-5,'Formulación PDN 2027'!$AK$7:$AK$506,0))&amp;"","")</f>
        <v/>
      </c>
      <c r="Y412" s="15" t="str">
        <f>IFERROR(INDEX('Formulación PDN 2027'!$AH$7:$AH$506,MATCH(ROW()-5,'Formulación PDN 2027'!$AK$7:$AK$506,0))&amp;"","")</f>
        <v/>
      </c>
    </row>
    <row r="413" spans="1:25" x14ac:dyDescent="0.3">
      <c r="A413" s="15" t="str">
        <f>IFERROR(INDEX('Formulación PDN 2027'!$A$7:$A$506,MATCH(ROW()-5,'Formulación PDN 2027'!$AK$7:$AK$506,0))&amp;"","")</f>
        <v/>
      </c>
      <c r="B413" s="20" t="str">
        <f>IFERROR(INDEX('Formulación PDN 2027'!$M$7:$M$506,MATCH(ROW()-5,'Formulación PDN 2027'!$AK$7:$AK$506,0)),"")</f>
        <v/>
      </c>
      <c r="C413" s="15" t="str">
        <f>IFERROR(INDEX('Formulación PDN 2027'!$N$7:$N$506,MATCH(ROW()-5,'Formulación PDN 2027'!$AK$7:$AK$506,0))&amp;"","")</f>
        <v/>
      </c>
      <c r="D413" s="15" t="str">
        <f>IFERROR(INDEX('Formulación PDN 2027'!$L$7:$L$506,MATCH(ROW()-5,'Formulación PDN 2027'!$AK$7:$AK$506,0))&amp;"","")</f>
        <v/>
      </c>
      <c r="E413" s="15" t="str">
        <f>IFERROR(MATCH(INDEX('Formulación PDN 2027'!$O$7:$O$506,MATCH(ROW()-5,'Formulación PDN 2027'!$AK$7:$AK$506,0)),L_MESES,0),"")</f>
        <v/>
      </c>
      <c r="F413" s="15" t="str">
        <f>IFERROR(MATCH(INDEX('Formulación PDN 2027'!$P$7:$P$506,MATCH(ROW()-5,'Formulación PDN 2027'!$AK$7:$AK$506,0)),L_MESES,0),"")</f>
        <v/>
      </c>
      <c r="G413" s="15" t="str">
        <f>IFERROR(INDEX('Formulación PDN 2027'!$Q$7:$Q$506,MATCH(ROW()-5,'Formulación PDN 2027'!$AK$7:$AK$506,0)),"")</f>
        <v/>
      </c>
      <c r="H413" s="15" t="str">
        <f>IFERROR(INDEX('Formulación PDN 2027'!$R$7:$R$506,MATCH(ROW()-5,'Formulación PDN 2027'!$AK$7:$AK$506,0))&amp;"","")</f>
        <v/>
      </c>
      <c r="I413" s="15" t="str">
        <f>IFERROR(INDEX('Formulación PDN 2027'!$S$7:$S$506,MATCH(ROW()-5,'Formulación PDN 2027'!$AK$7:$AK$506,0))&amp;"","")</f>
        <v/>
      </c>
      <c r="J413" s="15" t="str">
        <f>IFERROR(INDEX('Formulación PDN 2027'!$T$7:$T$506,MATCH(ROW()-5,'Formulación PDN 2027'!$AK$7:$AK$506,0))&amp;"","")</f>
        <v/>
      </c>
      <c r="K413" s="43" t="str">
        <f>IFERROR(INDEX('Formulación PDN 2027'!$W$7:$W$506,MATCH(ROW()-5,'Formulación PDN 2027'!$AK$7:$AK$506,0)),"")</f>
        <v/>
      </c>
      <c r="L413" s="43" t="str">
        <f>IFERROR(INDEX('Formulación PDN 2027'!$X$7:$X$506,MATCH(ROW()-5,'Formulación PDN 2027'!$AK$7:$AK$506,0)),"")</f>
        <v/>
      </c>
      <c r="M413" s="15" t="str">
        <f>IFERROR(INDEX('Formulación PDN 2027'!$Y$7:$Y$506,MATCH(ROW()-5,'Formulación PDN 2027'!$AK$7:$AK$506,0))&amp;"","")</f>
        <v/>
      </c>
      <c r="N413" s="15" t="str">
        <f>IFERROR(INDEX('Formulación PDN 2027'!$Z$7:$Z$506,MATCH(ROW()-5,'Formulación PDN 2027'!$AK$7:$AK$506,0))&amp;"","")</f>
        <v/>
      </c>
      <c r="O413" s="15"/>
      <c r="P413" s="15" t="str">
        <f>IFERROR(INDEX('Formulación PDN 2027'!$AA$7:$AA$506,MATCH(ROW()-5,'Formulación PDN 2027'!$AK$7:$AK$506,0))&amp;"","")</f>
        <v/>
      </c>
      <c r="Q413" s="15" t="str">
        <f>IFERROR(INDEX('Formulación PDN 2027'!$AB$7:$AB$506,MATCH(ROW()-5,'Formulación PDN 2027'!$AK$7:$AK$506,0))&amp;"","")</f>
        <v/>
      </c>
      <c r="R413" s="15" t="str">
        <f>IFERROR(INDEX('Formulación PDN 2027'!$AD$7:$AD$506,MATCH(ROW()-5,'Formulación PDN 2027'!$AK$7:$AK$506,0))&amp;"","")</f>
        <v/>
      </c>
      <c r="S413" s="15" t="str">
        <f>IFERROR(INDEX('Formulación PDN 2027'!$AE$7:$AE$506,MATCH(ROW()-5,'Formulación PDN 2027'!$AK$7:$AK$506,0))&amp;"","")</f>
        <v/>
      </c>
      <c r="T413" s="15" t="str">
        <f>IFERROR(INDEX('Formulación PDN 2027'!$C$7:$C$506,MATCH(ROW()-5,'Formulación PDN 2027'!$AK$7:$AK$506,0))&amp;"","")</f>
        <v/>
      </c>
      <c r="U413" s="15" t="str">
        <f>IFERROR(INDEX('Formulación PDN 2027'!$B$7:$B$506,MATCH(ROW()-5,'Formulación PDN 2027'!$AK$7:$AK$506,0))&amp;"","")</f>
        <v/>
      </c>
      <c r="V413" s="15" t="str">
        <f>IFERROR(LEFT(INDEX('Formulación PDN 2027'!$E$7:$E$506,MATCH(ROW()-5,'Formulación PDN 2027'!$AK$7:$AK$506,0)),7),"")</f>
        <v/>
      </c>
      <c r="W413" s="15" t="str">
        <f>IFERROR(INDEX('Formulación PDN 2027'!$H$7:$H$506,MATCH(ROW()-5,'Formulación PDN 2027'!$AK$7:$AK$506,0))&amp;"","")</f>
        <v/>
      </c>
      <c r="X413" s="15" t="str">
        <f>IFERROR(INDEX('Formulación PDN 2027'!$U$7:$U$506,MATCH(ROW()-5,'Formulación PDN 2027'!$AK$7:$AK$506,0))&amp;"","")</f>
        <v/>
      </c>
      <c r="Y413" s="15" t="str">
        <f>IFERROR(INDEX('Formulación PDN 2027'!$AH$7:$AH$506,MATCH(ROW()-5,'Formulación PDN 2027'!$AK$7:$AK$506,0))&amp;"","")</f>
        <v/>
      </c>
    </row>
    <row r="414" spans="1:25" x14ac:dyDescent="0.3">
      <c r="A414" s="15" t="str">
        <f>IFERROR(INDEX('Formulación PDN 2027'!$A$7:$A$506,MATCH(ROW()-5,'Formulación PDN 2027'!$AK$7:$AK$506,0))&amp;"","")</f>
        <v/>
      </c>
      <c r="B414" s="20" t="str">
        <f>IFERROR(INDEX('Formulación PDN 2027'!$M$7:$M$506,MATCH(ROW()-5,'Formulación PDN 2027'!$AK$7:$AK$506,0)),"")</f>
        <v/>
      </c>
      <c r="C414" s="15" t="str">
        <f>IFERROR(INDEX('Formulación PDN 2027'!$N$7:$N$506,MATCH(ROW()-5,'Formulación PDN 2027'!$AK$7:$AK$506,0))&amp;"","")</f>
        <v/>
      </c>
      <c r="D414" s="15" t="str">
        <f>IFERROR(INDEX('Formulación PDN 2027'!$L$7:$L$506,MATCH(ROW()-5,'Formulación PDN 2027'!$AK$7:$AK$506,0))&amp;"","")</f>
        <v/>
      </c>
      <c r="E414" s="15" t="str">
        <f>IFERROR(MATCH(INDEX('Formulación PDN 2027'!$O$7:$O$506,MATCH(ROW()-5,'Formulación PDN 2027'!$AK$7:$AK$506,0)),L_MESES,0),"")</f>
        <v/>
      </c>
      <c r="F414" s="15" t="str">
        <f>IFERROR(MATCH(INDEX('Formulación PDN 2027'!$P$7:$P$506,MATCH(ROW()-5,'Formulación PDN 2027'!$AK$7:$AK$506,0)),L_MESES,0),"")</f>
        <v/>
      </c>
      <c r="G414" s="15" t="str">
        <f>IFERROR(INDEX('Formulación PDN 2027'!$Q$7:$Q$506,MATCH(ROW()-5,'Formulación PDN 2027'!$AK$7:$AK$506,0)),"")</f>
        <v/>
      </c>
      <c r="H414" s="15" t="str">
        <f>IFERROR(INDEX('Formulación PDN 2027'!$R$7:$R$506,MATCH(ROW()-5,'Formulación PDN 2027'!$AK$7:$AK$506,0))&amp;"","")</f>
        <v/>
      </c>
      <c r="I414" s="15" t="str">
        <f>IFERROR(INDEX('Formulación PDN 2027'!$S$7:$S$506,MATCH(ROW()-5,'Formulación PDN 2027'!$AK$7:$AK$506,0))&amp;"","")</f>
        <v/>
      </c>
      <c r="J414" s="15" t="str">
        <f>IFERROR(INDEX('Formulación PDN 2027'!$T$7:$T$506,MATCH(ROW()-5,'Formulación PDN 2027'!$AK$7:$AK$506,0))&amp;"","")</f>
        <v/>
      </c>
      <c r="K414" s="43" t="str">
        <f>IFERROR(INDEX('Formulación PDN 2027'!$W$7:$W$506,MATCH(ROW()-5,'Formulación PDN 2027'!$AK$7:$AK$506,0)),"")</f>
        <v/>
      </c>
      <c r="L414" s="43" t="str">
        <f>IFERROR(INDEX('Formulación PDN 2027'!$X$7:$X$506,MATCH(ROW()-5,'Formulación PDN 2027'!$AK$7:$AK$506,0)),"")</f>
        <v/>
      </c>
      <c r="M414" s="15" t="str">
        <f>IFERROR(INDEX('Formulación PDN 2027'!$Y$7:$Y$506,MATCH(ROW()-5,'Formulación PDN 2027'!$AK$7:$AK$506,0))&amp;"","")</f>
        <v/>
      </c>
      <c r="N414" s="15" t="str">
        <f>IFERROR(INDEX('Formulación PDN 2027'!$Z$7:$Z$506,MATCH(ROW()-5,'Formulación PDN 2027'!$AK$7:$AK$506,0))&amp;"","")</f>
        <v/>
      </c>
      <c r="O414" s="15"/>
      <c r="P414" s="15" t="str">
        <f>IFERROR(INDEX('Formulación PDN 2027'!$AA$7:$AA$506,MATCH(ROW()-5,'Formulación PDN 2027'!$AK$7:$AK$506,0))&amp;"","")</f>
        <v/>
      </c>
      <c r="Q414" s="15" t="str">
        <f>IFERROR(INDEX('Formulación PDN 2027'!$AB$7:$AB$506,MATCH(ROW()-5,'Formulación PDN 2027'!$AK$7:$AK$506,0))&amp;"","")</f>
        <v/>
      </c>
      <c r="R414" s="15" t="str">
        <f>IFERROR(INDEX('Formulación PDN 2027'!$AD$7:$AD$506,MATCH(ROW()-5,'Formulación PDN 2027'!$AK$7:$AK$506,0))&amp;"","")</f>
        <v/>
      </c>
      <c r="S414" s="15" t="str">
        <f>IFERROR(INDEX('Formulación PDN 2027'!$AE$7:$AE$506,MATCH(ROW()-5,'Formulación PDN 2027'!$AK$7:$AK$506,0))&amp;"","")</f>
        <v/>
      </c>
      <c r="T414" s="15" t="str">
        <f>IFERROR(INDEX('Formulación PDN 2027'!$C$7:$C$506,MATCH(ROW()-5,'Formulación PDN 2027'!$AK$7:$AK$506,0))&amp;"","")</f>
        <v/>
      </c>
      <c r="U414" s="15" t="str">
        <f>IFERROR(INDEX('Formulación PDN 2027'!$B$7:$B$506,MATCH(ROW()-5,'Formulación PDN 2027'!$AK$7:$AK$506,0))&amp;"","")</f>
        <v/>
      </c>
      <c r="V414" s="15" t="str">
        <f>IFERROR(LEFT(INDEX('Formulación PDN 2027'!$E$7:$E$506,MATCH(ROW()-5,'Formulación PDN 2027'!$AK$7:$AK$506,0)),7),"")</f>
        <v/>
      </c>
      <c r="W414" s="15" t="str">
        <f>IFERROR(INDEX('Formulación PDN 2027'!$H$7:$H$506,MATCH(ROW()-5,'Formulación PDN 2027'!$AK$7:$AK$506,0))&amp;"","")</f>
        <v/>
      </c>
      <c r="X414" s="15" t="str">
        <f>IFERROR(INDEX('Formulación PDN 2027'!$U$7:$U$506,MATCH(ROW()-5,'Formulación PDN 2027'!$AK$7:$AK$506,0))&amp;"","")</f>
        <v/>
      </c>
      <c r="Y414" s="15" t="str">
        <f>IFERROR(INDEX('Formulación PDN 2027'!$AH$7:$AH$506,MATCH(ROW()-5,'Formulación PDN 2027'!$AK$7:$AK$506,0))&amp;"","")</f>
        <v/>
      </c>
    </row>
    <row r="415" spans="1:25" x14ac:dyDescent="0.3">
      <c r="A415" s="15" t="str">
        <f>IFERROR(INDEX('Formulación PDN 2027'!$A$7:$A$506,MATCH(ROW()-5,'Formulación PDN 2027'!$AK$7:$AK$506,0))&amp;"","")</f>
        <v/>
      </c>
      <c r="B415" s="20" t="str">
        <f>IFERROR(INDEX('Formulación PDN 2027'!$M$7:$M$506,MATCH(ROW()-5,'Formulación PDN 2027'!$AK$7:$AK$506,0)),"")</f>
        <v/>
      </c>
      <c r="C415" s="15" t="str">
        <f>IFERROR(INDEX('Formulación PDN 2027'!$N$7:$N$506,MATCH(ROW()-5,'Formulación PDN 2027'!$AK$7:$AK$506,0))&amp;"","")</f>
        <v/>
      </c>
      <c r="D415" s="15" t="str">
        <f>IFERROR(INDEX('Formulación PDN 2027'!$L$7:$L$506,MATCH(ROW()-5,'Formulación PDN 2027'!$AK$7:$AK$506,0))&amp;"","")</f>
        <v/>
      </c>
      <c r="E415" s="15" t="str">
        <f>IFERROR(MATCH(INDEX('Formulación PDN 2027'!$O$7:$O$506,MATCH(ROW()-5,'Formulación PDN 2027'!$AK$7:$AK$506,0)),L_MESES,0),"")</f>
        <v/>
      </c>
      <c r="F415" s="15" t="str">
        <f>IFERROR(MATCH(INDEX('Formulación PDN 2027'!$P$7:$P$506,MATCH(ROW()-5,'Formulación PDN 2027'!$AK$7:$AK$506,0)),L_MESES,0),"")</f>
        <v/>
      </c>
      <c r="G415" s="15" t="str">
        <f>IFERROR(INDEX('Formulación PDN 2027'!$Q$7:$Q$506,MATCH(ROW()-5,'Formulación PDN 2027'!$AK$7:$AK$506,0)),"")</f>
        <v/>
      </c>
      <c r="H415" s="15" t="str">
        <f>IFERROR(INDEX('Formulación PDN 2027'!$R$7:$R$506,MATCH(ROW()-5,'Formulación PDN 2027'!$AK$7:$AK$506,0))&amp;"","")</f>
        <v/>
      </c>
      <c r="I415" s="15" t="str">
        <f>IFERROR(INDEX('Formulación PDN 2027'!$S$7:$S$506,MATCH(ROW()-5,'Formulación PDN 2027'!$AK$7:$AK$506,0))&amp;"","")</f>
        <v/>
      </c>
      <c r="J415" s="15" t="str">
        <f>IFERROR(INDEX('Formulación PDN 2027'!$T$7:$T$506,MATCH(ROW()-5,'Formulación PDN 2027'!$AK$7:$AK$506,0))&amp;"","")</f>
        <v/>
      </c>
      <c r="K415" s="43" t="str">
        <f>IFERROR(INDEX('Formulación PDN 2027'!$W$7:$W$506,MATCH(ROW()-5,'Formulación PDN 2027'!$AK$7:$AK$506,0)),"")</f>
        <v/>
      </c>
      <c r="L415" s="43" t="str">
        <f>IFERROR(INDEX('Formulación PDN 2027'!$X$7:$X$506,MATCH(ROW()-5,'Formulación PDN 2027'!$AK$7:$AK$506,0)),"")</f>
        <v/>
      </c>
      <c r="M415" s="15" t="str">
        <f>IFERROR(INDEX('Formulación PDN 2027'!$Y$7:$Y$506,MATCH(ROW()-5,'Formulación PDN 2027'!$AK$7:$AK$506,0))&amp;"","")</f>
        <v/>
      </c>
      <c r="N415" s="15" t="str">
        <f>IFERROR(INDEX('Formulación PDN 2027'!$Z$7:$Z$506,MATCH(ROW()-5,'Formulación PDN 2027'!$AK$7:$AK$506,0))&amp;"","")</f>
        <v/>
      </c>
      <c r="O415" s="15"/>
      <c r="P415" s="15" t="str">
        <f>IFERROR(INDEX('Formulación PDN 2027'!$AA$7:$AA$506,MATCH(ROW()-5,'Formulación PDN 2027'!$AK$7:$AK$506,0))&amp;"","")</f>
        <v/>
      </c>
      <c r="Q415" s="15" t="str">
        <f>IFERROR(INDEX('Formulación PDN 2027'!$AB$7:$AB$506,MATCH(ROW()-5,'Formulación PDN 2027'!$AK$7:$AK$506,0))&amp;"","")</f>
        <v/>
      </c>
      <c r="R415" s="15" t="str">
        <f>IFERROR(INDEX('Formulación PDN 2027'!$AD$7:$AD$506,MATCH(ROW()-5,'Formulación PDN 2027'!$AK$7:$AK$506,0))&amp;"","")</f>
        <v/>
      </c>
      <c r="S415" s="15" t="str">
        <f>IFERROR(INDEX('Formulación PDN 2027'!$AE$7:$AE$506,MATCH(ROW()-5,'Formulación PDN 2027'!$AK$7:$AK$506,0))&amp;"","")</f>
        <v/>
      </c>
      <c r="T415" s="15" t="str">
        <f>IFERROR(INDEX('Formulación PDN 2027'!$C$7:$C$506,MATCH(ROW()-5,'Formulación PDN 2027'!$AK$7:$AK$506,0))&amp;"","")</f>
        <v/>
      </c>
      <c r="U415" s="15" t="str">
        <f>IFERROR(INDEX('Formulación PDN 2027'!$B$7:$B$506,MATCH(ROW()-5,'Formulación PDN 2027'!$AK$7:$AK$506,0))&amp;"","")</f>
        <v/>
      </c>
      <c r="V415" s="15" t="str">
        <f>IFERROR(LEFT(INDEX('Formulación PDN 2027'!$E$7:$E$506,MATCH(ROW()-5,'Formulación PDN 2027'!$AK$7:$AK$506,0)),7),"")</f>
        <v/>
      </c>
      <c r="W415" s="15" t="str">
        <f>IFERROR(INDEX('Formulación PDN 2027'!$H$7:$H$506,MATCH(ROW()-5,'Formulación PDN 2027'!$AK$7:$AK$506,0))&amp;"","")</f>
        <v/>
      </c>
      <c r="X415" s="15" t="str">
        <f>IFERROR(INDEX('Formulación PDN 2027'!$U$7:$U$506,MATCH(ROW()-5,'Formulación PDN 2027'!$AK$7:$AK$506,0))&amp;"","")</f>
        <v/>
      </c>
      <c r="Y415" s="15" t="str">
        <f>IFERROR(INDEX('Formulación PDN 2027'!$AH$7:$AH$506,MATCH(ROW()-5,'Formulación PDN 2027'!$AK$7:$AK$506,0))&amp;"","")</f>
        <v/>
      </c>
    </row>
    <row r="416" spans="1:25" x14ac:dyDescent="0.3">
      <c r="A416" s="15" t="str">
        <f>IFERROR(INDEX('Formulación PDN 2027'!$A$7:$A$506,MATCH(ROW()-5,'Formulación PDN 2027'!$AK$7:$AK$506,0))&amp;"","")</f>
        <v/>
      </c>
      <c r="B416" s="20" t="str">
        <f>IFERROR(INDEX('Formulación PDN 2027'!$M$7:$M$506,MATCH(ROW()-5,'Formulación PDN 2027'!$AK$7:$AK$506,0)),"")</f>
        <v/>
      </c>
      <c r="C416" s="15" t="str">
        <f>IFERROR(INDEX('Formulación PDN 2027'!$N$7:$N$506,MATCH(ROW()-5,'Formulación PDN 2027'!$AK$7:$AK$506,0))&amp;"","")</f>
        <v/>
      </c>
      <c r="D416" s="15" t="str">
        <f>IFERROR(INDEX('Formulación PDN 2027'!$L$7:$L$506,MATCH(ROW()-5,'Formulación PDN 2027'!$AK$7:$AK$506,0))&amp;"","")</f>
        <v/>
      </c>
      <c r="E416" s="15" t="str">
        <f>IFERROR(MATCH(INDEX('Formulación PDN 2027'!$O$7:$O$506,MATCH(ROW()-5,'Formulación PDN 2027'!$AK$7:$AK$506,0)),L_MESES,0),"")</f>
        <v/>
      </c>
      <c r="F416" s="15" t="str">
        <f>IFERROR(MATCH(INDEX('Formulación PDN 2027'!$P$7:$P$506,MATCH(ROW()-5,'Formulación PDN 2027'!$AK$7:$AK$506,0)),L_MESES,0),"")</f>
        <v/>
      </c>
      <c r="G416" s="15" t="str">
        <f>IFERROR(INDEX('Formulación PDN 2027'!$Q$7:$Q$506,MATCH(ROW()-5,'Formulación PDN 2027'!$AK$7:$AK$506,0)),"")</f>
        <v/>
      </c>
      <c r="H416" s="15" t="str">
        <f>IFERROR(INDEX('Formulación PDN 2027'!$R$7:$R$506,MATCH(ROW()-5,'Formulación PDN 2027'!$AK$7:$AK$506,0))&amp;"","")</f>
        <v/>
      </c>
      <c r="I416" s="15" t="str">
        <f>IFERROR(INDEX('Formulación PDN 2027'!$S$7:$S$506,MATCH(ROW()-5,'Formulación PDN 2027'!$AK$7:$AK$506,0))&amp;"","")</f>
        <v/>
      </c>
      <c r="J416" s="15" t="str">
        <f>IFERROR(INDEX('Formulación PDN 2027'!$T$7:$T$506,MATCH(ROW()-5,'Formulación PDN 2027'!$AK$7:$AK$506,0))&amp;"","")</f>
        <v/>
      </c>
      <c r="K416" s="43" t="str">
        <f>IFERROR(INDEX('Formulación PDN 2027'!$W$7:$W$506,MATCH(ROW()-5,'Formulación PDN 2027'!$AK$7:$AK$506,0)),"")</f>
        <v/>
      </c>
      <c r="L416" s="43" t="str">
        <f>IFERROR(INDEX('Formulación PDN 2027'!$X$7:$X$506,MATCH(ROW()-5,'Formulación PDN 2027'!$AK$7:$AK$506,0)),"")</f>
        <v/>
      </c>
      <c r="M416" s="15" t="str">
        <f>IFERROR(INDEX('Formulación PDN 2027'!$Y$7:$Y$506,MATCH(ROW()-5,'Formulación PDN 2027'!$AK$7:$AK$506,0))&amp;"","")</f>
        <v/>
      </c>
      <c r="N416" s="15" t="str">
        <f>IFERROR(INDEX('Formulación PDN 2027'!$Z$7:$Z$506,MATCH(ROW()-5,'Formulación PDN 2027'!$AK$7:$AK$506,0))&amp;"","")</f>
        <v/>
      </c>
      <c r="O416" s="15"/>
      <c r="P416" s="15" t="str">
        <f>IFERROR(INDEX('Formulación PDN 2027'!$AA$7:$AA$506,MATCH(ROW()-5,'Formulación PDN 2027'!$AK$7:$AK$506,0))&amp;"","")</f>
        <v/>
      </c>
      <c r="Q416" s="15" t="str">
        <f>IFERROR(INDEX('Formulación PDN 2027'!$AB$7:$AB$506,MATCH(ROW()-5,'Formulación PDN 2027'!$AK$7:$AK$506,0))&amp;"","")</f>
        <v/>
      </c>
      <c r="R416" s="15" t="str">
        <f>IFERROR(INDEX('Formulación PDN 2027'!$AD$7:$AD$506,MATCH(ROW()-5,'Formulación PDN 2027'!$AK$7:$AK$506,0))&amp;"","")</f>
        <v/>
      </c>
      <c r="S416" s="15" t="str">
        <f>IFERROR(INDEX('Formulación PDN 2027'!$AE$7:$AE$506,MATCH(ROW()-5,'Formulación PDN 2027'!$AK$7:$AK$506,0))&amp;"","")</f>
        <v/>
      </c>
      <c r="T416" s="15" t="str">
        <f>IFERROR(INDEX('Formulación PDN 2027'!$C$7:$C$506,MATCH(ROW()-5,'Formulación PDN 2027'!$AK$7:$AK$506,0))&amp;"","")</f>
        <v/>
      </c>
      <c r="U416" s="15" t="str">
        <f>IFERROR(INDEX('Formulación PDN 2027'!$B$7:$B$506,MATCH(ROW()-5,'Formulación PDN 2027'!$AK$7:$AK$506,0))&amp;"","")</f>
        <v/>
      </c>
      <c r="V416" s="15" t="str">
        <f>IFERROR(LEFT(INDEX('Formulación PDN 2027'!$E$7:$E$506,MATCH(ROW()-5,'Formulación PDN 2027'!$AK$7:$AK$506,0)),7),"")</f>
        <v/>
      </c>
      <c r="W416" s="15" t="str">
        <f>IFERROR(INDEX('Formulación PDN 2027'!$H$7:$H$506,MATCH(ROW()-5,'Formulación PDN 2027'!$AK$7:$AK$506,0))&amp;"","")</f>
        <v/>
      </c>
      <c r="X416" s="15" t="str">
        <f>IFERROR(INDEX('Formulación PDN 2027'!$U$7:$U$506,MATCH(ROW()-5,'Formulación PDN 2027'!$AK$7:$AK$506,0))&amp;"","")</f>
        <v/>
      </c>
      <c r="Y416" s="15" t="str">
        <f>IFERROR(INDEX('Formulación PDN 2027'!$AH$7:$AH$506,MATCH(ROW()-5,'Formulación PDN 2027'!$AK$7:$AK$506,0))&amp;"","")</f>
        <v/>
      </c>
    </row>
    <row r="417" spans="1:25" x14ac:dyDescent="0.3">
      <c r="A417" s="15" t="str">
        <f>IFERROR(INDEX('Formulación PDN 2027'!$A$7:$A$506,MATCH(ROW()-5,'Formulación PDN 2027'!$AK$7:$AK$506,0))&amp;"","")</f>
        <v/>
      </c>
      <c r="B417" s="20" t="str">
        <f>IFERROR(INDEX('Formulación PDN 2027'!$M$7:$M$506,MATCH(ROW()-5,'Formulación PDN 2027'!$AK$7:$AK$506,0)),"")</f>
        <v/>
      </c>
      <c r="C417" s="15" t="str">
        <f>IFERROR(INDEX('Formulación PDN 2027'!$N$7:$N$506,MATCH(ROW()-5,'Formulación PDN 2027'!$AK$7:$AK$506,0))&amp;"","")</f>
        <v/>
      </c>
      <c r="D417" s="15" t="str">
        <f>IFERROR(INDEX('Formulación PDN 2027'!$L$7:$L$506,MATCH(ROW()-5,'Formulación PDN 2027'!$AK$7:$AK$506,0))&amp;"","")</f>
        <v/>
      </c>
      <c r="E417" s="15" t="str">
        <f>IFERROR(MATCH(INDEX('Formulación PDN 2027'!$O$7:$O$506,MATCH(ROW()-5,'Formulación PDN 2027'!$AK$7:$AK$506,0)),L_MESES,0),"")</f>
        <v/>
      </c>
      <c r="F417" s="15" t="str">
        <f>IFERROR(MATCH(INDEX('Formulación PDN 2027'!$P$7:$P$506,MATCH(ROW()-5,'Formulación PDN 2027'!$AK$7:$AK$506,0)),L_MESES,0),"")</f>
        <v/>
      </c>
      <c r="G417" s="15" t="str">
        <f>IFERROR(INDEX('Formulación PDN 2027'!$Q$7:$Q$506,MATCH(ROW()-5,'Formulación PDN 2027'!$AK$7:$AK$506,0)),"")</f>
        <v/>
      </c>
      <c r="H417" s="15" t="str">
        <f>IFERROR(INDEX('Formulación PDN 2027'!$R$7:$R$506,MATCH(ROW()-5,'Formulación PDN 2027'!$AK$7:$AK$506,0))&amp;"","")</f>
        <v/>
      </c>
      <c r="I417" s="15" t="str">
        <f>IFERROR(INDEX('Formulación PDN 2027'!$S$7:$S$506,MATCH(ROW()-5,'Formulación PDN 2027'!$AK$7:$AK$506,0))&amp;"","")</f>
        <v/>
      </c>
      <c r="J417" s="15" t="str">
        <f>IFERROR(INDEX('Formulación PDN 2027'!$T$7:$T$506,MATCH(ROW()-5,'Formulación PDN 2027'!$AK$7:$AK$506,0))&amp;"","")</f>
        <v/>
      </c>
      <c r="K417" s="43" t="str">
        <f>IFERROR(INDEX('Formulación PDN 2027'!$W$7:$W$506,MATCH(ROW()-5,'Formulación PDN 2027'!$AK$7:$AK$506,0)),"")</f>
        <v/>
      </c>
      <c r="L417" s="43" t="str">
        <f>IFERROR(INDEX('Formulación PDN 2027'!$X$7:$X$506,MATCH(ROW()-5,'Formulación PDN 2027'!$AK$7:$AK$506,0)),"")</f>
        <v/>
      </c>
      <c r="M417" s="15" t="str">
        <f>IFERROR(INDEX('Formulación PDN 2027'!$Y$7:$Y$506,MATCH(ROW()-5,'Formulación PDN 2027'!$AK$7:$AK$506,0))&amp;"","")</f>
        <v/>
      </c>
      <c r="N417" s="15" t="str">
        <f>IFERROR(INDEX('Formulación PDN 2027'!$Z$7:$Z$506,MATCH(ROW()-5,'Formulación PDN 2027'!$AK$7:$AK$506,0))&amp;"","")</f>
        <v/>
      </c>
      <c r="O417" s="15"/>
      <c r="P417" s="15" t="str">
        <f>IFERROR(INDEX('Formulación PDN 2027'!$AA$7:$AA$506,MATCH(ROW()-5,'Formulación PDN 2027'!$AK$7:$AK$506,0))&amp;"","")</f>
        <v/>
      </c>
      <c r="Q417" s="15" t="str">
        <f>IFERROR(INDEX('Formulación PDN 2027'!$AB$7:$AB$506,MATCH(ROW()-5,'Formulación PDN 2027'!$AK$7:$AK$506,0))&amp;"","")</f>
        <v/>
      </c>
      <c r="R417" s="15" t="str">
        <f>IFERROR(INDEX('Formulación PDN 2027'!$AD$7:$AD$506,MATCH(ROW()-5,'Formulación PDN 2027'!$AK$7:$AK$506,0))&amp;"","")</f>
        <v/>
      </c>
      <c r="S417" s="15" t="str">
        <f>IFERROR(INDEX('Formulación PDN 2027'!$AE$7:$AE$506,MATCH(ROW()-5,'Formulación PDN 2027'!$AK$7:$AK$506,0))&amp;"","")</f>
        <v/>
      </c>
      <c r="T417" s="15" t="str">
        <f>IFERROR(INDEX('Formulación PDN 2027'!$C$7:$C$506,MATCH(ROW()-5,'Formulación PDN 2027'!$AK$7:$AK$506,0))&amp;"","")</f>
        <v/>
      </c>
      <c r="U417" s="15" t="str">
        <f>IFERROR(INDEX('Formulación PDN 2027'!$B$7:$B$506,MATCH(ROW()-5,'Formulación PDN 2027'!$AK$7:$AK$506,0))&amp;"","")</f>
        <v/>
      </c>
      <c r="V417" s="15" t="str">
        <f>IFERROR(LEFT(INDEX('Formulación PDN 2027'!$E$7:$E$506,MATCH(ROW()-5,'Formulación PDN 2027'!$AK$7:$AK$506,0)),7),"")</f>
        <v/>
      </c>
      <c r="W417" s="15" t="str">
        <f>IFERROR(INDEX('Formulación PDN 2027'!$H$7:$H$506,MATCH(ROW()-5,'Formulación PDN 2027'!$AK$7:$AK$506,0))&amp;"","")</f>
        <v/>
      </c>
      <c r="X417" s="15" t="str">
        <f>IFERROR(INDEX('Formulación PDN 2027'!$U$7:$U$506,MATCH(ROW()-5,'Formulación PDN 2027'!$AK$7:$AK$506,0))&amp;"","")</f>
        <v/>
      </c>
      <c r="Y417" s="15" t="str">
        <f>IFERROR(INDEX('Formulación PDN 2027'!$AH$7:$AH$506,MATCH(ROW()-5,'Formulación PDN 2027'!$AK$7:$AK$506,0))&amp;"","")</f>
        <v/>
      </c>
    </row>
    <row r="418" spans="1:25" x14ac:dyDescent="0.3">
      <c r="A418" s="15" t="str">
        <f>IFERROR(INDEX('Formulación PDN 2027'!$A$7:$A$506,MATCH(ROW()-5,'Formulación PDN 2027'!$AK$7:$AK$506,0))&amp;"","")</f>
        <v/>
      </c>
      <c r="B418" s="20" t="str">
        <f>IFERROR(INDEX('Formulación PDN 2027'!$M$7:$M$506,MATCH(ROW()-5,'Formulación PDN 2027'!$AK$7:$AK$506,0)),"")</f>
        <v/>
      </c>
      <c r="C418" s="15" t="str">
        <f>IFERROR(INDEX('Formulación PDN 2027'!$N$7:$N$506,MATCH(ROW()-5,'Formulación PDN 2027'!$AK$7:$AK$506,0))&amp;"","")</f>
        <v/>
      </c>
      <c r="D418" s="15" t="str">
        <f>IFERROR(INDEX('Formulación PDN 2027'!$L$7:$L$506,MATCH(ROW()-5,'Formulación PDN 2027'!$AK$7:$AK$506,0))&amp;"","")</f>
        <v/>
      </c>
      <c r="E418" s="15" t="str">
        <f>IFERROR(MATCH(INDEX('Formulación PDN 2027'!$O$7:$O$506,MATCH(ROW()-5,'Formulación PDN 2027'!$AK$7:$AK$506,0)),L_MESES,0),"")</f>
        <v/>
      </c>
      <c r="F418" s="15" t="str">
        <f>IFERROR(MATCH(INDEX('Formulación PDN 2027'!$P$7:$P$506,MATCH(ROW()-5,'Formulación PDN 2027'!$AK$7:$AK$506,0)),L_MESES,0),"")</f>
        <v/>
      </c>
      <c r="G418" s="15" t="str">
        <f>IFERROR(INDEX('Formulación PDN 2027'!$Q$7:$Q$506,MATCH(ROW()-5,'Formulación PDN 2027'!$AK$7:$AK$506,0)),"")</f>
        <v/>
      </c>
      <c r="H418" s="15" t="str">
        <f>IFERROR(INDEX('Formulación PDN 2027'!$R$7:$R$506,MATCH(ROW()-5,'Formulación PDN 2027'!$AK$7:$AK$506,0))&amp;"","")</f>
        <v/>
      </c>
      <c r="I418" s="15" t="str">
        <f>IFERROR(INDEX('Formulación PDN 2027'!$S$7:$S$506,MATCH(ROW()-5,'Formulación PDN 2027'!$AK$7:$AK$506,0))&amp;"","")</f>
        <v/>
      </c>
      <c r="J418" s="15" t="str">
        <f>IFERROR(INDEX('Formulación PDN 2027'!$T$7:$T$506,MATCH(ROW()-5,'Formulación PDN 2027'!$AK$7:$AK$506,0))&amp;"","")</f>
        <v/>
      </c>
      <c r="K418" s="43" t="str">
        <f>IFERROR(INDEX('Formulación PDN 2027'!$W$7:$W$506,MATCH(ROW()-5,'Formulación PDN 2027'!$AK$7:$AK$506,0)),"")</f>
        <v/>
      </c>
      <c r="L418" s="43" t="str">
        <f>IFERROR(INDEX('Formulación PDN 2027'!$X$7:$X$506,MATCH(ROW()-5,'Formulación PDN 2027'!$AK$7:$AK$506,0)),"")</f>
        <v/>
      </c>
      <c r="M418" s="15" t="str">
        <f>IFERROR(INDEX('Formulación PDN 2027'!$Y$7:$Y$506,MATCH(ROW()-5,'Formulación PDN 2027'!$AK$7:$AK$506,0))&amp;"","")</f>
        <v/>
      </c>
      <c r="N418" s="15" t="str">
        <f>IFERROR(INDEX('Formulación PDN 2027'!$Z$7:$Z$506,MATCH(ROW()-5,'Formulación PDN 2027'!$AK$7:$AK$506,0))&amp;"","")</f>
        <v/>
      </c>
      <c r="O418" s="15"/>
      <c r="P418" s="15" t="str">
        <f>IFERROR(INDEX('Formulación PDN 2027'!$AA$7:$AA$506,MATCH(ROW()-5,'Formulación PDN 2027'!$AK$7:$AK$506,0))&amp;"","")</f>
        <v/>
      </c>
      <c r="Q418" s="15" t="str">
        <f>IFERROR(INDEX('Formulación PDN 2027'!$AB$7:$AB$506,MATCH(ROW()-5,'Formulación PDN 2027'!$AK$7:$AK$506,0))&amp;"","")</f>
        <v/>
      </c>
      <c r="R418" s="15" t="str">
        <f>IFERROR(INDEX('Formulación PDN 2027'!$AD$7:$AD$506,MATCH(ROW()-5,'Formulación PDN 2027'!$AK$7:$AK$506,0))&amp;"","")</f>
        <v/>
      </c>
      <c r="S418" s="15" t="str">
        <f>IFERROR(INDEX('Formulación PDN 2027'!$AE$7:$AE$506,MATCH(ROW()-5,'Formulación PDN 2027'!$AK$7:$AK$506,0))&amp;"","")</f>
        <v/>
      </c>
      <c r="T418" s="15" t="str">
        <f>IFERROR(INDEX('Formulación PDN 2027'!$C$7:$C$506,MATCH(ROW()-5,'Formulación PDN 2027'!$AK$7:$AK$506,0))&amp;"","")</f>
        <v/>
      </c>
      <c r="U418" s="15" t="str">
        <f>IFERROR(INDEX('Formulación PDN 2027'!$B$7:$B$506,MATCH(ROW()-5,'Formulación PDN 2027'!$AK$7:$AK$506,0))&amp;"","")</f>
        <v/>
      </c>
      <c r="V418" s="15" t="str">
        <f>IFERROR(LEFT(INDEX('Formulación PDN 2027'!$E$7:$E$506,MATCH(ROW()-5,'Formulación PDN 2027'!$AK$7:$AK$506,0)),7),"")</f>
        <v/>
      </c>
      <c r="W418" s="15" t="str">
        <f>IFERROR(INDEX('Formulación PDN 2027'!$H$7:$H$506,MATCH(ROW()-5,'Formulación PDN 2027'!$AK$7:$AK$506,0))&amp;"","")</f>
        <v/>
      </c>
      <c r="X418" s="15" t="str">
        <f>IFERROR(INDEX('Formulación PDN 2027'!$U$7:$U$506,MATCH(ROW()-5,'Formulación PDN 2027'!$AK$7:$AK$506,0))&amp;"","")</f>
        <v/>
      </c>
      <c r="Y418" s="15" t="str">
        <f>IFERROR(INDEX('Formulación PDN 2027'!$AH$7:$AH$506,MATCH(ROW()-5,'Formulación PDN 2027'!$AK$7:$AK$506,0))&amp;"","")</f>
        <v/>
      </c>
    </row>
    <row r="419" spans="1:25" x14ac:dyDescent="0.3">
      <c r="A419" s="15" t="str">
        <f>IFERROR(INDEX('Formulación PDN 2027'!$A$7:$A$506,MATCH(ROW()-5,'Formulación PDN 2027'!$AK$7:$AK$506,0))&amp;"","")</f>
        <v/>
      </c>
      <c r="B419" s="20" t="str">
        <f>IFERROR(INDEX('Formulación PDN 2027'!$M$7:$M$506,MATCH(ROW()-5,'Formulación PDN 2027'!$AK$7:$AK$506,0)),"")</f>
        <v/>
      </c>
      <c r="C419" s="15" t="str">
        <f>IFERROR(INDEX('Formulación PDN 2027'!$N$7:$N$506,MATCH(ROW()-5,'Formulación PDN 2027'!$AK$7:$AK$506,0))&amp;"","")</f>
        <v/>
      </c>
      <c r="D419" s="15" t="str">
        <f>IFERROR(INDEX('Formulación PDN 2027'!$L$7:$L$506,MATCH(ROW()-5,'Formulación PDN 2027'!$AK$7:$AK$506,0))&amp;"","")</f>
        <v/>
      </c>
      <c r="E419" s="15" t="str">
        <f>IFERROR(MATCH(INDEX('Formulación PDN 2027'!$O$7:$O$506,MATCH(ROW()-5,'Formulación PDN 2027'!$AK$7:$AK$506,0)),L_MESES,0),"")</f>
        <v/>
      </c>
      <c r="F419" s="15" t="str">
        <f>IFERROR(MATCH(INDEX('Formulación PDN 2027'!$P$7:$P$506,MATCH(ROW()-5,'Formulación PDN 2027'!$AK$7:$AK$506,0)),L_MESES,0),"")</f>
        <v/>
      </c>
      <c r="G419" s="15" t="str">
        <f>IFERROR(INDEX('Formulación PDN 2027'!$Q$7:$Q$506,MATCH(ROW()-5,'Formulación PDN 2027'!$AK$7:$AK$506,0)),"")</f>
        <v/>
      </c>
      <c r="H419" s="15" t="str">
        <f>IFERROR(INDEX('Formulación PDN 2027'!$R$7:$R$506,MATCH(ROW()-5,'Formulación PDN 2027'!$AK$7:$AK$506,0))&amp;"","")</f>
        <v/>
      </c>
      <c r="I419" s="15" t="str">
        <f>IFERROR(INDEX('Formulación PDN 2027'!$S$7:$S$506,MATCH(ROW()-5,'Formulación PDN 2027'!$AK$7:$AK$506,0))&amp;"","")</f>
        <v/>
      </c>
      <c r="J419" s="15" t="str">
        <f>IFERROR(INDEX('Formulación PDN 2027'!$T$7:$T$506,MATCH(ROW()-5,'Formulación PDN 2027'!$AK$7:$AK$506,0))&amp;"","")</f>
        <v/>
      </c>
      <c r="K419" s="43" t="str">
        <f>IFERROR(INDEX('Formulación PDN 2027'!$W$7:$W$506,MATCH(ROW()-5,'Formulación PDN 2027'!$AK$7:$AK$506,0)),"")</f>
        <v/>
      </c>
      <c r="L419" s="43" t="str">
        <f>IFERROR(INDEX('Formulación PDN 2027'!$X$7:$X$506,MATCH(ROW()-5,'Formulación PDN 2027'!$AK$7:$AK$506,0)),"")</f>
        <v/>
      </c>
      <c r="M419" s="15" t="str">
        <f>IFERROR(INDEX('Formulación PDN 2027'!$Y$7:$Y$506,MATCH(ROW()-5,'Formulación PDN 2027'!$AK$7:$AK$506,0))&amp;"","")</f>
        <v/>
      </c>
      <c r="N419" s="15" t="str">
        <f>IFERROR(INDEX('Formulación PDN 2027'!$Z$7:$Z$506,MATCH(ROW()-5,'Formulación PDN 2027'!$AK$7:$AK$506,0))&amp;"","")</f>
        <v/>
      </c>
      <c r="O419" s="15"/>
      <c r="P419" s="15" t="str">
        <f>IFERROR(INDEX('Formulación PDN 2027'!$AA$7:$AA$506,MATCH(ROW()-5,'Formulación PDN 2027'!$AK$7:$AK$506,0))&amp;"","")</f>
        <v/>
      </c>
      <c r="Q419" s="15" t="str">
        <f>IFERROR(INDEX('Formulación PDN 2027'!$AB$7:$AB$506,MATCH(ROW()-5,'Formulación PDN 2027'!$AK$7:$AK$506,0))&amp;"","")</f>
        <v/>
      </c>
      <c r="R419" s="15" t="str">
        <f>IFERROR(INDEX('Formulación PDN 2027'!$AD$7:$AD$506,MATCH(ROW()-5,'Formulación PDN 2027'!$AK$7:$AK$506,0))&amp;"","")</f>
        <v/>
      </c>
      <c r="S419" s="15" t="str">
        <f>IFERROR(INDEX('Formulación PDN 2027'!$AE$7:$AE$506,MATCH(ROW()-5,'Formulación PDN 2027'!$AK$7:$AK$506,0))&amp;"","")</f>
        <v/>
      </c>
      <c r="T419" s="15" t="str">
        <f>IFERROR(INDEX('Formulación PDN 2027'!$C$7:$C$506,MATCH(ROW()-5,'Formulación PDN 2027'!$AK$7:$AK$506,0))&amp;"","")</f>
        <v/>
      </c>
      <c r="U419" s="15" t="str">
        <f>IFERROR(INDEX('Formulación PDN 2027'!$B$7:$B$506,MATCH(ROW()-5,'Formulación PDN 2027'!$AK$7:$AK$506,0))&amp;"","")</f>
        <v/>
      </c>
      <c r="V419" s="15" t="str">
        <f>IFERROR(LEFT(INDEX('Formulación PDN 2027'!$E$7:$E$506,MATCH(ROW()-5,'Formulación PDN 2027'!$AK$7:$AK$506,0)),7),"")</f>
        <v/>
      </c>
      <c r="W419" s="15" t="str">
        <f>IFERROR(INDEX('Formulación PDN 2027'!$H$7:$H$506,MATCH(ROW()-5,'Formulación PDN 2027'!$AK$7:$AK$506,0))&amp;"","")</f>
        <v/>
      </c>
      <c r="X419" s="15" t="str">
        <f>IFERROR(INDEX('Formulación PDN 2027'!$U$7:$U$506,MATCH(ROW()-5,'Formulación PDN 2027'!$AK$7:$AK$506,0))&amp;"","")</f>
        <v/>
      </c>
      <c r="Y419" s="15" t="str">
        <f>IFERROR(INDEX('Formulación PDN 2027'!$AH$7:$AH$506,MATCH(ROW()-5,'Formulación PDN 2027'!$AK$7:$AK$506,0))&amp;"","")</f>
        <v/>
      </c>
    </row>
    <row r="420" spans="1:25" x14ac:dyDescent="0.3">
      <c r="A420" s="15" t="str">
        <f>IFERROR(INDEX('Formulación PDN 2027'!$A$7:$A$506,MATCH(ROW()-5,'Formulación PDN 2027'!$AK$7:$AK$506,0))&amp;"","")</f>
        <v/>
      </c>
      <c r="B420" s="20" t="str">
        <f>IFERROR(INDEX('Formulación PDN 2027'!$M$7:$M$506,MATCH(ROW()-5,'Formulación PDN 2027'!$AK$7:$AK$506,0)),"")</f>
        <v/>
      </c>
      <c r="C420" s="15" t="str">
        <f>IFERROR(INDEX('Formulación PDN 2027'!$N$7:$N$506,MATCH(ROW()-5,'Formulación PDN 2027'!$AK$7:$AK$506,0))&amp;"","")</f>
        <v/>
      </c>
      <c r="D420" s="15" t="str">
        <f>IFERROR(INDEX('Formulación PDN 2027'!$L$7:$L$506,MATCH(ROW()-5,'Formulación PDN 2027'!$AK$7:$AK$506,0))&amp;"","")</f>
        <v/>
      </c>
      <c r="E420" s="15" t="str">
        <f>IFERROR(MATCH(INDEX('Formulación PDN 2027'!$O$7:$O$506,MATCH(ROW()-5,'Formulación PDN 2027'!$AK$7:$AK$506,0)),L_MESES,0),"")</f>
        <v/>
      </c>
      <c r="F420" s="15" t="str">
        <f>IFERROR(MATCH(INDEX('Formulación PDN 2027'!$P$7:$P$506,MATCH(ROW()-5,'Formulación PDN 2027'!$AK$7:$AK$506,0)),L_MESES,0),"")</f>
        <v/>
      </c>
      <c r="G420" s="15" t="str">
        <f>IFERROR(INDEX('Formulación PDN 2027'!$Q$7:$Q$506,MATCH(ROW()-5,'Formulación PDN 2027'!$AK$7:$AK$506,0)),"")</f>
        <v/>
      </c>
      <c r="H420" s="15" t="str">
        <f>IFERROR(INDEX('Formulación PDN 2027'!$R$7:$R$506,MATCH(ROW()-5,'Formulación PDN 2027'!$AK$7:$AK$506,0))&amp;"","")</f>
        <v/>
      </c>
      <c r="I420" s="15" t="str">
        <f>IFERROR(INDEX('Formulación PDN 2027'!$S$7:$S$506,MATCH(ROW()-5,'Formulación PDN 2027'!$AK$7:$AK$506,0))&amp;"","")</f>
        <v/>
      </c>
      <c r="J420" s="15" t="str">
        <f>IFERROR(INDEX('Formulación PDN 2027'!$T$7:$T$506,MATCH(ROW()-5,'Formulación PDN 2027'!$AK$7:$AK$506,0))&amp;"","")</f>
        <v/>
      </c>
      <c r="K420" s="43" t="str">
        <f>IFERROR(INDEX('Formulación PDN 2027'!$W$7:$W$506,MATCH(ROW()-5,'Formulación PDN 2027'!$AK$7:$AK$506,0)),"")</f>
        <v/>
      </c>
      <c r="L420" s="43" t="str">
        <f>IFERROR(INDEX('Formulación PDN 2027'!$X$7:$X$506,MATCH(ROW()-5,'Formulación PDN 2027'!$AK$7:$AK$506,0)),"")</f>
        <v/>
      </c>
      <c r="M420" s="15" t="str">
        <f>IFERROR(INDEX('Formulación PDN 2027'!$Y$7:$Y$506,MATCH(ROW()-5,'Formulación PDN 2027'!$AK$7:$AK$506,0))&amp;"","")</f>
        <v/>
      </c>
      <c r="N420" s="15" t="str">
        <f>IFERROR(INDEX('Formulación PDN 2027'!$Z$7:$Z$506,MATCH(ROW()-5,'Formulación PDN 2027'!$AK$7:$AK$506,0))&amp;"","")</f>
        <v/>
      </c>
      <c r="O420" s="15"/>
      <c r="P420" s="15" t="str">
        <f>IFERROR(INDEX('Formulación PDN 2027'!$AA$7:$AA$506,MATCH(ROW()-5,'Formulación PDN 2027'!$AK$7:$AK$506,0))&amp;"","")</f>
        <v/>
      </c>
      <c r="Q420" s="15" t="str">
        <f>IFERROR(INDEX('Formulación PDN 2027'!$AB$7:$AB$506,MATCH(ROW()-5,'Formulación PDN 2027'!$AK$7:$AK$506,0))&amp;"","")</f>
        <v/>
      </c>
      <c r="R420" s="15" t="str">
        <f>IFERROR(INDEX('Formulación PDN 2027'!$AD$7:$AD$506,MATCH(ROW()-5,'Formulación PDN 2027'!$AK$7:$AK$506,0))&amp;"","")</f>
        <v/>
      </c>
      <c r="S420" s="15" t="str">
        <f>IFERROR(INDEX('Formulación PDN 2027'!$AE$7:$AE$506,MATCH(ROW()-5,'Formulación PDN 2027'!$AK$7:$AK$506,0))&amp;"","")</f>
        <v/>
      </c>
      <c r="T420" s="15" t="str">
        <f>IFERROR(INDEX('Formulación PDN 2027'!$C$7:$C$506,MATCH(ROW()-5,'Formulación PDN 2027'!$AK$7:$AK$506,0))&amp;"","")</f>
        <v/>
      </c>
      <c r="U420" s="15" t="str">
        <f>IFERROR(INDEX('Formulación PDN 2027'!$B$7:$B$506,MATCH(ROW()-5,'Formulación PDN 2027'!$AK$7:$AK$506,0))&amp;"","")</f>
        <v/>
      </c>
      <c r="V420" s="15" t="str">
        <f>IFERROR(LEFT(INDEX('Formulación PDN 2027'!$E$7:$E$506,MATCH(ROW()-5,'Formulación PDN 2027'!$AK$7:$AK$506,0)),7),"")</f>
        <v/>
      </c>
      <c r="W420" s="15" t="str">
        <f>IFERROR(INDEX('Formulación PDN 2027'!$H$7:$H$506,MATCH(ROW()-5,'Formulación PDN 2027'!$AK$7:$AK$506,0))&amp;"","")</f>
        <v/>
      </c>
      <c r="X420" s="15" t="str">
        <f>IFERROR(INDEX('Formulación PDN 2027'!$U$7:$U$506,MATCH(ROW()-5,'Formulación PDN 2027'!$AK$7:$AK$506,0))&amp;"","")</f>
        <v/>
      </c>
      <c r="Y420" s="15" t="str">
        <f>IFERROR(INDEX('Formulación PDN 2027'!$AH$7:$AH$506,MATCH(ROW()-5,'Formulación PDN 2027'!$AK$7:$AK$506,0))&amp;"","")</f>
        <v/>
      </c>
    </row>
    <row r="421" spans="1:25" x14ac:dyDescent="0.3">
      <c r="A421" s="15" t="str">
        <f>IFERROR(INDEX('Formulación PDN 2027'!$A$7:$A$506,MATCH(ROW()-5,'Formulación PDN 2027'!$AK$7:$AK$506,0))&amp;"","")</f>
        <v/>
      </c>
      <c r="B421" s="20" t="str">
        <f>IFERROR(INDEX('Formulación PDN 2027'!$M$7:$M$506,MATCH(ROW()-5,'Formulación PDN 2027'!$AK$7:$AK$506,0)),"")</f>
        <v/>
      </c>
      <c r="C421" s="15" t="str">
        <f>IFERROR(INDEX('Formulación PDN 2027'!$N$7:$N$506,MATCH(ROW()-5,'Formulación PDN 2027'!$AK$7:$AK$506,0))&amp;"","")</f>
        <v/>
      </c>
      <c r="D421" s="15" t="str">
        <f>IFERROR(INDEX('Formulación PDN 2027'!$L$7:$L$506,MATCH(ROW()-5,'Formulación PDN 2027'!$AK$7:$AK$506,0))&amp;"","")</f>
        <v/>
      </c>
      <c r="E421" s="15" t="str">
        <f>IFERROR(MATCH(INDEX('Formulación PDN 2027'!$O$7:$O$506,MATCH(ROW()-5,'Formulación PDN 2027'!$AK$7:$AK$506,0)),L_MESES,0),"")</f>
        <v/>
      </c>
      <c r="F421" s="15" t="str">
        <f>IFERROR(MATCH(INDEX('Formulación PDN 2027'!$P$7:$P$506,MATCH(ROW()-5,'Formulación PDN 2027'!$AK$7:$AK$506,0)),L_MESES,0),"")</f>
        <v/>
      </c>
      <c r="G421" s="15" t="str">
        <f>IFERROR(INDEX('Formulación PDN 2027'!$Q$7:$Q$506,MATCH(ROW()-5,'Formulación PDN 2027'!$AK$7:$AK$506,0)),"")</f>
        <v/>
      </c>
      <c r="H421" s="15" t="str">
        <f>IFERROR(INDEX('Formulación PDN 2027'!$R$7:$R$506,MATCH(ROW()-5,'Formulación PDN 2027'!$AK$7:$AK$506,0))&amp;"","")</f>
        <v/>
      </c>
      <c r="I421" s="15" t="str">
        <f>IFERROR(INDEX('Formulación PDN 2027'!$S$7:$S$506,MATCH(ROW()-5,'Formulación PDN 2027'!$AK$7:$AK$506,0))&amp;"","")</f>
        <v/>
      </c>
      <c r="J421" s="15" t="str">
        <f>IFERROR(INDEX('Formulación PDN 2027'!$T$7:$T$506,MATCH(ROW()-5,'Formulación PDN 2027'!$AK$7:$AK$506,0))&amp;"","")</f>
        <v/>
      </c>
      <c r="K421" s="43" t="str">
        <f>IFERROR(INDEX('Formulación PDN 2027'!$W$7:$W$506,MATCH(ROW()-5,'Formulación PDN 2027'!$AK$7:$AK$506,0)),"")</f>
        <v/>
      </c>
      <c r="L421" s="43" t="str">
        <f>IFERROR(INDEX('Formulación PDN 2027'!$X$7:$X$506,MATCH(ROW()-5,'Formulación PDN 2027'!$AK$7:$AK$506,0)),"")</f>
        <v/>
      </c>
      <c r="M421" s="15" t="str">
        <f>IFERROR(INDEX('Formulación PDN 2027'!$Y$7:$Y$506,MATCH(ROW()-5,'Formulación PDN 2027'!$AK$7:$AK$506,0))&amp;"","")</f>
        <v/>
      </c>
      <c r="N421" s="15" t="str">
        <f>IFERROR(INDEX('Formulación PDN 2027'!$Z$7:$Z$506,MATCH(ROW()-5,'Formulación PDN 2027'!$AK$7:$AK$506,0))&amp;"","")</f>
        <v/>
      </c>
      <c r="O421" s="15"/>
      <c r="P421" s="15" t="str">
        <f>IFERROR(INDEX('Formulación PDN 2027'!$AA$7:$AA$506,MATCH(ROW()-5,'Formulación PDN 2027'!$AK$7:$AK$506,0))&amp;"","")</f>
        <v/>
      </c>
      <c r="Q421" s="15" t="str">
        <f>IFERROR(INDEX('Formulación PDN 2027'!$AB$7:$AB$506,MATCH(ROW()-5,'Formulación PDN 2027'!$AK$7:$AK$506,0))&amp;"","")</f>
        <v/>
      </c>
      <c r="R421" s="15" t="str">
        <f>IFERROR(INDEX('Formulación PDN 2027'!$AD$7:$AD$506,MATCH(ROW()-5,'Formulación PDN 2027'!$AK$7:$AK$506,0))&amp;"","")</f>
        <v/>
      </c>
      <c r="S421" s="15" t="str">
        <f>IFERROR(INDEX('Formulación PDN 2027'!$AE$7:$AE$506,MATCH(ROW()-5,'Formulación PDN 2027'!$AK$7:$AK$506,0))&amp;"","")</f>
        <v/>
      </c>
      <c r="T421" s="15" t="str">
        <f>IFERROR(INDEX('Formulación PDN 2027'!$C$7:$C$506,MATCH(ROW()-5,'Formulación PDN 2027'!$AK$7:$AK$506,0))&amp;"","")</f>
        <v/>
      </c>
      <c r="U421" s="15" t="str">
        <f>IFERROR(INDEX('Formulación PDN 2027'!$B$7:$B$506,MATCH(ROW()-5,'Formulación PDN 2027'!$AK$7:$AK$506,0))&amp;"","")</f>
        <v/>
      </c>
      <c r="V421" s="15" t="str">
        <f>IFERROR(LEFT(INDEX('Formulación PDN 2027'!$E$7:$E$506,MATCH(ROW()-5,'Formulación PDN 2027'!$AK$7:$AK$506,0)),7),"")</f>
        <v/>
      </c>
      <c r="W421" s="15" t="str">
        <f>IFERROR(INDEX('Formulación PDN 2027'!$H$7:$H$506,MATCH(ROW()-5,'Formulación PDN 2027'!$AK$7:$AK$506,0))&amp;"","")</f>
        <v/>
      </c>
      <c r="X421" s="15" t="str">
        <f>IFERROR(INDEX('Formulación PDN 2027'!$U$7:$U$506,MATCH(ROW()-5,'Formulación PDN 2027'!$AK$7:$AK$506,0))&amp;"","")</f>
        <v/>
      </c>
      <c r="Y421" s="15" t="str">
        <f>IFERROR(INDEX('Formulación PDN 2027'!$AH$7:$AH$506,MATCH(ROW()-5,'Formulación PDN 2027'!$AK$7:$AK$506,0))&amp;"","")</f>
        <v/>
      </c>
    </row>
    <row r="422" spans="1:25" x14ac:dyDescent="0.3">
      <c r="A422" s="15" t="str">
        <f>IFERROR(INDEX('Formulación PDN 2027'!$A$7:$A$506,MATCH(ROW()-5,'Formulación PDN 2027'!$AK$7:$AK$506,0))&amp;"","")</f>
        <v/>
      </c>
      <c r="B422" s="20" t="str">
        <f>IFERROR(INDEX('Formulación PDN 2027'!$M$7:$M$506,MATCH(ROW()-5,'Formulación PDN 2027'!$AK$7:$AK$506,0)),"")</f>
        <v/>
      </c>
      <c r="C422" s="15" t="str">
        <f>IFERROR(INDEX('Formulación PDN 2027'!$N$7:$N$506,MATCH(ROW()-5,'Formulación PDN 2027'!$AK$7:$AK$506,0))&amp;"","")</f>
        <v/>
      </c>
      <c r="D422" s="15" t="str">
        <f>IFERROR(INDEX('Formulación PDN 2027'!$L$7:$L$506,MATCH(ROW()-5,'Formulación PDN 2027'!$AK$7:$AK$506,0))&amp;"","")</f>
        <v/>
      </c>
      <c r="E422" s="15" t="str">
        <f>IFERROR(MATCH(INDEX('Formulación PDN 2027'!$O$7:$O$506,MATCH(ROW()-5,'Formulación PDN 2027'!$AK$7:$AK$506,0)),L_MESES,0),"")</f>
        <v/>
      </c>
      <c r="F422" s="15" t="str">
        <f>IFERROR(MATCH(INDEX('Formulación PDN 2027'!$P$7:$P$506,MATCH(ROW()-5,'Formulación PDN 2027'!$AK$7:$AK$506,0)),L_MESES,0),"")</f>
        <v/>
      </c>
      <c r="G422" s="15" t="str">
        <f>IFERROR(INDEX('Formulación PDN 2027'!$Q$7:$Q$506,MATCH(ROW()-5,'Formulación PDN 2027'!$AK$7:$AK$506,0)),"")</f>
        <v/>
      </c>
      <c r="H422" s="15" t="str">
        <f>IFERROR(INDEX('Formulación PDN 2027'!$R$7:$R$506,MATCH(ROW()-5,'Formulación PDN 2027'!$AK$7:$AK$506,0))&amp;"","")</f>
        <v/>
      </c>
      <c r="I422" s="15" t="str">
        <f>IFERROR(INDEX('Formulación PDN 2027'!$S$7:$S$506,MATCH(ROW()-5,'Formulación PDN 2027'!$AK$7:$AK$506,0))&amp;"","")</f>
        <v/>
      </c>
      <c r="J422" s="15" t="str">
        <f>IFERROR(INDEX('Formulación PDN 2027'!$T$7:$T$506,MATCH(ROW()-5,'Formulación PDN 2027'!$AK$7:$AK$506,0))&amp;"","")</f>
        <v/>
      </c>
      <c r="K422" s="43" t="str">
        <f>IFERROR(INDEX('Formulación PDN 2027'!$W$7:$W$506,MATCH(ROW()-5,'Formulación PDN 2027'!$AK$7:$AK$506,0)),"")</f>
        <v/>
      </c>
      <c r="L422" s="43" t="str">
        <f>IFERROR(INDEX('Formulación PDN 2027'!$X$7:$X$506,MATCH(ROW()-5,'Formulación PDN 2027'!$AK$7:$AK$506,0)),"")</f>
        <v/>
      </c>
      <c r="M422" s="15" t="str">
        <f>IFERROR(INDEX('Formulación PDN 2027'!$Y$7:$Y$506,MATCH(ROW()-5,'Formulación PDN 2027'!$AK$7:$AK$506,0))&amp;"","")</f>
        <v/>
      </c>
      <c r="N422" s="15" t="str">
        <f>IFERROR(INDEX('Formulación PDN 2027'!$Z$7:$Z$506,MATCH(ROW()-5,'Formulación PDN 2027'!$AK$7:$AK$506,0))&amp;"","")</f>
        <v/>
      </c>
      <c r="O422" s="15"/>
      <c r="P422" s="15" t="str">
        <f>IFERROR(INDEX('Formulación PDN 2027'!$AA$7:$AA$506,MATCH(ROW()-5,'Formulación PDN 2027'!$AK$7:$AK$506,0))&amp;"","")</f>
        <v/>
      </c>
      <c r="Q422" s="15" t="str">
        <f>IFERROR(INDEX('Formulación PDN 2027'!$AB$7:$AB$506,MATCH(ROW()-5,'Formulación PDN 2027'!$AK$7:$AK$506,0))&amp;"","")</f>
        <v/>
      </c>
      <c r="R422" s="15" t="str">
        <f>IFERROR(INDEX('Formulación PDN 2027'!$AD$7:$AD$506,MATCH(ROW()-5,'Formulación PDN 2027'!$AK$7:$AK$506,0))&amp;"","")</f>
        <v/>
      </c>
      <c r="S422" s="15" t="str">
        <f>IFERROR(INDEX('Formulación PDN 2027'!$AE$7:$AE$506,MATCH(ROW()-5,'Formulación PDN 2027'!$AK$7:$AK$506,0))&amp;"","")</f>
        <v/>
      </c>
      <c r="T422" s="15" t="str">
        <f>IFERROR(INDEX('Formulación PDN 2027'!$C$7:$C$506,MATCH(ROW()-5,'Formulación PDN 2027'!$AK$7:$AK$506,0))&amp;"","")</f>
        <v/>
      </c>
      <c r="U422" s="15" t="str">
        <f>IFERROR(INDEX('Formulación PDN 2027'!$B$7:$B$506,MATCH(ROW()-5,'Formulación PDN 2027'!$AK$7:$AK$506,0))&amp;"","")</f>
        <v/>
      </c>
      <c r="V422" s="15" t="str">
        <f>IFERROR(LEFT(INDEX('Formulación PDN 2027'!$E$7:$E$506,MATCH(ROW()-5,'Formulación PDN 2027'!$AK$7:$AK$506,0)),7),"")</f>
        <v/>
      </c>
      <c r="W422" s="15" t="str">
        <f>IFERROR(INDEX('Formulación PDN 2027'!$H$7:$H$506,MATCH(ROW()-5,'Formulación PDN 2027'!$AK$7:$AK$506,0))&amp;"","")</f>
        <v/>
      </c>
      <c r="X422" s="15" t="str">
        <f>IFERROR(INDEX('Formulación PDN 2027'!$U$7:$U$506,MATCH(ROW()-5,'Formulación PDN 2027'!$AK$7:$AK$506,0))&amp;"","")</f>
        <v/>
      </c>
      <c r="Y422" s="15" t="str">
        <f>IFERROR(INDEX('Formulación PDN 2027'!$AH$7:$AH$506,MATCH(ROW()-5,'Formulación PDN 2027'!$AK$7:$AK$506,0))&amp;"","")</f>
        <v/>
      </c>
    </row>
    <row r="423" spans="1:25" x14ac:dyDescent="0.3">
      <c r="A423" s="15" t="str">
        <f>IFERROR(INDEX('Formulación PDN 2027'!$A$7:$A$506,MATCH(ROW()-5,'Formulación PDN 2027'!$AK$7:$AK$506,0))&amp;"","")</f>
        <v/>
      </c>
      <c r="B423" s="20" t="str">
        <f>IFERROR(INDEX('Formulación PDN 2027'!$M$7:$M$506,MATCH(ROW()-5,'Formulación PDN 2027'!$AK$7:$AK$506,0)),"")</f>
        <v/>
      </c>
      <c r="C423" s="15" t="str">
        <f>IFERROR(INDEX('Formulación PDN 2027'!$N$7:$N$506,MATCH(ROW()-5,'Formulación PDN 2027'!$AK$7:$AK$506,0))&amp;"","")</f>
        <v/>
      </c>
      <c r="D423" s="15" t="str">
        <f>IFERROR(INDEX('Formulación PDN 2027'!$L$7:$L$506,MATCH(ROW()-5,'Formulación PDN 2027'!$AK$7:$AK$506,0))&amp;"","")</f>
        <v/>
      </c>
      <c r="E423" s="15" t="str">
        <f>IFERROR(MATCH(INDEX('Formulación PDN 2027'!$O$7:$O$506,MATCH(ROW()-5,'Formulación PDN 2027'!$AK$7:$AK$506,0)),L_MESES,0),"")</f>
        <v/>
      </c>
      <c r="F423" s="15" t="str">
        <f>IFERROR(MATCH(INDEX('Formulación PDN 2027'!$P$7:$P$506,MATCH(ROW()-5,'Formulación PDN 2027'!$AK$7:$AK$506,0)),L_MESES,0),"")</f>
        <v/>
      </c>
      <c r="G423" s="15" t="str">
        <f>IFERROR(INDEX('Formulación PDN 2027'!$Q$7:$Q$506,MATCH(ROW()-5,'Formulación PDN 2027'!$AK$7:$AK$506,0)),"")</f>
        <v/>
      </c>
      <c r="H423" s="15" t="str">
        <f>IFERROR(INDEX('Formulación PDN 2027'!$R$7:$R$506,MATCH(ROW()-5,'Formulación PDN 2027'!$AK$7:$AK$506,0))&amp;"","")</f>
        <v/>
      </c>
      <c r="I423" s="15" t="str">
        <f>IFERROR(INDEX('Formulación PDN 2027'!$S$7:$S$506,MATCH(ROW()-5,'Formulación PDN 2027'!$AK$7:$AK$506,0))&amp;"","")</f>
        <v/>
      </c>
      <c r="J423" s="15" t="str">
        <f>IFERROR(INDEX('Formulación PDN 2027'!$T$7:$T$506,MATCH(ROW()-5,'Formulación PDN 2027'!$AK$7:$AK$506,0))&amp;"","")</f>
        <v/>
      </c>
      <c r="K423" s="43" t="str">
        <f>IFERROR(INDEX('Formulación PDN 2027'!$W$7:$W$506,MATCH(ROW()-5,'Formulación PDN 2027'!$AK$7:$AK$506,0)),"")</f>
        <v/>
      </c>
      <c r="L423" s="43" t="str">
        <f>IFERROR(INDEX('Formulación PDN 2027'!$X$7:$X$506,MATCH(ROW()-5,'Formulación PDN 2027'!$AK$7:$AK$506,0)),"")</f>
        <v/>
      </c>
      <c r="M423" s="15" t="str">
        <f>IFERROR(INDEX('Formulación PDN 2027'!$Y$7:$Y$506,MATCH(ROW()-5,'Formulación PDN 2027'!$AK$7:$AK$506,0))&amp;"","")</f>
        <v/>
      </c>
      <c r="N423" s="15" t="str">
        <f>IFERROR(INDEX('Formulación PDN 2027'!$Z$7:$Z$506,MATCH(ROW()-5,'Formulación PDN 2027'!$AK$7:$AK$506,0))&amp;"","")</f>
        <v/>
      </c>
      <c r="O423" s="15"/>
      <c r="P423" s="15" t="str">
        <f>IFERROR(INDEX('Formulación PDN 2027'!$AA$7:$AA$506,MATCH(ROW()-5,'Formulación PDN 2027'!$AK$7:$AK$506,0))&amp;"","")</f>
        <v/>
      </c>
      <c r="Q423" s="15" t="str">
        <f>IFERROR(INDEX('Formulación PDN 2027'!$AB$7:$AB$506,MATCH(ROW()-5,'Formulación PDN 2027'!$AK$7:$AK$506,0))&amp;"","")</f>
        <v/>
      </c>
      <c r="R423" s="15" t="str">
        <f>IFERROR(INDEX('Formulación PDN 2027'!$AD$7:$AD$506,MATCH(ROW()-5,'Formulación PDN 2027'!$AK$7:$AK$506,0))&amp;"","")</f>
        <v/>
      </c>
      <c r="S423" s="15" t="str">
        <f>IFERROR(INDEX('Formulación PDN 2027'!$AE$7:$AE$506,MATCH(ROW()-5,'Formulación PDN 2027'!$AK$7:$AK$506,0))&amp;"","")</f>
        <v/>
      </c>
      <c r="T423" s="15" t="str">
        <f>IFERROR(INDEX('Formulación PDN 2027'!$C$7:$C$506,MATCH(ROW()-5,'Formulación PDN 2027'!$AK$7:$AK$506,0))&amp;"","")</f>
        <v/>
      </c>
      <c r="U423" s="15" t="str">
        <f>IFERROR(INDEX('Formulación PDN 2027'!$B$7:$B$506,MATCH(ROW()-5,'Formulación PDN 2027'!$AK$7:$AK$506,0))&amp;"","")</f>
        <v/>
      </c>
      <c r="V423" s="15" t="str">
        <f>IFERROR(LEFT(INDEX('Formulación PDN 2027'!$E$7:$E$506,MATCH(ROW()-5,'Formulación PDN 2027'!$AK$7:$AK$506,0)),7),"")</f>
        <v/>
      </c>
      <c r="W423" s="15" t="str">
        <f>IFERROR(INDEX('Formulación PDN 2027'!$H$7:$H$506,MATCH(ROW()-5,'Formulación PDN 2027'!$AK$7:$AK$506,0))&amp;"","")</f>
        <v/>
      </c>
      <c r="X423" s="15" t="str">
        <f>IFERROR(INDEX('Formulación PDN 2027'!$U$7:$U$506,MATCH(ROW()-5,'Formulación PDN 2027'!$AK$7:$AK$506,0))&amp;"","")</f>
        <v/>
      </c>
      <c r="Y423" s="15" t="str">
        <f>IFERROR(INDEX('Formulación PDN 2027'!$AH$7:$AH$506,MATCH(ROW()-5,'Formulación PDN 2027'!$AK$7:$AK$506,0))&amp;"","")</f>
        <v/>
      </c>
    </row>
    <row r="424" spans="1:25" x14ac:dyDescent="0.3">
      <c r="A424" s="15" t="str">
        <f>IFERROR(INDEX('Formulación PDN 2027'!$A$7:$A$506,MATCH(ROW()-5,'Formulación PDN 2027'!$AK$7:$AK$506,0))&amp;"","")</f>
        <v/>
      </c>
      <c r="B424" s="20" t="str">
        <f>IFERROR(INDEX('Formulación PDN 2027'!$M$7:$M$506,MATCH(ROW()-5,'Formulación PDN 2027'!$AK$7:$AK$506,0)),"")</f>
        <v/>
      </c>
      <c r="C424" s="15" t="str">
        <f>IFERROR(INDEX('Formulación PDN 2027'!$N$7:$N$506,MATCH(ROW()-5,'Formulación PDN 2027'!$AK$7:$AK$506,0))&amp;"","")</f>
        <v/>
      </c>
      <c r="D424" s="15" t="str">
        <f>IFERROR(INDEX('Formulación PDN 2027'!$L$7:$L$506,MATCH(ROW()-5,'Formulación PDN 2027'!$AK$7:$AK$506,0))&amp;"","")</f>
        <v/>
      </c>
      <c r="E424" s="15" t="str">
        <f>IFERROR(MATCH(INDEX('Formulación PDN 2027'!$O$7:$O$506,MATCH(ROW()-5,'Formulación PDN 2027'!$AK$7:$AK$506,0)),L_MESES,0),"")</f>
        <v/>
      </c>
      <c r="F424" s="15" t="str">
        <f>IFERROR(MATCH(INDEX('Formulación PDN 2027'!$P$7:$P$506,MATCH(ROW()-5,'Formulación PDN 2027'!$AK$7:$AK$506,0)),L_MESES,0),"")</f>
        <v/>
      </c>
      <c r="G424" s="15" t="str">
        <f>IFERROR(INDEX('Formulación PDN 2027'!$Q$7:$Q$506,MATCH(ROW()-5,'Formulación PDN 2027'!$AK$7:$AK$506,0)),"")</f>
        <v/>
      </c>
      <c r="H424" s="15" t="str">
        <f>IFERROR(INDEX('Formulación PDN 2027'!$R$7:$R$506,MATCH(ROW()-5,'Formulación PDN 2027'!$AK$7:$AK$506,0))&amp;"","")</f>
        <v/>
      </c>
      <c r="I424" s="15" t="str">
        <f>IFERROR(INDEX('Formulación PDN 2027'!$S$7:$S$506,MATCH(ROW()-5,'Formulación PDN 2027'!$AK$7:$AK$506,0))&amp;"","")</f>
        <v/>
      </c>
      <c r="J424" s="15" t="str">
        <f>IFERROR(INDEX('Formulación PDN 2027'!$T$7:$T$506,MATCH(ROW()-5,'Formulación PDN 2027'!$AK$7:$AK$506,0))&amp;"","")</f>
        <v/>
      </c>
      <c r="K424" s="43" t="str">
        <f>IFERROR(INDEX('Formulación PDN 2027'!$W$7:$W$506,MATCH(ROW()-5,'Formulación PDN 2027'!$AK$7:$AK$506,0)),"")</f>
        <v/>
      </c>
      <c r="L424" s="43" t="str">
        <f>IFERROR(INDEX('Formulación PDN 2027'!$X$7:$X$506,MATCH(ROW()-5,'Formulación PDN 2027'!$AK$7:$AK$506,0)),"")</f>
        <v/>
      </c>
      <c r="M424" s="15" t="str">
        <f>IFERROR(INDEX('Formulación PDN 2027'!$Y$7:$Y$506,MATCH(ROW()-5,'Formulación PDN 2027'!$AK$7:$AK$506,0))&amp;"","")</f>
        <v/>
      </c>
      <c r="N424" s="15" t="str">
        <f>IFERROR(INDEX('Formulación PDN 2027'!$Z$7:$Z$506,MATCH(ROW()-5,'Formulación PDN 2027'!$AK$7:$AK$506,0))&amp;"","")</f>
        <v/>
      </c>
      <c r="O424" s="15"/>
      <c r="P424" s="15" t="str">
        <f>IFERROR(INDEX('Formulación PDN 2027'!$AA$7:$AA$506,MATCH(ROW()-5,'Formulación PDN 2027'!$AK$7:$AK$506,0))&amp;"","")</f>
        <v/>
      </c>
      <c r="Q424" s="15" t="str">
        <f>IFERROR(INDEX('Formulación PDN 2027'!$AB$7:$AB$506,MATCH(ROW()-5,'Formulación PDN 2027'!$AK$7:$AK$506,0))&amp;"","")</f>
        <v/>
      </c>
      <c r="R424" s="15" t="str">
        <f>IFERROR(INDEX('Formulación PDN 2027'!$AD$7:$AD$506,MATCH(ROW()-5,'Formulación PDN 2027'!$AK$7:$AK$506,0))&amp;"","")</f>
        <v/>
      </c>
      <c r="S424" s="15" t="str">
        <f>IFERROR(INDEX('Formulación PDN 2027'!$AE$7:$AE$506,MATCH(ROW()-5,'Formulación PDN 2027'!$AK$7:$AK$506,0))&amp;"","")</f>
        <v/>
      </c>
      <c r="T424" s="15" t="str">
        <f>IFERROR(INDEX('Formulación PDN 2027'!$C$7:$C$506,MATCH(ROW()-5,'Formulación PDN 2027'!$AK$7:$AK$506,0))&amp;"","")</f>
        <v/>
      </c>
      <c r="U424" s="15" t="str">
        <f>IFERROR(INDEX('Formulación PDN 2027'!$B$7:$B$506,MATCH(ROW()-5,'Formulación PDN 2027'!$AK$7:$AK$506,0))&amp;"","")</f>
        <v/>
      </c>
      <c r="V424" s="15" t="str">
        <f>IFERROR(LEFT(INDEX('Formulación PDN 2027'!$E$7:$E$506,MATCH(ROW()-5,'Formulación PDN 2027'!$AK$7:$AK$506,0)),7),"")</f>
        <v/>
      </c>
      <c r="W424" s="15" t="str">
        <f>IFERROR(INDEX('Formulación PDN 2027'!$H$7:$H$506,MATCH(ROW()-5,'Formulación PDN 2027'!$AK$7:$AK$506,0))&amp;"","")</f>
        <v/>
      </c>
      <c r="X424" s="15" t="str">
        <f>IFERROR(INDEX('Formulación PDN 2027'!$U$7:$U$506,MATCH(ROW()-5,'Formulación PDN 2027'!$AK$7:$AK$506,0))&amp;"","")</f>
        <v/>
      </c>
      <c r="Y424" s="15" t="str">
        <f>IFERROR(INDEX('Formulación PDN 2027'!$AH$7:$AH$506,MATCH(ROW()-5,'Formulación PDN 2027'!$AK$7:$AK$506,0))&amp;"","")</f>
        <v/>
      </c>
    </row>
    <row r="425" spans="1:25" x14ac:dyDescent="0.3">
      <c r="A425" s="15" t="str">
        <f>IFERROR(INDEX('Formulación PDN 2027'!$A$7:$A$506,MATCH(ROW()-5,'Formulación PDN 2027'!$AK$7:$AK$506,0))&amp;"","")</f>
        <v/>
      </c>
      <c r="B425" s="20" t="str">
        <f>IFERROR(INDEX('Formulación PDN 2027'!$M$7:$M$506,MATCH(ROW()-5,'Formulación PDN 2027'!$AK$7:$AK$506,0)),"")</f>
        <v/>
      </c>
      <c r="C425" s="15" t="str">
        <f>IFERROR(INDEX('Formulación PDN 2027'!$N$7:$N$506,MATCH(ROW()-5,'Formulación PDN 2027'!$AK$7:$AK$506,0))&amp;"","")</f>
        <v/>
      </c>
      <c r="D425" s="15" t="str">
        <f>IFERROR(INDEX('Formulación PDN 2027'!$L$7:$L$506,MATCH(ROW()-5,'Formulación PDN 2027'!$AK$7:$AK$506,0))&amp;"","")</f>
        <v/>
      </c>
      <c r="E425" s="15" t="str">
        <f>IFERROR(MATCH(INDEX('Formulación PDN 2027'!$O$7:$O$506,MATCH(ROW()-5,'Formulación PDN 2027'!$AK$7:$AK$506,0)),L_MESES,0),"")</f>
        <v/>
      </c>
      <c r="F425" s="15" t="str">
        <f>IFERROR(MATCH(INDEX('Formulación PDN 2027'!$P$7:$P$506,MATCH(ROW()-5,'Formulación PDN 2027'!$AK$7:$AK$506,0)),L_MESES,0),"")</f>
        <v/>
      </c>
      <c r="G425" s="15" t="str">
        <f>IFERROR(INDEX('Formulación PDN 2027'!$Q$7:$Q$506,MATCH(ROW()-5,'Formulación PDN 2027'!$AK$7:$AK$506,0)),"")</f>
        <v/>
      </c>
      <c r="H425" s="15" t="str">
        <f>IFERROR(INDEX('Formulación PDN 2027'!$R$7:$R$506,MATCH(ROW()-5,'Formulación PDN 2027'!$AK$7:$AK$506,0))&amp;"","")</f>
        <v/>
      </c>
      <c r="I425" s="15" t="str">
        <f>IFERROR(INDEX('Formulación PDN 2027'!$S$7:$S$506,MATCH(ROW()-5,'Formulación PDN 2027'!$AK$7:$AK$506,0))&amp;"","")</f>
        <v/>
      </c>
      <c r="J425" s="15" t="str">
        <f>IFERROR(INDEX('Formulación PDN 2027'!$T$7:$T$506,MATCH(ROW()-5,'Formulación PDN 2027'!$AK$7:$AK$506,0))&amp;"","")</f>
        <v/>
      </c>
      <c r="K425" s="43" t="str">
        <f>IFERROR(INDEX('Formulación PDN 2027'!$W$7:$W$506,MATCH(ROW()-5,'Formulación PDN 2027'!$AK$7:$AK$506,0)),"")</f>
        <v/>
      </c>
      <c r="L425" s="43" t="str">
        <f>IFERROR(INDEX('Formulación PDN 2027'!$X$7:$X$506,MATCH(ROW()-5,'Formulación PDN 2027'!$AK$7:$AK$506,0)),"")</f>
        <v/>
      </c>
      <c r="M425" s="15" t="str">
        <f>IFERROR(INDEX('Formulación PDN 2027'!$Y$7:$Y$506,MATCH(ROW()-5,'Formulación PDN 2027'!$AK$7:$AK$506,0))&amp;"","")</f>
        <v/>
      </c>
      <c r="N425" s="15" t="str">
        <f>IFERROR(INDEX('Formulación PDN 2027'!$Z$7:$Z$506,MATCH(ROW()-5,'Formulación PDN 2027'!$AK$7:$AK$506,0))&amp;"","")</f>
        <v/>
      </c>
      <c r="O425" s="15"/>
      <c r="P425" s="15" t="str">
        <f>IFERROR(INDEX('Formulación PDN 2027'!$AA$7:$AA$506,MATCH(ROW()-5,'Formulación PDN 2027'!$AK$7:$AK$506,0))&amp;"","")</f>
        <v/>
      </c>
      <c r="Q425" s="15" t="str">
        <f>IFERROR(INDEX('Formulación PDN 2027'!$AB$7:$AB$506,MATCH(ROW()-5,'Formulación PDN 2027'!$AK$7:$AK$506,0))&amp;"","")</f>
        <v/>
      </c>
      <c r="R425" s="15" t="str">
        <f>IFERROR(INDEX('Formulación PDN 2027'!$AD$7:$AD$506,MATCH(ROW()-5,'Formulación PDN 2027'!$AK$7:$AK$506,0))&amp;"","")</f>
        <v/>
      </c>
      <c r="S425" s="15" t="str">
        <f>IFERROR(INDEX('Formulación PDN 2027'!$AE$7:$AE$506,MATCH(ROW()-5,'Formulación PDN 2027'!$AK$7:$AK$506,0))&amp;"","")</f>
        <v/>
      </c>
      <c r="T425" s="15" t="str">
        <f>IFERROR(INDEX('Formulación PDN 2027'!$C$7:$C$506,MATCH(ROW()-5,'Formulación PDN 2027'!$AK$7:$AK$506,0))&amp;"","")</f>
        <v/>
      </c>
      <c r="U425" s="15" t="str">
        <f>IFERROR(INDEX('Formulación PDN 2027'!$B$7:$B$506,MATCH(ROW()-5,'Formulación PDN 2027'!$AK$7:$AK$506,0))&amp;"","")</f>
        <v/>
      </c>
      <c r="V425" s="15" t="str">
        <f>IFERROR(LEFT(INDEX('Formulación PDN 2027'!$E$7:$E$506,MATCH(ROW()-5,'Formulación PDN 2027'!$AK$7:$AK$506,0)),7),"")</f>
        <v/>
      </c>
      <c r="W425" s="15" t="str">
        <f>IFERROR(INDEX('Formulación PDN 2027'!$H$7:$H$506,MATCH(ROW()-5,'Formulación PDN 2027'!$AK$7:$AK$506,0))&amp;"","")</f>
        <v/>
      </c>
      <c r="X425" s="15" t="str">
        <f>IFERROR(INDEX('Formulación PDN 2027'!$U$7:$U$506,MATCH(ROW()-5,'Formulación PDN 2027'!$AK$7:$AK$506,0))&amp;"","")</f>
        <v/>
      </c>
      <c r="Y425" s="15" t="str">
        <f>IFERROR(INDEX('Formulación PDN 2027'!$AH$7:$AH$506,MATCH(ROW()-5,'Formulación PDN 2027'!$AK$7:$AK$506,0))&amp;"","")</f>
        <v/>
      </c>
    </row>
    <row r="426" spans="1:25" x14ac:dyDescent="0.3">
      <c r="A426" s="15" t="str">
        <f>IFERROR(INDEX('Formulación PDN 2027'!$A$7:$A$506,MATCH(ROW()-5,'Formulación PDN 2027'!$AK$7:$AK$506,0))&amp;"","")</f>
        <v/>
      </c>
      <c r="B426" s="20" t="str">
        <f>IFERROR(INDEX('Formulación PDN 2027'!$M$7:$M$506,MATCH(ROW()-5,'Formulación PDN 2027'!$AK$7:$AK$506,0)),"")</f>
        <v/>
      </c>
      <c r="C426" s="15" t="str">
        <f>IFERROR(INDEX('Formulación PDN 2027'!$N$7:$N$506,MATCH(ROW()-5,'Formulación PDN 2027'!$AK$7:$AK$506,0))&amp;"","")</f>
        <v/>
      </c>
      <c r="D426" s="15" t="str">
        <f>IFERROR(INDEX('Formulación PDN 2027'!$L$7:$L$506,MATCH(ROW()-5,'Formulación PDN 2027'!$AK$7:$AK$506,0))&amp;"","")</f>
        <v/>
      </c>
      <c r="E426" s="15" t="str">
        <f>IFERROR(MATCH(INDEX('Formulación PDN 2027'!$O$7:$O$506,MATCH(ROW()-5,'Formulación PDN 2027'!$AK$7:$AK$506,0)),L_MESES,0),"")</f>
        <v/>
      </c>
      <c r="F426" s="15" t="str">
        <f>IFERROR(MATCH(INDEX('Formulación PDN 2027'!$P$7:$P$506,MATCH(ROW()-5,'Formulación PDN 2027'!$AK$7:$AK$506,0)),L_MESES,0),"")</f>
        <v/>
      </c>
      <c r="G426" s="15" t="str">
        <f>IFERROR(INDEX('Formulación PDN 2027'!$Q$7:$Q$506,MATCH(ROW()-5,'Formulación PDN 2027'!$AK$7:$AK$506,0)),"")</f>
        <v/>
      </c>
      <c r="H426" s="15" t="str">
        <f>IFERROR(INDEX('Formulación PDN 2027'!$R$7:$R$506,MATCH(ROW()-5,'Formulación PDN 2027'!$AK$7:$AK$506,0))&amp;"","")</f>
        <v/>
      </c>
      <c r="I426" s="15" t="str">
        <f>IFERROR(INDEX('Formulación PDN 2027'!$S$7:$S$506,MATCH(ROW()-5,'Formulación PDN 2027'!$AK$7:$AK$506,0))&amp;"","")</f>
        <v/>
      </c>
      <c r="J426" s="15" t="str">
        <f>IFERROR(INDEX('Formulación PDN 2027'!$T$7:$T$506,MATCH(ROW()-5,'Formulación PDN 2027'!$AK$7:$AK$506,0))&amp;"","")</f>
        <v/>
      </c>
      <c r="K426" s="43" t="str">
        <f>IFERROR(INDEX('Formulación PDN 2027'!$W$7:$W$506,MATCH(ROW()-5,'Formulación PDN 2027'!$AK$7:$AK$506,0)),"")</f>
        <v/>
      </c>
      <c r="L426" s="43" t="str">
        <f>IFERROR(INDEX('Formulación PDN 2027'!$X$7:$X$506,MATCH(ROW()-5,'Formulación PDN 2027'!$AK$7:$AK$506,0)),"")</f>
        <v/>
      </c>
      <c r="M426" s="15" t="str">
        <f>IFERROR(INDEX('Formulación PDN 2027'!$Y$7:$Y$506,MATCH(ROW()-5,'Formulación PDN 2027'!$AK$7:$AK$506,0))&amp;"","")</f>
        <v/>
      </c>
      <c r="N426" s="15" t="str">
        <f>IFERROR(INDEX('Formulación PDN 2027'!$Z$7:$Z$506,MATCH(ROW()-5,'Formulación PDN 2027'!$AK$7:$AK$506,0))&amp;"","")</f>
        <v/>
      </c>
      <c r="O426" s="15"/>
      <c r="P426" s="15" t="str">
        <f>IFERROR(INDEX('Formulación PDN 2027'!$AA$7:$AA$506,MATCH(ROW()-5,'Formulación PDN 2027'!$AK$7:$AK$506,0))&amp;"","")</f>
        <v/>
      </c>
      <c r="Q426" s="15" t="str">
        <f>IFERROR(INDEX('Formulación PDN 2027'!$AB$7:$AB$506,MATCH(ROW()-5,'Formulación PDN 2027'!$AK$7:$AK$506,0))&amp;"","")</f>
        <v/>
      </c>
      <c r="R426" s="15" t="str">
        <f>IFERROR(INDEX('Formulación PDN 2027'!$AD$7:$AD$506,MATCH(ROW()-5,'Formulación PDN 2027'!$AK$7:$AK$506,0))&amp;"","")</f>
        <v/>
      </c>
      <c r="S426" s="15" t="str">
        <f>IFERROR(INDEX('Formulación PDN 2027'!$AE$7:$AE$506,MATCH(ROW()-5,'Formulación PDN 2027'!$AK$7:$AK$506,0))&amp;"","")</f>
        <v/>
      </c>
      <c r="T426" s="15" t="str">
        <f>IFERROR(INDEX('Formulación PDN 2027'!$C$7:$C$506,MATCH(ROW()-5,'Formulación PDN 2027'!$AK$7:$AK$506,0))&amp;"","")</f>
        <v/>
      </c>
      <c r="U426" s="15" t="str">
        <f>IFERROR(INDEX('Formulación PDN 2027'!$B$7:$B$506,MATCH(ROW()-5,'Formulación PDN 2027'!$AK$7:$AK$506,0))&amp;"","")</f>
        <v/>
      </c>
      <c r="V426" s="15" t="str">
        <f>IFERROR(LEFT(INDEX('Formulación PDN 2027'!$E$7:$E$506,MATCH(ROW()-5,'Formulación PDN 2027'!$AK$7:$AK$506,0)),7),"")</f>
        <v/>
      </c>
      <c r="W426" s="15" t="str">
        <f>IFERROR(INDEX('Formulación PDN 2027'!$H$7:$H$506,MATCH(ROW()-5,'Formulación PDN 2027'!$AK$7:$AK$506,0))&amp;"","")</f>
        <v/>
      </c>
      <c r="X426" s="15" t="str">
        <f>IFERROR(INDEX('Formulación PDN 2027'!$U$7:$U$506,MATCH(ROW()-5,'Formulación PDN 2027'!$AK$7:$AK$506,0))&amp;"","")</f>
        <v/>
      </c>
      <c r="Y426" s="15" t="str">
        <f>IFERROR(INDEX('Formulación PDN 2027'!$AH$7:$AH$506,MATCH(ROW()-5,'Formulación PDN 2027'!$AK$7:$AK$506,0))&amp;"","")</f>
        <v/>
      </c>
    </row>
    <row r="427" spans="1:25" x14ac:dyDescent="0.3">
      <c r="A427" s="15" t="str">
        <f>IFERROR(INDEX('Formulación PDN 2027'!$A$7:$A$506,MATCH(ROW()-5,'Formulación PDN 2027'!$AK$7:$AK$506,0))&amp;"","")</f>
        <v/>
      </c>
      <c r="B427" s="20" t="str">
        <f>IFERROR(INDEX('Formulación PDN 2027'!$M$7:$M$506,MATCH(ROW()-5,'Formulación PDN 2027'!$AK$7:$AK$506,0)),"")</f>
        <v/>
      </c>
      <c r="C427" s="15" t="str">
        <f>IFERROR(INDEX('Formulación PDN 2027'!$N$7:$N$506,MATCH(ROW()-5,'Formulación PDN 2027'!$AK$7:$AK$506,0))&amp;"","")</f>
        <v/>
      </c>
      <c r="D427" s="15" t="str">
        <f>IFERROR(INDEX('Formulación PDN 2027'!$L$7:$L$506,MATCH(ROW()-5,'Formulación PDN 2027'!$AK$7:$AK$506,0))&amp;"","")</f>
        <v/>
      </c>
      <c r="E427" s="15" t="str">
        <f>IFERROR(MATCH(INDEX('Formulación PDN 2027'!$O$7:$O$506,MATCH(ROW()-5,'Formulación PDN 2027'!$AK$7:$AK$506,0)),L_MESES,0),"")</f>
        <v/>
      </c>
      <c r="F427" s="15" t="str">
        <f>IFERROR(MATCH(INDEX('Formulación PDN 2027'!$P$7:$P$506,MATCH(ROW()-5,'Formulación PDN 2027'!$AK$7:$AK$506,0)),L_MESES,0),"")</f>
        <v/>
      </c>
      <c r="G427" s="15" t="str">
        <f>IFERROR(INDEX('Formulación PDN 2027'!$Q$7:$Q$506,MATCH(ROW()-5,'Formulación PDN 2027'!$AK$7:$AK$506,0)),"")</f>
        <v/>
      </c>
      <c r="H427" s="15" t="str">
        <f>IFERROR(INDEX('Formulación PDN 2027'!$R$7:$R$506,MATCH(ROW()-5,'Formulación PDN 2027'!$AK$7:$AK$506,0))&amp;"","")</f>
        <v/>
      </c>
      <c r="I427" s="15" t="str">
        <f>IFERROR(INDEX('Formulación PDN 2027'!$S$7:$S$506,MATCH(ROW()-5,'Formulación PDN 2027'!$AK$7:$AK$506,0))&amp;"","")</f>
        <v/>
      </c>
      <c r="J427" s="15" t="str">
        <f>IFERROR(INDEX('Formulación PDN 2027'!$T$7:$T$506,MATCH(ROW()-5,'Formulación PDN 2027'!$AK$7:$AK$506,0))&amp;"","")</f>
        <v/>
      </c>
      <c r="K427" s="43" t="str">
        <f>IFERROR(INDEX('Formulación PDN 2027'!$W$7:$W$506,MATCH(ROW()-5,'Formulación PDN 2027'!$AK$7:$AK$506,0)),"")</f>
        <v/>
      </c>
      <c r="L427" s="43" t="str">
        <f>IFERROR(INDEX('Formulación PDN 2027'!$X$7:$X$506,MATCH(ROW()-5,'Formulación PDN 2027'!$AK$7:$AK$506,0)),"")</f>
        <v/>
      </c>
      <c r="M427" s="15" t="str">
        <f>IFERROR(INDEX('Formulación PDN 2027'!$Y$7:$Y$506,MATCH(ROW()-5,'Formulación PDN 2027'!$AK$7:$AK$506,0))&amp;"","")</f>
        <v/>
      </c>
      <c r="N427" s="15" t="str">
        <f>IFERROR(INDEX('Formulación PDN 2027'!$Z$7:$Z$506,MATCH(ROW()-5,'Formulación PDN 2027'!$AK$7:$AK$506,0))&amp;"","")</f>
        <v/>
      </c>
      <c r="O427" s="15"/>
      <c r="P427" s="15" t="str">
        <f>IFERROR(INDEX('Formulación PDN 2027'!$AA$7:$AA$506,MATCH(ROW()-5,'Formulación PDN 2027'!$AK$7:$AK$506,0))&amp;"","")</f>
        <v/>
      </c>
      <c r="Q427" s="15" t="str">
        <f>IFERROR(INDEX('Formulación PDN 2027'!$AB$7:$AB$506,MATCH(ROW()-5,'Formulación PDN 2027'!$AK$7:$AK$506,0))&amp;"","")</f>
        <v/>
      </c>
      <c r="R427" s="15" t="str">
        <f>IFERROR(INDEX('Formulación PDN 2027'!$AD$7:$AD$506,MATCH(ROW()-5,'Formulación PDN 2027'!$AK$7:$AK$506,0))&amp;"","")</f>
        <v/>
      </c>
      <c r="S427" s="15" t="str">
        <f>IFERROR(INDEX('Formulación PDN 2027'!$AE$7:$AE$506,MATCH(ROW()-5,'Formulación PDN 2027'!$AK$7:$AK$506,0))&amp;"","")</f>
        <v/>
      </c>
      <c r="T427" s="15" t="str">
        <f>IFERROR(INDEX('Formulación PDN 2027'!$C$7:$C$506,MATCH(ROW()-5,'Formulación PDN 2027'!$AK$7:$AK$506,0))&amp;"","")</f>
        <v/>
      </c>
      <c r="U427" s="15" t="str">
        <f>IFERROR(INDEX('Formulación PDN 2027'!$B$7:$B$506,MATCH(ROW()-5,'Formulación PDN 2027'!$AK$7:$AK$506,0))&amp;"","")</f>
        <v/>
      </c>
      <c r="V427" s="15" t="str">
        <f>IFERROR(LEFT(INDEX('Formulación PDN 2027'!$E$7:$E$506,MATCH(ROW()-5,'Formulación PDN 2027'!$AK$7:$AK$506,0)),7),"")</f>
        <v/>
      </c>
      <c r="W427" s="15" t="str">
        <f>IFERROR(INDEX('Formulación PDN 2027'!$H$7:$H$506,MATCH(ROW()-5,'Formulación PDN 2027'!$AK$7:$AK$506,0))&amp;"","")</f>
        <v/>
      </c>
      <c r="X427" s="15" t="str">
        <f>IFERROR(INDEX('Formulación PDN 2027'!$U$7:$U$506,MATCH(ROW()-5,'Formulación PDN 2027'!$AK$7:$AK$506,0))&amp;"","")</f>
        <v/>
      </c>
      <c r="Y427" s="15" t="str">
        <f>IFERROR(INDEX('Formulación PDN 2027'!$AH$7:$AH$506,MATCH(ROW()-5,'Formulación PDN 2027'!$AK$7:$AK$506,0))&amp;"","")</f>
        <v/>
      </c>
    </row>
    <row r="428" spans="1:25" x14ac:dyDescent="0.3">
      <c r="A428" s="15" t="str">
        <f>IFERROR(INDEX('Formulación PDN 2027'!$A$7:$A$506,MATCH(ROW()-5,'Formulación PDN 2027'!$AK$7:$AK$506,0))&amp;"","")</f>
        <v/>
      </c>
      <c r="B428" s="20" t="str">
        <f>IFERROR(INDEX('Formulación PDN 2027'!$M$7:$M$506,MATCH(ROW()-5,'Formulación PDN 2027'!$AK$7:$AK$506,0)),"")</f>
        <v/>
      </c>
      <c r="C428" s="15" t="str">
        <f>IFERROR(INDEX('Formulación PDN 2027'!$N$7:$N$506,MATCH(ROW()-5,'Formulación PDN 2027'!$AK$7:$AK$506,0))&amp;"","")</f>
        <v/>
      </c>
      <c r="D428" s="15" t="str">
        <f>IFERROR(INDEX('Formulación PDN 2027'!$L$7:$L$506,MATCH(ROW()-5,'Formulación PDN 2027'!$AK$7:$AK$506,0))&amp;"","")</f>
        <v/>
      </c>
      <c r="E428" s="15" t="str">
        <f>IFERROR(MATCH(INDEX('Formulación PDN 2027'!$O$7:$O$506,MATCH(ROW()-5,'Formulación PDN 2027'!$AK$7:$AK$506,0)),L_MESES,0),"")</f>
        <v/>
      </c>
      <c r="F428" s="15" t="str">
        <f>IFERROR(MATCH(INDEX('Formulación PDN 2027'!$P$7:$P$506,MATCH(ROW()-5,'Formulación PDN 2027'!$AK$7:$AK$506,0)),L_MESES,0),"")</f>
        <v/>
      </c>
      <c r="G428" s="15" t="str">
        <f>IFERROR(INDEX('Formulación PDN 2027'!$Q$7:$Q$506,MATCH(ROW()-5,'Formulación PDN 2027'!$AK$7:$AK$506,0)),"")</f>
        <v/>
      </c>
      <c r="H428" s="15" t="str">
        <f>IFERROR(INDEX('Formulación PDN 2027'!$R$7:$R$506,MATCH(ROW()-5,'Formulación PDN 2027'!$AK$7:$AK$506,0))&amp;"","")</f>
        <v/>
      </c>
      <c r="I428" s="15" t="str">
        <f>IFERROR(INDEX('Formulación PDN 2027'!$S$7:$S$506,MATCH(ROW()-5,'Formulación PDN 2027'!$AK$7:$AK$506,0))&amp;"","")</f>
        <v/>
      </c>
      <c r="J428" s="15" t="str">
        <f>IFERROR(INDEX('Formulación PDN 2027'!$T$7:$T$506,MATCH(ROW()-5,'Formulación PDN 2027'!$AK$7:$AK$506,0))&amp;"","")</f>
        <v/>
      </c>
      <c r="K428" s="43" t="str">
        <f>IFERROR(INDEX('Formulación PDN 2027'!$W$7:$W$506,MATCH(ROW()-5,'Formulación PDN 2027'!$AK$7:$AK$506,0)),"")</f>
        <v/>
      </c>
      <c r="L428" s="43" t="str">
        <f>IFERROR(INDEX('Formulación PDN 2027'!$X$7:$X$506,MATCH(ROW()-5,'Formulación PDN 2027'!$AK$7:$AK$506,0)),"")</f>
        <v/>
      </c>
      <c r="M428" s="15" t="str">
        <f>IFERROR(INDEX('Formulación PDN 2027'!$Y$7:$Y$506,MATCH(ROW()-5,'Formulación PDN 2027'!$AK$7:$AK$506,0))&amp;"","")</f>
        <v/>
      </c>
      <c r="N428" s="15" t="str">
        <f>IFERROR(INDEX('Formulación PDN 2027'!$Z$7:$Z$506,MATCH(ROW()-5,'Formulación PDN 2027'!$AK$7:$AK$506,0))&amp;"","")</f>
        <v/>
      </c>
      <c r="O428" s="15"/>
      <c r="P428" s="15" t="str">
        <f>IFERROR(INDEX('Formulación PDN 2027'!$AA$7:$AA$506,MATCH(ROW()-5,'Formulación PDN 2027'!$AK$7:$AK$506,0))&amp;"","")</f>
        <v/>
      </c>
      <c r="Q428" s="15" t="str">
        <f>IFERROR(INDEX('Formulación PDN 2027'!$AB$7:$AB$506,MATCH(ROW()-5,'Formulación PDN 2027'!$AK$7:$AK$506,0))&amp;"","")</f>
        <v/>
      </c>
      <c r="R428" s="15" t="str">
        <f>IFERROR(INDEX('Formulación PDN 2027'!$AD$7:$AD$506,MATCH(ROW()-5,'Formulación PDN 2027'!$AK$7:$AK$506,0))&amp;"","")</f>
        <v/>
      </c>
      <c r="S428" s="15" t="str">
        <f>IFERROR(INDEX('Formulación PDN 2027'!$AE$7:$AE$506,MATCH(ROW()-5,'Formulación PDN 2027'!$AK$7:$AK$506,0))&amp;"","")</f>
        <v/>
      </c>
      <c r="T428" s="15" t="str">
        <f>IFERROR(INDEX('Formulación PDN 2027'!$C$7:$C$506,MATCH(ROW()-5,'Formulación PDN 2027'!$AK$7:$AK$506,0))&amp;"","")</f>
        <v/>
      </c>
      <c r="U428" s="15" t="str">
        <f>IFERROR(INDEX('Formulación PDN 2027'!$B$7:$B$506,MATCH(ROW()-5,'Formulación PDN 2027'!$AK$7:$AK$506,0))&amp;"","")</f>
        <v/>
      </c>
      <c r="V428" s="15" t="str">
        <f>IFERROR(LEFT(INDEX('Formulación PDN 2027'!$E$7:$E$506,MATCH(ROW()-5,'Formulación PDN 2027'!$AK$7:$AK$506,0)),7),"")</f>
        <v/>
      </c>
      <c r="W428" s="15" t="str">
        <f>IFERROR(INDEX('Formulación PDN 2027'!$H$7:$H$506,MATCH(ROW()-5,'Formulación PDN 2027'!$AK$7:$AK$506,0))&amp;"","")</f>
        <v/>
      </c>
      <c r="X428" s="15" t="str">
        <f>IFERROR(INDEX('Formulación PDN 2027'!$U$7:$U$506,MATCH(ROW()-5,'Formulación PDN 2027'!$AK$7:$AK$506,0))&amp;"","")</f>
        <v/>
      </c>
      <c r="Y428" s="15" t="str">
        <f>IFERROR(INDEX('Formulación PDN 2027'!$AH$7:$AH$506,MATCH(ROW()-5,'Formulación PDN 2027'!$AK$7:$AK$506,0))&amp;"","")</f>
        <v/>
      </c>
    </row>
    <row r="429" spans="1:25" x14ac:dyDescent="0.3">
      <c r="A429" s="15" t="str">
        <f>IFERROR(INDEX('Formulación PDN 2027'!$A$7:$A$506,MATCH(ROW()-5,'Formulación PDN 2027'!$AK$7:$AK$506,0))&amp;"","")</f>
        <v/>
      </c>
      <c r="B429" s="20" t="str">
        <f>IFERROR(INDEX('Formulación PDN 2027'!$M$7:$M$506,MATCH(ROW()-5,'Formulación PDN 2027'!$AK$7:$AK$506,0)),"")</f>
        <v/>
      </c>
      <c r="C429" s="15" t="str">
        <f>IFERROR(INDEX('Formulación PDN 2027'!$N$7:$N$506,MATCH(ROW()-5,'Formulación PDN 2027'!$AK$7:$AK$506,0))&amp;"","")</f>
        <v/>
      </c>
      <c r="D429" s="15" t="str">
        <f>IFERROR(INDEX('Formulación PDN 2027'!$L$7:$L$506,MATCH(ROW()-5,'Formulación PDN 2027'!$AK$7:$AK$506,0))&amp;"","")</f>
        <v/>
      </c>
      <c r="E429" s="15" t="str">
        <f>IFERROR(MATCH(INDEX('Formulación PDN 2027'!$O$7:$O$506,MATCH(ROW()-5,'Formulación PDN 2027'!$AK$7:$AK$506,0)),L_MESES,0),"")</f>
        <v/>
      </c>
      <c r="F429" s="15" t="str">
        <f>IFERROR(MATCH(INDEX('Formulación PDN 2027'!$P$7:$P$506,MATCH(ROW()-5,'Formulación PDN 2027'!$AK$7:$AK$506,0)),L_MESES,0),"")</f>
        <v/>
      </c>
      <c r="G429" s="15" t="str">
        <f>IFERROR(INDEX('Formulación PDN 2027'!$Q$7:$Q$506,MATCH(ROW()-5,'Formulación PDN 2027'!$AK$7:$AK$506,0)),"")</f>
        <v/>
      </c>
      <c r="H429" s="15" t="str">
        <f>IFERROR(INDEX('Formulación PDN 2027'!$R$7:$R$506,MATCH(ROW()-5,'Formulación PDN 2027'!$AK$7:$AK$506,0))&amp;"","")</f>
        <v/>
      </c>
      <c r="I429" s="15" t="str">
        <f>IFERROR(INDEX('Formulación PDN 2027'!$S$7:$S$506,MATCH(ROW()-5,'Formulación PDN 2027'!$AK$7:$AK$506,0))&amp;"","")</f>
        <v/>
      </c>
      <c r="J429" s="15" t="str">
        <f>IFERROR(INDEX('Formulación PDN 2027'!$T$7:$T$506,MATCH(ROW()-5,'Formulación PDN 2027'!$AK$7:$AK$506,0))&amp;"","")</f>
        <v/>
      </c>
      <c r="K429" s="43" t="str">
        <f>IFERROR(INDEX('Formulación PDN 2027'!$W$7:$W$506,MATCH(ROW()-5,'Formulación PDN 2027'!$AK$7:$AK$506,0)),"")</f>
        <v/>
      </c>
      <c r="L429" s="43" t="str">
        <f>IFERROR(INDEX('Formulación PDN 2027'!$X$7:$X$506,MATCH(ROW()-5,'Formulación PDN 2027'!$AK$7:$AK$506,0)),"")</f>
        <v/>
      </c>
      <c r="M429" s="15" t="str">
        <f>IFERROR(INDEX('Formulación PDN 2027'!$Y$7:$Y$506,MATCH(ROW()-5,'Formulación PDN 2027'!$AK$7:$AK$506,0))&amp;"","")</f>
        <v/>
      </c>
      <c r="N429" s="15" t="str">
        <f>IFERROR(INDEX('Formulación PDN 2027'!$Z$7:$Z$506,MATCH(ROW()-5,'Formulación PDN 2027'!$AK$7:$AK$506,0))&amp;"","")</f>
        <v/>
      </c>
      <c r="O429" s="15"/>
      <c r="P429" s="15" t="str">
        <f>IFERROR(INDEX('Formulación PDN 2027'!$AA$7:$AA$506,MATCH(ROW()-5,'Formulación PDN 2027'!$AK$7:$AK$506,0))&amp;"","")</f>
        <v/>
      </c>
      <c r="Q429" s="15" t="str">
        <f>IFERROR(INDEX('Formulación PDN 2027'!$AB$7:$AB$506,MATCH(ROW()-5,'Formulación PDN 2027'!$AK$7:$AK$506,0))&amp;"","")</f>
        <v/>
      </c>
      <c r="R429" s="15" t="str">
        <f>IFERROR(INDEX('Formulación PDN 2027'!$AD$7:$AD$506,MATCH(ROW()-5,'Formulación PDN 2027'!$AK$7:$AK$506,0))&amp;"","")</f>
        <v/>
      </c>
      <c r="S429" s="15" t="str">
        <f>IFERROR(INDEX('Formulación PDN 2027'!$AE$7:$AE$506,MATCH(ROW()-5,'Formulación PDN 2027'!$AK$7:$AK$506,0))&amp;"","")</f>
        <v/>
      </c>
      <c r="T429" s="15" t="str">
        <f>IFERROR(INDEX('Formulación PDN 2027'!$C$7:$C$506,MATCH(ROW()-5,'Formulación PDN 2027'!$AK$7:$AK$506,0))&amp;"","")</f>
        <v/>
      </c>
      <c r="U429" s="15" t="str">
        <f>IFERROR(INDEX('Formulación PDN 2027'!$B$7:$B$506,MATCH(ROW()-5,'Formulación PDN 2027'!$AK$7:$AK$506,0))&amp;"","")</f>
        <v/>
      </c>
      <c r="V429" s="15" t="str">
        <f>IFERROR(LEFT(INDEX('Formulación PDN 2027'!$E$7:$E$506,MATCH(ROW()-5,'Formulación PDN 2027'!$AK$7:$AK$506,0)),7),"")</f>
        <v/>
      </c>
      <c r="W429" s="15" t="str">
        <f>IFERROR(INDEX('Formulación PDN 2027'!$H$7:$H$506,MATCH(ROW()-5,'Formulación PDN 2027'!$AK$7:$AK$506,0))&amp;"","")</f>
        <v/>
      </c>
      <c r="X429" s="15" t="str">
        <f>IFERROR(INDEX('Formulación PDN 2027'!$U$7:$U$506,MATCH(ROW()-5,'Formulación PDN 2027'!$AK$7:$AK$506,0))&amp;"","")</f>
        <v/>
      </c>
      <c r="Y429" s="15" t="str">
        <f>IFERROR(INDEX('Formulación PDN 2027'!$AH$7:$AH$506,MATCH(ROW()-5,'Formulación PDN 2027'!$AK$7:$AK$506,0))&amp;"","")</f>
        <v/>
      </c>
    </row>
    <row r="430" spans="1:25" x14ac:dyDescent="0.3">
      <c r="A430" s="15" t="str">
        <f>IFERROR(INDEX('Formulación PDN 2027'!$A$7:$A$506,MATCH(ROW()-5,'Formulación PDN 2027'!$AK$7:$AK$506,0))&amp;"","")</f>
        <v/>
      </c>
      <c r="B430" s="20" t="str">
        <f>IFERROR(INDEX('Formulación PDN 2027'!$M$7:$M$506,MATCH(ROW()-5,'Formulación PDN 2027'!$AK$7:$AK$506,0)),"")</f>
        <v/>
      </c>
      <c r="C430" s="15" t="str">
        <f>IFERROR(INDEX('Formulación PDN 2027'!$N$7:$N$506,MATCH(ROW()-5,'Formulación PDN 2027'!$AK$7:$AK$506,0))&amp;"","")</f>
        <v/>
      </c>
      <c r="D430" s="15" t="str">
        <f>IFERROR(INDEX('Formulación PDN 2027'!$L$7:$L$506,MATCH(ROW()-5,'Formulación PDN 2027'!$AK$7:$AK$506,0))&amp;"","")</f>
        <v/>
      </c>
      <c r="E430" s="15" t="str">
        <f>IFERROR(MATCH(INDEX('Formulación PDN 2027'!$O$7:$O$506,MATCH(ROW()-5,'Formulación PDN 2027'!$AK$7:$AK$506,0)),L_MESES,0),"")</f>
        <v/>
      </c>
      <c r="F430" s="15" t="str">
        <f>IFERROR(MATCH(INDEX('Formulación PDN 2027'!$P$7:$P$506,MATCH(ROW()-5,'Formulación PDN 2027'!$AK$7:$AK$506,0)),L_MESES,0),"")</f>
        <v/>
      </c>
      <c r="G430" s="15" t="str">
        <f>IFERROR(INDEX('Formulación PDN 2027'!$Q$7:$Q$506,MATCH(ROW()-5,'Formulación PDN 2027'!$AK$7:$AK$506,0)),"")</f>
        <v/>
      </c>
      <c r="H430" s="15" t="str">
        <f>IFERROR(INDEX('Formulación PDN 2027'!$R$7:$R$506,MATCH(ROW()-5,'Formulación PDN 2027'!$AK$7:$AK$506,0))&amp;"","")</f>
        <v/>
      </c>
      <c r="I430" s="15" t="str">
        <f>IFERROR(INDEX('Formulación PDN 2027'!$S$7:$S$506,MATCH(ROW()-5,'Formulación PDN 2027'!$AK$7:$AK$506,0))&amp;"","")</f>
        <v/>
      </c>
      <c r="J430" s="15" t="str">
        <f>IFERROR(INDEX('Formulación PDN 2027'!$T$7:$T$506,MATCH(ROW()-5,'Formulación PDN 2027'!$AK$7:$AK$506,0))&amp;"","")</f>
        <v/>
      </c>
      <c r="K430" s="43" t="str">
        <f>IFERROR(INDEX('Formulación PDN 2027'!$W$7:$W$506,MATCH(ROW()-5,'Formulación PDN 2027'!$AK$7:$AK$506,0)),"")</f>
        <v/>
      </c>
      <c r="L430" s="43" t="str">
        <f>IFERROR(INDEX('Formulación PDN 2027'!$X$7:$X$506,MATCH(ROW()-5,'Formulación PDN 2027'!$AK$7:$AK$506,0)),"")</f>
        <v/>
      </c>
      <c r="M430" s="15" t="str">
        <f>IFERROR(INDEX('Formulación PDN 2027'!$Y$7:$Y$506,MATCH(ROW()-5,'Formulación PDN 2027'!$AK$7:$AK$506,0))&amp;"","")</f>
        <v/>
      </c>
      <c r="N430" s="15" t="str">
        <f>IFERROR(INDEX('Formulación PDN 2027'!$Z$7:$Z$506,MATCH(ROW()-5,'Formulación PDN 2027'!$AK$7:$AK$506,0))&amp;"","")</f>
        <v/>
      </c>
      <c r="O430" s="15"/>
      <c r="P430" s="15" t="str">
        <f>IFERROR(INDEX('Formulación PDN 2027'!$AA$7:$AA$506,MATCH(ROW()-5,'Formulación PDN 2027'!$AK$7:$AK$506,0))&amp;"","")</f>
        <v/>
      </c>
      <c r="Q430" s="15" t="str">
        <f>IFERROR(INDEX('Formulación PDN 2027'!$AB$7:$AB$506,MATCH(ROW()-5,'Formulación PDN 2027'!$AK$7:$AK$506,0))&amp;"","")</f>
        <v/>
      </c>
      <c r="R430" s="15" t="str">
        <f>IFERROR(INDEX('Formulación PDN 2027'!$AD$7:$AD$506,MATCH(ROW()-5,'Formulación PDN 2027'!$AK$7:$AK$506,0))&amp;"","")</f>
        <v/>
      </c>
      <c r="S430" s="15" t="str">
        <f>IFERROR(INDEX('Formulación PDN 2027'!$AE$7:$AE$506,MATCH(ROW()-5,'Formulación PDN 2027'!$AK$7:$AK$506,0))&amp;"","")</f>
        <v/>
      </c>
      <c r="T430" s="15" t="str">
        <f>IFERROR(INDEX('Formulación PDN 2027'!$C$7:$C$506,MATCH(ROW()-5,'Formulación PDN 2027'!$AK$7:$AK$506,0))&amp;"","")</f>
        <v/>
      </c>
      <c r="U430" s="15" t="str">
        <f>IFERROR(INDEX('Formulación PDN 2027'!$B$7:$B$506,MATCH(ROW()-5,'Formulación PDN 2027'!$AK$7:$AK$506,0))&amp;"","")</f>
        <v/>
      </c>
      <c r="V430" s="15" t="str">
        <f>IFERROR(LEFT(INDEX('Formulación PDN 2027'!$E$7:$E$506,MATCH(ROW()-5,'Formulación PDN 2027'!$AK$7:$AK$506,0)),7),"")</f>
        <v/>
      </c>
      <c r="W430" s="15" t="str">
        <f>IFERROR(INDEX('Formulación PDN 2027'!$H$7:$H$506,MATCH(ROW()-5,'Formulación PDN 2027'!$AK$7:$AK$506,0))&amp;"","")</f>
        <v/>
      </c>
      <c r="X430" s="15" t="str">
        <f>IFERROR(INDEX('Formulación PDN 2027'!$U$7:$U$506,MATCH(ROW()-5,'Formulación PDN 2027'!$AK$7:$AK$506,0))&amp;"","")</f>
        <v/>
      </c>
      <c r="Y430" s="15" t="str">
        <f>IFERROR(INDEX('Formulación PDN 2027'!$AH$7:$AH$506,MATCH(ROW()-5,'Formulación PDN 2027'!$AK$7:$AK$506,0))&amp;"","")</f>
        <v/>
      </c>
    </row>
    <row r="431" spans="1:25" x14ac:dyDescent="0.3">
      <c r="A431" s="15" t="str">
        <f>IFERROR(INDEX('Formulación PDN 2027'!$A$7:$A$506,MATCH(ROW()-5,'Formulación PDN 2027'!$AK$7:$AK$506,0))&amp;"","")</f>
        <v/>
      </c>
      <c r="B431" s="20" t="str">
        <f>IFERROR(INDEX('Formulación PDN 2027'!$M$7:$M$506,MATCH(ROW()-5,'Formulación PDN 2027'!$AK$7:$AK$506,0)),"")</f>
        <v/>
      </c>
      <c r="C431" s="15" t="str">
        <f>IFERROR(INDEX('Formulación PDN 2027'!$N$7:$N$506,MATCH(ROW()-5,'Formulación PDN 2027'!$AK$7:$AK$506,0))&amp;"","")</f>
        <v/>
      </c>
      <c r="D431" s="15" t="str">
        <f>IFERROR(INDEX('Formulación PDN 2027'!$L$7:$L$506,MATCH(ROW()-5,'Formulación PDN 2027'!$AK$7:$AK$506,0))&amp;"","")</f>
        <v/>
      </c>
      <c r="E431" s="15" t="str">
        <f>IFERROR(MATCH(INDEX('Formulación PDN 2027'!$O$7:$O$506,MATCH(ROW()-5,'Formulación PDN 2027'!$AK$7:$AK$506,0)),L_MESES,0),"")</f>
        <v/>
      </c>
      <c r="F431" s="15" t="str">
        <f>IFERROR(MATCH(INDEX('Formulación PDN 2027'!$P$7:$P$506,MATCH(ROW()-5,'Formulación PDN 2027'!$AK$7:$AK$506,0)),L_MESES,0),"")</f>
        <v/>
      </c>
      <c r="G431" s="15" t="str">
        <f>IFERROR(INDEX('Formulación PDN 2027'!$Q$7:$Q$506,MATCH(ROW()-5,'Formulación PDN 2027'!$AK$7:$AK$506,0)),"")</f>
        <v/>
      </c>
      <c r="H431" s="15" t="str">
        <f>IFERROR(INDEX('Formulación PDN 2027'!$R$7:$R$506,MATCH(ROW()-5,'Formulación PDN 2027'!$AK$7:$AK$506,0))&amp;"","")</f>
        <v/>
      </c>
      <c r="I431" s="15" t="str">
        <f>IFERROR(INDEX('Formulación PDN 2027'!$S$7:$S$506,MATCH(ROW()-5,'Formulación PDN 2027'!$AK$7:$AK$506,0))&amp;"","")</f>
        <v/>
      </c>
      <c r="J431" s="15" t="str">
        <f>IFERROR(INDEX('Formulación PDN 2027'!$T$7:$T$506,MATCH(ROW()-5,'Formulación PDN 2027'!$AK$7:$AK$506,0))&amp;"","")</f>
        <v/>
      </c>
      <c r="K431" s="43" t="str">
        <f>IFERROR(INDEX('Formulación PDN 2027'!$W$7:$W$506,MATCH(ROW()-5,'Formulación PDN 2027'!$AK$7:$AK$506,0)),"")</f>
        <v/>
      </c>
      <c r="L431" s="43" t="str">
        <f>IFERROR(INDEX('Formulación PDN 2027'!$X$7:$X$506,MATCH(ROW()-5,'Formulación PDN 2027'!$AK$7:$AK$506,0)),"")</f>
        <v/>
      </c>
      <c r="M431" s="15" t="str">
        <f>IFERROR(INDEX('Formulación PDN 2027'!$Y$7:$Y$506,MATCH(ROW()-5,'Formulación PDN 2027'!$AK$7:$AK$506,0))&amp;"","")</f>
        <v/>
      </c>
      <c r="N431" s="15" t="str">
        <f>IFERROR(INDEX('Formulación PDN 2027'!$Z$7:$Z$506,MATCH(ROW()-5,'Formulación PDN 2027'!$AK$7:$AK$506,0))&amp;"","")</f>
        <v/>
      </c>
      <c r="O431" s="15"/>
      <c r="P431" s="15" t="str">
        <f>IFERROR(INDEX('Formulación PDN 2027'!$AA$7:$AA$506,MATCH(ROW()-5,'Formulación PDN 2027'!$AK$7:$AK$506,0))&amp;"","")</f>
        <v/>
      </c>
      <c r="Q431" s="15" t="str">
        <f>IFERROR(INDEX('Formulación PDN 2027'!$AB$7:$AB$506,MATCH(ROW()-5,'Formulación PDN 2027'!$AK$7:$AK$506,0))&amp;"","")</f>
        <v/>
      </c>
      <c r="R431" s="15" t="str">
        <f>IFERROR(INDEX('Formulación PDN 2027'!$AD$7:$AD$506,MATCH(ROW()-5,'Formulación PDN 2027'!$AK$7:$AK$506,0))&amp;"","")</f>
        <v/>
      </c>
      <c r="S431" s="15" t="str">
        <f>IFERROR(INDEX('Formulación PDN 2027'!$AE$7:$AE$506,MATCH(ROW()-5,'Formulación PDN 2027'!$AK$7:$AK$506,0))&amp;"","")</f>
        <v/>
      </c>
      <c r="T431" s="15" t="str">
        <f>IFERROR(INDEX('Formulación PDN 2027'!$C$7:$C$506,MATCH(ROW()-5,'Formulación PDN 2027'!$AK$7:$AK$506,0))&amp;"","")</f>
        <v/>
      </c>
      <c r="U431" s="15" t="str">
        <f>IFERROR(INDEX('Formulación PDN 2027'!$B$7:$B$506,MATCH(ROW()-5,'Formulación PDN 2027'!$AK$7:$AK$506,0))&amp;"","")</f>
        <v/>
      </c>
      <c r="V431" s="15" t="str">
        <f>IFERROR(LEFT(INDEX('Formulación PDN 2027'!$E$7:$E$506,MATCH(ROW()-5,'Formulación PDN 2027'!$AK$7:$AK$506,0)),7),"")</f>
        <v/>
      </c>
      <c r="W431" s="15" t="str">
        <f>IFERROR(INDEX('Formulación PDN 2027'!$H$7:$H$506,MATCH(ROW()-5,'Formulación PDN 2027'!$AK$7:$AK$506,0))&amp;"","")</f>
        <v/>
      </c>
      <c r="X431" s="15" t="str">
        <f>IFERROR(INDEX('Formulación PDN 2027'!$U$7:$U$506,MATCH(ROW()-5,'Formulación PDN 2027'!$AK$7:$AK$506,0))&amp;"","")</f>
        <v/>
      </c>
      <c r="Y431" s="15" t="str">
        <f>IFERROR(INDEX('Formulación PDN 2027'!$AH$7:$AH$506,MATCH(ROW()-5,'Formulación PDN 2027'!$AK$7:$AK$506,0))&amp;"","")</f>
        <v/>
      </c>
    </row>
    <row r="432" spans="1:25" x14ac:dyDescent="0.3">
      <c r="A432" s="15" t="str">
        <f>IFERROR(INDEX('Formulación PDN 2027'!$A$7:$A$506,MATCH(ROW()-5,'Formulación PDN 2027'!$AK$7:$AK$506,0))&amp;"","")</f>
        <v/>
      </c>
      <c r="B432" s="20" t="str">
        <f>IFERROR(INDEX('Formulación PDN 2027'!$M$7:$M$506,MATCH(ROW()-5,'Formulación PDN 2027'!$AK$7:$AK$506,0)),"")</f>
        <v/>
      </c>
      <c r="C432" s="15" t="str">
        <f>IFERROR(INDEX('Formulación PDN 2027'!$N$7:$N$506,MATCH(ROW()-5,'Formulación PDN 2027'!$AK$7:$AK$506,0))&amp;"","")</f>
        <v/>
      </c>
      <c r="D432" s="15" t="str">
        <f>IFERROR(INDEX('Formulación PDN 2027'!$L$7:$L$506,MATCH(ROW()-5,'Formulación PDN 2027'!$AK$7:$AK$506,0))&amp;"","")</f>
        <v/>
      </c>
      <c r="E432" s="15" t="str">
        <f>IFERROR(MATCH(INDEX('Formulación PDN 2027'!$O$7:$O$506,MATCH(ROW()-5,'Formulación PDN 2027'!$AK$7:$AK$506,0)),L_MESES,0),"")</f>
        <v/>
      </c>
      <c r="F432" s="15" t="str">
        <f>IFERROR(MATCH(INDEX('Formulación PDN 2027'!$P$7:$P$506,MATCH(ROW()-5,'Formulación PDN 2027'!$AK$7:$AK$506,0)),L_MESES,0),"")</f>
        <v/>
      </c>
      <c r="G432" s="15" t="str">
        <f>IFERROR(INDEX('Formulación PDN 2027'!$Q$7:$Q$506,MATCH(ROW()-5,'Formulación PDN 2027'!$AK$7:$AK$506,0)),"")</f>
        <v/>
      </c>
      <c r="H432" s="15" t="str">
        <f>IFERROR(INDEX('Formulación PDN 2027'!$R$7:$R$506,MATCH(ROW()-5,'Formulación PDN 2027'!$AK$7:$AK$506,0))&amp;"","")</f>
        <v/>
      </c>
      <c r="I432" s="15" t="str">
        <f>IFERROR(INDEX('Formulación PDN 2027'!$S$7:$S$506,MATCH(ROW()-5,'Formulación PDN 2027'!$AK$7:$AK$506,0))&amp;"","")</f>
        <v/>
      </c>
      <c r="J432" s="15" t="str">
        <f>IFERROR(INDEX('Formulación PDN 2027'!$T$7:$T$506,MATCH(ROW()-5,'Formulación PDN 2027'!$AK$7:$AK$506,0))&amp;"","")</f>
        <v/>
      </c>
      <c r="K432" s="43" t="str">
        <f>IFERROR(INDEX('Formulación PDN 2027'!$W$7:$W$506,MATCH(ROW()-5,'Formulación PDN 2027'!$AK$7:$AK$506,0)),"")</f>
        <v/>
      </c>
      <c r="L432" s="43" t="str">
        <f>IFERROR(INDEX('Formulación PDN 2027'!$X$7:$X$506,MATCH(ROW()-5,'Formulación PDN 2027'!$AK$7:$AK$506,0)),"")</f>
        <v/>
      </c>
      <c r="M432" s="15" t="str">
        <f>IFERROR(INDEX('Formulación PDN 2027'!$Y$7:$Y$506,MATCH(ROW()-5,'Formulación PDN 2027'!$AK$7:$AK$506,0))&amp;"","")</f>
        <v/>
      </c>
      <c r="N432" s="15" t="str">
        <f>IFERROR(INDEX('Formulación PDN 2027'!$Z$7:$Z$506,MATCH(ROW()-5,'Formulación PDN 2027'!$AK$7:$AK$506,0))&amp;"","")</f>
        <v/>
      </c>
      <c r="O432" s="15"/>
      <c r="P432" s="15" t="str">
        <f>IFERROR(INDEX('Formulación PDN 2027'!$AA$7:$AA$506,MATCH(ROW()-5,'Formulación PDN 2027'!$AK$7:$AK$506,0))&amp;"","")</f>
        <v/>
      </c>
      <c r="Q432" s="15" t="str">
        <f>IFERROR(INDEX('Formulación PDN 2027'!$AB$7:$AB$506,MATCH(ROW()-5,'Formulación PDN 2027'!$AK$7:$AK$506,0))&amp;"","")</f>
        <v/>
      </c>
      <c r="R432" s="15" t="str">
        <f>IFERROR(INDEX('Formulación PDN 2027'!$AD$7:$AD$506,MATCH(ROW()-5,'Formulación PDN 2027'!$AK$7:$AK$506,0))&amp;"","")</f>
        <v/>
      </c>
      <c r="S432" s="15" t="str">
        <f>IFERROR(INDEX('Formulación PDN 2027'!$AE$7:$AE$506,MATCH(ROW()-5,'Formulación PDN 2027'!$AK$7:$AK$506,0))&amp;"","")</f>
        <v/>
      </c>
      <c r="T432" s="15" t="str">
        <f>IFERROR(INDEX('Formulación PDN 2027'!$C$7:$C$506,MATCH(ROW()-5,'Formulación PDN 2027'!$AK$7:$AK$506,0))&amp;"","")</f>
        <v/>
      </c>
      <c r="U432" s="15" t="str">
        <f>IFERROR(INDEX('Formulación PDN 2027'!$B$7:$B$506,MATCH(ROW()-5,'Formulación PDN 2027'!$AK$7:$AK$506,0))&amp;"","")</f>
        <v/>
      </c>
      <c r="V432" s="15" t="str">
        <f>IFERROR(LEFT(INDEX('Formulación PDN 2027'!$E$7:$E$506,MATCH(ROW()-5,'Formulación PDN 2027'!$AK$7:$AK$506,0)),7),"")</f>
        <v/>
      </c>
      <c r="W432" s="15" t="str">
        <f>IFERROR(INDEX('Formulación PDN 2027'!$H$7:$H$506,MATCH(ROW()-5,'Formulación PDN 2027'!$AK$7:$AK$506,0))&amp;"","")</f>
        <v/>
      </c>
      <c r="X432" s="15" t="str">
        <f>IFERROR(INDEX('Formulación PDN 2027'!$U$7:$U$506,MATCH(ROW()-5,'Formulación PDN 2027'!$AK$7:$AK$506,0))&amp;"","")</f>
        <v/>
      </c>
      <c r="Y432" s="15" t="str">
        <f>IFERROR(INDEX('Formulación PDN 2027'!$AH$7:$AH$506,MATCH(ROW()-5,'Formulación PDN 2027'!$AK$7:$AK$506,0))&amp;"","")</f>
        <v/>
      </c>
    </row>
    <row r="433" spans="1:25" x14ac:dyDescent="0.3">
      <c r="A433" s="15" t="str">
        <f>IFERROR(INDEX('Formulación PDN 2027'!$A$7:$A$506,MATCH(ROW()-5,'Formulación PDN 2027'!$AK$7:$AK$506,0))&amp;"","")</f>
        <v/>
      </c>
      <c r="B433" s="20" t="str">
        <f>IFERROR(INDEX('Formulación PDN 2027'!$M$7:$M$506,MATCH(ROW()-5,'Formulación PDN 2027'!$AK$7:$AK$506,0)),"")</f>
        <v/>
      </c>
      <c r="C433" s="15" t="str">
        <f>IFERROR(INDEX('Formulación PDN 2027'!$N$7:$N$506,MATCH(ROW()-5,'Formulación PDN 2027'!$AK$7:$AK$506,0))&amp;"","")</f>
        <v/>
      </c>
      <c r="D433" s="15" t="str">
        <f>IFERROR(INDEX('Formulación PDN 2027'!$L$7:$L$506,MATCH(ROW()-5,'Formulación PDN 2027'!$AK$7:$AK$506,0))&amp;"","")</f>
        <v/>
      </c>
      <c r="E433" s="15" t="str">
        <f>IFERROR(MATCH(INDEX('Formulación PDN 2027'!$O$7:$O$506,MATCH(ROW()-5,'Formulación PDN 2027'!$AK$7:$AK$506,0)),L_MESES,0),"")</f>
        <v/>
      </c>
      <c r="F433" s="15" t="str">
        <f>IFERROR(MATCH(INDEX('Formulación PDN 2027'!$P$7:$P$506,MATCH(ROW()-5,'Formulación PDN 2027'!$AK$7:$AK$506,0)),L_MESES,0),"")</f>
        <v/>
      </c>
      <c r="G433" s="15" t="str">
        <f>IFERROR(INDEX('Formulación PDN 2027'!$Q$7:$Q$506,MATCH(ROW()-5,'Formulación PDN 2027'!$AK$7:$AK$506,0)),"")</f>
        <v/>
      </c>
      <c r="H433" s="15" t="str">
        <f>IFERROR(INDEX('Formulación PDN 2027'!$R$7:$R$506,MATCH(ROW()-5,'Formulación PDN 2027'!$AK$7:$AK$506,0))&amp;"","")</f>
        <v/>
      </c>
      <c r="I433" s="15" t="str">
        <f>IFERROR(INDEX('Formulación PDN 2027'!$S$7:$S$506,MATCH(ROW()-5,'Formulación PDN 2027'!$AK$7:$AK$506,0))&amp;"","")</f>
        <v/>
      </c>
      <c r="J433" s="15" t="str">
        <f>IFERROR(INDEX('Formulación PDN 2027'!$T$7:$T$506,MATCH(ROW()-5,'Formulación PDN 2027'!$AK$7:$AK$506,0))&amp;"","")</f>
        <v/>
      </c>
      <c r="K433" s="43" t="str">
        <f>IFERROR(INDEX('Formulación PDN 2027'!$W$7:$W$506,MATCH(ROW()-5,'Formulación PDN 2027'!$AK$7:$AK$506,0)),"")</f>
        <v/>
      </c>
      <c r="L433" s="43" t="str">
        <f>IFERROR(INDEX('Formulación PDN 2027'!$X$7:$X$506,MATCH(ROW()-5,'Formulación PDN 2027'!$AK$7:$AK$506,0)),"")</f>
        <v/>
      </c>
      <c r="M433" s="15" t="str">
        <f>IFERROR(INDEX('Formulación PDN 2027'!$Y$7:$Y$506,MATCH(ROW()-5,'Formulación PDN 2027'!$AK$7:$AK$506,0))&amp;"","")</f>
        <v/>
      </c>
      <c r="N433" s="15" t="str">
        <f>IFERROR(INDEX('Formulación PDN 2027'!$Z$7:$Z$506,MATCH(ROW()-5,'Formulación PDN 2027'!$AK$7:$AK$506,0))&amp;"","")</f>
        <v/>
      </c>
      <c r="O433" s="15"/>
      <c r="P433" s="15" t="str">
        <f>IFERROR(INDEX('Formulación PDN 2027'!$AA$7:$AA$506,MATCH(ROW()-5,'Formulación PDN 2027'!$AK$7:$AK$506,0))&amp;"","")</f>
        <v/>
      </c>
      <c r="Q433" s="15" t="str">
        <f>IFERROR(INDEX('Formulación PDN 2027'!$AB$7:$AB$506,MATCH(ROW()-5,'Formulación PDN 2027'!$AK$7:$AK$506,0))&amp;"","")</f>
        <v/>
      </c>
      <c r="R433" s="15" t="str">
        <f>IFERROR(INDEX('Formulación PDN 2027'!$AD$7:$AD$506,MATCH(ROW()-5,'Formulación PDN 2027'!$AK$7:$AK$506,0))&amp;"","")</f>
        <v/>
      </c>
      <c r="S433" s="15" t="str">
        <f>IFERROR(INDEX('Formulación PDN 2027'!$AE$7:$AE$506,MATCH(ROW()-5,'Formulación PDN 2027'!$AK$7:$AK$506,0))&amp;"","")</f>
        <v/>
      </c>
      <c r="T433" s="15" t="str">
        <f>IFERROR(INDEX('Formulación PDN 2027'!$C$7:$C$506,MATCH(ROW()-5,'Formulación PDN 2027'!$AK$7:$AK$506,0))&amp;"","")</f>
        <v/>
      </c>
      <c r="U433" s="15" t="str">
        <f>IFERROR(INDEX('Formulación PDN 2027'!$B$7:$B$506,MATCH(ROW()-5,'Formulación PDN 2027'!$AK$7:$AK$506,0))&amp;"","")</f>
        <v/>
      </c>
      <c r="V433" s="15" t="str">
        <f>IFERROR(LEFT(INDEX('Formulación PDN 2027'!$E$7:$E$506,MATCH(ROW()-5,'Formulación PDN 2027'!$AK$7:$AK$506,0)),7),"")</f>
        <v/>
      </c>
      <c r="W433" s="15" t="str">
        <f>IFERROR(INDEX('Formulación PDN 2027'!$H$7:$H$506,MATCH(ROW()-5,'Formulación PDN 2027'!$AK$7:$AK$506,0))&amp;"","")</f>
        <v/>
      </c>
      <c r="X433" s="15" t="str">
        <f>IFERROR(INDEX('Formulación PDN 2027'!$U$7:$U$506,MATCH(ROW()-5,'Formulación PDN 2027'!$AK$7:$AK$506,0))&amp;"","")</f>
        <v/>
      </c>
      <c r="Y433" s="15" t="str">
        <f>IFERROR(INDEX('Formulación PDN 2027'!$AH$7:$AH$506,MATCH(ROW()-5,'Formulación PDN 2027'!$AK$7:$AK$506,0))&amp;"","")</f>
        <v/>
      </c>
    </row>
    <row r="434" spans="1:25" x14ac:dyDescent="0.3">
      <c r="A434" s="15" t="str">
        <f>IFERROR(INDEX('Formulación PDN 2027'!$A$7:$A$506,MATCH(ROW()-5,'Formulación PDN 2027'!$AK$7:$AK$506,0))&amp;"","")</f>
        <v/>
      </c>
      <c r="B434" s="20" t="str">
        <f>IFERROR(INDEX('Formulación PDN 2027'!$M$7:$M$506,MATCH(ROW()-5,'Formulación PDN 2027'!$AK$7:$AK$506,0)),"")</f>
        <v/>
      </c>
      <c r="C434" s="15" t="str">
        <f>IFERROR(INDEX('Formulación PDN 2027'!$N$7:$N$506,MATCH(ROW()-5,'Formulación PDN 2027'!$AK$7:$AK$506,0))&amp;"","")</f>
        <v/>
      </c>
      <c r="D434" s="15" t="str">
        <f>IFERROR(INDEX('Formulación PDN 2027'!$L$7:$L$506,MATCH(ROW()-5,'Formulación PDN 2027'!$AK$7:$AK$506,0))&amp;"","")</f>
        <v/>
      </c>
      <c r="E434" s="15" t="str">
        <f>IFERROR(MATCH(INDEX('Formulación PDN 2027'!$O$7:$O$506,MATCH(ROW()-5,'Formulación PDN 2027'!$AK$7:$AK$506,0)),L_MESES,0),"")</f>
        <v/>
      </c>
      <c r="F434" s="15" t="str">
        <f>IFERROR(MATCH(INDEX('Formulación PDN 2027'!$P$7:$P$506,MATCH(ROW()-5,'Formulación PDN 2027'!$AK$7:$AK$506,0)),L_MESES,0),"")</f>
        <v/>
      </c>
      <c r="G434" s="15" t="str">
        <f>IFERROR(INDEX('Formulación PDN 2027'!$Q$7:$Q$506,MATCH(ROW()-5,'Formulación PDN 2027'!$AK$7:$AK$506,0)),"")</f>
        <v/>
      </c>
      <c r="H434" s="15" t="str">
        <f>IFERROR(INDEX('Formulación PDN 2027'!$R$7:$R$506,MATCH(ROW()-5,'Formulación PDN 2027'!$AK$7:$AK$506,0))&amp;"","")</f>
        <v/>
      </c>
      <c r="I434" s="15" t="str">
        <f>IFERROR(INDEX('Formulación PDN 2027'!$S$7:$S$506,MATCH(ROW()-5,'Formulación PDN 2027'!$AK$7:$AK$506,0))&amp;"","")</f>
        <v/>
      </c>
      <c r="J434" s="15" t="str">
        <f>IFERROR(INDEX('Formulación PDN 2027'!$T$7:$T$506,MATCH(ROW()-5,'Formulación PDN 2027'!$AK$7:$AK$506,0))&amp;"","")</f>
        <v/>
      </c>
      <c r="K434" s="43" t="str">
        <f>IFERROR(INDEX('Formulación PDN 2027'!$W$7:$W$506,MATCH(ROW()-5,'Formulación PDN 2027'!$AK$7:$AK$506,0)),"")</f>
        <v/>
      </c>
      <c r="L434" s="43" t="str">
        <f>IFERROR(INDEX('Formulación PDN 2027'!$X$7:$X$506,MATCH(ROW()-5,'Formulación PDN 2027'!$AK$7:$AK$506,0)),"")</f>
        <v/>
      </c>
      <c r="M434" s="15" t="str">
        <f>IFERROR(INDEX('Formulación PDN 2027'!$Y$7:$Y$506,MATCH(ROW()-5,'Formulación PDN 2027'!$AK$7:$AK$506,0))&amp;"","")</f>
        <v/>
      </c>
      <c r="N434" s="15" t="str">
        <f>IFERROR(INDEX('Formulación PDN 2027'!$Z$7:$Z$506,MATCH(ROW()-5,'Formulación PDN 2027'!$AK$7:$AK$506,0))&amp;"","")</f>
        <v/>
      </c>
      <c r="O434" s="15"/>
      <c r="P434" s="15" t="str">
        <f>IFERROR(INDEX('Formulación PDN 2027'!$AA$7:$AA$506,MATCH(ROW()-5,'Formulación PDN 2027'!$AK$7:$AK$506,0))&amp;"","")</f>
        <v/>
      </c>
      <c r="Q434" s="15" t="str">
        <f>IFERROR(INDEX('Formulación PDN 2027'!$AB$7:$AB$506,MATCH(ROW()-5,'Formulación PDN 2027'!$AK$7:$AK$506,0))&amp;"","")</f>
        <v/>
      </c>
      <c r="R434" s="15" t="str">
        <f>IFERROR(INDEX('Formulación PDN 2027'!$AD$7:$AD$506,MATCH(ROW()-5,'Formulación PDN 2027'!$AK$7:$AK$506,0))&amp;"","")</f>
        <v/>
      </c>
      <c r="S434" s="15" t="str">
        <f>IFERROR(INDEX('Formulación PDN 2027'!$AE$7:$AE$506,MATCH(ROW()-5,'Formulación PDN 2027'!$AK$7:$AK$506,0))&amp;"","")</f>
        <v/>
      </c>
      <c r="T434" s="15" t="str">
        <f>IFERROR(INDEX('Formulación PDN 2027'!$C$7:$C$506,MATCH(ROW()-5,'Formulación PDN 2027'!$AK$7:$AK$506,0))&amp;"","")</f>
        <v/>
      </c>
      <c r="U434" s="15" t="str">
        <f>IFERROR(INDEX('Formulación PDN 2027'!$B$7:$B$506,MATCH(ROW()-5,'Formulación PDN 2027'!$AK$7:$AK$506,0))&amp;"","")</f>
        <v/>
      </c>
      <c r="V434" s="15" t="str">
        <f>IFERROR(LEFT(INDEX('Formulación PDN 2027'!$E$7:$E$506,MATCH(ROW()-5,'Formulación PDN 2027'!$AK$7:$AK$506,0)),7),"")</f>
        <v/>
      </c>
      <c r="W434" s="15" t="str">
        <f>IFERROR(INDEX('Formulación PDN 2027'!$H$7:$H$506,MATCH(ROW()-5,'Formulación PDN 2027'!$AK$7:$AK$506,0))&amp;"","")</f>
        <v/>
      </c>
      <c r="X434" s="15" t="str">
        <f>IFERROR(INDEX('Formulación PDN 2027'!$U$7:$U$506,MATCH(ROW()-5,'Formulación PDN 2027'!$AK$7:$AK$506,0))&amp;"","")</f>
        <v/>
      </c>
      <c r="Y434" s="15" t="str">
        <f>IFERROR(INDEX('Formulación PDN 2027'!$AH$7:$AH$506,MATCH(ROW()-5,'Formulación PDN 2027'!$AK$7:$AK$506,0))&amp;"","")</f>
        <v/>
      </c>
    </row>
    <row r="435" spans="1:25" x14ac:dyDescent="0.3">
      <c r="A435" s="15" t="str">
        <f>IFERROR(INDEX('Formulación PDN 2027'!$A$7:$A$506,MATCH(ROW()-5,'Formulación PDN 2027'!$AK$7:$AK$506,0))&amp;"","")</f>
        <v/>
      </c>
      <c r="B435" s="20" t="str">
        <f>IFERROR(INDEX('Formulación PDN 2027'!$M$7:$M$506,MATCH(ROW()-5,'Formulación PDN 2027'!$AK$7:$AK$506,0)),"")</f>
        <v/>
      </c>
      <c r="C435" s="15" t="str">
        <f>IFERROR(INDEX('Formulación PDN 2027'!$N$7:$N$506,MATCH(ROW()-5,'Formulación PDN 2027'!$AK$7:$AK$506,0))&amp;"","")</f>
        <v/>
      </c>
      <c r="D435" s="15" t="str">
        <f>IFERROR(INDEX('Formulación PDN 2027'!$L$7:$L$506,MATCH(ROW()-5,'Formulación PDN 2027'!$AK$7:$AK$506,0))&amp;"","")</f>
        <v/>
      </c>
      <c r="E435" s="15" t="str">
        <f>IFERROR(MATCH(INDEX('Formulación PDN 2027'!$O$7:$O$506,MATCH(ROW()-5,'Formulación PDN 2027'!$AK$7:$AK$506,0)),L_MESES,0),"")</f>
        <v/>
      </c>
      <c r="F435" s="15" t="str">
        <f>IFERROR(MATCH(INDEX('Formulación PDN 2027'!$P$7:$P$506,MATCH(ROW()-5,'Formulación PDN 2027'!$AK$7:$AK$506,0)),L_MESES,0),"")</f>
        <v/>
      </c>
      <c r="G435" s="15" t="str">
        <f>IFERROR(INDEX('Formulación PDN 2027'!$Q$7:$Q$506,MATCH(ROW()-5,'Formulación PDN 2027'!$AK$7:$AK$506,0)),"")</f>
        <v/>
      </c>
      <c r="H435" s="15" t="str">
        <f>IFERROR(INDEX('Formulación PDN 2027'!$R$7:$R$506,MATCH(ROW()-5,'Formulación PDN 2027'!$AK$7:$AK$506,0))&amp;"","")</f>
        <v/>
      </c>
      <c r="I435" s="15" t="str">
        <f>IFERROR(INDEX('Formulación PDN 2027'!$S$7:$S$506,MATCH(ROW()-5,'Formulación PDN 2027'!$AK$7:$AK$506,0))&amp;"","")</f>
        <v/>
      </c>
      <c r="J435" s="15" t="str">
        <f>IFERROR(INDEX('Formulación PDN 2027'!$T$7:$T$506,MATCH(ROW()-5,'Formulación PDN 2027'!$AK$7:$AK$506,0))&amp;"","")</f>
        <v/>
      </c>
      <c r="K435" s="43" t="str">
        <f>IFERROR(INDEX('Formulación PDN 2027'!$W$7:$W$506,MATCH(ROW()-5,'Formulación PDN 2027'!$AK$7:$AK$506,0)),"")</f>
        <v/>
      </c>
      <c r="L435" s="43" t="str">
        <f>IFERROR(INDEX('Formulación PDN 2027'!$X$7:$X$506,MATCH(ROW()-5,'Formulación PDN 2027'!$AK$7:$AK$506,0)),"")</f>
        <v/>
      </c>
      <c r="M435" s="15" t="str">
        <f>IFERROR(INDEX('Formulación PDN 2027'!$Y$7:$Y$506,MATCH(ROW()-5,'Formulación PDN 2027'!$AK$7:$AK$506,0))&amp;"","")</f>
        <v/>
      </c>
      <c r="N435" s="15" t="str">
        <f>IFERROR(INDEX('Formulación PDN 2027'!$Z$7:$Z$506,MATCH(ROW()-5,'Formulación PDN 2027'!$AK$7:$AK$506,0))&amp;"","")</f>
        <v/>
      </c>
      <c r="O435" s="15"/>
      <c r="P435" s="15" t="str">
        <f>IFERROR(INDEX('Formulación PDN 2027'!$AA$7:$AA$506,MATCH(ROW()-5,'Formulación PDN 2027'!$AK$7:$AK$506,0))&amp;"","")</f>
        <v/>
      </c>
      <c r="Q435" s="15" t="str">
        <f>IFERROR(INDEX('Formulación PDN 2027'!$AB$7:$AB$506,MATCH(ROW()-5,'Formulación PDN 2027'!$AK$7:$AK$506,0))&amp;"","")</f>
        <v/>
      </c>
      <c r="R435" s="15" t="str">
        <f>IFERROR(INDEX('Formulación PDN 2027'!$AD$7:$AD$506,MATCH(ROW()-5,'Formulación PDN 2027'!$AK$7:$AK$506,0))&amp;"","")</f>
        <v/>
      </c>
      <c r="S435" s="15" t="str">
        <f>IFERROR(INDEX('Formulación PDN 2027'!$AE$7:$AE$506,MATCH(ROW()-5,'Formulación PDN 2027'!$AK$7:$AK$506,0))&amp;"","")</f>
        <v/>
      </c>
      <c r="T435" s="15" t="str">
        <f>IFERROR(INDEX('Formulación PDN 2027'!$C$7:$C$506,MATCH(ROW()-5,'Formulación PDN 2027'!$AK$7:$AK$506,0))&amp;"","")</f>
        <v/>
      </c>
      <c r="U435" s="15" t="str">
        <f>IFERROR(INDEX('Formulación PDN 2027'!$B$7:$B$506,MATCH(ROW()-5,'Formulación PDN 2027'!$AK$7:$AK$506,0))&amp;"","")</f>
        <v/>
      </c>
      <c r="V435" s="15" t="str">
        <f>IFERROR(LEFT(INDEX('Formulación PDN 2027'!$E$7:$E$506,MATCH(ROW()-5,'Formulación PDN 2027'!$AK$7:$AK$506,0)),7),"")</f>
        <v/>
      </c>
      <c r="W435" s="15" t="str">
        <f>IFERROR(INDEX('Formulación PDN 2027'!$H$7:$H$506,MATCH(ROW()-5,'Formulación PDN 2027'!$AK$7:$AK$506,0))&amp;"","")</f>
        <v/>
      </c>
      <c r="X435" s="15" t="str">
        <f>IFERROR(INDEX('Formulación PDN 2027'!$U$7:$U$506,MATCH(ROW()-5,'Formulación PDN 2027'!$AK$7:$AK$506,0))&amp;"","")</f>
        <v/>
      </c>
      <c r="Y435" s="15" t="str">
        <f>IFERROR(INDEX('Formulación PDN 2027'!$AH$7:$AH$506,MATCH(ROW()-5,'Formulación PDN 2027'!$AK$7:$AK$506,0))&amp;"","")</f>
        <v/>
      </c>
    </row>
    <row r="436" spans="1:25" x14ac:dyDescent="0.3">
      <c r="A436" s="15" t="str">
        <f>IFERROR(INDEX('Formulación PDN 2027'!$A$7:$A$506,MATCH(ROW()-5,'Formulación PDN 2027'!$AK$7:$AK$506,0))&amp;"","")</f>
        <v/>
      </c>
      <c r="B436" s="20" t="str">
        <f>IFERROR(INDEX('Formulación PDN 2027'!$M$7:$M$506,MATCH(ROW()-5,'Formulación PDN 2027'!$AK$7:$AK$506,0)),"")</f>
        <v/>
      </c>
      <c r="C436" s="15" t="str">
        <f>IFERROR(INDEX('Formulación PDN 2027'!$N$7:$N$506,MATCH(ROW()-5,'Formulación PDN 2027'!$AK$7:$AK$506,0))&amp;"","")</f>
        <v/>
      </c>
      <c r="D436" s="15" t="str">
        <f>IFERROR(INDEX('Formulación PDN 2027'!$L$7:$L$506,MATCH(ROW()-5,'Formulación PDN 2027'!$AK$7:$AK$506,0))&amp;"","")</f>
        <v/>
      </c>
      <c r="E436" s="15" t="str">
        <f>IFERROR(MATCH(INDEX('Formulación PDN 2027'!$O$7:$O$506,MATCH(ROW()-5,'Formulación PDN 2027'!$AK$7:$AK$506,0)),L_MESES,0),"")</f>
        <v/>
      </c>
      <c r="F436" s="15" t="str">
        <f>IFERROR(MATCH(INDEX('Formulación PDN 2027'!$P$7:$P$506,MATCH(ROW()-5,'Formulación PDN 2027'!$AK$7:$AK$506,0)),L_MESES,0),"")</f>
        <v/>
      </c>
      <c r="G436" s="15" t="str">
        <f>IFERROR(INDEX('Formulación PDN 2027'!$Q$7:$Q$506,MATCH(ROW()-5,'Formulación PDN 2027'!$AK$7:$AK$506,0)),"")</f>
        <v/>
      </c>
      <c r="H436" s="15" t="str">
        <f>IFERROR(INDEX('Formulación PDN 2027'!$R$7:$R$506,MATCH(ROW()-5,'Formulación PDN 2027'!$AK$7:$AK$506,0))&amp;"","")</f>
        <v/>
      </c>
      <c r="I436" s="15" t="str">
        <f>IFERROR(INDEX('Formulación PDN 2027'!$S$7:$S$506,MATCH(ROW()-5,'Formulación PDN 2027'!$AK$7:$AK$506,0))&amp;"","")</f>
        <v/>
      </c>
      <c r="J436" s="15" t="str">
        <f>IFERROR(INDEX('Formulación PDN 2027'!$T$7:$T$506,MATCH(ROW()-5,'Formulación PDN 2027'!$AK$7:$AK$506,0))&amp;"","")</f>
        <v/>
      </c>
      <c r="K436" s="43" t="str">
        <f>IFERROR(INDEX('Formulación PDN 2027'!$W$7:$W$506,MATCH(ROW()-5,'Formulación PDN 2027'!$AK$7:$AK$506,0)),"")</f>
        <v/>
      </c>
      <c r="L436" s="43" t="str">
        <f>IFERROR(INDEX('Formulación PDN 2027'!$X$7:$X$506,MATCH(ROW()-5,'Formulación PDN 2027'!$AK$7:$AK$506,0)),"")</f>
        <v/>
      </c>
      <c r="M436" s="15" t="str">
        <f>IFERROR(INDEX('Formulación PDN 2027'!$Y$7:$Y$506,MATCH(ROW()-5,'Formulación PDN 2027'!$AK$7:$AK$506,0))&amp;"","")</f>
        <v/>
      </c>
      <c r="N436" s="15" t="str">
        <f>IFERROR(INDEX('Formulación PDN 2027'!$Z$7:$Z$506,MATCH(ROW()-5,'Formulación PDN 2027'!$AK$7:$AK$506,0))&amp;"","")</f>
        <v/>
      </c>
      <c r="O436" s="15"/>
      <c r="P436" s="15" t="str">
        <f>IFERROR(INDEX('Formulación PDN 2027'!$AA$7:$AA$506,MATCH(ROW()-5,'Formulación PDN 2027'!$AK$7:$AK$506,0))&amp;"","")</f>
        <v/>
      </c>
      <c r="Q436" s="15" t="str">
        <f>IFERROR(INDEX('Formulación PDN 2027'!$AB$7:$AB$506,MATCH(ROW()-5,'Formulación PDN 2027'!$AK$7:$AK$506,0))&amp;"","")</f>
        <v/>
      </c>
      <c r="R436" s="15" t="str">
        <f>IFERROR(INDEX('Formulación PDN 2027'!$AD$7:$AD$506,MATCH(ROW()-5,'Formulación PDN 2027'!$AK$7:$AK$506,0))&amp;"","")</f>
        <v/>
      </c>
      <c r="S436" s="15" t="str">
        <f>IFERROR(INDEX('Formulación PDN 2027'!$AE$7:$AE$506,MATCH(ROW()-5,'Formulación PDN 2027'!$AK$7:$AK$506,0))&amp;"","")</f>
        <v/>
      </c>
      <c r="T436" s="15" t="str">
        <f>IFERROR(INDEX('Formulación PDN 2027'!$C$7:$C$506,MATCH(ROW()-5,'Formulación PDN 2027'!$AK$7:$AK$506,0))&amp;"","")</f>
        <v/>
      </c>
      <c r="U436" s="15" t="str">
        <f>IFERROR(INDEX('Formulación PDN 2027'!$B$7:$B$506,MATCH(ROW()-5,'Formulación PDN 2027'!$AK$7:$AK$506,0))&amp;"","")</f>
        <v/>
      </c>
      <c r="V436" s="15" t="str">
        <f>IFERROR(LEFT(INDEX('Formulación PDN 2027'!$E$7:$E$506,MATCH(ROW()-5,'Formulación PDN 2027'!$AK$7:$AK$506,0)),7),"")</f>
        <v/>
      </c>
      <c r="W436" s="15" t="str">
        <f>IFERROR(INDEX('Formulación PDN 2027'!$H$7:$H$506,MATCH(ROW()-5,'Formulación PDN 2027'!$AK$7:$AK$506,0))&amp;"","")</f>
        <v/>
      </c>
      <c r="X436" s="15" t="str">
        <f>IFERROR(INDEX('Formulación PDN 2027'!$U$7:$U$506,MATCH(ROW()-5,'Formulación PDN 2027'!$AK$7:$AK$506,0))&amp;"","")</f>
        <v/>
      </c>
      <c r="Y436" s="15" t="str">
        <f>IFERROR(INDEX('Formulación PDN 2027'!$AH$7:$AH$506,MATCH(ROW()-5,'Formulación PDN 2027'!$AK$7:$AK$506,0))&amp;"","")</f>
        <v/>
      </c>
    </row>
    <row r="437" spans="1:25" x14ac:dyDescent="0.3">
      <c r="A437" s="15" t="str">
        <f>IFERROR(INDEX('Formulación PDN 2027'!$A$7:$A$506,MATCH(ROW()-5,'Formulación PDN 2027'!$AK$7:$AK$506,0))&amp;"","")</f>
        <v/>
      </c>
      <c r="B437" s="20" t="str">
        <f>IFERROR(INDEX('Formulación PDN 2027'!$M$7:$M$506,MATCH(ROW()-5,'Formulación PDN 2027'!$AK$7:$AK$506,0)),"")</f>
        <v/>
      </c>
      <c r="C437" s="15" t="str">
        <f>IFERROR(INDEX('Formulación PDN 2027'!$N$7:$N$506,MATCH(ROW()-5,'Formulación PDN 2027'!$AK$7:$AK$506,0))&amp;"","")</f>
        <v/>
      </c>
      <c r="D437" s="15" t="str">
        <f>IFERROR(INDEX('Formulación PDN 2027'!$L$7:$L$506,MATCH(ROW()-5,'Formulación PDN 2027'!$AK$7:$AK$506,0))&amp;"","")</f>
        <v/>
      </c>
      <c r="E437" s="15" t="str">
        <f>IFERROR(MATCH(INDEX('Formulación PDN 2027'!$O$7:$O$506,MATCH(ROW()-5,'Formulación PDN 2027'!$AK$7:$AK$506,0)),L_MESES,0),"")</f>
        <v/>
      </c>
      <c r="F437" s="15" t="str">
        <f>IFERROR(MATCH(INDEX('Formulación PDN 2027'!$P$7:$P$506,MATCH(ROW()-5,'Formulación PDN 2027'!$AK$7:$AK$506,0)),L_MESES,0),"")</f>
        <v/>
      </c>
      <c r="G437" s="15" t="str">
        <f>IFERROR(INDEX('Formulación PDN 2027'!$Q$7:$Q$506,MATCH(ROW()-5,'Formulación PDN 2027'!$AK$7:$AK$506,0)),"")</f>
        <v/>
      </c>
      <c r="H437" s="15" t="str">
        <f>IFERROR(INDEX('Formulación PDN 2027'!$R$7:$R$506,MATCH(ROW()-5,'Formulación PDN 2027'!$AK$7:$AK$506,0))&amp;"","")</f>
        <v/>
      </c>
      <c r="I437" s="15" t="str">
        <f>IFERROR(INDEX('Formulación PDN 2027'!$S$7:$S$506,MATCH(ROW()-5,'Formulación PDN 2027'!$AK$7:$AK$506,0))&amp;"","")</f>
        <v/>
      </c>
      <c r="J437" s="15" t="str">
        <f>IFERROR(INDEX('Formulación PDN 2027'!$T$7:$T$506,MATCH(ROW()-5,'Formulación PDN 2027'!$AK$7:$AK$506,0))&amp;"","")</f>
        <v/>
      </c>
      <c r="K437" s="43" t="str">
        <f>IFERROR(INDEX('Formulación PDN 2027'!$W$7:$W$506,MATCH(ROW()-5,'Formulación PDN 2027'!$AK$7:$AK$506,0)),"")</f>
        <v/>
      </c>
      <c r="L437" s="43" t="str">
        <f>IFERROR(INDEX('Formulación PDN 2027'!$X$7:$X$506,MATCH(ROW()-5,'Formulación PDN 2027'!$AK$7:$AK$506,0)),"")</f>
        <v/>
      </c>
      <c r="M437" s="15" t="str">
        <f>IFERROR(INDEX('Formulación PDN 2027'!$Y$7:$Y$506,MATCH(ROW()-5,'Formulación PDN 2027'!$AK$7:$AK$506,0))&amp;"","")</f>
        <v/>
      </c>
      <c r="N437" s="15" t="str">
        <f>IFERROR(INDEX('Formulación PDN 2027'!$Z$7:$Z$506,MATCH(ROW()-5,'Formulación PDN 2027'!$AK$7:$AK$506,0))&amp;"","")</f>
        <v/>
      </c>
      <c r="O437" s="15"/>
      <c r="P437" s="15" t="str">
        <f>IFERROR(INDEX('Formulación PDN 2027'!$AA$7:$AA$506,MATCH(ROW()-5,'Formulación PDN 2027'!$AK$7:$AK$506,0))&amp;"","")</f>
        <v/>
      </c>
      <c r="Q437" s="15" t="str">
        <f>IFERROR(INDEX('Formulación PDN 2027'!$AB$7:$AB$506,MATCH(ROW()-5,'Formulación PDN 2027'!$AK$7:$AK$506,0))&amp;"","")</f>
        <v/>
      </c>
      <c r="R437" s="15" t="str">
        <f>IFERROR(INDEX('Formulación PDN 2027'!$AD$7:$AD$506,MATCH(ROW()-5,'Formulación PDN 2027'!$AK$7:$AK$506,0))&amp;"","")</f>
        <v/>
      </c>
      <c r="S437" s="15" t="str">
        <f>IFERROR(INDEX('Formulación PDN 2027'!$AE$7:$AE$506,MATCH(ROW()-5,'Formulación PDN 2027'!$AK$7:$AK$506,0))&amp;"","")</f>
        <v/>
      </c>
      <c r="T437" s="15" t="str">
        <f>IFERROR(INDEX('Formulación PDN 2027'!$C$7:$C$506,MATCH(ROW()-5,'Formulación PDN 2027'!$AK$7:$AK$506,0))&amp;"","")</f>
        <v/>
      </c>
      <c r="U437" s="15" t="str">
        <f>IFERROR(INDEX('Formulación PDN 2027'!$B$7:$B$506,MATCH(ROW()-5,'Formulación PDN 2027'!$AK$7:$AK$506,0))&amp;"","")</f>
        <v/>
      </c>
      <c r="V437" s="15" t="str">
        <f>IFERROR(LEFT(INDEX('Formulación PDN 2027'!$E$7:$E$506,MATCH(ROW()-5,'Formulación PDN 2027'!$AK$7:$AK$506,0)),7),"")</f>
        <v/>
      </c>
      <c r="W437" s="15" t="str">
        <f>IFERROR(INDEX('Formulación PDN 2027'!$H$7:$H$506,MATCH(ROW()-5,'Formulación PDN 2027'!$AK$7:$AK$506,0))&amp;"","")</f>
        <v/>
      </c>
      <c r="X437" s="15" t="str">
        <f>IFERROR(INDEX('Formulación PDN 2027'!$U$7:$U$506,MATCH(ROW()-5,'Formulación PDN 2027'!$AK$7:$AK$506,0))&amp;"","")</f>
        <v/>
      </c>
      <c r="Y437" s="15" t="str">
        <f>IFERROR(INDEX('Formulación PDN 2027'!$AH$7:$AH$506,MATCH(ROW()-5,'Formulación PDN 2027'!$AK$7:$AK$506,0))&amp;"","")</f>
        <v/>
      </c>
    </row>
    <row r="438" spans="1:25" x14ac:dyDescent="0.3">
      <c r="A438" s="15" t="str">
        <f>IFERROR(INDEX('Formulación PDN 2027'!$A$7:$A$506,MATCH(ROW()-5,'Formulación PDN 2027'!$AK$7:$AK$506,0))&amp;"","")</f>
        <v/>
      </c>
      <c r="B438" s="20" t="str">
        <f>IFERROR(INDEX('Formulación PDN 2027'!$M$7:$M$506,MATCH(ROW()-5,'Formulación PDN 2027'!$AK$7:$AK$506,0)),"")</f>
        <v/>
      </c>
      <c r="C438" s="15" t="str">
        <f>IFERROR(INDEX('Formulación PDN 2027'!$N$7:$N$506,MATCH(ROW()-5,'Formulación PDN 2027'!$AK$7:$AK$506,0))&amp;"","")</f>
        <v/>
      </c>
      <c r="D438" s="15" t="str">
        <f>IFERROR(INDEX('Formulación PDN 2027'!$L$7:$L$506,MATCH(ROW()-5,'Formulación PDN 2027'!$AK$7:$AK$506,0))&amp;"","")</f>
        <v/>
      </c>
      <c r="E438" s="15" t="str">
        <f>IFERROR(MATCH(INDEX('Formulación PDN 2027'!$O$7:$O$506,MATCH(ROW()-5,'Formulación PDN 2027'!$AK$7:$AK$506,0)),L_MESES,0),"")</f>
        <v/>
      </c>
      <c r="F438" s="15" t="str">
        <f>IFERROR(MATCH(INDEX('Formulación PDN 2027'!$P$7:$P$506,MATCH(ROW()-5,'Formulación PDN 2027'!$AK$7:$AK$506,0)),L_MESES,0),"")</f>
        <v/>
      </c>
      <c r="G438" s="15" t="str">
        <f>IFERROR(INDEX('Formulación PDN 2027'!$Q$7:$Q$506,MATCH(ROW()-5,'Formulación PDN 2027'!$AK$7:$AK$506,0)),"")</f>
        <v/>
      </c>
      <c r="H438" s="15" t="str">
        <f>IFERROR(INDEX('Formulación PDN 2027'!$R$7:$R$506,MATCH(ROW()-5,'Formulación PDN 2027'!$AK$7:$AK$506,0))&amp;"","")</f>
        <v/>
      </c>
      <c r="I438" s="15" t="str">
        <f>IFERROR(INDEX('Formulación PDN 2027'!$S$7:$S$506,MATCH(ROW()-5,'Formulación PDN 2027'!$AK$7:$AK$506,0))&amp;"","")</f>
        <v/>
      </c>
      <c r="J438" s="15" t="str">
        <f>IFERROR(INDEX('Formulación PDN 2027'!$T$7:$T$506,MATCH(ROW()-5,'Formulación PDN 2027'!$AK$7:$AK$506,0))&amp;"","")</f>
        <v/>
      </c>
      <c r="K438" s="43" t="str">
        <f>IFERROR(INDEX('Formulación PDN 2027'!$W$7:$W$506,MATCH(ROW()-5,'Formulación PDN 2027'!$AK$7:$AK$506,0)),"")</f>
        <v/>
      </c>
      <c r="L438" s="43" t="str">
        <f>IFERROR(INDEX('Formulación PDN 2027'!$X$7:$X$506,MATCH(ROW()-5,'Formulación PDN 2027'!$AK$7:$AK$506,0)),"")</f>
        <v/>
      </c>
      <c r="M438" s="15" t="str">
        <f>IFERROR(INDEX('Formulación PDN 2027'!$Y$7:$Y$506,MATCH(ROW()-5,'Formulación PDN 2027'!$AK$7:$AK$506,0))&amp;"","")</f>
        <v/>
      </c>
      <c r="N438" s="15" t="str">
        <f>IFERROR(INDEX('Formulación PDN 2027'!$Z$7:$Z$506,MATCH(ROW()-5,'Formulación PDN 2027'!$AK$7:$AK$506,0))&amp;"","")</f>
        <v/>
      </c>
      <c r="O438" s="15"/>
      <c r="P438" s="15" t="str">
        <f>IFERROR(INDEX('Formulación PDN 2027'!$AA$7:$AA$506,MATCH(ROW()-5,'Formulación PDN 2027'!$AK$7:$AK$506,0))&amp;"","")</f>
        <v/>
      </c>
      <c r="Q438" s="15" t="str">
        <f>IFERROR(INDEX('Formulación PDN 2027'!$AB$7:$AB$506,MATCH(ROW()-5,'Formulación PDN 2027'!$AK$7:$AK$506,0))&amp;"","")</f>
        <v/>
      </c>
      <c r="R438" s="15" t="str">
        <f>IFERROR(INDEX('Formulación PDN 2027'!$AD$7:$AD$506,MATCH(ROW()-5,'Formulación PDN 2027'!$AK$7:$AK$506,0))&amp;"","")</f>
        <v/>
      </c>
      <c r="S438" s="15" t="str">
        <f>IFERROR(INDEX('Formulación PDN 2027'!$AE$7:$AE$506,MATCH(ROW()-5,'Formulación PDN 2027'!$AK$7:$AK$506,0))&amp;"","")</f>
        <v/>
      </c>
      <c r="T438" s="15" t="str">
        <f>IFERROR(INDEX('Formulación PDN 2027'!$C$7:$C$506,MATCH(ROW()-5,'Formulación PDN 2027'!$AK$7:$AK$506,0))&amp;"","")</f>
        <v/>
      </c>
      <c r="U438" s="15" t="str">
        <f>IFERROR(INDEX('Formulación PDN 2027'!$B$7:$B$506,MATCH(ROW()-5,'Formulación PDN 2027'!$AK$7:$AK$506,0))&amp;"","")</f>
        <v/>
      </c>
      <c r="V438" s="15" t="str">
        <f>IFERROR(LEFT(INDEX('Formulación PDN 2027'!$E$7:$E$506,MATCH(ROW()-5,'Formulación PDN 2027'!$AK$7:$AK$506,0)),7),"")</f>
        <v/>
      </c>
      <c r="W438" s="15" t="str">
        <f>IFERROR(INDEX('Formulación PDN 2027'!$H$7:$H$506,MATCH(ROW()-5,'Formulación PDN 2027'!$AK$7:$AK$506,0))&amp;"","")</f>
        <v/>
      </c>
      <c r="X438" s="15" t="str">
        <f>IFERROR(INDEX('Formulación PDN 2027'!$U$7:$U$506,MATCH(ROW()-5,'Formulación PDN 2027'!$AK$7:$AK$506,0))&amp;"","")</f>
        <v/>
      </c>
      <c r="Y438" s="15" t="str">
        <f>IFERROR(INDEX('Formulación PDN 2027'!$AH$7:$AH$506,MATCH(ROW()-5,'Formulación PDN 2027'!$AK$7:$AK$506,0))&amp;"","")</f>
        <v/>
      </c>
    </row>
    <row r="439" spans="1:25" x14ac:dyDescent="0.3">
      <c r="A439" s="15" t="str">
        <f>IFERROR(INDEX('Formulación PDN 2027'!$A$7:$A$506,MATCH(ROW()-5,'Formulación PDN 2027'!$AK$7:$AK$506,0))&amp;"","")</f>
        <v/>
      </c>
      <c r="B439" s="20" t="str">
        <f>IFERROR(INDEX('Formulación PDN 2027'!$M$7:$M$506,MATCH(ROW()-5,'Formulación PDN 2027'!$AK$7:$AK$506,0)),"")</f>
        <v/>
      </c>
      <c r="C439" s="15" t="str">
        <f>IFERROR(INDEX('Formulación PDN 2027'!$N$7:$N$506,MATCH(ROW()-5,'Formulación PDN 2027'!$AK$7:$AK$506,0))&amp;"","")</f>
        <v/>
      </c>
      <c r="D439" s="15" t="str">
        <f>IFERROR(INDEX('Formulación PDN 2027'!$L$7:$L$506,MATCH(ROW()-5,'Formulación PDN 2027'!$AK$7:$AK$506,0))&amp;"","")</f>
        <v/>
      </c>
      <c r="E439" s="15" t="str">
        <f>IFERROR(MATCH(INDEX('Formulación PDN 2027'!$O$7:$O$506,MATCH(ROW()-5,'Formulación PDN 2027'!$AK$7:$AK$506,0)),L_MESES,0),"")</f>
        <v/>
      </c>
      <c r="F439" s="15" t="str">
        <f>IFERROR(MATCH(INDEX('Formulación PDN 2027'!$P$7:$P$506,MATCH(ROW()-5,'Formulación PDN 2027'!$AK$7:$AK$506,0)),L_MESES,0),"")</f>
        <v/>
      </c>
      <c r="G439" s="15" t="str">
        <f>IFERROR(INDEX('Formulación PDN 2027'!$Q$7:$Q$506,MATCH(ROW()-5,'Formulación PDN 2027'!$AK$7:$AK$506,0)),"")</f>
        <v/>
      </c>
      <c r="H439" s="15" t="str">
        <f>IFERROR(INDEX('Formulación PDN 2027'!$R$7:$R$506,MATCH(ROW()-5,'Formulación PDN 2027'!$AK$7:$AK$506,0))&amp;"","")</f>
        <v/>
      </c>
      <c r="I439" s="15" t="str">
        <f>IFERROR(INDEX('Formulación PDN 2027'!$S$7:$S$506,MATCH(ROW()-5,'Formulación PDN 2027'!$AK$7:$AK$506,0))&amp;"","")</f>
        <v/>
      </c>
      <c r="J439" s="15" t="str">
        <f>IFERROR(INDEX('Formulación PDN 2027'!$T$7:$T$506,MATCH(ROW()-5,'Formulación PDN 2027'!$AK$7:$AK$506,0))&amp;"","")</f>
        <v/>
      </c>
      <c r="K439" s="43" t="str">
        <f>IFERROR(INDEX('Formulación PDN 2027'!$W$7:$W$506,MATCH(ROW()-5,'Formulación PDN 2027'!$AK$7:$AK$506,0)),"")</f>
        <v/>
      </c>
      <c r="L439" s="43" t="str">
        <f>IFERROR(INDEX('Formulación PDN 2027'!$X$7:$X$506,MATCH(ROW()-5,'Formulación PDN 2027'!$AK$7:$AK$506,0)),"")</f>
        <v/>
      </c>
      <c r="M439" s="15" t="str">
        <f>IFERROR(INDEX('Formulación PDN 2027'!$Y$7:$Y$506,MATCH(ROW()-5,'Formulación PDN 2027'!$AK$7:$AK$506,0))&amp;"","")</f>
        <v/>
      </c>
      <c r="N439" s="15" t="str">
        <f>IFERROR(INDEX('Formulación PDN 2027'!$Z$7:$Z$506,MATCH(ROW()-5,'Formulación PDN 2027'!$AK$7:$AK$506,0))&amp;"","")</f>
        <v/>
      </c>
      <c r="O439" s="15"/>
      <c r="P439" s="15" t="str">
        <f>IFERROR(INDEX('Formulación PDN 2027'!$AA$7:$AA$506,MATCH(ROW()-5,'Formulación PDN 2027'!$AK$7:$AK$506,0))&amp;"","")</f>
        <v/>
      </c>
      <c r="Q439" s="15" t="str">
        <f>IFERROR(INDEX('Formulación PDN 2027'!$AB$7:$AB$506,MATCH(ROW()-5,'Formulación PDN 2027'!$AK$7:$AK$506,0))&amp;"","")</f>
        <v/>
      </c>
      <c r="R439" s="15" t="str">
        <f>IFERROR(INDEX('Formulación PDN 2027'!$AD$7:$AD$506,MATCH(ROW()-5,'Formulación PDN 2027'!$AK$7:$AK$506,0))&amp;"","")</f>
        <v/>
      </c>
      <c r="S439" s="15" t="str">
        <f>IFERROR(INDEX('Formulación PDN 2027'!$AE$7:$AE$506,MATCH(ROW()-5,'Formulación PDN 2027'!$AK$7:$AK$506,0))&amp;"","")</f>
        <v/>
      </c>
      <c r="T439" s="15" t="str">
        <f>IFERROR(INDEX('Formulación PDN 2027'!$C$7:$C$506,MATCH(ROW()-5,'Formulación PDN 2027'!$AK$7:$AK$506,0))&amp;"","")</f>
        <v/>
      </c>
      <c r="U439" s="15" t="str">
        <f>IFERROR(INDEX('Formulación PDN 2027'!$B$7:$B$506,MATCH(ROW()-5,'Formulación PDN 2027'!$AK$7:$AK$506,0))&amp;"","")</f>
        <v/>
      </c>
      <c r="V439" s="15" t="str">
        <f>IFERROR(LEFT(INDEX('Formulación PDN 2027'!$E$7:$E$506,MATCH(ROW()-5,'Formulación PDN 2027'!$AK$7:$AK$506,0)),7),"")</f>
        <v/>
      </c>
      <c r="W439" s="15" t="str">
        <f>IFERROR(INDEX('Formulación PDN 2027'!$H$7:$H$506,MATCH(ROW()-5,'Formulación PDN 2027'!$AK$7:$AK$506,0))&amp;"","")</f>
        <v/>
      </c>
      <c r="X439" s="15" t="str">
        <f>IFERROR(INDEX('Formulación PDN 2027'!$U$7:$U$506,MATCH(ROW()-5,'Formulación PDN 2027'!$AK$7:$AK$506,0))&amp;"","")</f>
        <v/>
      </c>
      <c r="Y439" s="15" t="str">
        <f>IFERROR(INDEX('Formulación PDN 2027'!$AH$7:$AH$506,MATCH(ROW()-5,'Formulación PDN 2027'!$AK$7:$AK$506,0))&amp;"","")</f>
        <v/>
      </c>
    </row>
    <row r="440" spans="1:25" x14ac:dyDescent="0.3">
      <c r="A440" s="15" t="str">
        <f>IFERROR(INDEX('Formulación PDN 2027'!$A$7:$A$506,MATCH(ROW()-5,'Formulación PDN 2027'!$AK$7:$AK$506,0))&amp;"","")</f>
        <v/>
      </c>
      <c r="B440" s="20" t="str">
        <f>IFERROR(INDEX('Formulación PDN 2027'!$M$7:$M$506,MATCH(ROW()-5,'Formulación PDN 2027'!$AK$7:$AK$506,0)),"")</f>
        <v/>
      </c>
      <c r="C440" s="15" t="str">
        <f>IFERROR(INDEX('Formulación PDN 2027'!$N$7:$N$506,MATCH(ROW()-5,'Formulación PDN 2027'!$AK$7:$AK$506,0))&amp;"","")</f>
        <v/>
      </c>
      <c r="D440" s="15" t="str">
        <f>IFERROR(INDEX('Formulación PDN 2027'!$L$7:$L$506,MATCH(ROW()-5,'Formulación PDN 2027'!$AK$7:$AK$506,0))&amp;"","")</f>
        <v/>
      </c>
      <c r="E440" s="15" t="str">
        <f>IFERROR(MATCH(INDEX('Formulación PDN 2027'!$O$7:$O$506,MATCH(ROW()-5,'Formulación PDN 2027'!$AK$7:$AK$506,0)),L_MESES,0),"")</f>
        <v/>
      </c>
      <c r="F440" s="15" t="str">
        <f>IFERROR(MATCH(INDEX('Formulación PDN 2027'!$P$7:$P$506,MATCH(ROW()-5,'Formulación PDN 2027'!$AK$7:$AK$506,0)),L_MESES,0),"")</f>
        <v/>
      </c>
      <c r="G440" s="15" t="str">
        <f>IFERROR(INDEX('Formulación PDN 2027'!$Q$7:$Q$506,MATCH(ROW()-5,'Formulación PDN 2027'!$AK$7:$AK$506,0)),"")</f>
        <v/>
      </c>
      <c r="H440" s="15" t="str">
        <f>IFERROR(INDEX('Formulación PDN 2027'!$R$7:$R$506,MATCH(ROW()-5,'Formulación PDN 2027'!$AK$7:$AK$506,0))&amp;"","")</f>
        <v/>
      </c>
      <c r="I440" s="15" t="str">
        <f>IFERROR(INDEX('Formulación PDN 2027'!$S$7:$S$506,MATCH(ROW()-5,'Formulación PDN 2027'!$AK$7:$AK$506,0))&amp;"","")</f>
        <v/>
      </c>
      <c r="J440" s="15" t="str">
        <f>IFERROR(INDEX('Formulación PDN 2027'!$T$7:$T$506,MATCH(ROW()-5,'Formulación PDN 2027'!$AK$7:$AK$506,0))&amp;"","")</f>
        <v/>
      </c>
      <c r="K440" s="43" t="str">
        <f>IFERROR(INDEX('Formulación PDN 2027'!$W$7:$W$506,MATCH(ROW()-5,'Formulación PDN 2027'!$AK$7:$AK$506,0)),"")</f>
        <v/>
      </c>
      <c r="L440" s="43" t="str">
        <f>IFERROR(INDEX('Formulación PDN 2027'!$X$7:$X$506,MATCH(ROW()-5,'Formulación PDN 2027'!$AK$7:$AK$506,0)),"")</f>
        <v/>
      </c>
      <c r="M440" s="15" t="str">
        <f>IFERROR(INDEX('Formulación PDN 2027'!$Y$7:$Y$506,MATCH(ROW()-5,'Formulación PDN 2027'!$AK$7:$AK$506,0))&amp;"","")</f>
        <v/>
      </c>
      <c r="N440" s="15" t="str">
        <f>IFERROR(INDEX('Formulación PDN 2027'!$Z$7:$Z$506,MATCH(ROW()-5,'Formulación PDN 2027'!$AK$7:$AK$506,0))&amp;"","")</f>
        <v/>
      </c>
      <c r="O440" s="15"/>
      <c r="P440" s="15" t="str">
        <f>IFERROR(INDEX('Formulación PDN 2027'!$AA$7:$AA$506,MATCH(ROW()-5,'Formulación PDN 2027'!$AK$7:$AK$506,0))&amp;"","")</f>
        <v/>
      </c>
      <c r="Q440" s="15" t="str">
        <f>IFERROR(INDEX('Formulación PDN 2027'!$AB$7:$AB$506,MATCH(ROW()-5,'Formulación PDN 2027'!$AK$7:$AK$506,0))&amp;"","")</f>
        <v/>
      </c>
      <c r="R440" s="15" t="str">
        <f>IFERROR(INDEX('Formulación PDN 2027'!$AD$7:$AD$506,MATCH(ROW()-5,'Formulación PDN 2027'!$AK$7:$AK$506,0))&amp;"","")</f>
        <v/>
      </c>
      <c r="S440" s="15" t="str">
        <f>IFERROR(INDEX('Formulación PDN 2027'!$AE$7:$AE$506,MATCH(ROW()-5,'Formulación PDN 2027'!$AK$7:$AK$506,0))&amp;"","")</f>
        <v/>
      </c>
      <c r="T440" s="15" t="str">
        <f>IFERROR(INDEX('Formulación PDN 2027'!$C$7:$C$506,MATCH(ROW()-5,'Formulación PDN 2027'!$AK$7:$AK$506,0))&amp;"","")</f>
        <v/>
      </c>
      <c r="U440" s="15" t="str">
        <f>IFERROR(INDEX('Formulación PDN 2027'!$B$7:$B$506,MATCH(ROW()-5,'Formulación PDN 2027'!$AK$7:$AK$506,0))&amp;"","")</f>
        <v/>
      </c>
      <c r="V440" s="15" t="str">
        <f>IFERROR(LEFT(INDEX('Formulación PDN 2027'!$E$7:$E$506,MATCH(ROW()-5,'Formulación PDN 2027'!$AK$7:$AK$506,0)),7),"")</f>
        <v/>
      </c>
      <c r="W440" s="15" t="str">
        <f>IFERROR(INDEX('Formulación PDN 2027'!$H$7:$H$506,MATCH(ROW()-5,'Formulación PDN 2027'!$AK$7:$AK$506,0))&amp;"","")</f>
        <v/>
      </c>
      <c r="X440" s="15" t="str">
        <f>IFERROR(INDEX('Formulación PDN 2027'!$U$7:$U$506,MATCH(ROW()-5,'Formulación PDN 2027'!$AK$7:$AK$506,0))&amp;"","")</f>
        <v/>
      </c>
      <c r="Y440" s="15" t="str">
        <f>IFERROR(INDEX('Formulación PDN 2027'!$AH$7:$AH$506,MATCH(ROW()-5,'Formulación PDN 2027'!$AK$7:$AK$506,0))&amp;"","")</f>
        <v/>
      </c>
    </row>
    <row r="441" spans="1:25" x14ac:dyDescent="0.3">
      <c r="A441" s="15" t="str">
        <f>IFERROR(INDEX('Formulación PDN 2027'!$A$7:$A$506,MATCH(ROW()-5,'Formulación PDN 2027'!$AK$7:$AK$506,0))&amp;"","")</f>
        <v/>
      </c>
      <c r="B441" s="20" t="str">
        <f>IFERROR(INDEX('Formulación PDN 2027'!$M$7:$M$506,MATCH(ROW()-5,'Formulación PDN 2027'!$AK$7:$AK$506,0)),"")</f>
        <v/>
      </c>
      <c r="C441" s="15" t="str">
        <f>IFERROR(INDEX('Formulación PDN 2027'!$N$7:$N$506,MATCH(ROW()-5,'Formulación PDN 2027'!$AK$7:$AK$506,0))&amp;"","")</f>
        <v/>
      </c>
      <c r="D441" s="15" t="str">
        <f>IFERROR(INDEX('Formulación PDN 2027'!$L$7:$L$506,MATCH(ROW()-5,'Formulación PDN 2027'!$AK$7:$AK$506,0))&amp;"","")</f>
        <v/>
      </c>
      <c r="E441" s="15" t="str">
        <f>IFERROR(MATCH(INDEX('Formulación PDN 2027'!$O$7:$O$506,MATCH(ROW()-5,'Formulación PDN 2027'!$AK$7:$AK$506,0)),L_MESES,0),"")</f>
        <v/>
      </c>
      <c r="F441" s="15" t="str">
        <f>IFERROR(MATCH(INDEX('Formulación PDN 2027'!$P$7:$P$506,MATCH(ROW()-5,'Formulación PDN 2027'!$AK$7:$AK$506,0)),L_MESES,0),"")</f>
        <v/>
      </c>
      <c r="G441" s="15" t="str">
        <f>IFERROR(INDEX('Formulación PDN 2027'!$Q$7:$Q$506,MATCH(ROW()-5,'Formulación PDN 2027'!$AK$7:$AK$506,0)),"")</f>
        <v/>
      </c>
      <c r="H441" s="15" t="str">
        <f>IFERROR(INDEX('Formulación PDN 2027'!$R$7:$R$506,MATCH(ROW()-5,'Formulación PDN 2027'!$AK$7:$AK$506,0))&amp;"","")</f>
        <v/>
      </c>
      <c r="I441" s="15" t="str">
        <f>IFERROR(INDEX('Formulación PDN 2027'!$S$7:$S$506,MATCH(ROW()-5,'Formulación PDN 2027'!$AK$7:$AK$506,0))&amp;"","")</f>
        <v/>
      </c>
      <c r="J441" s="15" t="str">
        <f>IFERROR(INDEX('Formulación PDN 2027'!$T$7:$T$506,MATCH(ROW()-5,'Formulación PDN 2027'!$AK$7:$AK$506,0))&amp;"","")</f>
        <v/>
      </c>
      <c r="K441" s="43" t="str">
        <f>IFERROR(INDEX('Formulación PDN 2027'!$W$7:$W$506,MATCH(ROW()-5,'Formulación PDN 2027'!$AK$7:$AK$506,0)),"")</f>
        <v/>
      </c>
      <c r="L441" s="43" t="str">
        <f>IFERROR(INDEX('Formulación PDN 2027'!$X$7:$X$506,MATCH(ROW()-5,'Formulación PDN 2027'!$AK$7:$AK$506,0)),"")</f>
        <v/>
      </c>
      <c r="M441" s="15" t="str">
        <f>IFERROR(INDEX('Formulación PDN 2027'!$Y$7:$Y$506,MATCH(ROW()-5,'Formulación PDN 2027'!$AK$7:$AK$506,0))&amp;"","")</f>
        <v/>
      </c>
      <c r="N441" s="15" t="str">
        <f>IFERROR(INDEX('Formulación PDN 2027'!$Z$7:$Z$506,MATCH(ROW()-5,'Formulación PDN 2027'!$AK$7:$AK$506,0))&amp;"","")</f>
        <v/>
      </c>
      <c r="O441" s="15"/>
      <c r="P441" s="15" t="str">
        <f>IFERROR(INDEX('Formulación PDN 2027'!$AA$7:$AA$506,MATCH(ROW()-5,'Formulación PDN 2027'!$AK$7:$AK$506,0))&amp;"","")</f>
        <v/>
      </c>
      <c r="Q441" s="15" t="str">
        <f>IFERROR(INDEX('Formulación PDN 2027'!$AB$7:$AB$506,MATCH(ROW()-5,'Formulación PDN 2027'!$AK$7:$AK$506,0))&amp;"","")</f>
        <v/>
      </c>
      <c r="R441" s="15" t="str">
        <f>IFERROR(INDEX('Formulación PDN 2027'!$AD$7:$AD$506,MATCH(ROW()-5,'Formulación PDN 2027'!$AK$7:$AK$506,0))&amp;"","")</f>
        <v/>
      </c>
      <c r="S441" s="15" t="str">
        <f>IFERROR(INDEX('Formulación PDN 2027'!$AE$7:$AE$506,MATCH(ROW()-5,'Formulación PDN 2027'!$AK$7:$AK$506,0))&amp;"","")</f>
        <v/>
      </c>
      <c r="T441" s="15" t="str">
        <f>IFERROR(INDEX('Formulación PDN 2027'!$C$7:$C$506,MATCH(ROW()-5,'Formulación PDN 2027'!$AK$7:$AK$506,0))&amp;"","")</f>
        <v/>
      </c>
      <c r="U441" s="15" t="str">
        <f>IFERROR(INDEX('Formulación PDN 2027'!$B$7:$B$506,MATCH(ROW()-5,'Formulación PDN 2027'!$AK$7:$AK$506,0))&amp;"","")</f>
        <v/>
      </c>
      <c r="V441" s="15" t="str">
        <f>IFERROR(LEFT(INDEX('Formulación PDN 2027'!$E$7:$E$506,MATCH(ROW()-5,'Formulación PDN 2027'!$AK$7:$AK$506,0)),7),"")</f>
        <v/>
      </c>
      <c r="W441" s="15" t="str">
        <f>IFERROR(INDEX('Formulación PDN 2027'!$H$7:$H$506,MATCH(ROW()-5,'Formulación PDN 2027'!$AK$7:$AK$506,0))&amp;"","")</f>
        <v/>
      </c>
      <c r="X441" s="15" t="str">
        <f>IFERROR(INDEX('Formulación PDN 2027'!$U$7:$U$506,MATCH(ROW()-5,'Formulación PDN 2027'!$AK$7:$AK$506,0))&amp;"","")</f>
        <v/>
      </c>
      <c r="Y441" s="15" t="str">
        <f>IFERROR(INDEX('Formulación PDN 2027'!$AH$7:$AH$506,MATCH(ROW()-5,'Formulación PDN 2027'!$AK$7:$AK$506,0))&amp;"","")</f>
        <v/>
      </c>
    </row>
    <row r="442" spans="1:25" x14ac:dyDescent="0.3">
      <c r="A442" s="15" t="str">
        <f>IFERROR(INDEX('Formulación PDN 2027'!$A$7:$A$506,MATCH(ROW()-5,'Formulación PDN 2027'!$AK$7:$AK$506,0))&amp;"","")</f>
        <v/>
      </c>
      <c r="B442" s="20" t="str">
        <f>IFERROR(INDEX('Formulación PDN 2027'!$M$7:$M$506,MATCH(ROW()-5,'Formulación PDN 2027'!$AK$7:$AK$506,0)),"")</f>
        <v/>
      </c>
      <c r="C442" s="15" t="str">
        <f>IFERROR(INDEX('Formulación PDN 2027'!$N$7:$N$506,MATCH(ROW()-5,'Formulación PDN 2027'!$AK$7:$AK$506,0))&amp;"","")</f>
        <v/>
      </c>
      <c r="D442" s="15" t="str">
        <f>IFERROR(INDEX('Formulación PDN 2027'!$L$7:$L$506,MATCH(ROW()-5,'Formulación PDN 2027'!$AK$7:$AK$506,0))&amp;"","")</f>
        <v/>
      </c>
      <c r="E442" s="15" t="str">
        <f>IFERROR(MATCH(INDEX('Formulación PDN 2027'!$O$7:$O$506,MATCH(ROW()-5,'Formulación PDN 2027'!$AK$7:$AK$506,0)),L_MESES,0),"")</f>
        <v/>
      </c>
      <c r="F442" s="15" t="str">
        <f>IFERROR(MATCH(INDEX('Formulación PDN 2027'!$P$7:$P$506,MATCH(ROW()-5,'Formulación PDN 2027'!$AK$7:$AK$506,0)),L_MESES,0),"")</f>
        <v/>
      </c>
      <c r="G442" s="15" t="str">
        <f>IFERROR(INDEX('Formulación PDN 2027'!$Q$7:$Q$506,MATCH(ROW()-5,'Formulación PDN 2027'!$AK$7:$AK$506,0)),"")</f>
        <v/>
      </c>
      <c r="H442" s="15" t="str">
        <f>IFERROR(INDEX('Formulación PDN 2027'!$R$7:$R$506,MATCH(ROW()-5,'Formulación PDN 2027'!$AK$7:$AK$506,0))&amp;"","")</f>
        <v/>
      </c>
      <c r="I442" s="15" t="str">
        <f>IFERROR(INDEX('Formulación PDN 2027'!$S$7:$S$506,MATCH(ROW()-5,'Formulación PDN 2027'!$AK$7:$AK$506,0))&amp;"","")</f>
        <v/>
      </c>
      <c r="J442" s="15" t="str">
        <f>IFERROR(INDEX('Formulación PDN 2027'!$T$7:$T$506,MATCH(ROW()-5,'Formulación PDN 2027'!$AK$7:$AK$506,0))&amp;"","")</f>
        <v/>
      </c>
      <c r="K442" s="43" t="str">
        <f>IFERROR(INDEX('Formulación PDN 2027'!$W$7:$W$506,MATCH(ROW()-5,'Formulación PDN 2027'!$AK$7:$AK$506,0)),"")</f>
        <v/>
      </c>
      <c r="L442" s="43" t="str">
        <f>IFERROR(INDEX('Formulación PDN 2027'!$X$7:$X$506,MATCH(ROW()-5,'Formulación PDN 2027'!$AK$7:$AK$506,0)),"")</f>
        <v/>
      </c>
      <c r="M442" s="15" t="str">
        <f>IFERROR(INDEX('Formulación PDN 2027'!$Y$7:$Y$506,MATCH(ROW()-5,'Formulación PDN 2027'!$AK$7:$AK$506,0))&amp;"","")</f>
        <v/>
      </c>
      <c r="N442" s="15" t="str">
        <f>IFERROR(INDEX('Formulación PDN 2027'!$Z$7:$Z$506,MATCH(ROW()-5,'Formulación PDN 2027'!$AK$7:$AK$506,0))&amp;"","")</f>
        <v/>
      </c>
      <c r="O442" s="15"/>
      <c r="P442" s="15" t="str">
        <f>IFERROR(INDEX('Formulación PDN 2027'!$AA$7:$AA$506,MATCH(ROW()-5,'Formulación PDN 2027'!$AK$7:$AK$506,0))&amp;"","")</f>
        <v/>
      </c>
      <c r="Q442" s="15" t="str">
        <f>IFERROR(INDEX('Formulación PDN 2027'!$AB$7:$AB$506,MATCH(ROW()-5,'Formulación PDN 2027'!$AK$7:$AK$506,0))&amp;"","")</f>
        <v/>
      </c>
      <c r="R442" s="15" t="str">
        <f>IFERROR(INDEX('Formulación PDN 2027'!$AD$7:$AD$506,MATCH(ROW()-5,'Formulación PDN 2027'!$AK$7:$AK$506,0))&amp;"","")</f>
        <v/>
      </c>
      <c r="S442" s="15" t="str">
        <f>IFERROR(INDEX('Formulación PDN 2027'!$AE$7:$AE$506,MATCH(ROW()-5,'Formulación PDN 2027'!$AK$7:$AK$506,0))&amp;"","")</f>
        <v/>
      </c>
      <c r="T442" s="15" t="str">
        <f>IFERROR(INDEX('Formulación PDN 2027'!$C$7:$C$506,MATCH(ROW()-5,'Formulación PDN 2027'!$AK$7:$AK$506,0))&amp;"","")</f>
        <v/>
      </c>
      <c r="U442" s="15" t="str">
        <f>IFERROR(INDEX('Formulación PDN 2027'!$B$7:$B$506,MATCH(ROW()-5,'Formulación PDN 2027'!$AK$7:$AK$506,0))&amp;"","")</f>
        <v/>
      </c>
      <c r="V442" s="15" t="str">
        <f>IFERROR(LEFT(INDEX('Formulación PDN 2027'!$E$7:$E$506,MATCH(ROW()-5,'Formulación PDN 2027'!$AK$7:$AK$506,0)),7),"")</f>
        <v/>
      </c>
      <c r="W442" s="15" t="str">
        <f>IFERROR(INDEX('Formulación PDN 2027'!$H$7:$H$506,MATCH(ROW()-5,'Formulación PDN 2027'!$AK$7:$AK$506,0))&amp;"","")</f>
        <v/>
      </c>
      <c r="X442" s="15" t="str">
        <f>IFERROR(INDEX('Formulación PDN 2027'!$U$7:$U$506,MATCH(ROW()-5,'Formulación PDN 2027'!$AK$7:$AK$506,0))&amp;"","")</f>
        <v/>
      </c>
      <c r="Y442" s="15" t="str">
        <f>IFERROR(INDEX('Formulación PDN 2027'!$AH$7:$AH$506,MATCH(ROW()-5,'Formulación PDN 2027'!$AK$7:$AK$506,0))&amp;"","")</f>
        <v/>
      </c>
    </row>
    <row r="443" spans="1:25" x14ac:dyDescent="0.3">
      <c r="A443" s="15" t="str">
        <f>IFERROR(INDEX('Formulación PDN 2027'!$A$7:$A$506,MATCH(ROW()-5,'Formulación PDN 2027'!$AK$7:$AK$506,0))&amp;"","")</f>
        <v/>
      </c>
      <c r="B443" s="20" t="str">
        <f>IFERROR(INDEX('Formulación PDN 2027'!$M$7:$M$506,MATCH(ROW()-5,'Formulación PDN 2027'!$AK$7:$AK$506,0)),"")</f>
        <v/>
      </c>
      <c r="C443" s="15" t="str">
        <f>IFERROR(INDEX('Formulación PDN 2027'!$N$7:$N$506,MATCH(ROW()-5,'Formulación PDN 2027'!$AK$7:$AK$506,0))&amp;"","")</f>
        <v/>
      </c>
      <c r="D443" s="15" t="str">
        <f>IFERROR(INDEX('Formulación PDN 2027'!$L$7:$L$506,MATCH(ROW()-5,'Formulación PDN 2027'!$AK$7:$AK$506,0))&amp;"","")</f>
        <v/>
      </c>
      <c r="E443" s="15" t="str">
        <f>IFERROR(MATCH(INDEX('Formulación PDN 2027'!$O$7:$O$506,MATCH(ROW()-5,'Formulación PDN 2027'!$AK$7:$AK$506,0)),L_MESES,0),"")</f>
        <v/>
      </c>
      <c r="F443" s="15" t="str">
        <f>IFERROR(MATCH(INDEX('Formulación PDN 2027'!$P$7:$P$506,MATCH(ROW()-5,'Formulación PDN 2027'!$AK$7:$AK$506,0)),L_MESES,0),"")</f>
        <v/>
      </c>
      <c r="G443" s="15" t="str">
        <f>IFERROR(INDEX('Formulación PDN 2027'!$Q$7:$Q$506,MATCH(ROW()-5,'Formulación PDN 2027'!$AK$7:$AK$506,0)),"")</f>
        <v/>
      </c>
      <c r="H443" s="15" t="str">
        <f>IFERROR(INDEX('Formulación PDN 2027'!$R$7:$R$506,MATCH(ROW()-5,'Formulación PDN 2027'!$AK$7:$AK$506,0))&amp;"","")</f>
        <v/>
      </c>
      <c r="I443" s="15" t="str">
        <f>IFERROR(INDEX('Formulación PDN 2027'!$S$7:$S$506,MATCH(ROW()-5,'Formulación PDN 2027'!$AK$7:$AK$506,0))&amp;"","")</f>
        <v/>
      </c>
      <c r="J443" s="15" t="str">
        <f>IFERROR(INDEX('Formulación PDN 2027'!$T$7:$T$506,MATCH(ROW()-5,'Formulación PDN 2027'!$AK$7:$AK$506,0))&amp;"","")</f>
        <v/>
      </c>
      <c r="K443" s="43" t="str">
        <f>IFERROR(INDEX('Formulación PDN 2027'!$W$7:$W$506,MATCH(ROW()-5,'Formulación PDN 2027'!$AK$7:$AK$506,0)),"")</f>
        <v/>
      </c>
      <c r="L443" s="43" t="str">
        <f>IFERROR(INDEX('Formulación PDN 2027'!$X$7:$X$506,MATCH(ROW()-5,'Formulación PDN 2027'!$AK$7:$AK$506,0)),"")</f>
        <v/>
      </c>
      <c r="M443" s="15" t="str">
        <f>IFERROR(INDEX('Formulación PDN 2027'!$Y$7:$Y$506,MATCH(ROW()-5,'Formulación PDN 2027'!$AK$7:$AK$506,0))&amp;"","")</f>
        <v/>
      </c>
      <c r="N443" s="15" t="str">
        <f>IFERROR(INDEX('Formulación PDN 2027'!$Z$7:$Z$506,MATCH(ROW()-5,'Formulación PDN 2027'!$AK$7:$AK$506,0))&amp;"","")</f>
        <v/>
      </c>
      <c r="O443" s="15"/>
      <c r="P443" s="15" t="str">
        <f>IFERROR(INDEX('Formulación PDN 2027'!$AA$7:$AA$506,MATCH(ROW()-5,'Formulación PDN 2027'!$AK$7:$AK$506,0))&amp;"","")</f>
        <v/>
      </c>
      <c r="Q443" s="15" t="str">
        <f>IFERROR(INDEX('Formulación PDN 2027'!$AB$7:$AB$506,MATCH(ROW()-5,'Formulación PDN 2027'!$AK$7:$AK$506,0))&amp;"","")</f>
        <v/>
      </c>
      <c r="R443" s="15" t="str">
        <f>IFERROR(INDEX('Formulación PDN 2027'!$AD$7:$AD$506,MATCH(ROW()-5,'Formulación PDN 2027'!$AK$7:$AK$506,0))&amp;"","")</f>
        <v/>
      </c>
      <c r="S443" s="15" t="str">
        <f>IFERROR(INDEX('Formulación PDN 2027'!$AE$7:$AE$506,MATCH(ROW()-5,'Formulación PDN 2027'!$AK$7:$AK$506,0))&amp;"","")</f>
        <v/>
      </c>
      <c r="T443" s="15" t="str">
        <f>IFERROR(INDEX('Formulación PDN 2027'!$C$7:$C$506,MATCH(ROW()-5,'Formulación PDN 2027'!$AK$7:$AK$506,0))&amp;"","")</f>
        <v/>
      </c>
      <c r="U443" s="15" t="str">
        <f>IFERROR(INDEX('Formulación PDN 2027'!$B$7:$B$506,MATCH(ROW()-5,'Formulación PDN 2027'!$AK$7:$AK$506,0))&amp;"","")</f>
        <v/>
      </c>
      <c r="V443" s="15" t="str">
        <f>IFERROR(LEFT(INDEX('Formulación PDN 2027'!$E$7:$E$506,MATCH(ROW()-5,'Formulación PDN 2027'!$AK$7:$AK$506,0)),7),"")</f>
        <v/>
      </c>
      <c r="W443" s="15" t="str">
        <f>IFERROR(INDEX('Formulación PDN 2027'!$H$7:$H$506,MATCH(ROW()-5,'Formulación PDN 2027'!$AK$7:$AK$506,0))&amp;"","")</f>
        <v/>
      </c>
      <c r="X443" s="15" t="str">
        <f>IFERROR(INDEX('Formulación PDN 2027'!$U$7:$U$506,MATCH(ROW()-5,'Formulación PDN 2027'!$AK$7:$AK$506,0))&amp;"","")</f>
        <v/>
      </c>
      <c r="Y443" s="15" t="str">
        <f>IFERROR(INDEX('Formulación PDN 2027'!$AH$7:$AH$506,MATCH(ROW()-5,'Formulación PDN 2027'!$AK$7:$AK$506,0))&amp;"","")</f>
        <v/>
      </c>
    </row>
    <row r="444" spans="1:25" x14ac:dyDescent="0.3">
      <c r="A444" s="15" t="str">
        <f>IFERROR(INDEX('Formulación PDN 2027'!$A$7:$A$506,MATCH(ROW()-5,'Formulación PDN 2027'!$AK$7:$AK$506,0))&amp;"","")</f>
        <v/>
      </c>
      <c r="B444" s="20" t="str">
        <f>IFERROR(INDEX('Formulación PDN 2027'!$M$7:$M$506,MATCH(ROW()-5,'Formulación PDN 2027'!$AK$7:$AK$506,0)),"")</f>
        <v/>
      </c>
      <c r="C444" s="15" t="str">
        <f>IFERROR(INDEX('Formulación PDN 2027'!$N$7:$N$506,MATCH(ROW()-5,'Formulación PDN 2027'!$AK$7:$AK$506,0))&amp;"","")</f>
        <v/>
      </c>
      <c r="D444" s="15" t="str">
        <f>IFERROR(INDEX('Formulación PDN 2027'!$L$7:$L$506,MATCH(ROW()-5,'Formulación PDN 2027'!$AK$7:$AK$506,0))&amp;"","")</f>
        <v/>
      </c>
      <c r="E444" s="15" t="str">
        <f>IFERROR(MATCH(INDEX('Formulación PDN 2027'!$O$7:$O$506,MATCH(ROW()-5,'Formulación PDN 2027'!$AK$7:$AK$506,0)),L_MESES,0),"")</f>
        <v/>
      </c>
      <c r="F444" s="15" t="str">
        <f>IFERROR(MATCH(INDEX('Formulación PDN 2027'!$P$7:$P$506,MATCH(ROW()-5,'Formulación PDN 2027'!$AK$7:$AK$506,0)),L_MESES,0),"")</f>
        <v/>
      </c>
      <c r="G444" s="15" t="str">
        <f>IFERROR(INDEX('Formulación PDN 2027'!$Q$7:$Q$506,MATCH(ROW()-5,'Formulación PDN 2027'!$AK$7:$AK$506,0)),"")</f>
        <v/>
      </c>
      <c r="H444" s="15" t="str">
        <f>IFERROR(INDEX('Formulación PDN 2027'!$R$7:$R$506,MATCH(ROW()-5,'Formulación PDN 2027'!$AK$7:$AK$506,0))&amp;"","")</f>
        <v/>
      </c>
      <c r="I444" s="15" t="str">
        <f>IFERROR(INDEX('Formulación PDN 2027'!$S$7:$S$506,MATCH(ROW()-5,'Formulación PDN 2027'!$AK$7:$AK$506,0))&amp;"","")</f>
        <v/>
      </c>
      <c r="J444" s="15" t="str">
        <f>IFERROR(INDEX('Formulación PDN 2027'!$T$7:$T$506,MATCH(ROW()-5,'Formulación PDN 2027'!$AK$7:$AK$506,0))&amp;"","")</f>
        <v/>
      </c>
      <c r="K444" s="43" t="str">
        <f>IFERROR(INDEX('Formulación PDN 2027'!$W$7:$W$506,MATCH(ROW()-5,'Formulación PDN 2027'!$AK$7:$AK$506,0)),"")</f>
        <v/>
      </c>
      <c r="L444" s="43" t="str">
        <f>IFERROR(INDEX('Formulación PDN 2027'!$X$7:$X$506,MATCH(ROW()-5,'Formulación PDN 2027'!$AK$7:$AK$506,0)),"")</f>
        <v/>
      </c>
      <c r="M444" s="15" t="str">
        <f>IFERROR(INDEX('Formulación PDN 2027'!$Y$7:$Y$506,MATCH(ROW()-5,'Formulación PDN 2027'!$AK$7:$AK$506,0))&amp;"","")</f>
        <v/>
      </c>
      <c r="N444" s="15" t="str">
        <f>IFERROR(INDEX('Formulación PDN 2027'!$Z$7:$Z$506,MATCH(ROW()-5,'Formulación PDN 2027'!$AK$7:$AK$506,0))&amp;"","")</f>
        <v/>
      </c>
      <c r="O444" s="15"/>
      <c r="P444" s="15" t="str">
        <f>IFERROR(INDEX('Formulación PDN 2027'!$AA$7:$AA$506,MATCH(ROW()-5,'Formulación PDN 2027'!$AK$7:$AK$506,0))&amp;"","")</f>
        <v/>
      </c>
      <c r="Q444" s="15" t="str">
        <f>IFERROR(INDEX('Formulación PDN 2027'!$AB$7:$AB$506,MATCH(ROW()-5,'Formulación PDN 2027'!$AK$7:$AK$506,0))&amp;"","")</f>
        <v/>
      </c>
      <c r="R444" s="15" t="str">
        <f>IFERROR(INDEX('Formulación PDN 2027'!$AD$7:$AD$506,MATCH(ROW()-5,'Formulación PDN 2027'!$AK$7:$AK$506,0))&amp;"","")</f>
        <v/>
      </c>
      <c r="S444" s="15" t="str">
        <f>IFERROR(INDEX('Formulación PDN 2027'!$AE$7:$AE$506,MATCH(ROW()-5,'Formulación PDN 2027'!$AK$7:$AK$506,0))&amp;"","")</f>
        <v/>
      </c>
      <c r="T444" s="15" t="str">
        <f>IFERROR(INDEX('Formulación PDN 2027'!$C$7:$C$506,MATCH(ROW()-5,'Formulación PDN 2027'!$AK$7:$AK$506,0))&amp;"","")</f>
        <v/>
      </c>
      <c r="U444" s="15" t="str">
        <f>IFERROR(INDEX('Formulación PDN 2027'!$B$7:$B$506,MATCH(ROW()-5,'Formulación PDN 2027'!$AK$7:$AK$506,0))&amp;"","")</f>
        <v/>
      </c>
      <c r="V444" s="15" t="str">
        <f>IFERROR(LEFT(INDEX('Formulación PDN 2027'!$E$7:$E$506,MATCH(ROW()-5,'Formulación PDN 2027'!$AK$7:$AK$506,0)),7),"")</f>
        <v/>
      </c>
      <c r="W444" s="15" t="str">
        <f>IFERROR(INDEX('Formulación PDN 2027'!$H$7:$H$506,MATCH(ROW()-5,'Formulación PDN 2027'!$AK$7:$AK$506,0))&amp;"","")</f>
        <v/>
      </c>
      <c r="X444" s="15" t="str">
        <f>IFERROR(INDEX('Formulación PDN 2027'!$U$7:$U$506,MATCH(ROW()-5,'Formulación PDN 2027'!$AK$7:$AK$506,0))&amp;"","")</f>
        <v/>
      </c>
      <c r="Y444" s="15" t="str">
        <f>IFERROR(INDEX('Formulación PDN 2027'!$AH$7:$AH$506,MATCH(ROW()-5,'Formulación PDN 2027'!$AK$7:$AK$506,0))&amp;"","")</f>
        <v/>
      </c>
    </row>
    <row r="445" spans="1:25" x14ac:dyDescent="0.3">
      <c r="A445" s="15" t="str">
        <f>IFERROR(INDEX('Formulación PDN 2027'!$A$7:$A$506,MATCH(ROW()-5,'Formulación PDN 2027'!$AK$7:$AK$506,0))&amp;"","")</f>
        <v/>
      </c>
      <c r="B445" s="20" t="str">
        <f>IFERROR(INDEX('Formulación PDN 2027'!$M$7:$M$506,MATCH(ROW()-5,'Formulación PDN 2027'!$AK$7:$AK$506,0)),"")</f>
        <v/>
      </c>
      <c r="C445" s="15" t="str">
        <f>IFERROR(INDEX('Formulación PDN 2027'!$N$7:$N$506,MATCH(ROW()-5,'Formulación PDN 2027'!$AK$7:$AK$506,0))&amp;"","")</f>
        <v/>
      </c>
      <c r="D445" s="15" t="str">
        <f>IFERROR(INDEX('Formulación PDN 2027'!$L$7:$L$506,MATCH(ROW()-5,'Formulación PDN 2027'!$AK$7:$AK$506,0))&amp;"","")</f>
        <v/>
      </c>
      <c r="E445" s="15" t="str">
        <f>IFERROR(MATCH(INDEX('Formulación PDN 2027'!$O$7:$O$506,MATCH(ROW()-5,'Formulación PDN 2027'!$AK$7:$AK$506,0)),L_MESES,0),"")</f>
        <v/>
      </c>
      <c r="F445" s="15" t="str">
        <f>IFERROR(MATCH(INDEX('Formulación PDN 2027'!$P$7:$P$506,MATCH(ROW()-5,'Formulación PDN 2027'!$AK$7:$AK$506,0)),L_MESES,0),"")</f>
        <v/>
      </c>
      <c r="G445" s="15" t="str">
        <f>IFERROR(INDEX('Formulación PDN 2027'!$Q$7:$Q$506,MATCH(ROW()-5,'Formulación PDN 2027'!$AK$7:$AK$506,0)),"")</f>
        <v/>
      </c>
      <c r="H445" s="15" t="str">
        <f>IFERROR(INDEX('Formulación PDN 2027'!$R$7:$R$506,MATCH(ROW()-5,'Formulación PDN 2027'!$AK$7:$AK$506,0))&amp;"","")</f>
        <v/>
      </c>
      <c r="I445" s="15" t="str">
        <f>IFERROR(INDEX('Formulación PDN 2027'!$S$7:$S$506,MATCH(ROW()-5,'Formulación PDN 2027'!$AK$7:$AK$506,0))&amp;"","")</f>
        <v/>
      </c>
      <c r="J445" s="15" t="str">
        <f>IFERROR(INDEX('Formulación PDN 2027'!$T$7:$T$506,MATCH(ROW()-5,'Formulación PDN 2027'!$AK$7:$AK$506,0))&amp;"","")</f>
        <v/>
      </c>
      <c r="K445" s="43" t="str">
        <f>IFERROR(INDEX('Formulación PDN 2027'!$W$7:$W$506,MATCH(ROW()-5,'Formulación PDN 2027'!$AK$7:$AK$506,0)),"")</f>
        <v/>
      </c>
      <c r="L445" s="43" t="str">
        <f>IFERROR(INDEX('Formulación PDN 2027'!$X$7:$X$506,MATCH(ROW()-5,'Formulación PDN 2027'!$AK$7:$AK$506,0)),"")</f>
        <v/>
      </c>
      <c r="M445" s="15" t="str">
        <f>IFERROR(INDEX('Formulación PDN 2027'!$Y$7:$Y$506,MATCH(ROW()-5,'Formulación PDN 2027'!$AK$7:$AK$506,0))&amp;"","")</f>
        <v/>
      </c>
      <c r="N445" s="15" t="str">
        <f>IFERROR(INDEX('Formulación PDN 2027'!$Z$7:$Z$506,MATCH(ROW()-5,'Formulación PDN 2027'!$AK$7:$AK$506,0))&amp;"","")</f>
        <v/>
      </c>
      <c r="O445" s="15"/>
      <c r="P445" s="15" t="str">
        <f>IFERROR(INDEX('Formulación PDN 2027'!$AA$7:$AA$506,MATCH(ROW()-5,'Formulación PDN 2027'!$AK$7:$AK$506,0))&amp;"","")</f>
        <v/>
      </c>
      <c r="Q445" s="15" t="str">
        <f>IFERROR(INDEX('Formulación PDN 2027'!$AB$7:$AB$506,MATCH(ROW()-5,'Formulación PDN 2027'!$AK$7:$AK$506,0))&amp;"","")</f>
        <v/>
      </c>
      <c r="R445" s="15" t="str">
        <f>IFERROR(INDEX('Formulación PDN 2027'!$AD$7:$AD$506,MATCH(ROW()-5,'Formulación PDN 2027'!$AK$7:$AK$506,0))&amp;"","")</f>
        <v/>
      </c>
      <c r="S445" s="15" t="str">
        <f>IFERROR(INDEX('Formulación PDN 2027'!$AE$7:$AE$506,MATCH(ROW()-5,'Formulación PDN 2027'!$AK$7:$AK$506,0))&amp;"","")</f>
        <v/>
      </c>
      <c r="T445" s="15" t="str">
        <f>IFERROR(INDEX('Formulación PDN 2027'!$C$7:$C$506,MATCH(ROW()-5,'Formulación PDN 2027'!$AK$7:$AK$506,0))&amp;"","")</f>
        <v/>
      </c>
      <c r="U445" s="15" t="str">
        <f>IFERROR(INDEX('Formulación PDN 2027'!$B$7:$B$506,MATCH(ROW()-5,'Formulación PDN 2027'!$AK$7:$AK$506,0))&amp;"","")</f>
        <v/>
      </c>
      <c r="V445" s="15" t="str">
        <f>IFERROR(LEFT(INDEX('Formulación PDN 2027'!$E$7:$E$506,MATCH(ROW()-5,'Formulación PDN 2027'!$AK$7:$AK$506,0)),7),"")</f>
        <v/>
      </c>
      <c r="W445" s="15" t="str">
        <f>IFERROR(INDEX('Formulación PDN 2027'!$H$7:$H$506,MATCH(ROW()-5,'Formulación PDN 2027'!$AK$7:$AK$506,0))&amp;"","")</f>
        <v/>
      </c>
      <c r="X445" s="15" t="str">
        <f>IFERROR(INDEX('Formulación PDN 2027'!$U$7:$U$506,MATCH(ROW()-5,'Formulación PDN 2027'!$AK$7:$AK$506,0))&amp;"","")</f>
        <v/>
      </c>
      <c r="Y445" s="15" t="str">
        <f>IFERROR(INDEX('Formulación PDN 2027'!$AH$7:$AH$506,MATCH(ROW()-5,'Formulación PDN 2027'!$AK$7:$AK$506,0))&amp;"","")</f>
        <v/>
      </c>
    </row>
    <row r="446" spans="1:25" x14ac:dyDescent="0.3">
      <c r="A446" s="15" t="str">
        <f>IFERROR(INDEX('Formulación PDN 2027'!$A$7:$A$506,MATCH(ROW()-5,'Formulación PDN 2027'!$AK$7:$AK$506,0))&amp;"","")</f>
        <v/>
      </c>
      <c r="B446" s="20" t="str">
        <f>IFERROR(INDEX('Formulación PDN 2027'!$M$7:$M$506,MATCH(ROW()-5,'Formulación PDN 2027'!$AK$7:$AK$506,0)),"")</f>
        <v/>
      </c>
      <c r="C446" s="15" t="str">
        <f>IFERROR(INDEX('Formulación PDN 2027'!$N$7:$N$506,MATCH(ROW()-5,'Formulación PDN 2027'!$AK$7:$AK$506,0))&amp;"","")</f>
        <v/>
      </c>
      <c r="D446" s="15" t="str">
        <f>IFERROR(INDEX('Formulación PDN 2027'!$L$7:$L$506,MATCH(ROW()-5,'Formulación PDN 2027'!$AK$7:$AK$506,0))&amp;"","")</f>
        <v/>
      </c>
      <c r="E446" s="15" t="str">
        <f>IFERROR(MATCH(INDEX('Formulación PDN 2027'!$O$7:$O$506,MATCH(ROW()-5,'Formulación PDN 2027'!$AK$7:$AK$506,0)),L_MESES,0),"")</f>
        <v/>
      </c>
      <c r="F446" s="15" t="str">
        <f>IFERROR(MATCH(INDEX('Formulación PDN 2027'!$P$7:$P$506,MATCH(ROW()-5,'Formulación PDN 2027'!$AK$7:$AK$506,0)),L_MESES,0),"")</f>
        <v/>
      </c>
      <c r="G446" s="15" t="str">
        <f>IFERROR(INDEX('Formulación PDN 2027'!$Q$7:$Q$506,MATCH(ROW()-5,'Formulación PDN 2027'!$AK$7:$AK$506,0)),"")</f>
        <v/>
      </c>
      <c r="H446" s="15" t="str">
        <f>IFERROR(INDEX('Formulación PDN 2027'!$R$7:$R$506,MATCH(ROW()-5,'Formulación PDN 2027'!$AK$7:$AK$506,0))&amp;"","")</f>
        <v/>
      </c>
      <c r="I446" s="15" t="str">
        <f>IFERROR(INDEX('Formulación PDN 2027'!$S$7:$S$506,MATCH(ROW()-5,'Formulación PDN 2027'!$AK$7:$AK$506,0))&amp;"","")</f>
        <v/>
      </c>
      <c r="J446" s="15" t="str">
        <f>IFERROR(INDEX('Formulación PDN 2027'!$T$7:$T$506,MATCH(ROW()-5,'Formulación PDN 2027'!$AK$7:$AK$506,0))&amp;"","")</f>
        <v/>
      </c>
      <c r="K446" s="43" t="str">
        <f>IFERROR(INDEX('Formulación PDN 2027'!$W$7:$W$506,MATCH(ROW()-5,'Formulación PDN 2027'!$AK$7:$AK$506,0)),"")</f>
        <v/>
      </c>
      <c r="L446" s="43" t="str">
        <f>IFERROR(INDEX('Formulación PDN 2027'!$X$7:$X$506,MATCH(ROW()-5,'Formulación PDN 2027'!$AK$7:$AK$506,0)),"")</f>
        <v/>
      </c>
      <c r="M446" s="15" t="str">
        <f>IFERROR(INDEX('Formulación PDN 2027'!$Y$7:$Y$506,MATCH(ROW()-5,'Formulación PDN 2027'!$AK$7:$AK$506,0))&amp;"","")</f>
        <v/>
      </c>
      <c r="N446" s="15" t="str">
        <f>IFERROR(INDEX('Formulación PDN 2027'!$Z$7:$Z$506,MATCH(ROW()-5,'Formulación PDN 2027'!$AK$7:$AK$506,0))&amp;"","")</f>
        <v/>
      </c>
      <c r="O446" s="15"/>
      <c r="P446" s="15" t="str">
        <f>IFERROR(INDEX('Formulación PDN 2027'!$AA$7:$AA$506,MATCH(ROW()-5,'Formulación PDN 2027'!$AK$7:$AK$506,0))&amp;"","")</f>
        <v/>
      </c>
      <c r="Q446" s="15" t="str">
        <f>IFERROR(INDEX('Formulación PDN 2027'!$AB$7:$AB$506,MATCH(ROW()-5,'Formulación PDN 2027'!$AK$7:$AK$506,0))&amp;"","")</f>
        <v/>
      </c>
      <c r="R446" s="15" t="str">
        <f>IFERROR(INDEX('Formulación PDN 2027'!$AD$7:$AD$506,MATCH(ROW()-5,'Formulación PDN 2027'!$AK$7:$AK$506,0))&amp;"","")</f>
        <v/>
      </c>
      <c r="S446" s="15" t="str">
        <f>IFERROR(INDEX('Formulación PDN 2027'!$AE$7:$AE$506,MATCH(ROW()-5,'Formulación PDN 2027'!$AK$7:$AK$506,0))&amp;"","")</f>
        <v/>
      </c>
      <c r="T446" s="15" t="str">
        <f>IFERROR(INDEX('Formulación PDN 2027'!$C$7:$C$506,MATCH(ROW()-5,'Formulación PDN 2027'!$AK$7:$AK$506,0))&amp;"","")</f>
        <v/>
      </c>
      <c r="U446" s="15" t="str">
        <f>IFERROR(INDEX('Formulación PDN 2027'!$B$7:$B$506,MATCH(ROW()-5,'Formulación PDN 2027'!$AK$7:$AK$506,0))&amp;"","")</f>
        <v/>
      </c>
      <c r="V446" s="15" t="str">
        <f>IFERROR(LEFT(INDEX('Formulación PDN 2027'!$E$7:$E$506,MATCH(ROW()-5,'Formulación PDN 2027'!$AK$7:$AK$506,0)),7),"")</f>
        <v/>
      </c>
      <c r="W446" s="15" t="str">
        <f>IFERROR(INDEX('Formulación PDN 2027'!$H$7:$H$506,MATCH(ROW()-5,'Formulación PDN 2027'!$AK$7:$AK$506,0))&amp;"","")</f>
        <v/>
      </c>
      <c r="X446" s="15" t="str">
        <f>IFERROR(INDEX('Formulación PDN 2027'!$U$7:$U$506,MATCH(ROW()-5,'Formulación PDN 2027'!$AK$7:$AK$506,0))&amp;"","")</f>
        <v/>
      </c>
      <c r="Y446" s="15" t="str">
        <f>IFERROR(INDEX('Formulación PDN 2027'!$AH$7:$AH$506,MATCH(ROW()-5,'Formulación PDN 2027'!$AK$7:$AK$506,0))&amp;"","")</f>
        <v/>
      </c>
    </row>
    <row r="447" spans="1:25" x14ac:dyDescent="0.3">
      <c r="A447" s="15" t="str">
        <f>IFERROR(INDEX('Formulación PDN 2027'!$A$7:$A$506,MATCH(ROW()-5,'Formulación PDN 2027'!$AK$7:$AK$506,0))&amp;"","")</f>
        <v/>
      </c>
      <c r="B447" s="20" t="str">
        <f>IFERROR(INDEX('Formulación PDN 2027'!$M$7:$M$506,MATCH(ROW()-5,'Formulación PDN 2027'!$AK$7:$AK$506,0)),"")</f>
        <v/>
      </c>
      <c r="C447" s="15" t="str">
        <f>IFERROR(INDEX('Formulación PDN 2027'!$N$7:$N$506,MATCH(ROW()-5,'Formulación PDN 2027'!$AK$7:$AK$506,0))&amp;"","")</f>
        <v/>
      </c>
      <c r="D447" s="15" t="str">
        <f>IFERROR(INDEX('Formulación PDN 2027'!$L$7:$L$506,MATCH(ROW()-5,'Formulación PDN 2027'!$AK$7:$AK$506,0))&amp;"","")</f>
        <v/>
      </c>
      <c r="E447" s="15" t="str">
        <f>IFERROR(MATCH(INDEX('Formulación PDN 2027'!$O$7:$O$506,MATCH(ROW()-5,'Formulación PDN 2027'!$AK$7:$AK$506,0)),L_MESES,0),"")</f>
        <v/>
      </c>
      <c r="F447" s="15" t="str">
        <f>IFERROR(MATCH(INDEX('Formulación PDN 2027'!$P$7:$P$506,MATCH(ROW()-5,'Formulación PDN 2027'!$AK$7:$AK$506,0)),L_MESES,0),"")</f>
        <v/>
      </c>
      <c r="G447" s="15" t="str">
        <f>IFERROR(INDEX('Formulación PDN 2027'!$Q$7:$Q$506,MATCH(ROW()-5,'Formulación PDN 2027'!$AK$7:$AK$506,0)),"")</f>
        <v/>
      </c>
      <c r="H447" s="15" t="str">
        <f>IFERROR(INDEX('Formulación PDN 2027'!$R$7:$R$506,MATCH(ROW()-5,'Formulación PDN 2027'!$AK$7:$AK$506,0))&amp;"","")</f>
        <v/>
      </c>
      <c r="I447" s="15" t="str">
        <f>IFERROR(INDEX('Formulación PDN 2027'!$S$7:$S$506,MATCH(ROW()-5,'Formulación PDN 2027'!$AK$7:$AK$506,0))&amp;"","")</f>
        <v/>
      </c>
      <c r="J447" s="15" t="str">
        <f>IFERROR(INDEX('Formulación PDN 2027'!$T$7:$T$506,MATCH(ROW()-5,'Formulación PDN 2027'!$AK$7:$AK$506,0))&amp;"","")</f>
        <v/>
      </c>
      <c r="K447" s="43" t="str">
        <f>IFERROR(INDEX('Formulación PDN 2027'!$W$7:$W$506,MATCH(ROW()-5,'Formulación PDN 2027'!$AK$7:$AK$506,0)),"")</f>
        <v/>
      </c>
      <c r="L447" s="43" t="str">
        <f>IFERROR(INDEX('Formulación PDN 2027'!$X$7:$X$506,MATCH(ROW()-5,'Formulación PDN 2027'!$AK$7:$AK$506,0)),"")</f>
        <v/>
      </c>
      <c r="M447" s="15" t="str">
        <f>IFERROR(INDEX('Formulación PDN 2027'!$Y$7:$Y$506,MATCH(ROW()-5,'Formulación PDN 2027'!$AK$7:$AK$506,0))&amp;"","")</f>
        <v/>
      </c>
      <c r="N447" s="15" t="str">
        <f>IFERROR(INDEX('Formulación PDN 2027'!$Z$7:$Z$506,MATCH(ROW()-5,'Formulación PDN 2027'!$AK$7:$AK$506,0))&amp;"","")</f>
        <v/>
      </c>
      <c r="O447" s="15"/>
      <c r="P447" s="15" t="str">
        <f>IFERROR(INDEX('Formulación PDN 2027'!$AA$7:$AA$506,MATCH(ROW()-5,'Formulación PDN 2027'!$AK$7:$AK$506,0))&amp;"","")</f>
        <v/>
      </c>
      <c r="Q447" s="15" t="str">
        <f>IFERROR(INDEX('Formulación PDN 2027'!$AB$7:$AB$506,MATCH(ROW()-5,'Formulación PDN 2027'!$AK$7:$AK$506,0))&amp;"","")</f>
        <v/>
      </c>
      <c r="R447" s="15" t="str">
        <f>IFERROR(INDEX('Formulación PDN 2027'!$AD$7:$AD$506,MATCH(ROW()-5,'Formulación PDN 2027'!$AK$7:$AK$506,0))&amp;"","")</f>
        <v/>
      </c>
      <c r="S447" s="15" t="str">
        <f>IFERROR(INDEX('Formulación PDN 2027'!$AE$7:$AE$506,MATCH(ROW()-5,'Formulación PDN 2027'!$AK$7:$AK$506,0))&amp;"","")</f>
        <v/>
      </c>
      <c r="T447" s="15" t="str">
        <f>IFERROR(INDEX('Formulación PDN 2027'!$C$7:$C$506,MATCH(ROW()-5,'Formulación PDN 2027'!$AK$7:$AK$506,0))&amp;"","")</f>
        <v/>
      </c>
      <c r="U447" s="15" t="str">
        <f>IFERROR(INDEX('Formulación PDN 2027'!$B$7:$B$506,MATCH(ROW()-5,'Formulación PDN 2027'!$AK$7:$AK$506,0))&amp;"","")</f>
        <v/>
      </c>
      <c r="V447" s="15" t="str">
        <f>IFERROR(LEFT(INDEX('Formulación PDN 2027'!$E$7:$E$506,MATCH(ROW()-5,'Formulación PDN 2027'!$AK$7:$AK$506,0)),7),"")</f>
        <v/>
      </c>
      <c r="W447" s="15" t="str">
        <f>IFERROR(INDEX('Formulación PDN 2027'!$H$7:$H$506,MATCH(ROW()-5,'Formulación PDN 2027'!$AK$7:$AK$506,0))&amp;"","")</f>
        <v/>
      </c>
      <c r="X447" s="15" t="str">
        <f>IFERROR(INDEX('Formulación PDN 2027'!$U$7:$U$506,MATCH(ROW()-5,'Formulación PDN 2027'!$AK$7:$AK$506,0))&amp;"","")</f>
        <v/>
      </c>
      <c r="Y447" s="15" t="str">
        <f>IFERROR(INDEX('Formulación PDN 2027'!$AH$7:$AH$506,MATCH(ROW()-5,'Formulación PDN 2027'!$AK$7:$AK$506,0))&amp;"","")</f>
        <v/>
      </c>
    </row>
    <row r="448" spans="1:25" x14ac:dyDescent="0.3">
      <c r="A448" s="15" t="str">
        <f>IFERROR(INDEX('Formulación PDN 2027'!$A$7:$A$506,MATCH(ROW()-5,'Formulación PDN 2027'!$AK$7:$AK$506,0))&amp;"","")</f>
        <v/>
      </c>
      <c r="B448" s="20" t="str">
        <f>IFERROR(INDEX('Formulación PDN 2027'!$M$7:$M$506,MATCH(ROW()-5,'Formulación PDN 2027'!$AK$7:$AK$506,0)),"")</f>
        <v/>
      </c>
      <c r="C448" s="15" t="str">
        <f>IFERROR(INDEX('Formulación PDN 2027'!$N$7:$N$506,MATCH(ROW()-5,'Formulación PDN 2027'!$AK$7:$AK$506,0))&amp;"","")</f>
        <v/>
      </c>
      <c r="D448" s="15" t="str">
        <f>IFERROR(INDEX('Formulación PDN 2027'!$L$7:$L$506,MATCH(ROW()-5,'Formulación PDN 2027'!$AK$7:$AK$506,0))&amp;"","")</f>
        <v/>
      </c>
      <c r="E448" s="15" t="str">
        <f>IFERROR(MATCH(INDEX('Formulación PDN 2027'!$O$7:$O$506,MATCH(ROW()-5,'Formulación PDN 2027'!$AK$7:$AK$506,0)),L_MESES,0),"")</f>
        <v/>
      </c>
      <c r="F448" s="15" t="str">
        <f>IFERROR(MATCH(INDEX('Formulación PDN 2027'!$P$7:$P$506,MATCH(ROW()-5,'Formulación PDN 2027'!$AK$7:$AK$506,0)),L_MESES,0),"")</f>
        <v/>
      </c>
      <c r="G448" s="15" t="str">
        <f>IFERROR(INDEX('Formulación PDN 2027'!$Q$7:$Q$506,MATCH(ROW()-5,'Formulación PDN 2027'!$AK$7:$AK$506,0)),"")</f>
        <v/>
      </c>
      <c r="H448" s="15" t="str">
        <f>IFERROR(INDEX('Formulación PDN 2027'!$R$7:$R$506,MATCH(ROW()-5,'Formulación PDN 2027'!$AK$7:$AK$506,0))&amp;"","")</f>
        <v/>
      </c>
      <c r="I448" s="15" t="str">
        <f>IFERROR(INDEX('Formulación PDN 2027'!$S$7:$S$506,MATCH(ROW()-5,'Formulación PDN 2027'!$AK$7:$AK$506,0))&amp;"","")</f>
        <v/>
      </c>
      <c r="J448" s="15" t="str">
        <f>IFERROR(INDEX('Formulación PDN 2027'!$T$7:$T$506,MATCH(ROW()-5,'Formulación PDN 2027'!$AK$7:$AK$506,0))&amp;"","")</f>
        <v/>
      </c>
      <c r="K448" s="43" t="str">
        <f>IFERROR(INDEX('Formulación PDN 2027'!$W$7:$W$506,MATCH(ROW()-5,'Formulación PDN 2027'!$AK$7:$AK$506,0)),"")</f>
        <v/>
      </c>
      <c r="L448" s="43" t="str">
        <f>IFERROR(INDEX('Formulación PDN 2027'!$X$7:$X$506,MATCH(ROW()-5,'Formulación PDN 2027'!$AK$7:$AK$506,0)),"")</f>
        <v/>
      </c>
      <c r="M448" s="15" t="str">
        <f>IFERROR(INDEX('Formulación PDN 2027'!$Y$7:$Y$506,MATCH(ROW()-5,'Formulación PDN 2027'!$AK$7:$AK$506,0))&amp;"","")</f>
        <v/>
      </c>
      <c r="N448" s="15" t="str">
        <f>IFERROR(INDEX('Formulación PDN 2027'!$Z$7:$Z$506,MATCH(ROW()-5,'Formulación PDN 2027'!$AK$7:$AK$506,0))&amp;"","")</f>
        <v/>
      </c>
      <c r="O448" s="15"/>
      <c r="P448" s="15" t="str">
        <f>IFERROR(INDEX('Formulación PDN 2027'!$AA$7:$AA$506,MATCH(ROW()-5,'Formulación PDN 2027'!$AK$7:$AK$506,0))&amp;"","")</f>
        <v/>
      </c>
      <c r="Q448" s="15" t="str">
        <f>IFERROR(INDEX('Formulación PDN 2027'!$AB$7:$AB$506,MATCH(ROW()-5,'Formulación PDN 2027'!$AK$7:$AK$506,0))&amp;"","")</f>
        <v/>
      </c>
      <c r="R448" s="15" t="str">
        <f>IFERROR(INDEX('Formulación PDN 2027'!$AD$7:$AD$506,MATCH(ROW()-5,'Formulación PDN 2027'!$AK$7:$AK$506,0))&amp;"","")</f>
        <v/>
      </c>
      <c r="S448" s="15" t="str">
        <f>IFERROR(INDEX('Formulación PDN 2027'!$AE$7:$AE$506,MATCH(ROW()-5,'Formulación PDN 2027'!$AK$7:$AK$506,0))&amp;"","")</f>
        <v/>
      </c>
      <c r="T448" s="15" t="str">
        <f>IFERROR(INDEX('Formulación PDN 2027'!$C$7:$C$506,MATCH(ROW()-5,'Formulación PDN 2027'!$AK$7:$AK$506,0))&amp;"","")</f>
        <v/>
      </c>
      <c r="U448" s="15" t="str">
        <f>IFERROR(INDEX('Formulación PDN 2027'!$B$7:$B$506,MATCH(ROW()-5,'Formulación PDN 2027'!$AK$7:$AK$506,0))&amp;"","")</f>
        <v/>
      </c>
      <c r="V448" s="15" t="str">
        <f>IFERROR(LEFT(INDEX('Formulación PDN 2027'!$E$7:$E$506,MATCH(ROW()-5,'Formulación PDN 2027'!$AK$7:$AK$506,0)),7),"")</f>
        <v/>
      </c>
      <c r="W448" s="15" t="str">
        <f>IFERROR(INDEX('Formulación PDN 2027'!$H$7:$H$506,MATCH(ROW()-5,'Formulación PDN 2027'!$AK$7:$AK$506,0))&amp;"","")</f>
        <v/>
      </c>
      <c r="X448" s="15" t="str">
        <f>IFERROR(INDEX('Formulación PDN 2027'!$U$7:$U$506,MATCH(ROW()-5,'Formulación PDN 2027'!$AK$7:$AK$506,0))&amp;"","")</f>
        <v/>
      </c>
      <c r="Y448" s="15" t="str">
        <f>IFERROR(INDEX('Formulación PDN 2027'!$AH$7:$AH$506,MATCH(ROW()-5,'Formulación PDN 2027'!$AK$7:$AK$506,0))&amp;"","")</f>
        <v/>
      </c>
    </row>
    <row r="449" spans="1:25" x14ac:dyDescent="0.3">
      <c r="A449" s="15" t="str">
        <f>IFERROR(INDEX('Formulación PDN 2027'!$A$7:$A$506,MATCH(ROW()-5,'Formulación PDN 2027'!$AK$7:$AK$506,0))&amp;"","")</f>
        <v/>
      </c>
      <c r="B449" s="20" t="str">
        <f>IFERROR(INDEX('Formulación PDN 2027'!$M$7:$M$506,MATCH(ROW()-5,'Formulación PDN 2027'!$AK$7:$AK$506,0)),"")</f>
        <v/>
      </c>
      <c r="C449" s="15" t="str">
        <f>IFERROR(INDEX('Formulación PDN 2027'!$N$7:$N$506,MATCH(ROW()-5,'Formulación PDN 2027'!$AK$7:$AK$506,0))&amp;"","")</f>
        <v/>
      </c>
      <c r="D449" s="15" t="str">
        <f>IFERROR(INDEX('Formulación PDN 2027'!$L$7:$L$506,MATCH(ROW()-5,'Formulación PDN 2027'!$AK$7:$AK$506,0))&amp;"","")</f>
        <v/>
      </c>
      <c r="E449" s="15" t="str">
        <f>IFERROR(MATCH(INDEX('Formulación PDN 2027'!$O$7:$O$506,MATCH(ROW()-5,'Formulación PDN 2027'!$AK$7:$AK$506,0)),L_MESES,0),"")</f>
        <v/>
      </c>
      <c r="F449" s="15" t="str">
        <f>IFERROR(MATCH(INDEX('Formulación PDN 2027'!$P$7:$P$506,MATCH(ROW()-5,'Formulación PDN 2027'!$AK$7:$AK$506,0)),L_MESES,0),"")</f>
        <v/>
      </c>
      <c r="G449" s="15" t="str">
        <f>IFERROR(INDEX('Formulación PDN 2027'!$Q$7:$Q$506,MATCH(ROW()-5,'Formulación PDN 2027'!$AK$7:$AK$506,0)),"")</f>
        <v/>
      </c>
      <c r="H449" s="15" t="str">
        <f>IFERROR(INDEX('Formulación PDN 2027'!$R$7:$R$506,MATCH(ROW()-5,'Formulación PDN 2027'!$AK$7:$AK$506,0))&amp;"","")</f>
        <v/>
      </c>
      <c r="I449" s="15" t="str">
        <f>IFERROR(INDEX('Formulación PDN 2027'!$S$7:$S$506,MATCH(ROW()-5,'Formulación PDN 2027'!$AK$7:$AK$506,0))&amp;"","")</f>
        <v/>
      </c>
      <c r="J449" s="15" t="str">
        <f>IFERROR(INDEX('Formulación PDN 2027'!$T$7:$T$506,MATCH(ROW()-5,'Formulación PDN 2027'!$AK$7:$AK$506,0))&amp;"","")</f>
        <v/>
      </c>
      <c r="K449" s="43" t="str">
        <f>IFERROR(INDEX('Formulación PDN 2027'!$W$7:$W$506,MATCH(ROW()-5,'Formulación PDN 2027'!$AK$7:$AK$506,0)),"")</f>
        <v/>
      </c>
      <c r="L449" s="43" t="str">
        <f>IFERROR(INDEX('Formulación PDN 2027'!$X$7:$X$506,MATCH(ROW()-5,'Formulación PDN 2027'!$AK$7:$AK$506,0)),"")</f>
        <v/>
      </c>
      <c r="M449" s="15" t="str">
        <f>IFERROR(INDEX('Formulación PDN 2027'!$Y$7:$Y$506,MATCH(ROW()-5,'Formulación PDN 2027'!$AK$7:$AK$506,0))&amp;"","")</f>
        <v/>
      </c>
      <c r="N449" s="15" t="str">
        <f>IFERROR(INDEX('Formulación PDN 2027'!$Z$7:$Z$506,MATCH(ROW()-5,'Formulación PDN 2027'!$AK$7:$AK$506,0))&amp;"","")</f>
        <v/>
      </c>
      <c r="O449" s="15"/>
      <c r="P449" s="15" t="str">
        <f>IFERROR(INDEX('Formulación PDN 2027'!$AA$7:$AA$506,MATCH(ROW()-5,'Formulación PDN 2027'!$AK$7:$AK$506,0))&amp;"","")</f>
        <v/>
      </c>
      <c r="Q449" s="15" t="str">
        <f>IFERROR(INDEX('Formulación PDN 2027'!$AB$7:$AB$506,MATCH(ROW()-5,'Formulación PDN 2027'!$AK$7:$AK$506,0))&amp;"","")</f>
        <v/>
      </c>
      <c r="R449" s="15" t="str">
        <f>IFERROR(INDEX('Formulación PDN 2027'!$AD$7:$AD$506,MATCH(ROW()-5,'Formulación PDN 2027'!$AK$7:$AK$506,0))&amp;"","")</f>
        <v/>
      </c>
      <c r="S449" s="15" t="str">
        <f>IFERROR(INDEX('Formulación PDN 2027'!$AE$7:$AE$506,MATCH(ROW()-5,'Formulación PDN 2027'!$AK$7:$AK$506,0))&amp;"","")</f>
        <v/>
      </c>
      <c r="T449" s="15" t="str">
        <f>IFERROR(INDEX('Formulación PDN 2027'!$C$7:$C$506,MATCH(ROW()-5,'Formulación PDN 2027'!$AK$7:$AK$506,0))&amp;"","")</f>
        <v/>
      </c>
      <c r="U449" s="15" t="str">
        <f>IFERROR(INDEX('Formulación PDN 2027'!$B$7:$B$506,MATCH(ROW()-5,'Formulación PDN 2027'!$AK$7:$AK$506,0))&amp;"","")</f>
        <v/>
      </c>
      <c r="V449" s="15" t="str">
        <f>IFERROR(LEFT(INDEX('Formulación PDN 2027'!$E$7:$E$506,MATCH(ROW()-5,'Formulación PDN 2027'!$AK$7:$AK$506,0)),7),"")</f>
        <v/>
      </c>
      <c r="W449" s="15" t="str">
        <f>IFERROR(INDEX('Formulación PDN 2027'!$H$7:$H$506,MATCH(ROW()-5,'Formulación PDN 2027'!$AK$7:$AK$506,0))&amp;"","")</f>
        <v/>
      </c>
      <c r="X449" s="15" t="str">
        <f>IFERROR(INDEX('Formulación PDN 2027'!$U$7:$U$506,MATCH(ROW()-5,'Formulación PDN 2027'!$AK$7:$AK$506,0))&amp;"","")</f>
        <v/>
      </c>
      <c r="Y449" s="15" t="str">
        <f>IFERROR(INDEX('Formulación PDN 2027'!$AH$7:$AH$506,MATCH(ROW()-5,'Formulación PDN 2027'!$AK$7:$AK$506,0))&amp;"","")</f>
        <v/>
      </c>
    </row>
    <row r="450" spans="1:25" x14ac:dyDescent="0.3">
      <c r="A450" s="15" t="str">
        <f>IFERROR(INDEX('Formulación PDN 2027'!$A$7:$A$506,MATCH(ROW()-5,'Formulación PDN 2027'!$AK$7:$AK$506,0))&amp;"","")</f>
        <v/>
      </c>
      <c r="B450" s="20" t="str">
        <f>IFERROR(INDEX('Formulación PDN 2027'!$M$7:$M$506,MATCH(ROW()-5,'Formulación PDN 2027'!$AK$7:$AK$506,0)),"")</f>
        <v/>
      </c>
      <c r="C450" s="15" t="str">
        <f>IFERROR(INDEX('Formulación PDN 2027'!$N$7:$N$506,MATCH(ROW()-5,'Formulación PDN 2027'!$AK$7:$AK$506,0))&amp;"","")</f>
        <v/>
      </c>
      <c r="D450" s="15" t="str">
        <f>IFERROR(INDEX('Formulación PDN 2027'!$L$7:$L$506,MATCH(ROW()-5,'Formulación PDN 2027'!$AK$7:$AK$506,0))&amp;"","")</f>
        <v/>
      </c>
      <c r="E450" s="15" t="str">
        <f>IFERROR(MATCH(INDEX('Formulación PDN 2027'!$O$7:$O$506,MATCH(ROW()-5,'Formulación PDN 2027'!$AK$7:$AK$506,0)),L_MESES,0),"")</f>
        <v/>
      </c>
      <c r="F450" s="15" t="str">
        <f>IFERROR(MATCH(INDEX('Formulación PDN 2027'!$P$7:$P$506,MATCH(ROW()-5,'Formulación PDN 2027'!$AK$7:$AK$506,0)),L_MESES,0),"")</f>
        <v/>
      </c>
      <c r="G450" s="15" t="str">
        <f>IFERROR(INDEX('Formulación PDN 2027'!$Q$7:$Q$506,MATCH(ROW()-5,'Formulación PDN 2027'!$AK$7:$AK$506,0)),"")</f>
        <v/>
      </c>
      <c r="H450" s="15" t="str">
        <f>IFERROR(INDEX('Formulación PDN 2027'!$R$7:$R$506,MATCH(ROW()-5,'Formulación PDN 2027'!$AK$7:$AK$506,0))&amp;"","")</f>
        <v/>
      </c>
      <c r="I450" s="15" t="str">
        <f>IFERROR(INDEX('Formulación PDN 2027'!$S$7:$S$506,MATCH(ROW()-5,'Formulación PDN 2027'!$AK$7:$AK$506,0))&amp;"","")</f>
        <v/>
      </c>
      <c r="J450" s="15" t="str">
        <f>IFERROR(INDEX('Formulación PDN 2027'!$T$7:$T$506,MATCH(ROW()-5,'Formulación PDN 2027'!$AK$7:$AK$506,0))&amp;"","")</f>
        <v/>
      </c>
      <c r="K450" s="43" t="str">
        <f>IFERROR(INDEX('Formulación PDN 2027'!$W$7:$W$506,MATCH(ROW()-5,'Formulación PDN 2027'!$AK$7:$AK$506,0)),"")</f>
        <v/>
      </c>
      <c r="L450" s="43" t="str">
        <f>IFERROR(INDEX('Formulación PDN 2027'!$X$7:$X$506,MATCH(ROW()-5,'Formulación PDN 2027'!$AK$7:$AK$506,0)),"")</f>
        <v/>
      </c>
      <c r="M450" s="15" t="str">
        <f>IFERROR(INDEX('Formulación PDN 2027'!$Y$7:$Y$506,MATCH(ROW()-5,'Formulación PDN 2027'!$AK$7:$AK$506,0))&amp;"","")</f>
        <v/>
      </c>
      <c r="N450" s="15" t="str">
        <f>IFERROR(INDEX('Formulación PDN 2027'!$Z$7:$Z$506,MATCH(ROW()-5,'Formulación PDN 2027'!$AK$7:$AK$506,0))&amp;"","")</f>
        <v/>
      </c>
      <c r="O450" s="15"/>
      <c r="P450" s="15" t="str">
        <f>IFERROR(INDEX('Formulación PDN 2027'!$AA$7:$AA$506,MATCH(ROW()-5,'Formulación PDN 2027'!$AK$7:$AK$506,0))&amp;"","")</f>
        <v/>
      </c>
      <c r="Q450" s="15" t="str">
        <f>IFERROR(INDEX('Formulación PDN 2027'!$AB$7:$AB$506,MATCH(ROW()-5,'Formulación PDN 2027'!$AK$7:$AK$506,0))&amp;"","")</f>
        <v/>
      </c>
      <c r="R450" s="15" t="str">
        <f>IFERROR(INDEX('Formulación PDN 2027'!$AD$7:$AD$506,MATCH(ROW()-5,'Formulación PDN 2027'!$AK$7:$AK$506,0))&amp;"","")</f>
        <v/>
      </c>
      <c r="S450" s="15" t="str">
        <f>IFERROR(INDEX('Formulación PDN 2027'!$AE$7:$AE$506,MATCH(ROW()-5,'Formulación PDN 2027'!$AK$7:$AK$506,0))&amp;"","")</f>
        <v/>
      </c>
      <c r="T450" s="15" t="str">
        <f>IFERROR(INDEX('Formulación PDN 2027'!$C$7:$C$506,MATCH(ROW()-5,'Formulación PDN 2027'!$AK$7:$AK$506,0))&amp;"","")</f>
        <v/>
      </c>
      <c r="U450" s="15" t="str">
        <f>IFERROR(INDEX('Formulación PDN 2027'!$B$7:$B$506,MATCH(ROW()-5,'Formulación PDN 2027'!$AK$7:$AK$506,0))&amp;"","")</f>
        <v/>
      </c>
      <c r="V450" s="15" t="str">
        <f>IFERROR(LEFT(INDEX('Formulación PDN 2027'!$E$7:$E$506,MATCH(ROW()-5,'Formulación PDN 2027'!$AK$7:$AK$506,0)),7),"")</f>
        <v/>
      </c>
      <c r="W450" s="15" t="str">
        <f>IFERROR(INDEX('Formulación PDN 2027'!$H$7:$H$506,MATCH(ROW()-5,'Formulación PDN 2027'!$AK$7:$AK$506,0))&amp;"","")</f>
        <v/>
      </c>
      <c r="X450" s="15" t="str">
        <f>IFERROR(INDEX('Formulación PDN 2027'!$U$7:$U$506,MATCH(ROW()-5,'Formulación PDN 2027'!$AK$7:$AK$506,0))&amp;"","")</f>
        <v/>
      </c>
      <c r="Y450" s="15" t="str">
        <f>IFERROR(INDEX('Formulación PDN 2027'!$AH$7:$AH$506,MATCH(ROW()-5,'Formulación PDN 2027'!$AK$7:$AK$506,0))&amp;"","")</f>
        <v/>
      </c>
    </row>
    <row r="451" spans="1:25" x14ac:dyDescent="0.3">
      <c r="A451" s="15" t="str">
        <f>IFERROR(INDEX('Formulación PDN 2027'!$A$7:$A$506,MATCH(ROW()-5,'Formulación PDN 2027'!$AK$7:$AK$506,0))&amp;"","")</f>
        <v/>
      </c>
      <c r="B451" s="20" t="str">
        <f>IFERROR(INDEX('Formulación PDN 2027'!$M$7:$M$506,MATCH(ROW()-5,'Formulación PDN 2027'!$AK$7:$AK$506,0)),"")</f>
        <v/>
      </c>
      <c r="C451" s="15" t="str">
        <f>IFERROR(INDEX('Formulación PDN 2027'!$N$7:$N$506,MATCH(ROW()-5,'Formulación PDN 2027'!$AK$7:$AK$506,0))&amp;"","")</f>
        <v/>
      </c>
      <c r="D451" s="15" t="str">
        <f>IFERROR(INDEX('Formulación PDN 2027'!$L$7:$L$506,MATCH(ROW()-5,'Formulación PDN 2027'!$AK$7:$AK$506,0))&amp;"","")</f>
        <v/>
      </c>
      <c r="E451" s="15" t="str">
        <f>IFERROR(MATCH(INDEX('Formulación PDN 2027'!$O$7:$O$506,MATCH(ROW()-5,'Formulación PDN 2027'!$AK$7:$AK$506,0)),L_MESES,0),"")</f>
        <v/>
      </c>
      <c r="F451" s="15" t="str">
        <f>IFERROR(MATCH(INDEX('Formulación PDN 2027'!$P$7:$P$506,MATCH(ROW()-5,'Formulación PDN 2027'!$AK$7:$AK$506,0)),L_MESES,0),"")</f>
        <v/>
      </c>
      <c r="G451" s="15" t="str">
        <f>IFERROR(INDEX('Formulación PDN 2027'!$Q$7:$Q$506,MATCH(ROW()-5,'Formulación PDN 2027'!$AK$7:$AK$506,0)),"")</f>
        <v/>
      </c>
      <c r="H451" s="15" t="str">
        <f>IFERROR(INDEX('Formulación PDN 2027'!$R$7:$R$506,MATCH(ROW()-5,'Formulación PDN 2027'!$AK$7:$AK$506,0))&amp;"","")</f>
        <v/>
      </c>
      <c r="I451" s="15" t="str">
        <f>IFERROR(INDEX('Formulación PDN 2027'!$S$7:$S$506,MATCH(ROW()-5,'Formulación PDN 2027'!$AK$7:$AK$506,0))&amp;"","")</f>
        <v/>
      </c>
      <c r="J451" s="15" t="str">
        <f>IFERROR(INDEX('Formulación PDN 2027'!$T$7:$T$506,MATCH(ROW()-5,'Formulación PDN 2027'!$AK$7:$AK$506,0))&amp;"","")</f>
        <v/>
      </c>
      <c r="K451" s="43" t="str">
        <f>IFERROR(INDEX('Formulación PDN 2027'!$W$7:$W$506,MATCH(ROW()-5,'Formulación PDN 2027'!$AK$7:$AK$506,0)),"")</f>
        <v/>
      </c>
      <c r="L451" s="43" t="str">
        <f>IFERROR(INDEX('Formulación PDN 2027'!$X$7:$X$506,MATCH(ROW()-5,'Formulación PDN 2027'!$AK$7:$AK$506,0)),"")</f>
        <v/>
      </c>
      <c r="M451" s="15" t="str">
        <f>IFERROR(INDEX('Formulación PDN 2027'!$Y$7:$Y$506,MATCH(ROW()-5,'Formulación PDN 2027'!$AK$7:$AK$506,0))&amp;"","")</f>
        <v/>
      </c>
      <c r="N451" s="15" t="str">
        <f>IFERROR(INDEX('Formulación PDN 2027'!$Z$7:$Z$506,MATCH(ROW()-5,'Formulación PDN 2027'!$AK$7:$AK$506,0))&amp;"","")</f>
        <v/>
      </c>
      <c r="O451" s="15"/>
      <c r="P451" s="15" t="str">
        <f>IFERROR(INDEX('Formulación PDN 2027'!$AA$7:$AA$506,MATCH(ROW()-5,'Formulación PDN 2027'!$AK$7:$AK$506,0))&amp;"","")</f>
        <v/>
      </c>
      <c r="Q451" s="15" t="str">
        <f>IFERROR(INDEX('Formulación PDN 2027'!$AB$7:$AB$506,MATCH(ROW()-5,'Formulación PDN 2027'!$AK$7:$AK$506,0))&amp;"","")</f>
        <v/>
      </c>
      <c r="R451" s="15" t="str">
        <f>IFERROR(INDEX('Formulación PDN 2027'!$AD$7:$AD$506,MATCH(ROW()-5,'Formulación PDN 2027'!$AK$7:$AK$506,0))&amp;"","")</f>
        <v/>
      </c>
      <c r="S451" s="15" t="str">
        <f>IFERROR(INDEX('Formulación PDN 2027'!$AE$7:$AE$506,MATCH(ROW()-5,'Formulación PDN 2027'!$AK$7:$AK$506,0))&amp;"","")</f>
        <v/>
      </c>
      <c r="T451" s="15" t="str">
        <f>IFERROR(INDEX('Formulación PDN 2027'!$C$7:$C$506,MATCH(ROW()-5,'Formulación PDN 2027'!$AK$7:$AK$506,0))&amp;"","")</f>
        <v/>
      </c>
      <c r="U451" s="15" t="str">
        <f>IFERROR(INDEX('Formulación PDN 2027'!$B$7:$B$506,MATCH(ROW()-5,'Formulación PDN 2027'!$AK$7:$AK$506,0))&amp;"","")</f>
        <v/>
      </c>
      <c r="V451" s="15" t="str">
        <f>IFERROR(LEFT(INDEX('Formulación PDN 2027'!$E$7:$E$506,MATCH(ROW()-5,'Formulación PDN 2027'!$AK$7:$AK$506,0)),7),"")</f>
        <v/>
      </c>
      <c r="W451" s="15" t="str">
        <f>IFERROR(INDEX('Formulación PDN 2027'!$H$7:$H$506,MATCH(ROW()-5,'Formulación PDN 2027'!$AK$7:$AK$506,0))&amp;"","")</f>
        <v/>
      </c>
      <c r="X451" s="15" t="str">
        <f>IFERROR(INDEX('Formulación PDN 2027'!$U$7:$U$506,MATCH(ROW()-5,'Formulación PDN 2027'!$AK$7:$AK$506,0))&amp;"","")</f>
        <v/>
      </c>
      <c r="Y451" s="15" t="str">
        <f>IFERROR(INDEX('Formulación PDN 2027'!$AH$7:$AH$506,MATCH(ROW()-5,'Formulación PDN 2027'!$AK$7:$AK$506,0))&amp;"","")</f>
        <v/>
      </c>
    </row>
    <row r="452" spans="1:25" x14ac:dyDescent="0.3">
      <c r="A452" s="15" t="str">
        <f>IFERROR(INDEX('Formulación PDN 2027'!$A$7:$A$506,MATCH(ROW()-5,'Formulación PDN 2027'!$AK$7:$AK$506,0))&amp;"","")</f>
        <v/>
      </c>
      <c r="B452" s="20" t="str">
        <f>IFERROR(INDEX('Formulación PDN 2027'!$M$7:$M$506,MATCH(ROW()-5,'Formulación PDN 2027'!$AK$7:$AK$506,0)),"")</f>
        <v/>
      </c>
      <c r="C452" s="15" t="str">
        <f>IFERROR(INDEX('Formulación PDN 2027'!$N$7:$N$506,MATCH(ROW()-5,'Formulación PDN 2027'!$AK$7:$AK$506,0))&amp;"","")</f>
        <v/>
      </c>
      <c r="D452" s="15" t="str">
        <f>IFERROR(INDEX('Formulación PDN 2027'!$L$7:$L$506,MATCH(ROW()-5,'Formulación PDN 2027'!$AK$7:$AK$506,0))&amp;"","")</f>
        <v/>
      </c>
      <c r="E452" s="15" t="str">
        <f>IFERROR(MATCH(INDEX('Formulación PDN 2027'!$O$7:$O$506,MATCH(ROW()-5,'Formulación PDN 2027'!$AK$7:$AK$506,0)),L_MESES,0),"")</f>
        <v/>
      </c>
      <c r="F452" s="15" t="str">
        <f>IFERROR(MATCH(INDEX('Formulación PDN 2027'!$P$7:$P$506,MATCH(ROW()-5,'Formulación PDN 2027'!$AK$7:$AK$506,0)),L_MESES,0),"")</f>
        <v/>
      </c>
      <c r="G452" s="15" t="str">
        <f>IFERROR(INDEX('Formulación PDN 2027'!$Q$7:$Q$506,MATCH(ROW()-5,'Formulación PDN 2027'!$AK$7:$AK$506,0)),"")</f>
        <v/>
      </c>
      <c r="H452" s="15" t="str">
        <f>IFERROR(INDEX('Formulación PDN 2027'!$R$7:$R$506,MATCH(ROW()-5,'Formulación PDN 2027'!$AK$7:$AK$506,0))&amp;"","")</f>
        <v/>
      </c>
      <c r="I452" s="15" t="str">
        <f>IFERROR(INDEX('Formulación PDN 2027'!$S$7:$S$506,MATCH(ROW()-5,'Formulación PDN 2027'!$AK$7:$AK$506,0))&amp;"","")</f>
        <v/>
      </c>
      <c r="J452" s="15" t="str">
        <f>IFERROR(INDEX('Formulación PDN 2027'!$T$7:$T$506,MATCH(ROW()-5,'Formulación PDN 2027'!$AK$7:$AK$506,0))&amp;"","")</f>
        <v/>
      </c>
      <c r="K452" s="43" t="str">
        <f>IFERROR(INDEX('Formulación PDN 2027'!$W$7:$W$506,MATCH(ROW()-5,'Formulación PDN 2027'!$AK$7:$AK$506,0)),"")</f>
        <v/>
      </c>
      <c r="L452" s="43" t="str">
        <f>IFERROR(INDEX('Formulación PDN 2027'!$X$7:$X$506,MATCH(ROW()-5,'Formulación PDN 2027'!$AK$7:$AK$506,0)),"")</f>
        <v/>
      </c>
      <c r="M452" s="15" t="str">
        <f>IFERROR(INDEX('Formulación PDN 2027'!$Y$7:$Y$506,MATCH(ROW()-5,'Formulación PDN 2027'!$AK$7:$AK$506,0))&amp;"","")</f>
        <v/>
      </c>
      <c r="N452" s="15" t="str">
        <f>IFERROR(INDEX('Formulación PDN 2027'!$Z$7:$Z$506,MATCH(ROW()-5,'Formulación PDN 2027'!$AK$7:$AK$506,0))&amp;"","")</f>
        <v/>
      </c>
      <c r="O452" s="15"/>
      <c r="P452" s="15" t="str">
        <f>IFERROR(INDEX('Formulación PDN 2027'!$AA$7:$AA$506,MATCH(ROW()-5,'Formulación PDN 2027'!$AK$7:$AK$506,0))&amp;"","")</f>
        <v/>
      </c>
      <c r="Q452" s="15" t="str">
        <f>IFERROR(INDEX('Formulación PDN 2027'!$AB$7:$AB$506,MATCH(ROW()-5,'Formulación PDN 2027'!$AK$7:$AK$506,0))&amp;"","")</f>
        <v/>
      </c>
      <c r="R452" s="15" t="str">
        <f>IFERROR(INDEX('Formulación PDN 2027'!$AD$7:$AD$506,MATCH(ROW()-5,'Formulación PDN 2027'!$AK$7:$AK$506,0))&amp;"","")</f>
        <v/>
      </c>
      <c r="S452" s="15" t="str">
        <f>IFERROR(INDEX('Formulación PDN 2027'!$AE$7:$AE$506,MATCH(ROW()-5,'Formulación PDN 2027'!$AK$7:$AK$506,0))&amp;"","")</f>
        <v/>
      </c>
      <c r="T452" s="15" t="str">
        <f>IFERROR(INDEX('Formulación PDN 2027'!$C$7:$C$506,MATCH(ROW()-5,'Formulación PDN 2027'!$AK$7:$AK$506,0))&amp;"","")</f>
        <v/>
      </c>
      <c r="U452" s="15" t="str">
        <f>IFERROR(INDEX('Formulación PDN 2027'!$B$7:$B$506,MATCH(ROW()-5,'Formulación PDN 2027'!$AK$7:$AK$506,0))&amp;"","")</f>
        <v/>
      </c>
      <c r="V452" s="15" t="str">
        <f>IFERROR(LEFT(INDEX('Formulación PDN 2027'!$E$7:$E$506,MATCH(ROW()-5,'Formulación PDN 2027'!$AK$7:$AK$506,0)),7),"")</f>
        <v/>
      </c>
      <c r="W452" s="15" t="str">
        <f>IFERROR(INDEX('Formulación PDN 2027'!$H$7:$H$506,MATCH(ROW()-5,'Formulación PDN 2027'!$AK$7:$AK$506,0))&amp;"","")</f>
        <v/>
      </c>
      <c r="X452" s="15" t="str">
        <f>IFERROR(INDEX('Formulación PDN 2027'!$U$7:$U$506,MATCH(ROW()-5,'Formulación PDN 2027'!$AK$7:$AK$506,0))&amp;"","")</f>
        <v/>
      </c>
      <c r="Y452" s="15" t="str">
        <f>IFERROR(INDEX('Formulación PDN 2027'!$AH$7:$AH$506,MATCH(ROW()-5,'Formulación PDN 2027'!$AK$7:$AK$506,0))&amp;"","")</f>
        <v/>
      </c>
    </row>
    <row r="453" spans="1:25" x14ac:dyDescent="0.3">
      <c r="A453" s="15" t="str">
        <f>IFERROR(INDEX('Formulación PDN 2027'!$A$7:$A$506,MATCH(ROW()-5,'Formulación PDN 2027'!$AK$7:$AK$506,0))&amp;"","")</f>
        <v/>
      </c>
      <c r="B453" s="20" t="str">
        <f>IFERROR(INDEX('Formulación PDN 2027'!$M$7:$M$506,MATCH(ROW()-5,'Formulación PDN 2027'!$AK$7:$AK$506,0)),"")</f>
        <v/>
      </c>
      <c r="C453" s="15" t="str">
        <f>IFERROR(INDEX('Formulación PDN 2027'!$N$7:$N$506,MATCH(ROW()-5,'Formulación PDN 2027'!$AK$7:$AK$506,0))&amp;"","")</f>
        <v/>
      </c>
      <c r="D453" s="15" t="str">
        <f>IFERROR(INDEX('Formulación PDN 2027'!$L$7:$L$506,MATCH(ROW()-5,'Formulación PDN 2027'!$AK$7:$AK$506,0))&amp;"","")</f>
        <v/>
      </c>
      <c r="E453" s="15" t="str">
        <f>IFERROR(MATCH(INDEX('Formulación PDN 2027'!$O$7:$O$506,MATCH(ROW()-5,'Formulación PDN 2027'!$AK$7:$AK$506,0)),L_MESES,0),"")</f>
        <v/>
      </c>
      <c r="F453" s="15" t="str">
        <f>IFERROR(MATCH(INDEX('Formulación PDN 2027'!$P$7:$P$506,MATCH(ROW()-5,'Formulación PDN 2027'!$AK$7:$AK$506,0)),L_MESES,0),"")</f>
        <v/>
      </c>
      <c r="G453" s="15" t="str">
        <f>IFERROR(INDEX('Formulación PDN 2027'!$Q$7:$Q$506,MATCH(ROW()-5,'Formulación PDN 2027'!$AK$7:$AK$506,0)),"")</f>
        <v/>
      </c>
      <c r="H453" s="15" t="str">
        <f>IFERROR(INDEX('Formulación PDN 2027'!$R$7:$R$506,MATCH(ROW()-5,'Formulación PDN 2027'!$AK$7:$AK$506,0))&amp;"","")</f>
        <v/>
      </c>
      <c r="I453" s="15" t="str">
        <f>IFERROR(INDEX('Formulación PDN 2027'!$S$7:$S$506,MATCH(ROW()-5,'Formulación PDN 2027'!$AK$7:$AK$506,0))&amp;"","")</f>
        <v/>
      </c>
      <c r="J453" s="15" t="str">
        <f>IFERROR(INDEX('Formulación PDN 2027'!$T$7:$T$506,MATCH(ROW()-5,'Formulación PDN 2027'!$AK$7:$AK$506,0))&amp;"","")</f>
        <v/>
      </c>
      <c r="K453" s="43" t="str">
        <f>IFERROR(INDEX('Formulación PDN 2027'!$W$7:$W$506,MATCH(ROW()-5,'Formulación PDN 2027'!$AK$7:$AK$506,0)),"")</f>
        <v/>
      </c>
      <c r="L453" s="43" t="str">
        <f>IFERROR(INDEX('Formulación PDN 2027'!$X$7:$X$506,MATCH(ROW()-5,'Formulación PDN 2027'!$AK$7:$AK$506,0)),"")</f>
        <v/>
      </c>
      <c r="M453" s="15" t="str">
        <f>IFERROR(INDEX('Formulación PDN 2027'!$Y$7:$Y$506,MATCH(ROW()-5,'Formulación PDN 2027'!$AK$7:$AK$506,0))&amp;"","")</f>
        <v/>
      </c>
      <c r="N453" s="15" t="str">
        <f>IFERROR(INDEX('Formulación PDN 2027'!$Z$7:$Z$506,MATCH(ROW()-5,'Formulación PDN 2027'!$AK$7:$AK$506,0))&amp;"","")</f>
        <v/>
      </c>
      <c r="O453" s="15"/>
      <c r="P453" s="15" t="str">
        <f>IFERROR(INDEX('Formulación PDN 2027'!$AA$7:$AA$506,MATCH(ROW()-5,'Formulación PDN 2027'!$AK$7:$AK$506,0))&amp;"","")</f>
        <v/>
      </c>
      <c r="Q453" s="15" t="str">
        <f>IFERROR(INDEX('Formulación PDN 2027'!$AB$7:$AB$506,MATCH(ROW()-5,'Formulación PDN 2027'!$AK$7:$AK$506,0))&amp;"","")</f>
        <v/>
      </c>
      <c r="R453" s="15" t="str">
        <f>IFERROR(INDEX('Formulación PDN 2027'!$AD$7:$AD$506,MATCH(ROW()-5,'Formulación PDN 2027'!$AK$7:$AK$506,0))&amp;"","")</f>
        <v/>
      </c>
      <c r="S453" s="15" t="str">
        <f>IFERROR(INDEX('Formulación PDN 2027'!$AE$7:$AE$506,MATCH(ROW()-5,'Formulación PDN 2027'!$AK$7:$AK$506,0))&amp;"","")</f>
        <v/>
      </c>
      <c r="T453" s="15" t="str">
        <f>IFERROR(INDEX('Formulación PDN 2027'!$C$7:$C$506,MATCH(ROW()-5,'Formulación PDN 2027'!$AK$7:$AK$506,0))&amp;"","")</f>
        <v/>
      </c>
      <c r="U453" s="15" t="str">
        <f>IFERROR(INDEX('Formulación PDN 2027'!$B$7:$B$506,MATCH(ROW()-5,'Formulación PDN 2027'!$AK$7:$AK$506,0))&amp;"","")</f>
        <v/>
      </c>
      <c r="V453" s="15" t="str">
        <f>IFERROR(LEFT(INDEX('Formulación PDN 2027'!$E$7:$E$506,MATCH(ROW()-5,'Formulación PDN 2027'!$AK$7:$AK$506,0)),7),"")</f>
        <v/>
      </c>
      <c r="W453" s="15" t="str">
        <f>IFERROR(INDEX('Formulación PDN 2027'!$H$7:$H$506,MATCH(ROW()-5,'Formulación PDN 2027'!$AK$7:$AK$506,0))&amp;"","")</f>
        <v/>
      </c>
      <c r="X453" s="15" t="str">
        <f>IFERROR(INDEX('Formulación PDN 2027'!$U$7:$U$506,MATCH(ROW()-5,'Formulación PDN 2027'!$AK$7:$AK$506,0))&amp;"","")</f>
        <v/>
      </c>
      <c r="Y453" s="15" t="str">
        <f>IFERROR(INDEX('Formulación PDN 2027'!$AH$7:$AH$506,MATCH(ROW()-5,'Formulación PDN 2027'!$AK$7:$AK$506,0))&amp;"","")</f>
        <v/>
      </c>
    </row>
    <row r="454" spans="1:25" x14ac:dyDescent="0.3">
      <c r="A454" s="15" t="str">
        <f>IFERROR(INDEX('Formulación PDN 2027'!$A$7:$A$506,MATCH(ROW()-5,'Formulación PDN 2027'!$AK$7:$AK$506,0))&amp;"","")</f>
        <v/>
      </c>
      <c r="B454" s="20" t="str">
        <f>IFERROR(INDEX('Formulación PDN 2027'!$M$7:$M$506,MATCH(ROW()-5,'Formulación PDN 2027'!$AK$7:$AK$506,0)),"")</f>
        <v/>
      </c>
      <c r="C454" s="15" t="str">
        <f>IFERROR(INDEX('Formulación PDN 2027'!$N$7:$N$506,MATCH(ROW()-5,'Formulación PDN 2027'!$AK$7:$AK$506,0))&amp;"","")</f>
        <v/>
      </c>
      <c r="D454" s="15" t="str">
        <f>IFERROR(INDEX('Formulación PDN 2027'!$L$7:$L$506,MATCH(ROW()-5,'Formulación PDN 2027'!$AK$7:$AK$506,0))&amp;"","")</f>
        <v/>
      </c>
      <c r="E454" s="15" t="str">
        <f>IFERROR(MATCH(INDEX('Formulación PDN 2027'!$O$7:$O$506,MATCH(ROW()-5,'Formulación PDN 2027'!$AK$7:$AK$506,0)),L_MESES,0),"")</f>
        <v/>
      </c>
      <c r="F454" s="15" t="str">
        <f>IFERROR(MATCH(INDEX('Formulación PDN 2027'!$P$7:$P$506,MATCH(ROW()-5,'Formulación PDN 2027'!$AK$7:$AK$506,0)),L_MESES,0),"")</f>
        <v/>
      </c>
      <c r="G454" s="15" t="str">
        <f>IFERROR(INDEX('Formulación PDN 2027'!$Q$7:$Q$506,MATCH(ROW()-5,'Formulación PDN 2027'!$AK$7:$AK$506,0)),"")</f>
        <v/>
      </c>
      <c r="H454" s="15" t="str">
        <f>IFERROR(INDEX('Formulación PDN 2027'!$R$7:$R$506,MATCH(ROW()-5,'Formulación PDN 2027'!$AK$7:$AK$506,0))&amp;"","")</f>
        <v/>
      </c>
      <c r="I454" s="15" t="str">
        <f>IFERROR(INDEX('Formulación PDN 2027'!$S$7:$S$506,MATCH(ROW()-5,'Formulación PDN 2027'!$AK$7:$AK$506,0))&amp;"","")</f>
        <v/>
      </c>
      <c r="J454" s="15" t="str">
        <f>IFERROR(INDEX('Formulación PDN 2027'!$T$7:$T$506,MATCH(ROW()-5,'Formulación PDN 2027'!$AK$7:$AK$506,0))&amp;"","")</f>
        <v/>
      </c>
      <c r="K454" s="43" t="str">
        <f>IFERROR(INDEX('Formulación PDN 2027'!$W$7:$W$506,MATCH(ROW()-5,'Formulación PDN 2027'!$AK$7:$AK$506,0)),"")</f>
        <v/>
      </c>
      <c r="L454" s="43" t="str">
        <f>IFERROR(INDEX('Formulación PDN 2027'!$X$7:$X$506,MATCH(ROW()-5,'Formulación PDN 2027'!$AK$7:$AK$506,0)),"")</f>
        <v/>
      </c>
      <c r="M454" s="15" t="str">
        <f>IFERROR(INDEX('Formulación PDN 2027'!$Y$7:$Y$506,MATCH(ROW()-5,'Formulación PDN 2027'!$AK$7:$AK$506,0))&amp;"","")</f>
        <v/>
      </c>
      <c r="N454" s="15" t="str">
        <f>IFERROR(INDEX('Formulación PDN 2027'!$Z$7:$Z$506,MATCH(ROW()-5,'Formulación PDN 2027'!$AK$7:$AK$506,0))&amp;"","")</f>
        <v/>
      </c>
      <c r="O454" s="15"/>
      <c r="P454" s="15" t="str">
        <f>IFERROR(INDEX('Formulación PDN 2027'!$AA$7:$AA$506,MATCH(ROW()-5,'Formulación PDN 2027'!$AK$7:$AK$506,0))&amp;"","")</f>
        <v/>
      </c>
      <c r="Q454" s="15" t="str">
        <f>IFERROR(INDEX('Formulación PDN 2027'!$AB$7:$AB$506,MATCH(ROW()-5,'Formulación PDN 2027'!$AK$7:$AK$506,0))&amp;"","")</f>
        <v/>
      </c>
      <c r="R454" s="15" t="str">
        <f>IFERROR(INDEX('Formulación PDN 2027'!$AD$7:$AD$506,MATCH(ROW()-5,'Formulación PDN 2027'!$AK$7:$AK$506,0))&amp;"","")</f>
        <v/>
      </c>
      <c r="S454" s="15" t="str">
        <f>IFERROR(INDEX('Formulación PDN 2027'!$AE$7:$AE$506,MATCH(ROW()-5,'Formulación PDN 2027'!$AK$7:$AK$506,0))&amp;"","")</f>
        <v/>
      </c>
      <c r="T454" s="15" t="str">
        <f>IFERROR(INDEX('Formulación PDN 2027'!$C$7:$C$506,MATCH(ROW()-5,'Formulación PDN 2027'!$AK$7:$AK$506,0))&amp;"","")</f>
        <v/>
      </c>
      <c r="U454" s="15" t="str">
        <f>IFERROR(INDEX('Formulación PDN 2027'!$B$7:$B$506,MATCH(ROW()-5,'Formulación PDN 2027'!$AK$7:$AK$506,0))&amp;"","")</f>
        <v/>
      </c>
      <c r="V454" s="15" t="str">
        <f>IFERROR(LEFT(INDEX('Formulación PDN 2027'!$E$7:$E$506,MATCH(ROW()-5,'Formulación PDN 2027'!$AK$7:$AK$506,0)),7),"")</f>
        <v/>
      </c>
      <c r="W454" s="15" t="str">
        <f>IFERROR(INDEX('Formulación PDN 2027'!$H$7:$H$506,MATCH(ROW()-5,'Formulación PDN 2027'!$AK$7:$AK$506,0))&amp;"","")</f>
        <v/>
      </c>
      <c r="X454" s="15" t="str">
        <f>IFERROR(INDEX('Formulación PDN 2027'!$U$7:$U$506,MATCH(ROW()-5,'Formulación PDN 2027'!$AK$7:$AK$506,0))&amp;"","")</f>
        <v/>
      </c>
      <c r="Y454" s="15" t="str">
        <f>IFERROR(INDEX('Formulación PDN 2027'!$AH$7:$AH$506,MATCH(ROW()-5,'Formulación PDN 2027'!$AK$7:$AK$506,0))&amp;"","")</f>
        <v/>
      </c>
    </row>
    <row r="455" spans="1:25" x14ac:dyDescent="0.3">
      <c r="A455" s="15" t="str">
        <f>IFERROR(INDEX('Formulación PDN 2027'!$A$7:$A$506,MATCH(ROW()-5,'Formulación PDN 2027'!$AK$7:$AK$506,0))&amp;"","")</f>
        <v/>
      </c>
      <c r="B455" s="20" t="str">
        <f>IFERROR(INDEX('Formulación PDN 2027'!$M$7:$M$506,MATCH(ROW()-5,'Formulación PDN 2027'!$AK$7:$AK$506,0)),"")</f>
        <v/>
      </c>
      <c r="C455" s="15" t="str">
        <f>IFERROR(INDEX('Formulación PDN 2027'!$N$7:$N$506,MATCH(ROW()-5,'Formulación PDN 2027'!$AK$7:$AK$506,0))&amp;"","")</f>
        <v/>
      </c>
      <c r="D455" s="15" t="str">
        <f>IFERROR(INDEX('Formulación PDN 2027'!$L$7:$L$506,MATCH(ROW()-5,'Formulación PDN 2027'!$AK$7:$AK$506,0))&amp;"","")</f>
        <v/>
      </c>
      <c r="E455" s="15" t="str">
        <f>IFERROR(MATCH(INDEX('Formulación PDN 2027'!$O$7:$O$506,MATCH(ROW()-5,'Formulación PDN 2027'!$AK$7:$AK$506,0)),L_MESES,0),"")</f>
        <v/>
      </c>
      <c r="F455" s="15" t="str">
        <f>IFERROR(MATCH(INDEX('Formulación PDN 2027'!$P$7:$P$506,MATCH(ROW()-5,'Formulación PDN 2027'!$AK$7:$AK$506,0)),L_MESES,0),"")</f>
        <v/>
      </c>
      <c r="G455" s="15" t="str">
        <f>IFERROR(INDEX('Formulación PDN 2027'!$Q$7:$Q$506,MATCH(ROW()-5,'Formulación PDN 2027'!$AK$7:$AK$506,0)),"")</f>
        <v/>
      </c>
      <c r="H455" s="15" t="str">
        <f>IFERROR(INDEX('Formulación PDN 2027'!$R$7:$R$506,MATCH(ROW()-5,'Formulación PDN 2027'!$AK$7:$AK$506,0))&amp;"","")</f>
        <v/>
      </c>
      <c r="I455" s="15" t="str">
        <f>IFERROR(INDEX('Formulación PDN 2027'!$S$7:$S$506,MATCH(ROW()-5,'Formulación PDN 2027'!$AK$7:$AK$506,0))&amp;"","")</f>
        <v/>
      </c>
      <c r="J455" s="15" t="str">
        <f>IFERROR(INDEX('Formulación PDN 2027'!$T$7:$T$506,MATCH(ROW()-5,'Formulación PDN 2027'!$AK$7:$AK$506,0))&amp;"","")</f>
        <v/>
      </c>
      <c r="K455" s="43" t="str">
        <f>IFERROR(INDEX('Formulación PDN 2027'!$W$7:$W$506,MATCH(ROW()-5,'Formulación PDN 2027'!$AK$7:$AK$506,0)),"")</f>
        <v/>
      </c>
      <c r="L455" s="43" t="str">
        <f>IFERROR(INDEX('Formulación PDN 2027'!$X$7:$X$506,MATCH(ROW()-5,'Formulación PDN 2027'!$AK$7:$AK$506,0)),"")</f>
        <v/>
      </c>
      <c r="M455" s="15" t="str">
        <f>IFERROR(INDEX('Formulación PDN 2027'!$Y$7:$Y$506,MATCH(ROW()-5,'Formulación PDN 2027'!$AK$7:$AK$506,0))&amp;"","")</f>
        <v/>
      </c>
      <c r="N455" s="15" t="str">
        <f>IFERROR(INDEX('Formulación PDN 2027'!$Z$7:$Z$506,MATCH(ROW()-5,'Formulación PDN 2027'!$AK$7:$AK$506,0))&amp;"","")</f>
        <v/>
      </c>
      <c r="O455" s="15"/>
      <c r="P455" s="15" t="str">
        <f>IFERROR(INDEX('Formulación PDN 2027'!$AA$7:$AA$506,MATCH(ROW()-5,'Formulación PDN 2027'!$AK$7:$AK$506,0))&amp;"","")</f>
        <v/>
      </c>
      <c r="Q455" s="15" t="str">
        <f>IFERROR(INDEX('Formulación PDN 2027'!$AB$7:$AB$506,MATCH(ROW()-5,'Formulación PDN 2027'!$AK$7:$AK$506,0))&amp;"","")</f>
        <v/>
      </c>
      <c r="R455" s="15" t="str">
        <f>IFERROR(INDEX('Formulación PDN 2027'!$AD$7:$AD$506,MATCH(ROW()-5,'Formulación PDN 2027'!$AK$7:$AK$506,0))&amp;"","")</f>
        <v/>
      </c>
      <c r="S455" s="15" t="str">
        <f>IFERROR(INDEX('Formulación PDN 2027'!$AE$7:$AE$506,MATCH(ROW()-5,'Formulación PDN 2027'!$AK$7:$AK$506,0))&amp;"","")</f>
        <v/>
      </c>
      <c r="T455" s="15" t="str">
        <f>IFERROR(INDEX('Formulación PDN 2027'!$C$7:$C$506,MATCH(ROW()-5,'Formulación PDN 2027'!$AK$7:$AK$506,0))&amp;"","")</f>
        <v/>
      </c>
      <c r="U455" s="15" t="str">
        <f>IFERROR(INDEX('Formulación PDN 2027'!$B$7:$B$506,MATCH(ROW()-5,'Formulación PDN 2027'!$AK$7:$AK$506,0))&amp;"","")</f>
        <v/>
      </c>
      <c r="V455" s="15" t="str">
        <f>IFERROR(LEFT(INDEX('Formulación PDN 2027'!$E$7:$E$506,MATCH(ROW()-5,'Formulación PDN 2027'!$AK$7:$AK$506,0)),7),"")</f>
        <v/>
      </c>
      <c r="W455" s="15" t="str">
        <f>IFERROR(INDEX('Formulación PDN 2027'!$H$7:$H$506,MATCH(ROW()-5,'Formulación PDN 2027'!$AK$7:$AK$506,0))&amp;"","")</f>
        <v/>
      </c>
      <c r="X455" s="15" t="str">
        <f>IFERROR(INDEX('Formulación PDN 2027'!$U$7:$U$506,MATCH(ROW()-5,'Formulación PDN 2027'!$AK$7:$AK$506,0))&amp;"","")</f>
        <v/>
      </c>
      <c r="Y455" s="15" t="str">
        <f>IFERROR(INDEX('Formulación PDN 2027'!$AH$7:$AH$506,MATCH(ROW()-5,'Formulación PDN 2027'!$AK$7:$AK$506,0))&amp;"","")</f>
        <v/>
      </c>
    </row>
    <row r="456" spans="1:25" x14ac:dyDescent="0.3">
      <c r="A456" s="15" t="str">
        <f>IFERROR(INDEX('Formulación PDN 2027'!$A$7:$A$506,MATCH(ROW()-5,'Formulación PDN 2027'!$AK$7:$AK$506,0))&amp;"","")</f>
        <v/>
      </c>
      <c r="B456" s="20" t="str">
        <f>IFERROR(INDEX('Formulación PDN 2027'!$M$7:$M$506,MATCH(ROW()-5,'Formulación PDN 2027'!$AK$7:$AK$506,0)),"")</f>
        <v/>
      </c>
      <c r="C456" s="15" t="str">
        <f>IFERROR(INDEX('Formulación PDN 2027'!$N$7:$N$506,MATCH(ROW()-5,'Formulación PDN 2027'!$AK$7:$AK$506,0))&amp;"","")</f>
        <v/>
      </c>
      <c r="D456" s="15" t="str">
        <f>IFERROR(INDEX('Formulación PDN 2027'!$L$7:$L$506,MATCH(ROW()-5,'Formulación PDN 2027'!$AK$7:$AK$506,0))&amp;"","")</f>
        <v/>
      </c>
      <c r="E456" s="15" t="str">
        <f>IFERROR(MATCH(INDEX('Formulación PDN 2027'!$O$7:$O$506,MATCH(ROW()-5,'Formulación PDN 2027'!$AK$7:$AK$506,0)),L_MESES,0),"")</f>
        <v/>
      </c>
      <c r="F456" s="15" t="str">
        <f>IFERROR(MATCH(INDEX('Formulación PDN 2027'!$P$7:$P$506,MATCH(ROW()-5,'Formulación PDN 2027'!$AK$7:$AK$506,0)),L_MESES,0),"")</f>
        <v/>
      </c>
      <c r="G456" s="15" t="str">
        <f>IFERROR(INDEX('Formulación PDN 2027'!$Q$7:$Q$506,MATCH(ROW()-5,'Formulación PDN 2027'!$AK$7:$AK$506,0)),"")</f>
        <v/>
      </c>
      <c r="H456" s="15" t="str">
        <f>IFERROR(INDEX('Formulación PDN 2027'!$R$7:$R$506,MATCH(ROW()-5,'Formulación PDN 2027'!$AK$7:$AK$506,0))&amp;"","")</f>
        <v/>
      </c>
      <c r="I456" s="15" t="str">
        <f>IFERROR(INDEX('Formulación PDN 2027'!$S$7:$S$506,MATCH(ROW()-5,'Formulación PDN 2027'!$AK$7:$AK$506,0))&amp;"","")</f>
        <v/>
      </c>
      <c r="J456" s="15" t="str">
        <f>IFERROR(INDEX('Formulación PDN 2027'!$T$7:$T$506,MATCH(ROW()-5,'Formulación PDN 2027'!$AK$7:$AK$506,0))&amp;"","")</f>
        <v/>
      </c>
      <c r="K456" s="43" t="str">
        <f>IFERROR(INDEX('Formulación PDN 2027'!$W$7:$W$506,MATCH(ROW()-5,'Formulación PDN 2027'!$AK$7:$AK$506,0)),"")</f>
        <v/>
      </c>
      <c r="L456" s="43" t="str">
        <f>IFERROR(INDEX('Formulación PDN 2027'!$X$7:$X$506,MATCH(ROW()-5,'Formulación PDN 2027'!$AK$7:$AK$506,0)),"")</f>
        <v/>
      </c>
      <c r="M456" s="15" t="str">
        <f>IFERROR(INDEX('Formulación PDN 2027'!$Y$7:$Y$506,MATCH(ROW()-5,'Formulación PDN 2027'!$AK$7:$AK$506,0))&amp;"","")</f>
        <v/>
      </c>
      <c r="N456" s="15" t="str">
        <f>IFERROR(INDEX('Formulación PDN 2027'!$Z$7:$Z$506,MATCH(ROW()-5,'Formulación PDN 2027'!$AK$7:$AK$506,0))&amp;"","")</f>
        <v/>
      </c>
      <c r="O456" s="15"/>
      <c r="P456" s="15" t="str">
        <f>IFERROR(INDEX('Formulación PDN 2027'!$AA$7:$AA$506,MATCH(ROW()-5,'Formulación PDN 2027'!$AK$7:$AK$506,0))&amp;"","")</f>
        <v/>
      </c>
      <c r="Q456" s="15" t="str">
        <f>IFERROR(INDEX('Formulación PDN 2027'!$AB$7:$AB$506,MATCH(ROW()-5,'Formulación PDN 2027'!$AK$7:$AK$506,0))&amp;"","")</f>
        <v/>
      </c>
      <c r="R456" s="15" t="str">
        <f>IFERROR(INDEX('Formulación PDN 2027'!$AD$7:$AD$506,MATCH(ROW()-5,'Formulación PDN 2027'!$AK$7:$AK$506,0))&amp;"","")</f>
        <v/>
      </c>
      <c r="S456" s="15" t="str">
        <f>IFERROR(INDEX('Formulación PDN 2027'!$AE$7:$AE$506,MATCH(ROW()-5,'Formulación PDN 2027'!$AK$7:$AK$506,0))&amp;"","")</f>
        <v/>
      </c>
      <c r="T456" s="15" t="str">
        <f>IFERROR(INDEX('Formulación PDN 2027'!$C$7:$C$506,MATCH(ROW()-5,'Formulación PDN 2027'!$AK$7:$AK$506,0))&amp;"","")</f>
        <v/>
      </c>
      <c r="U456" s="15" t="str">
        <f>IFERROR(INDEX('Formulación PDN 2027'!$B$7:$B$506,MATCH(ROW()-5,'Formulación PDN 2027'!$AK$7:$AK$506,0))&amp;"","")</f>
        <v/>
      </c>
      <c r="V456" s="15" t="str">
        <f>IFERROR(LEFT(INDEX('Formulación PDN 2027'!$E$7:$E$506,MATCH(ROW()-5,'Formulación PDN 2027'!$AK$7:$AK$506,0)),7),"")</f>
        <v/>
      </c>
      <c r="W456" s="15" t="str">
        <f>IFERROR(INDEX('Formulación PDN 2027'!$H$7:$H$506,MATCH(ROW()-5,'Formulación PDN 2027'!$AK$7:$AK$506,0))&amp;"","")</f>
        <v/>
      </c>
      <c r="X456" s="15" t="str">
        <f>IFERROR(INDEX('Formulación PDN 2027'!$U$7:$U$506,MATCH(ROW()-5,'Formulación PDN 2027'!$AK$7:$AK$506,0))&amp;"","")</f>
        <v/>
      </c>
      <c r="Y456" s="15" t="str">
        <f>IFERROR(INDEX('Formulación PDN 2027'!$AH$7:$AH$506,MATCH(ROW()-5,'Formulación PDN 2027'!$AK$7:$AK$506,0))&amp;"","")</f>
        <v/>
      </c>
    </row>
    <row r="457" spans="1:25" x14ac:dyDescent="0.3">
      <c r="A457" s="15" t="str">
        <f>IFERROR(INDEX('Formulación PDN 2027'!$A$7:$A$506,MATCH(ROW()-5,'Formulación PDN 2027'!$AK$7:$AK$506,0))&amp;"","")</f>
        <v/>
      </c>
      <c r="B457" s="20" t="str">
        <f>IFERROR(INDEX('Formulación PDN 2027'!$M$7:$M$506,MATCH(ROW()-5,'Formulación PDN 2027'!$AK$7:$AK$506,0)),"")</f>
        <v/>
      </c>
      <c r="C457" s="15" t="str">
        <f>IFERROR(INDEX('Formulación PDN 2027'!$N$7:$N$506,MATCH(ROW()-5,'Formulación PDN 2027'!$AK$7:$AK$506,0))&amp;"","")</f>
        <v/>
      </c>
      <c r="D457" s="15" t="str">
        <f>IFERROR(INDEX('Formulación PDN 2027'!$L$7:$L$506,MATCH(ROW()-5,'Formulación PDN 2027'!$AK$7:$AK$506,0))&amp;"","")</f>
        <v/>
      </c>
      <c r="E457" s="15" t="str">
        <f>IFERROR(MATCH(INDEX('Formulación PDN 2027'!$O$7:$O$506,MATCH(ROW()-5,'Formulación PDN 2027'!$AK$7:$AK$506,0)),L_MESES,0),"")</f>
        <v/>
      </c>
      <c r="F457" s="15" t="str">
        <f>IFERROR(MATCH(INDEX('Formulación PDN 2027'!$P$7:$P$506,MATCH(ROW()-5,'Formulación PDN 2027'!$AK$7:$AK$506,0)),L_MESES,0),"")</f>
        <v/>
      </c>
      <c r="G457" s="15" t="str">
        <f>IFERROR(INDEX('Formulación PDN 2027'!$Q$7:$Q$506,MATCH(ROW()-5,'Formulación PDN 2027'!$AK$7:$AK$506,0)),"")</f>
        <v/>
      </c>
      <c r="H457" s="15" t="str">
        <f>IFERROR(INDEX('Formulación PDN 2027'!$R$7:$R$506,MATCH(ROW()-5,'Formulación PDN 2027'!$AK$7:$AK$506,0))&amp;"","")</f>
        <v/>
      </c>
      <c r="I457" s="15" t="str">
        <f>IFERROR(INDEX('Formulación PDN 2027'!$S$7:$S$506,MATCH(ROW()-5,'Formulación PDN 2027'!$AK$7:$AK$506,0))&amp;"","")</f>
        <v/>
      </c>
      <c r="J457" s="15" t="str">
        <f>IFERROR(INDEX('Formulación PDN 2027'!$T$7:$T$506,MATCH(ROW()-5,'Formulación PDN 2027'!$AK$7:$AK$506,0))&amp;"","")</f>
        <v/>
      </c>
      <c r="K457" s="43" t="str">
        <f>IFERROR(INDEX('Formulación PDN 2027'!$W$7:$W$506,MATCH(ROW()-5,'Formulación PDN 2027'!$AK$7:$AK$506,0)),"")</f>
        <v/>
      </c>
      <c r="L457" s="43" t="str">
        <f>IFERROR(INDEX('Formulación PDN 2027'!$X$7:$X$506,MATCH(ROW()-5,'Formulación PDN 2027'!$AK$7:$AK$506,0)),"")</f>
        <v/>
      </c>
      <c r="M457" s="15" t="str">
        <f>IFERROR(INDEX('Formulación PDN 2027'!$Y$7:$Y$506,MATCH(ROW()-5,'Formulación PDN 2027'!$AK$7:$AK$506,0))&amp;"","")</f>
        <v/>
      </c>
      <c r="N457" s="15" t="str">
        <f>IFERROR(INDEX('Formulación PDN 2027'!$Z$7:$Z$506,MATCH(ROW()-5,'Formulación PDN 2027'!$AK$7:$AK$506,0))&amp;"","")</f>
        <v/>
      </c>
      <c r="O457" s="15"/>
      <c r="P457" s="15" t="str">
        <f>IFERROR(INDEX('Formulación PDN 2027'!$AA$7:$AA$506,MATCH(ROW()-5,'Formulación PDN 2027'!$AK$7:$AK$506,0))&amp;"","")</f>
        <v/>
      </c>
      <c r="Q457" s="15" t="str">
        <f>IFERROR(INDEX('Formulación PDN 2027'!$AB$7:$AB$506,MATCH(ROW()-5,'Formulación PDN 2027'!$AK$7:$AK$506,0))&amp;"","")</f>
        <v/>
      </c>
      <c r="R457" s="15" t="str">
        <f>IFERROR(INDEX('Formulación PDN 2027'!$AD$7:$AD$506,MATCH(ROW()-5,'Formulación PDN 2027'!$AK$7:$AK$506,0))&amp;"","")</f>
        <v/>
      </c>
      <c r="S457" s="15" t="str">
        <f>IFERROR(INDEX('Formulación PDN 2027'!$AE$7:$AE$506,MATCH(ROW()-5,'Formulación PDN 2027'!$AK$7:$AK$506,0))&amp;"","")</f>
        <v/>
      </c>
      <c r="T457" s="15" t="str">
        <f>IFERROR(INDEX('Formulación PDN 2027'!$C$7:$C$506,MATCH(ROW()-5,'Formulación PDN 2027'!$AK$7:$AK$506,0))&amp;"","")</f>
        <v/>
      </c>
      <c r="U457" s="15" t="str">
        <f>IFERROR(INDEX('Formulación PDN 2027'!$B$7:$B$506,MATCH(ROW()-5,'Formulación PDN 2027'!$AK$7:$AK$506,0))&amp;"","")</f>
        <v/>
      </c>
      <c r="V457" s="15" t="str">
        <f>IFERROR(LEFT(INDEX('Formulación PDN 2027'!$E$7:$E$506,MATCH(ROW()-5,'Formulación PDN 2027'!$AK$7:$AK$506,0)),7),"")</f>
        <v/>
      </c>
      <c r="W457" s="15" t="str">
        <f>IFERROR(INDEX('Formulación PDN 2027'!$H$7:$H$506,MATCH(ROW()-5,'Formulación PDN 2027'!$AK$7:$AK$506,0))&amp;"","")</f>
        <v/>
      </c>
      <c r="X457" s="15" t="str">
        <f>IFERROR(INDEX('Formulación PDN 2027'!$U$7:$U$506,MATCH(ROW()-5,'Formulación PDN 2027'!$AK$7:$AK$506,0))&amp;"","")</f>
        <v/>
      </c>
      <c r="Y457" s="15" t="str">
        <f>IFERROR(INDEX('Formulación PDN 2027'!$AH$7:$AH$506,MATCH(ROW()-5,'Formulación PDN 2027'!$AK$7:$AK$506,0))&amp;"","")</f>
        <v/>
      </c>
    </row>
    <row r="458" spans="1:25" x14ac:dyDescent="0.3">
      <c r="A458" s="15" t="str">
        <f>IFERROR(INDEX('Formulación PDN 2027'!$A$7:$A$506,MATCH(ROW()-5,'Formulación PDN 2027'!$AK$7:$AK$506,0))&amp;"","")</f>
        <v/>
      </c>
      <c r="B458" s="20" t="str">
        <f>IFERROR(INDEX('Formulación PDN 2027'!$M$7:$M$506,MATCH(ROW()-5,'Formulación PDN 2027'!$AK$7:$AK$506,0)),"")</f>
        <v/>
      </c>
      <c r="C458" s="15" t="str">
        <f>IFERROR(INDEX('Formulación PDN 2027'!$N$7:$N$506,MATCH(ROW()-5,'Formulación PDN 2027'!$AK$7:$AK$506,0))&amp;"","")</f>
        <v/>
      </c>
      <c r="D458" s="15" t="str">
        <f>IFERROR(INDEX('Formulación PDN 2027'!$L$7:$L$506,MATCH(ROW()-5,'Formulación PDN 2027'!$AK$7:$AK$506,0))&amp;"","")</f>
        <v/>
      </c>
      <c r="E458" s="15" t="str">
        <f>IFERROR(MATCH(INDEX('Formulación PDN 2027'!$O$7:$O$506,MATCH(ROW()-5,'Formulación PDN 2027'!$AK$7:$AK$506,0)),L_MESES,0),"")</f>
        <v/>
      </c>
      <c r="F458" s="15" t="str">
        <f>IFERROR(MATCH(INDEX('Formulación PDN 2027'!$P$7:$P$506,MATCH(ROW()-5,'Formulación PDN 2027'!$AK$7:$AK$506,0)),L_MESES,0),"")</f>
        <v/>
      </c>
      <c r="G458" s="15" t="str">
        <f>IFERROR(INDEX('Formulación PDN 2027'!$Q$7:$Q$506,MATCH(ROW()-5,'Formulación PDN 2027'!$AK$7:$AK$506,0)),"")</f>
        <v/>
      </c>
      <c r="H458" s="15" t="str">
        <f>IFERROR(INDEX('Formulación PDN 2027'!$R$7:$R$506,MATCH(ROW()-5,'Formulación PDN 2027'!$AK$7:$AK$506,0))&amp;"","")</f>
        <v/>
      </c>
      <c r="I458" s="15" t="str">
        <f>IFERROR(INDEX('Formulación PDN 2027'!$S$7:$S$506,MATCH(ROW()-5,'Formulación PDN 2027'!$AK$7:$AK$506,0))&amp;"","")</f>
        <v/>
      </c>
      <c r="J458" s="15" t="str">
        <f>IFERROR(INDEX('Formulación PDN 2027'!$T$7:$T$506,MATCH(ROW()-5,'Formulación PDN 2027'!$AK$7:$AK$506,0))&amp;"","")</f>
        <v/>
      </c>
      <c r="K458" s="43" t="str">
        <f>IFERROR(INDEX('Formulación PDN 2027'!$W$7:$W$506,MATCH(ROW()-5,'Formulación PDN 2027'!$AK$7:$AK$506,0)),"")</f>
        <v/>
      </c>
      <c r="L458" s="43" t="str">
        <f>IFERROR(INDEX('Formulación PDN 2027'!$X$7:$X$506,MATCH(ROW()-5,'Formulación PDN 2027'!$AK$7:$AK$506,0)),"")</f>
        <v/>
      </c>
      <c r="M458" s="15" t="str">
        <f>IFERROR(INDEX('Formulación PDN 2027'!$Y$7:$Y$506,MATCH(ROW()-5,'Formulación PDN 2027'!$AK$7:$AK$506,0))&amp;"","")</f>
        <v/>
      </c>
      <c r="N458" s="15" t="str">
        <f>IFERROR(INDEX('Formulación PDN 2027'!$Z$7:$Z$506,MATCH(ROW()-5,'Formulación PDN 2027'!$AK$7:$AK$506,0))&amp;"","")</f>
        <v/>
      </c>
      <c r="O458" s="15"/>
      <c r="P458" s="15" t="str">
        <f>IFERROR(INDEX('Formulación PDN 2027'!$AA$7:$AA$506,MATCH(ROW()-5,'Formulación PDN 2027'!$AK$7:$AK$506,0))&amp;"","")</f>
        <v/>
      </c>
      <c r="Q458" s="15" t="str">
        <f>IFERROR(INDEX('Formulación PDN 2027'!$AB$7:$AB$506,MATCH(ROW()-5,'Formulación PDN 2027'!$AK$7:$AK$506,0))&amp;"","")</f>
        <v/>
      </c>
      <c r="R458" s="15" t="str">
        <f>IFERROR(INDEX('Formulación PDN 2027'!$AD$7:$AD$506,MATCH(ROW()-5,'Formulación PDN 2027'!$AK$7:$AK$506,0))&amp;"","")</f>
        <v/>
      </c>
      <c r="S458" s="15" t="str">
        <f>IFERROR(INDEX('Formulación PDN 2027'!$AE$7:$AE$506,MATCH(ROW()-5,'Formulación PDN 2027'!$AK$7:$AK$506,0))&amp;"","")</f>
        <v/>
      </c>
      <c r="T458" s="15" t="str">
        <f>IFERROR(INDEX('Formulación PDN 2027'!$C$7:$C$506,MATCH(ROW()-5,'Formulación PDN 2027'!$AK$7:$AK$506,0))&amp;"","")</f>
        <v/>
      </c>
      <c r="U458" s="15" t="str">
        <f>IFERROR(INDEX('Formulación PDN 2027'!$B$7:$B$506,MATCH(ROW()-5,'Formulación PDN 2027'!$AK$7:$AK$506,0))&amp;"","")</f>
        <v/>
      </c>
      <c r="V458" s="15" t="str">
        <f>IFERROR(LEFT(INDEX('Formulación PDN 2027'!$E$7:$E$506,MATCH(ROW()-5,'Formulación PDN 2027'!$AK$7:$AK$506,0)),7),"")</f>
        <v/>
      </c>
      <c r="W458" s="15" t="str">
        <f>IFERROR(INDEX('Formulación PDN 2027'!$H$7:$H$506,MATCH(ROW()-5,'Formulación PDN 2027'!$AK$7:$AK$506,0))&amp;"","")</f>
        <v/>
      </c>
      <c r="X458" s="15" t="str">
        <f>IFERROR(INDEX('Formulación PDN 2027'!$U$7:$U$506,MATCH(ROW()-5,'Formulación PDN 2027'!$AK$7:$AK$506,0))&amp;"","")</f>
        <v/>
      </c>
      <c r="Y458" s="15" t="str">
        <f>IFERROR(INDEX('Formulación PDN 2027'!$AH$7:$AH$506,MATCH(ROW()-5,'Formulación PDN 2027'!$AK$7:$AK$506,0))&amp;"","")</f>
        <v/>
      </c>
    </row>
    <row r="459" spans="1:25" x14ac:dyDescent="0.3">
      <c r="A459" s="15" t="str">
        <f>IFERROR(INDEX('Formulación PDN 2027'!$A$7:$A$506,MATCH(ROW()-5,'Formulación PDN 2027'!$AK$7:$AK$506,0))&amp;"","")</f>
        <v/>
      </c>
      <c r="B459" s="20" t="str">
        <f>IFERROR(INDEX('Formulación PDN 2027'!$M$7:$M$506,MATCH(ROW()-5,'Formulación PDN 2027'!$AK$7:$AK$506,0)),"")</f>
        <v/>
      </c>
      <c r="C459" s="15" t="str">
        <f>IFERROR(INDEX('Formulación PDN 2027'!$N$7:$N$506,MATCH(ROW()-5,'Formulación PDN 2027'!$AK$7:$AK$506,0))&amp;"","")</f>
        <v/>
      </c>
      <c r="D459" s="15" t="str">
        <f>IFERROR(INDEX('Formulación PDN 2027'!$L$7:$L$506,MATCH(ROW()-5,'Formulación PDN 2027'!$AK$7:$AK$506,0))&amp;"","")</f>
        <v/>
      </c>
      <c r="E459" s="15" t="str">
        <f>IFERROR(MATCH(INDEX('Formulación PDN 2027'!$O$7:$O$506,MATCH(ROW()-5,'Formulación PDN 2027'!$AK$7:$AK$506,0)),L_MESES,0),"")</f>
        <v/>
      </c>
      <c r="F459" s="15" t="str">
        <f>IFERROR(MATCH(INDEX('Formulación PDN 2027'!$P$7:$P$506,MATCH(ROW()-5,'Formulación PDN 2027'!$AK$7:$AK$506,0)),L_MESES,0),"")</f>
        <v/>
      </c>
      <c r="G459" s="15" t="str">
        <f>IFERROR(INDEX('Formulación PDN 2027'!$Q$7:$Q$506,MATCH(ROW()-5,'Formulación PDN 2027'!$AK$7:$AK$506,0)),"")</f>
        <v/>
      </c>
      <c r="H459" s="15" t="str">
        <f>IFERROR(INDEX('Formulación PDN 2027'!$R$7:$R$506,MATCH(ROW()-5,'Formulación PDN 2027'!$AK$7:$AK$506,0))&amp;"","")</f>
        <v/>
      </c>
      <c r="I459" s="15" t="str">
        <f>IFERROR(INDEX('Formulación PDN 2027'!$S$7:$S$506,MATCH(ROW()-5,'Formulación PDN 2027'!$AK$7:$AK$506,0))&amp;"","")</f>
        <v/>
      </c>
      <c r="J459" s="15" t="str">
        <f>IFERROR(INDEX('Formulación PDN 2027'!$T$7:$T$506,MATCH(ROW()-5,'Formulación PDN 2027'!$AK$7:$AK$506,0))&amp;"","")</f>
        <v/>
      </c>
      <c r="K459" s="43" t="str">
        <f>IFERROR(INDEX('Formulación PDN 2027'!$W$7:$W$506,MATCH(ROW()-5,'Formulación PDN 2027'!$AK$7:$AK$506,0)),"")</f>
        <v/>
      </c>
      <c r="L459" s="43" t="str">
        <f>IFERROR(INDEX('Formulación PDN 2027'!$X$7:$X$506,MATCH(ROW()-5,'Formulación PDN 2027'!$AK$7:$AK$506,0)),"")</f>
        <v/>
      </c>
      <c r="M459" s="15" t="str">
        <f>IFERROR(INDEX('Formulación PDN 2027'!$Y$7:$Y$506,MATCH(ROW()-5,'Formulación PDN 2027'!$AK$7:$AK$506,0))&amp;"","")</f>
        <v/>
      </c>
      <c r="N459" s="15" t="str">
        <f>IFERROR(INDEX('Formulación PDN 2027'!$Z$7:$Z$506,MATCH(ROW()-5,'Formulación PDN 2027'!$AK$7:$AK$506,0))&amp;"","")</f>
        <v/>
      </c>
      <c r="O459" s="15"/>
      <c r="P459" s="15" t="str">
        <f>IFERROR(INDEX('Formulación PDN 2027'!$AA$7:$AA$506,MATCH(ROW()-5,'Formulación PDN 2027'!$AK$7:$AK$506,0))&amp;"","")</f>
        <v/>
      </c>
      <c r="Q459" s="15" t="str">
        <f>IFERROR(INDEX('Formulación PDN 2027'!$AB$7:$AB$506,MATCH(ROW()-5,'Formulación PDN 2027'!$AK$7:$AK$506,0))&amp;"","")</f>
        <v/>
      </c>
      <c r="R459" s="15" t="str">
        <f>IFERROR(INDEX('Formulación PDN 2027'!$AD$7:$AD$506,MATCH(ROW()-5,'Formulación PDN 2027'!$AK$7:$AK$506,0))&amp;"","")</f>
        <v/>
      </c>
      <c r="S459" s="15" t="str">
        <f>IFERROR(INDEX('Formulación PDN 2027'!$AE$7:$AE$506,MATCH(ROW()-5,'Formulación PDN 2027'!$AK$7:$AK$506,0))&amp;"","")</f>
        <v/>
      </c>
      <c r="T459" s="15" t="str">
        <f>IFERROR(INDEX('Formulación PDN 2027'!$C$7:$C$506,MATCH(ROW()-5,'Formulación PDN 2027'!$AK$7:$AK$506,0))&amp;"","")</f>
        <v/>
      </c>
      <c r="U459" s="15" t="str">
        <f>IFERROR(INDEX('Formulación PDN 2027'!$B$7:$B$506,MATCH(ROW()-5,'Formulación PDN 2027'!$AK$7:$AK$506,0))&amp;"","")</f>
        <v/>
      </c>
      <c r="V459" s="15" t="str">
        <f>IFERROR(LEFT(INDEX('Formulación PDN 2027'!$E$7:$E$506,MATCH(ROW()-5,'Formulación PDN 2027'!$AK$7:$AK$506,0)),7),"")</f>
        <v/>
      </c>
      <c r="W459" s="15" t="str">
        <f>IFERROR(INDEX('Formulación PDN 2027'!$H$7:$H$506,MATCH(ROW()-5,'Formulación PDN 2027'!$AK$7:$AK$506,0))&amp;"","")</f>
        <v/>
      </c>
      <c r="X459" s="15" t="str">
        <f>IFERROR(INDEX('Formulación PDN 2027'!$U$7:$U$506,MATCH(ROW()-5,'Formulación PDN 2027'!$AK$7:$AK$506,0))&amp;"","")</f>
        <v/>
      </c>
      <c r="Y459" s="15" t="str">
        <f>IFERROR(INDEX('Formulación PDN 2027'!$AH$7:$AH$506,MATCH(ROW()-5,'Formulación PDN 2027'!$AK$7:$AK$506,0))&amp;"","")</f>
        <v/>
      </c>
    </row>
    <row r="460" spans="1:25" x14ac:dyDescent="0.3">
      <c r="A460" s="15" t="str">
        <f>IFERROR(INDEX('Formulación PDN 2027'!$A$7:$A$506,MATCH(ROW()-5,'Formulación PDN 2027'!$AK$7:$AK$506,0))&amp;"","")</f>
        <v/>
      </c>
      <c r="B460" s="20" t="str">
        <f>IFERROR(INDEX('Formulación PDN 2027'!$M$7:$M$506,MATCH(ROW()-5,'Formulación PDN 2027'!$AK$7:$AK$506,0)),"")</f>
        <v/>
      </c>
      <c r="C460" s="15" t="str">
        <f>IFERROR(INDEX('Formulación PDN 2027'!$N$7:$N$506,MATCH(ROW()-5,'Formulación PDN 2027'!$AK$7:$AK$506,0))&amp;"","")</f>
        <v/>
      </c>
      <c r="D460" s="15" t="str">
        <f>IFERROR(INDEX('Formulación PDN 2027'!$L$7:$L$506,MATCH(ROW()-5,'Formulación PDN 2027'!$AK$7:$AK$506,0))&amp;"","")</f>
        <v/>
      </c>
      <c r="E460" s="15" t="str">
        <f>IFERROR(MATCH(INDEX('Formulación PDN 2027'!$O$7:$O$506,MATCH(ROW()-5,'Formulación PDN 2027'!$AK$7:$AK$506,0)),L_MESES,0),"")</f>
        <v/>
      </c>
      <c r="F460" s="15" t="str">
        <f>IFERROR(MATCH(INDEX('Formulación PDN 2027'!$P$7:$P$506,MATCH(ROW()-5,'Formulación PDN 2027'!$AK$7:$AK$506,0)),L_MESES,0),"")</f>
        <v/>
      </c>
      <c r="G460" s="15" t="str">
        <f>IFERROR(INDEX('Formulación PDN 2027'!$Q$7:$Q$506,MATCH(ROW()-5,'Formulación PDN 2027'!$AK$7:$AK$506,0)),"")</f>
        <v/>
      </c>
      <c r="H460" s="15" t="str">
        <f>IFERROR(INDEX('Formulación PDN 2027'!$R$7:$R$506,MATCH(ROW()-5,'Formulación PDN 2027'!$AK$7:$AK$506,0))&amp;"","")</f>
        <v/>
      </c>
      <c r="I460" s="15" t="str">
        <f>IFERROR(INDEX('Formulación PDN 2027'!$S$7:$S$506,MATCH(ROW()-5,'Formulación PDN 2027'!$AK$7:$AK$506,0))&amp;"","")</f>
        <v/>
      </c>
      <c r="J460" s="15" t="str">
        <f>IFERROR(INDEX('Formulación PDN 2027'!$T$7:$T$506,MATCH(ROW()-5,'Formulación PDN 2027'!$AK$7:$AK$506,0))&amp;"","")</f>
        <v/>
      </c>
      <c r="K460" s="43" t="str">
        <f>IFERROR(INDEX('Formulación PDN 2027'!$W$7:$W$506,MATCH(ROW()-5,'Formulación PDN 2027'!$AK$7:$AK$506,0)),"")</f>
        <v/>
      </c>
      <c r="L460" s="43" t="str">
        <f>IFERROR(INDEX('Formulación PDN 2027'!$X$7:$X$506,MATCH(ROW()-5,'Formulación PDN 2027'!$AK$7:$AK$506,0)),"")</f>
        <v/>
      </c>
      <c r="M460" s="15" t="str">
        <f>IFERROR(INDEX('Formulación PDN 2027'!$Y$7:$Y$506,MATCH(ROW()-5,'Formulación PDN 2027'!$AK$7:$AK$506,0))&amp;"","")</f>
        <v/>
      </c>
      <c r="N460" s="15" t="str">
        <f>IFERROR(INDEX('Formulación PDN 2027'!$Z$7:$Z$506,MATCH(ROW()-5,'Formulación PDN 2027'!$AK$7:$AK$506,0))&amp;"","")</f>
        <v/>
      </c>
      <c r="O460" s="15"/>
      <c r="P460" s="15" t="str">
        <f>IFERROR(INDEX('Formulación PDN 2027'!$AA$7:$AA$506,MATCH(ROW()-5,'Formulación PDN 2027'!$AK$7:$AK$506,0))&amp;"","")</f>
        <v/>
      </c>
      <c r="Q460" s="15" t="str">
        <f>IFERROR(INDEX('Formulación PDN 2027'!$AB$7:$AB$506,MATCH(ROW()-5,'Formulación PDN 2027'!$AK$7:$AK$506,0))&amp;"","")</f>
        <v/>
      </c>
      <c r="R460" s="15" t="str">
        <f>IFERROR(INDEX('Formulación PDN 2027'!$AD$7:$AD$506,MATCH(ROW()-5,'Formulación PDN 2027'!$AK$7:$AK$506,0))&amp;"","")</f>
        <v/>
      </c>
      <c r="S460" s="15" t="str">
        <f>IFERROR(INDEX('Formulación PDN 2027'!$AE$7:$AE$506,MATCH(ROW()-5,'Formulación PDN 2027'!$AK$7:$AK$506,0))&amp;"","")</f>
        <v/>
      </c>
      <c r="T460" s="15" t="str">
        <f>IFERROR(INDEX('Formulación PDN 2027'!$C$7:$C$506,MATCH(ROW()-5,'Formulación PDN 2027'!$AK$7:$AK$506,0))&amp;"","")</f>
        <v/>
      </c>
      <c r="U460" s="15" t="str">
        <f>IFERROR(INDEX('Formulación PDN 2027'!$B$7:$B$506,MATCH(ROW()-5,'Formulación PDN 2027'!$AK$7:$AK$506,0))&amp;"","")</f>
        <v/>
      </c>
      <c r="V460" s="15" t="str">
        <f>IFERROR(LEFT(INDEX('Formulación PDN 2027'!$E$7:$E$506,MATCH(ROW()-5,'Formulación PDN 2027'!$AK$7:$AK$506,0)),7),"")</f>
        <v/>
      </c>
      <c r="W460" s="15" t="str">
        <f>IFERROR(INDEX('Formulación PDN 2027'!$H$7:$H$506,MATCH(ROW()-5,'Formulación PDN 2027'!$AK$7:$AK$506,0))&amp;"","")</f>
        <v/>
      </c>
      <c r="X460" s="15" t="str">
        <f>IFERROR(INDEX('Formulación PDN 2027'!$U$7:$U$506,MATCH(ROW()-5,'Formulación PDN 2027'!$AK$7:$AK$506,0))&amp;"","")</f>
        <v/>
      </c>
      <c r="Y460" s="15" t="str">
        <f>IFERROR(INDEX('Formulación PDN 2027'!$AH$7:$AH$506,MATCH(ROW()-5,'Formulación PDN 2027'!$AK$7:$AK$506,0))&amp;"","")</f>
        <v/>
      </c>
    </row>
    <row r="461" spans="1:25" x14ac:dyDescent="0.3">
      <c r="A461" s="15" t="str">
        <f>IFERROR(INDEX('Formulación PDN 2027'!$A$7:$A$506,MATCH(ROW()-5,'Formulación PDN 2027'!$AK$7:$AK$506,0))&amp;"","")</f>
        <v/>
      </c>
      <c r="B461" s="20" t="str">
        <f>IFERROR(INDEX('Formulación PDN 2027'!$M$7:$M$506,MATCH(ROW()-5,'Formulación PDN 2027'!$AK$7:$AK$506,0)),"")</f>
        <v/>
      </c>
      <c r="C461" s="15" t="str">
        <f>IFERROR(INDEX('Formulación PDN 2027'!$N$7:$N$506,MATCH(ROW()-5,'Formulación PDN 2027'!$AK$7:$AK$506,0))&amp;"","")</f>
        <v/>
      </c>
      <c r="D461" s="15" t="str">
        <f>IFERROR(INDEX('Formulación PDN 2027'!$L$7:$L$506,MATCH(ROW()-5,'Formulación PDN 2027'!$AK$7:$AK$506,0))&amp;"","")</f>
        <v/>
      </c>
      <c r="E461" s="15" t="str">
        <f>IFERROR(MATCH(INDEX('Formulación PDN 2027'!$O$7:$O$506,MATCH(ROW()-5,'Formulación PDN 2027'!$AK$7:$AK$506,0)),L_MESES,0),"")</f>
        <v/>
      </c>
      <c r="F461" s="15" t="str">
        <f>IFERROR(MATCH(INDEX('Formulación PDN 2027'!$P$7:$P$506,MATCH(ROW()-5,'Formulación PDN 2027'!$AK$7:$AK$506,0)),L_MESES,0),"")</f>
        <v/>
      </c>
      <c r="G461" s="15" t="str">
        <f>IFERROR(INDEX('Formulación PDN 2027'!$Q$7:$Q$506,MATCH(ROW()-5,'Formulación PDN 2027'!$AK$7:$AK$506,0)),"")</f>
        <v/>
      </c>
      <c r="H461" s="15" t="str">
        <f>IFERROR(INDEX('Formulación PDN 2027'!$R$7:$R$506,MATCH(ROW()-5,'Formulación PDN 2027'!$AK$7:$AK$506,0))&amp;"","")</f>
        <v/>
      </c>
      <c r="I461" s="15" t="str">
        <f>IFERROR(INDEX('Formulación PDN 2027'!$S$7:$S$506,MATCH(ROW()-5,'Formulación PDN 2027'!$AK$7:$AK$506,0))&amp;"","")</f>
        <v/>
      </c>
      <c r="J461" s="15" t="str">
        <f>IFERROR(INDEX('Formulación PDN 2027'!$T$7:$T$506,MATCH(ROW()-5,'Formulación PDN 2027'!$AK$7:$AK$506,0))&amp;"","")</f>
        <v/>
      </c>
      <c r="K461" s="43" t="str">
        <f>IFERROR(INDEX('Formulación PDN 2027'!$W$7:$W$506,MATCH(ROW()-5,'Formulación PDN 2027'!$AK$7:$AK$506,0)),"")</f>
        <v/>
      </c>
      <c r="L461" s="43" t="str">
        <f>IFERROR(INDEX('Formulación PDN 2027'!$X$7:$X$506,MATCH(ROW()-5,'Formulación PDN 2027'!$AK$7:$AK$506,0)),"")</f>
        <v/>
      </c>
      <c r="M461" s="15" t="str">
        <f>IFERROR(INDEX('Formulación PDN 2027'!$Y$7:$Y$506,MATCH(ROW()-5,'Formulación PDN 2027'!$AK$7:$AK$506,0))&amp;"","")</f>
        <v/>
      </c>
      <c r="N461" s="15" t="str">
        <f>IFERROR(INDEX('Formulación PDN 2027'!$Z$7:$Z$506,MATCH(ROW()-5,'Formulación PDN 2027'!$AK$7:$AK$506,0))&amp;"","")</f>
        <v/>
      </c>
      <c r="O461" s="15"/>
      <c r="P461" s="15" t="str">
        <f>IFERROR(INDEX('Formulación PDN 2027'!$AA$7:$AA$506,MATCH(ROW()-5,'Formulación PDN 2027'!$AK$7:$AK$506,0))&amp;"","")</f>
        <v/>
      </c>
      <c r="Q461" s="15" t="str">
        <f>IFERROR(INDEX('Formulación PDN 2027'!$AB$7:$AB$506,MATCH(ROW()-5,'Formulación PDN 2027'!$AK$7:$AK$506,0))&amp;"","")</f>
        <v/>
      </c>
      <c r="R461" s="15" t="str">
        <f>IFERROR(INDEX('Formulación PDN 2027'!$AD$7:$AD$506,MATCH(ROW()-5,'Formulación PDN 2027'!$AK$7:$AK$506,0))&amp;"","")</f>
        <v/>
      </c>
      <c r="S461" s="15" t="str">
        <f>IFERROR(INDEX('Formulación PDN 2027'!$AE$7:$AE$506,MATCH(ROW()-5,'Formulación PDN 2027'!$AK$7:$AK$506,0))&amp;"","")</f>
        <v/>
      </c>
      <c r="T461" s="15" t="str">
        <f>IFERROR(INDEX('Formulación PDN 2027'!$C$7:$C$506,MATCH(ROW()-5,'Formulación PDN 2027'!$AK$7:$AK$506,0))&amp;"","")</f>
        <v/>
      </c>
      <c r="U461" s="15" t="str">
        <f>IFERROR(INDEX('Formulación PDN 2027'!$B$7:$B$506,MATCH(ROW()-5,'Formulación PDN 2027'!$AK$7:$AK$506,0))&amp;"","")</f>
        <v/>
      </c>
      <c r="V461" s="15" t="str">
        <f>IFERROR(LEFT(INDEX('Formulación PDN 2027'!$E$7:$E$506,MATCH(ROW()-5,'Formulación PDN 2027'!$AK$7:$AK$506,0)),7),"")</f>
        <v/>
      </c>
      <c r="W461" s="15" t="str">
        <f>IFERROR(INDEX('Formulación PDN 2027'!$H$7:$H$506,MATCH(ROW()-5,'Formulación PDN 2027'!$AK$7:$AK$506,0))&amp;"","")</f>
        <v/>
      </c>
      <c r="X461" s="15" t="str">
        <f>IFERROR(INDEX('Formulación PDN 2027'!$U$7:$U$506,MATCH(ROW()-5,'Formulación PDN 2027'!$AK$7:$AK$506,0))&amp;"","")</f>
        <v/>
      </c>
      <c r="Y461" s="15" t="str">
        <f>IFERROR(INDEX('Formulación PDN 2027'!$AH$7:$AH$506,MATCH(ROW()-5,'Formulación PDN 2027'!$AK$7:$AK$506,0))&amp;"","")</f>
        <v/>
      </c>
    </row>
    <row r="462" spans="1:25" x14ac:dyDescent="0.3">
      <c r="A462" s="15" t="str">
        <f>IFERROR(INDEX('Formulación PDN 2027'!$A$7:$A$506,MATCH(ROW()-5,'Formulación PDN 2027'!$AK$7:$AK$506,0))&amp;"","")</f>
        <v/>
      </c>
      <c r="B462" s="20" t="str">
        <f>IFERROR(INDEX('Formulación PDN 2027'!$M$7:$M$506,MATCH(ROW()-5,'Formulación PDN 2027'!$AK$7:$AK$506,0)),"")</f>
        <v/>
      </c>
      <c r="C462" s="15" t="str">
        <f>IFERROR(INDEX('Formulación PDN 2027'!$N$7:$N$506,MATCH(ROW()-5,'Formulación PDN 2027'!$AK$7:$AK$506,0))&amp;"","")</f>
        <v/>
      </c>
      <c r="D462" s="15" t="str">
        <f>IFERROR(INDEX('Formulación PDN 2027'!$L$7:$L$506,MATCH(ROW()-5,'Formulación PDN 2027'!$AK$7:$AK$506,0))&amp;"","")</f>
        <v/>
      </c>
      <c r="E462" s="15" t="str">
        <f>IFERROR(MATCH(INDEX('Formulación PDN 2027'!$O$7:$O$506,MATCH(ROW()-5,'Formulación PDN 2027'!$AK$7:$AK$506,0)),L_MESES,0),"")</f>
        <v/>
      </c>
      <c r="F462" s="15" t="str">
        <f>IFERROR(MATCH(INDEX('Formulación PDN 2027'!$P$7:$P$506,MATCH(ROW()-5,'Formulación PDN 2027'!$AK$7:$AK$506,0)),L_MESES,0),"")</f>
        <v/>
      </c>
      <c r="G462" s="15" t="str">
        <f>IFERROR(INDEX('Formulación PDN 2027'!$Q$7:$Q$506,MATCH(ROW()-5,'Formulación PDN 2027'!$AK$7:$AK$506,0)),"")</f>
        <v/>
      </c>
      <c r="H462" s="15" t="str">
        <f>IFERROR(INDEX('Formulación PDN 2027'!$R$7:$R$506,MATCH(ROW()-5,'Formulación PDN 2027'!$AK$7:$AK$506,0))&amp;"","")</f>
        <v/>
      </c>
      <c r="I462" s="15" t="str">
        <f>IFERROR(INDEX('Formulación PDN 2027'!$S$7:$S$506,MATCH(ROW()-5,'Formulación PDN 2027'!$AK$7:$AK$506,0))&amp;"","")</f>
        <v/>
      </c>
      <c r="J462" s="15" t="str">
        <f>IFERROR(INDEX('Formulación PDN 2027'!$T$7:$T$506,MATCH(ROW()-5,'Formulación PDN 2027'!$AK$7:$AK$506,0))&amp;"","")</f>
        <v/>
      </c>
      <c r="K462" s="43" t="str">
        <f>IFERROR(INDEX('Formulación PDN 2027'!$W$7:$W$506,MATCH(ROW()-5,'Formulación PDN 2027'!$AK$7:$AK$506,0)),"")</f>
        <v/>
      </c>
      <c r="L462" s="43" t="str">
        <f>IFERROR(INDEX('Formulación PDN 2027'!$X$7:$X$506,MATCH(ROW()-5,'Formulación PDN 2027'!$AK$7:$AK$506,0)),"")</f>
        <v/>
      </c>
      <c r="M462" s="15" t="str">
        <f>IFERROR(INDEX('Formulación PDN 2027'!$Y$7:$Y$506,MATCH(ROW()-5,'Formulación PDN 2027'!$AK$7:$AK$506,0))&amp;"","")</f>
        <v/>
      </c>
      <c r="N462" s="15" t="str">
        <f>IFERROR(INDEX('Formulación PDN 2027'!$Z$7:$Z$506,MATCH(ROW()-5,'Formulación PDN 2027'!$AK$7:$AK$506,0))&amp;"","")</f>
        <v/>
      </c>
      <c r="O462" s="15"/>
      <c r="P462" s="15" t="str">
        <f>IFERROR(INDEX('Formulación PDN 2027'!$AA$7:$AA$506,MATCH(ROW()-5,'Formulación PDN 2027'!$AK$7:$AK$506,0))&amp;"","")</f>
        <v/>
      </c>
      <c r="Q462" s="15" t="str">
        <f>IFERROR(INDEX('Formulación PDN 2027'!$AB$7:$AB$506,MATCH(ROW()-5,'Formulación PDN 2027'!$AK$7:$AK$506,0))&amp;"","")</f>
        <v/>
      </c>
      <c r="R462" s="15" t="str">
        <f>IFERROR(INDEX('Formulación PDN 2027'!$AD$7:$AD$506,MATCH(ROW()-5,'Formulación PDN 2027'!$AK$7:$AK$506,0))&amp;"","")</f>
        <v/>
      </c>
      <c r="S462" s="15" t="str">
        <f>IFERROR(INDEX('Formulación PDN 2027'!$AE$7:$AE$506,MATCH(ROW()-5,'Formulación PDN 2027'!$AK$7:$AK$506,0))&amp;"","")</f>
        <v/>
      </c>
      <c r="T462" s="15" t="str">
        <f>IFERROR(INDEX('Formulación PDN 2027'!$C$7:$C$506,MATCH(ROW()-5,'Formulación PDN 2027'!$AK$7:$AK$506,0))&amp;"","")</f>
        <v/>
      </c>
      <c r="U462" s="15" t="str">
        <f>IFERROR(INDEX('Formulación PDN 2027'!$B$7:$B$506,MATCH(ROW()-5,'Formulación PDN 2027'!$AK$7:$AK$506,0))&amp;"","")</f>
        <v/>
      </c>
      <c r="V462" s="15" t="str">
        <f>IFERROR(LEFT(INDEX('Formulación PDN 2027'!$E$7:$E$506,MATCH(ROW()-5,'Formulación PDN 2027'!$AK$7:$AK$506,0)),7),"")</f>
        <v/>
      </c>
      <c r="W462" s="15" t="str">
        <f>IFERROR(INDEX('Formulación PDN 2027'!$H$7:$H$506,MATCH(ROW()-5,'Formulación PDN 2027'!$AK$7:$AK$506,0))&amp;"","")</f>
        <v/>
      </c>
      <c r="X462" s="15" t="str">
        <f>IFERROR(INDEX('Formulación PDN 2027'!$U$7:$U$506,MATCH(ROW()-5,'Formulación PDN 2027'!$AK$7:$AK$506,0))&amp;"","")</f>
        <v/>
      </c>
      <c r="Y462" s="15" t="str">
        <f>IFERROR(INDEX('Formulación PDN 2027'!$AH$7:$AH$506,MATCH(ROW()-5,'Formulación PDN 2027'!$AK$7:$AK$506,0))&amp;"","")</f>
        <v/>
      </c>
    </row>
    <row r="463" spans="1:25" x14ac:dyDescent="0.3">
      <c r="A463" s="15" t="str">
        <f>IFERROR(INDEX('Formulación PDN 2027'!$A$7:$A$506,MATCH(ROW()-5,'Formulación PDN 2027'!$AK$7:$AK$506,0))&amp;"","")</f>
        <v/>
      </c>
      <c r="B463" s="20" t="str">
        <f>IFERROR(INDEX('Formulación PDN 2027'!$M$7:$M$506,MATCH(ROW()-5,'Formulación PDN 2027'!$AK$7:$AK$506,0)),"")</f>
        <v/>
      </c>
      <c r="C463" s="15" t="str">
        <f>IFERROR(INDEX('Formulación PDN 2027'!$N$7:$N$506,MATCH(ROW()-5,'Formulación PDN 2027'!$AK$7:$AK$506,0))&amp;"","")</f>
        <v/>
      </c>
      <c r="D463" s="15" t="str">
        <f>IFERROR(INDEX('Formulación PDN 2027'!$L$7:$L$506,MATCH(ROW()-5,'Formulación PDN 2027'!$AK$7:$AK$506,0))&amp;"","")</f>
        <v/>
      </c>
      <c r="E463" s="15" t="str">
        <f>IFERROR(MATCH(INDEX('Formulación PDN 2027'!$O$7:$O$506,MATCH(ROW()-5,'Formulación PDN 2027'!$AK$7:$AK$506,0)),L_MESES,0),"")</f>
        <v/>
      </c>
      <c r="F463" s="15" t="str">
        <f>IFERROR(MATCH(INDEX('Formulación PDN 2027'!$P$7:$P$506,MATCH(ROW()-5,'Formulación PDN 2027'!$AK$7:$AK$506,0)),L_MESES,0),"")</f>
        <v/>
      </c>
      <c r="G463" s="15" t="str">
        <f>IFERROR(INDEX('Formulación PDN 2027'!$Q$7:$Q$506,MATCH(ROW()-5,'Formulación PDN 2027'!$AK$7:$AK$506,0)),"")</f>
        <v/>
      </c>
      <c r="H463" s="15" t="str">
        <f>IFERROR(INDEX('Formulación PDN 2027'!$R$7:$R$506,MATCH(ROW()-5,'Formulación PDN 2027'!$AK$7:$AK$506,0))&amp;"","")</f>
        <v/>
      </c>
      <c r="I463" s="15" t="str">
        <f>IFERROR(INDEX('Formulación PDN 2027'!$S$7:$S$506,MATCH(ROW()-5,'Formulación PDN 2027'!$AK$7:$AK$506,0))&amp;"","")</f>
        <v/>
      </c>
      <c r="J463" s="15" t="str">
        <f>IFERROR(INDEX('Formulación PDN 2027'!$T$7:$T$506,MATCH(ROW()-5,'Formulación PDN 2027'!$AK$7:$AK$506,0))&amp;"","")</f>
        <v/>
      </c>
      <c r="K463" s="43" t="str">
        <f>IFERROR(INDEX('Formulación PDN 2027'!$W$7:$W$506,MATCH(ROW()-5,'Formulación PDN 2027'!$AK$7:$AK$506,0)),"")</f>
        <v/>
      </c>
      <c r="L463" s="43" t="str">
        <f>IFERROR(INDEX('Formulación PDN 2027'!$X$7:$X$506,MATCH(ROW()-5,'Formulación PDN 2027'!$AK$7:$AK$506,0)),"")</f>
        <v/>
      </c>
      <c r="M463" s="15" t="str">
        <f>IFERROR(INDEX('Formulación PDN 2027'!$Y$7:$Y$506,MATCH(ROW()-5,'Formulación PDN 2027'!$AK$7:$AK$506,0))&amp;"","")</f>
        <v/>
      </c>
      <c r="N463" s="15" t="str">
        <f>IFERROR(INDEX('Formulación PDN 2027'!$Z$7:$Z$506,MATCH(ROW()-5,'Formulación PDN 2027'!$AK$7:$AK$506,0))&amp;"","")</f>
        <v/>
      </c>
      <c r="O463" s="15"/>
      <c r="P463" s="15" t="str">
        <f>IFERROR(INDEX('Formulación PDN 2027'!$AA$7:$AA$506,MATCH(ROW()-5,'Formulación PDN 2027'!$AK$7:$AK$506,0))&amp;"","")</f>
        <v/>
      </c>
      <c r="Q463" s="15" t="str">
        <f>IFERROR(INDEX('Formulación PDN 2027'!$AB$7:$AB$506,MATCH(ROW()-5,'Formulación PDN 2027'!$AK$7:$AK$506,0))&amp;"","")</f>
        <v/>
      </c>
      <c r="R463" s="15" t="str">
        <f>IFERROR(INDEX('Formulación PDN 2027'!$AD$7:$AD$506,MATCH(ROW()-5,'Formulación PDN 2027'!$AK$7:$AK$506,0))&amp;"","")</f>
        <v/>
      </c>
      <c r="S463" s="15" t="str">
        <f>IFERROR(INDEX('Formulación PDN 2027'!$AE$7:$AE$506,MATCH(ROW()-5,'Formulación PDN 2027'!$AK$7:$AK$506,0))&amp;"","")</f>
        <v/>
      </c>
      <c r="T463" s="15" t="str">
        <f>IFERROR(INDEX('Formulación PDN 2027'!$C$7:$C$506,MATCH(ROW()-5,'Formulación PDN 2027'!$AK$7:$AK$506,0))&amp;"","")</f>
        <v/>
      </c>
      <c r="U463" s="15" t="str">
        <f>IFERROR(INDEX('Formulación PDN 2027'!$B$7:$B$506,MATCH(ROW()-5,'Formulación PDN 2027'!$AK$7:$AK$506,0))&amp;"","")</f>
        <v/>
      </c>
      <c r="V463" s="15" t="str">
        <f>IFERROR(LEFT(INDEX('Formulación PDN 2027'!$E$7:$E$506,MATCH(ROW()-5,'Formulación PDN 2027'!$AK$7:$AK$506,0)),7),"")</f>
        <v/>
      </c>
      <c r="W463" s="15" t="str">
        <f>IFERROR(INDEX('Formulación PDN 2027'!$H$7:$H$506,MATCH(ROW()-5,'Formulación PDN 2027'!$AK$7:$AK$506,0))&amp;"","")</f>
        <v/>
      </c>
      <c r="X463" s="15" t="str">
        <f>IFERROR(INDEX('Formulación PDN 2027'!$U$7:$U$506,MATCH(ROW()-5,'Formulación PDN 2027'!$AK$7:$AK$506,0))&amp;"","")</f>
        <v/>
      </c>
      <c r="Y463" s="15" t="str">
        <f>IFERROR(INDEX('Formulación PDN 2027'!$AH$7:$AH$506,MATCH(ROW()-5,'Formulación PDN 2027'!$AK$7:$AK$506,0))&amp;"","")</f>
        <v/>
      </c>
    </row>
    <row r="464" spans="1:25" x14ac:dyDescent="0.3">
      <c r="A464" s="15" t="str">
        <f>IFERROR(INDEX('Formulación PDN 2027'!$A$7:$A$506,MATCH(ROW()-5,'Formulación PDN 2027'!$AK$7:$AK$506,0))&amp;"","")</f>
        <v/>
      </c>
      <c r="B464" s="20" t="str">
        <f>IFERROR(INDEX('Formulación PDN 2027'!$M$7:$M$506,MATCH(ROW()-5,'Formulación PDN 2027'!$AK$7:$AK$506,0)),"")</f>
        <v/>
      </c>
      <c r="C464" s="15" t="str">
        <f>IFERROR(INDEX('Formulación PDN 2027'!$N$7:$N$506,MATCH(ROW()-5,'Formulación PDN 2027'!$AK$7:$AK$506,0))&amp;"","")</f>
        <v/>
      </c>
      <c r="D464" s="15" t="str">
        <f>IFERROR(INDEX('Formulación PDN 2027'!$L$7:$L$506,MATCH(ROW()-5,'Formulación PDN 2027'!$AK$7:$AK$506,0))&amp;"","")</f>
        <v/>
      </c>
      <c r="E464" s="15" t="str">
        <f>IFERROR(MATCH(INDEX('Formulación PDN 2027'!$O$7:$O$506,MATCH(ROW()-5,'Formulación PDN 2027'!$AK$7:$AK$506,0)),L_MESES,0),"")</f>
        <v/>
      </c>
      <c r="F464" s="15" t="str">
        <f>IFERROR(MATCH(INDEX('Formulación PDN 2027'!$P$7:$P$506,MATCH(ROW()-5,'Formulación PDN 2027'!$AK$7:$AK$506,0)),L_MESES,0),"")</f>
        <v/>
      </c>
      <c r="G464" s="15" t="str">
        <f>IFERROR(INDEX('Formulación PDN 2027'!$Q$7:$Q$506,MATCH(ROW()-5,'Formulación PDN 2027'!$AK$7:$AK$506,0)),"")</f>
        <v/>
      </c>
      <c r="H464" s="15" t="str">
        <f>IFERROR(INDEX('Formulación PDN 2027'!$R$7:$R$506,MATCH(ROW()-5,'Formulación PDN 2027'!$AK$7:$AK$506,0))&amp;"","")</f>
        <v/>
      </c>
      <c r="I464" s="15" t="str">
        <f>IFERROR(INDEX('Formulación PDN 2027'!$S$7:$S$506,MATCH(ROW()-5,'Formulación PDN 2027'!$AK$7:$AK$506,0))&amp;"","")</f>
        <v/>
      </c>
      <c r="J464" s="15" t="str">
        <f>IFERROR(INDEX('Formulación PDN 2027'!$T$7:$T$506,MATCH(ROW()-5,'Formulación PDN 2027'!$AK$7:$AK$506,0))&amp;"","")</f>
        <v/>
      </c>
      <c r="K464" s="43" t="str">
        <f>IFERROR(INDEX('Formulación PDN 2027'!$W$7:$W$506,MATCH(ROW()-5,'Formulación PDN 2027'!$AK$7:$AK$506,0)),"")</f>
        <v/>
      </c>
      <c r="L464" s="43" t="str">
        <f>IFERROR(INDEX('Formulación PDN 2027'!$X$7:$X$506,MATCH(ROW()-5,'Formulación PDN 2027'!$AK$7:$AK$506,0)),"")</f>
        <v/>
      </c>
      <c r="M464" s="15" t="str">
        <f>IFERROR(INDEX('Formulación PDN 2027'!$Y$7:$Y$506,MATCH(ROW()-5,'Formulación PDN 2027'!$AK$7:$AK$506,0))&amp;"","")</f>
        <v/>
      </c>
      <c r="N464" s="15" t="str">
        <f>IFERROR(INDEX('Formulación PDN 2027'!$Z$7:$Z$506,MATCH(ROW()-5,'Formulación PDN 2027'!$AK$7:$AK$506,0))&amp;"","")</f>
        <v/>
      </c>
      <c r="O464" s="15"/>
      <c r="P464" s="15" t="str">
        <f>IFERROR(INDEX('Formulación PDN 2027'!$AA$7:$AA$506,MATCH(ROW()-5,'Formulación PDN 2027'!$AK$7:$AK$506,0))&amp;"","")</f>
        <v/>
      </c>
      <c r="Q464" s="15" t="str">
        <f>IFERROR(INDEX('Formulación PDN 2027'!$AB$7:$AB$506,MATCH(ROW()-5,'Formulación PDN 2027'!$AK$7:$AK$506,0))&amp;"","")</f>
        <v/>
      </c>
      <c r="R464" s="15" t="str">
        <f>IFERROR(INDEX('Formulación PDN 2027'!$AD$7:$AD$506,MATCH(ROW()-5,'Formulación PDN 2027'!$AK$7:$AK$506,0))&amp;"","")</f>
        <v/>
      </c>
      <c r="S464" s="15" t="str">
        <f>IFERROR(INDEX('Formulación PDN 2027'!$AE$7:$AE$506,MATCH(ROW()-5,'Formulación PDN 2027'!$AK$7:$AK$506,0))&amp;"","")</f>
        <v/>
      </c>
      <c r="T464" s="15" t="str">
        <f>IFERROR(INDEX('Formulación PDN 2027'!$C$7:$C$506,MATCH(ROW()-5,'Formulación PDN 2027'!$AK$7:$AK$506,0))&amp;"","")</f>
        <v/>
      </c>
      <c r="U464" s="15" t="str">
        <f>IFERROR(INDEX('Formulación PDN 2027'!$B$7:$B$506,MATCH(ROW()-5,'Formulación PDN 2027'!$AK$7:$AK$506,0))&amp;"","")</f>
        <v/>
      </c>
      <c r="V464" s="15" t="str">
        <f>IFERROR(LEFT(INDEX('Formulación PDN 2027'!$E$7:$E$506,MATCH(ROW()-5,'Formulación PDN 2027'!$AK$7:$AK$506,0)),7),"")</f>
        <v/>
      </c>
      <c r="W464" s="15" t="str">
        <f>IFERROR(INDEX('Formulación PDN 2027'!$H$7:$H$506,MATCH(ROW()-5,'Formulación PDN 2027'!$AK$7:$AK$506,0))&amp;"","")</f>
        <v/>
      </c>
      <c r="X464" s="15" t="str">
        <f>IFERROR(INDEX('Formulación PDN 2027'!$U$7:$U$506,MATCH(ROW()-5,'Formulación PDN 2027'!$AK$7:$AK$506,0))&amp;"","")</f>
        <v/>
      </c>
      <c r="Y464" s="15" t="str">
        <f>IFERROR(INDEX('Formulación PDN 2027'!$AH$7:$AH$506,MATCH(ROW()-5,'Formulación PDN 2027'!$AK$7:$AK$506,0))&amp;"","")</f>
        <v/>
      </c>
    </row>
    <row r="465" spans="1:25" x14ac:dyDescent="0.3">
      <c r="A465" s="15" t="str">
        <f>IFERROR(INDEX('Formulación PDN 2027'!$A$7:$A$506,MATCH(ROW()-5,'Formulación PDN 2027'!$AK$7:$AK$506,0))&amp;"","")</f>
        <v/>
      </c>
      <c r="B465" s="20" t="str">
        <f>IFERROR(INDEX('Formulación PDN 2027'!$M$7:$M$506,MATCH(ROW()-5,'Formulación PDN 2027'!$AK$7:$AK$506,0)),"")</f>
        <v/>
      </c>
      <c r="C465" s="15" t="str">
        <f>IFERROR(INDEX('Formulación PDN 2027'!$N$7:$N$506,MATCH(ROW()-5,'Formulación PDN 2027'!$AK$7:$AK$506,0))&amp;"","")</f>
        <v/>
      </c>
      <c r="D465" s="15" t="str">
        <f>IFERROR(INDEX('Formulación PDN 2027'!$L$7:$L$506,MATCH(ROW()-5,'Formulación PDN 2027'!$AK$7:$AK$506,0))&amp;"","")</f>
        <v/>
      </c>
      <c r="E465" s="15" t="str">
        <f>IFERROR(MATCH(INDEX('Formulación PDN 2027'!$O$7:$O$506,MATCH(ROW()-5,'Formulación PDN 2027'!$AK$7:$AK$506,0)),L_MESES,0),"")</f>
        <v/>
      </c>
      <c r="F465" s="15" t="str">
        <f>IFERROR(MATCH(INDEX('Formulación PDN 2027'!$P$7:$P$506,MATCH(ROW()-5,'Formulación PDN 2027'!$AK$7:$AK$506,0)),L_MESES,0),"")</f>
        <v/>
      </c>
      <c r="G465" s="15" t="str">
        <f>IFERROR(INDEX('Formulación PDN 2027'!$Q$7:$Q$506,MATCH(ROW()-5,'Formulación PDN 2027'!$AK$7:$AK$506,0)),"")</f>
        <v/>
      </c>
      <c r="H465" s="15" t="str">
        <f>IFERROR(INDEX('Formulación PDN 2027'!$R$7:$R$506,MATCH(ROW()-5,'Formulación PDN 2027'!$AK$7:$AK$506,0))&amp;"","")</f>
        <v/>
      </c>
      <c r="I465" s="15" t="str">
        <f>IFERROR(INDEX('Formulación PDN 2027'!$S$7:$S$506,MATCH(ROW()-5,'Formulación PDN 2027'!$AK$7:$AK$506,0))&amp;"","")</f>
        <v/>
      </c>
      <c r="J465" s="15" t="str">
        <f>IFERROR(INDEX('Formulación PDN 2027'!$T$7:$T$506,MATCH(ROW()-5,'Formulación PDN 2027'!$AK$7:$AK$506,0))&amp;"","")</f>
        <v/>
      </c>
      <c r="K465" s="43" t="str">
        <f>IFERROR(INDEX('Formulación PDN 2027'!$W$7:$W$506,MATCH(ROW()-5,'Formulación PDN 2027'!$AK$7:$AK$506,0)),"")</f>
        <v/>
      </c>
      <c r="L465" s="43" t="str">
        <f>IFERROR(INDEX('Formulación PDN 2027'!$X$7:$X$506,MATCH(ROW()-5,'Formulación PDN 2027'!$AK$7:$AK$506,0)),"")</f>
        <v/>
      </c>
      <c r="M465" s="15" t="str">
        <f>IFERROR(INDEX('Formulación PDN 2027'!$Y$7:$Y$506,MATCH(ROW()-5,'Formulación PDN 2027'!$AK$7:$AK$506,0))&amp;"","")</f>
        <v/>
      </c>
      <c r="N465" s="15" t="str">
        <f>IFERROR(INDEX('Formulación PDN 2027'!$Z$7:$Z$506,MATCH(ROW()-5,'Formulación PDN 2027'!$AK$7:$AK$506,0))&amp;"","")</f>
        <v/>
      </c>
      <c r="O465" s="15"/>
      <c r="P465" s="15" t="str">
        <f>IFERROR(INDEX('Formulación PDN 2027'!$AA$7:$AA$506,MATCH(ROW()-5,'Formulación PDN 2027'!$AK$7:$AK$506,0))&amp;"","")</f>
        <v/>
      </c>
      <c r="Q465" s="15" t="str">
        <f>IFERROR(INDEX('Formulación PDN 2027'!$AB$7:$AB$506,MATCH(ROW()-5,'Formulación PDN 2027'!$AK$7:$AK$506,0))&amp;"","")</f>
        <v/>
      </c>
      <c r="R465" s="15" t="str">
        <f>IFERROR(INDEX('Formulación PDN 2027'!$AD$7:$AD$506,MATCH(ROW()-5,'Formulación PDN 2027'!$AK$7:$AK$506,0))&amp;"","")</f>
        <v/>
      </c>
      <c r="S465" s="15" t="str">
        <f>IFERROR(INDEX('Formulación PDN 2027'!$AE$7:$AE$506,MATCH(ROW()-5,'Formulación PDN 2027'!$AK$7:$AK$506,0))&amp;"","")</f>
        <v/>
      </c>
      <c r="T465" s="15" t="str">
        <f>IFERROR(INDEX('Formulación PDN 2027'!$C$7:$C$506,MATCH(ROW()-5,'Formulación PDN 2027'!$AK$7:$AK$506,0))&amp;"","")</f>
        <v/>
      </c>
      <c r="U465" s="15" t="str">
        <f>IFERROR(INDEX('Formulación PDN 2027'!$B$7:$B$506,MATCH(ROW()-5,'Formulación PDN 2027'!$AK$7:$AK$506,0))&amp;"","")</f>
        <v/>
      </c>
      <c r="V465" s="15" t="str">
        <f>IFERROR(LEFT(INDEX('Formulación PDN 2027'!$E$7:$E$506,MATCH(ROW()-5,'Formulación PDN 2027'!$AK$7:$AK$506,0)),7),"")</f>
        <v/>
      </c>
      <c r="W465" s="15" t="str">
        <f>IFERROR(INDEX('Formulación PDN 2027'!$H$7:$H$506,MATCH(ROW()-5,'Formulación PDN 2027'!$AK$7:$AK$506,0))&amp;"","")</f>
        <v/>
      </c>
      <c r="X465" s="15" t="str">
        <f>IFERROR(INDEX('Formulación PDN 2027'!$U$7:$U$506,MATCH(ROW()-5,'Formulación PDN 2027'!$AK$7:$AK$506,0))&amp;"","")</f>
        <v/>
      </c>
      <c r="Y465" s="15" t="str">
        <f>IFERROR(INDEX('Formulación PDN 2027'!$AH$7:$AH$506,MATCH(ROW()-5,'Formulación PDN 2027'!$AK$7:$AK$506,0))&amp;"","")</f>
        <v/>
      </c>
    </row>
    <row r="466" spans="1:25" x14ac:dyDescent="0.3">
      <c r="A466" s="15" t="str">
        <f>IFERROR(INDEX('Formulación PDN 2027'!$A$7:$A$506,MATCH(ROW()-5,'Formulación PDN 2027'!$AK$7:$AK$506,0))&amp;"","")</f>
        <v/>
      </c>
      <c r="B466" s="20" t="str">
        <f>IFERROR(INDEX('Formulación PDN 2027'!$M$7:$M$506,MATCH(ROW()-5,'Formulación PDN 2027'!$AK$7:$AK$506,0)),"")</f>
        <v/>
      </c>
      <c r="C466" s="15" t="str">
        <f>IFERROR(INDEX('Formulación PDN 2027'!$N$7:$N$506,MATCH(ROW()-5,'Formulación PDN 2027'!$AK$7:$AK$506,0))&amp;"","")</f>
        <v/>
      </c>
      <c r="D466" s="15" t="str">
        <f>IFERROR(INDEX('Formulación PDN 2027'!$L$7:$L$506,MATCH(ROW()-5,'Formulación PDN 2027'!$AK$7:$AK$506,0))&amp;"","")</f>
        <v/>
      </c>
      <c r="E466" s="15" t="str">
        <f>IFERROR(MATCH(INDEX('Formulación PDN 2027'!$O$7:$O$506,MATCH(ROW()-5,'Formulación PDN 2027'!$AK$7:$AK$506,0)),L_MESES,0),"")</f>
        <v/>
      </c>
      <c r="F466" s="15" t="str">
        <f>IFERROR(MATCH(INDEX('Formulación PDN 2027'!$P$7:$P$506,MATCH(ROW()-5,'Formulación PDN 2027'!$AK$7:$AK$506,0)),L_MESES,0),"")</f>
        <v/>
      </c>
      <c r="G466" s="15" t="str">
        <f>IFERROR(INDEX('Formulación PDN 2027'!$Q$7:$Q$506,MATCH(ROW()-5,'Formulación PDN 2027'!$AK$7:$AK$506,0)),"")</f>
        <v/>
      </c>
      <c r="H466" s="15" t="str">
        <f>IFERROR(INDEX('Formulación PDN 2027'!$R$7:$R$506,MATCH(ROW()-5,'Formulación PDN 2027'!$AK$7:$AK$506,0))&amp;"","")</f>
        <v/>
      </c>
      <c r="I466" s="15" t="str">
        <f>IFERROR(INDEX('Formulación PDN 2027'!$S$7:$S$506,MATCH(ROW()-5,'Formulación PDN 2027'!$AK$7:$AK$506,0))&amp;"","")</f>
        <v/>
      </c>
      <c r="J466" s="15" t="str">
        <f>IFERROR(INDEX('Formulación PDN 2027'!$T$7:$T$506,MATCH(ROW()-5,'Formulación PDN 2027'!$AK$7:$AK$506,0))&amp;"","")</f>
        <v/>
      </c>
      <c r="K466" s="43" t="str">
        <f>IFERROR(INDEX('Formulación PDN 2027'!$W$7:$W$506,MATCH(ROW()-5,'Formulación PDN 2027'!$AK$7:$AK$506,0)),"")</f>
        <v/>
      </c>
      <c r="L466" s="43" t="str">
        <f>IFERROR(INDEX('Formulación PDN 2027'!$X$7:$X$506,MATCH(ROW()-5,'Formulación PDN 2027'!$AK$7:$AK$506,0)),"")</f>
        <v/>
      </c>
      <c r="M466" s="15" t="str">
        <f>IFERROR(INDEX('Formulación PDN 2027'!$Y$7:$Y$506,MATCH(ROW()-5,'Formulación PDN 2027'!$AK$7:$AK$506,0))&amp;"","")</f>
        <v/>
      </c>
      <c r="N466" s="15" t="str">
        <f>IFERROR(INDEX('Formulación PDN 2027'!$Z$7:$Z$506,MATCH(ROW()-5,'Formulación PDN 2027'!$AK$7:$AK$506,0))&amp;"","")</f>
        <v/>
      </c>
      <c r="O466" s="15"/>
      <c r="P466" s="15" t="str">
        <f>IFERROR(INDEX('Formulación PDN 2027'!$AA$7:$AA$506,MATCH(ROW()-5,'Formulación PDN 2027'!$AK$7:$AK$506,0))&amp;"","")</f>
        <v/>
      </c>
      <c r="Q466" s="15" t="str">
        <f>IFERROR(INDEX('Formulación PDN 2027'!$AB$7:$AB$506,MATCH(ROW()-5,'Formulación PDN 2027'!$AK$7:$AK$506,0))&amp;"","")</f>
        <v/>
      </c>
      <c r="R466" s="15" t="str">
        <f>IFERROR(INDEX('Formulación PDN 2027'!$AD$7:$AD$506,MATCH(ROW()-5,'Formulación PDN 2027'!$AK$7:$AK$506,0))&amp;"","")</f>
        <v/>
      </c>
      <c r="S466" s="15" t="str">
        <f>IFERROR(INDEX('Formulación PDN 2027'!$AE$7:$AE$506,MATCH(ROW()-5,'Formulación PDN 2027'!$AK$7:$AK$506,0))&amp;"","")</f>
        <v/>
      </c>
      <c r="T466" s="15" t="str">
        <f>IFERROR(INDEX('Formulación PDN 2027'!$C$7:$C$506,MATCH(ROW()-5,'Formulación PDN 2027'!$AK$7:$AK$506,0))&amp;"","")</f>
        <v/>
      </c>
      <c r="U466" s="15" t="str">
        <f>IFERROR(INDEX('Formulación PDN 2027'!$B$7:$B$506,MATCH(ROW()-5,'Formulación PDN 2027'!$AK$7:$AK$506,0))&amp;"","")</f>
        <v/>
      </c>
      <c r="V466" s="15" t="str">
        <f>IFERROR(LEFT(INDEX('Formulación PDN 2027'!$E$7:$E$506,MATCH(ROW()-5,'Formulación PDN 2027'!$AK$7:$AK$506,0)),7),"")</f>
        <v/>
      </c>
      <c r="W466" s="15" t="str">
        <f>IFERROR(INDEX('Formulación PDN 2027'!$H$7:$H$506,MATCH(ROW()-5,'Formulación PDN 2027'!$AK$7:$AK$506,0))&amp;"","")</f>
        <v/>
      </c>
      <c r="X466" s="15" t="str">
        <f>IFERROR(INDEX('Formulación PDN 2027'!$U$7:$U$506,MATCH(ROW()-5,'Formulación PDN 2027'!$AK$7:$AK$506,0))&amp;"","")</f>
        <v/>
      </c>
      <c r="Y466" s="15" t="str">
        <f>IFERROR(INDEX('Formulación PDN 2027'!$AH$7:$AH$506,MATCH(ROW()-5,'Formulación PDN 2027'!$AK$7:$AK$506,0))&amp;"","")</f>
        <v/>
      </c>
    </row>
    <row r="467" spans="1:25" x14ac:dyDescent="0.3">
      <c r="A467" s="15" t="str">
        <f>IFERROR(INDEX('Formulación PDN 2027'!$A$7:$A$506,MATCH(ROW()-5,'Formulación PDN 2027'!$AK$7:$AK$506,0))&amp;"","")</f>
        <v/>
      </c>
      <c r="B467" s="20" t="str">
        <f>IFERROR(INDEX('Formulación PDN 2027'!$M$7:$M$506,MATCH(ROW()-5,'Formulación PDN 2027'!$AK$7:$AK$506,0)),"")</f>
        <v/>
      </c>
      <c r="C467" s="15" t="str">
        <f>IFERROR(INDEX('Formulación PDN 2027'!$N$7:$N$506,MATCH(ROW()-5,'Formulación PDN 2027'!$AK$7:$AK$506,0))&amp;"","")</f>
        <v/>
      </c>
      <c r="D467" s="15" t="str">
        <f>IFERROR(INDEX('Formulación PDN 2027'!$L$7:$L$506,MATCH(ROW()-5,'Formulación PDN 2027'!$AK$7:$AK$506,0))&amp;"","")</f>
        <v/>
      </c>
      <c r="E467" s="15" t="str">
        <f>IFERROR(MATCH(INDEX('Formulación PDN 2027'!$O$7:$O$506,MATCH(ROW()-5,'Formulación PDN 2027'!$AK$7:$AK$506,0)),L_MESES,0),"")</f>
        <v/>
      </c>
      <c r="F467" s="15" t="str">
        <f>IFERROR(MATCH(INDEX('Formulación PDN 2027'!$P$7:$P$506,MATCH(ROW()-5,'Formulación PDN 2027'!$AK$7:$AK$506,0)),L_MESES,0),"")</f>
        <v/>
      </c>
      <c r="G467" s="15" t="str">
        <f>IFERROR(INDEX('Formulación PDN 2027'!$Q$7:$Q$506,MATCH(ROW()-5,'Formulación PDN 2027'!$AK$7:$AK$506,0)),"")</f>
        <v/>
      </c>
      <c r="H467" s="15" t="str">
        <f>IFERROR(INDEX('Formulación PDN 2027'!$R$7:$R$506,MATCH(ROW()-5,'Formulación PDN 2027'!$AK$7:$AK$506,0))&amp;"","")</f>
        <v/>
      </c>
      <c r="I467" s="15" t="str">
        <f>IFERROR(INDEX('Formulación PDN 2027'!$S$7:$S$506,MATCH(ROW()-5,'Formulación PDN 2027'!$AK$7:$AK$506,0))&amp;"","")</f>
        <v/>
      </c>
      <c r="J467" s="15" t="str">
        <f>IFERROR(INDEX('Formulación PDN 2027'!$T$7:$T$506,MATCH(ROW()-5,'Formulación PDN 2027'!$AK$7:$AK$506,0))&amp;"","")</f>
        <v/>
      </c>
      <c r="K467" s="43" t="str">
        <f>IFERROR(INDEX('Formulación PDN 2027'!$W$7:$W$506,MATCH(ROW()-5,'Formulación PDN 2027'!$AK$7:$AK$506,0)),"")</f>
        <v/>
      </c>
      <c r="L467" s="43" t="str">
        <f>IFERROR(INDEX('Formulación PDN 2027'!$X$7:$X$506,MATCH(ROW()-5,'Formulación PDN 2027'!$AK$7:$AK$506,0)),"")</f>
        <v/>
      </c>
      <c r="M467" s="15" t="str">
        <f>IFERROR(INDEX('Formulación PDN 2027'!$Y$7:$Y$506,MATCH(ROW()-5,'Formulación PDN 2027'!$AK$7:$AK$506,0))&amp;"","")</f>
        <v/>
      </c>
      <c r="N467" s="15" t="str">
        <f>IFERROR(INDEX('Formulación PDN 2027'!$Z$7:$Z$506,MATCH(ROW()-5,'Formulación PDN 2027'!$AK$7:$AK$506,0))&amp;"","")</f>
        <v/>
      </c>
      <c r="O467" s="15"/>
      <c r="P467" s="15" t="str">
        <f>IFERROR(INDEX('Formulación PDN 2027'!$AA$7:$AA$506,MATCH(ROW()-5,'Formulación PDN 2027'!$AK$7:$AK$506,0))&amp;"","")</f>
        <v/>
      </c>
      <c r="Q467" s="15" t="str">
        <f>IFERROR(INDEX('Formulación PDN 2027'!$AB$7:$AB$506,MATCH(ROW()-5,'Formulación PDN 2027'!$AK$7:$AK$506,0))&amp;"","")</f>
        <v/>
      </c>
      <c r="R467" s="15" t="str">
        <f>IFERROR(INDEX('Formulación PDN 2027'!$AD$7:$AD$506,MATCH(ROW()-5,'Formulación PDN 2027'!$AK$7:$AK$506,0))&amp;"","")</f>
        <v/>
      </c>
      <c r="S467" s="15" t="str">
        <f>IFERROR(INDEX('Formulación PDN 2027'!$AE$7:$AE$506,MATCH(ROW()-5,'Formulación PDN 2027'!$AK$7:$AK$506,0))&amp;"","")</f>
        <v/>
      </c>
      <c r="T467" s="15" t="str">
        <f>IFERROR(INDEX('Formulación PDN 2027'!$C$7:$C$506,MATCH(ROW()-5,'Formulación PDN 2027'!$AK$7:$AK$506,0))&amp;"","")</f>
        <v/>
      </c>
      <c r="U467" s="15" t="str">
        <f>IFERROR(INDEX('Formulación PDN 2027'!$B$7:$B$506,MATCH(ROW()-5,'Formulación PDN 2027'!$AK$7:$AK$506,0))&amp;"","")</f>
        <v/>
      </c>
      <c r="V467" s="15" t="str">
        <f>IFERROR(LEFT(INDEX('Formulación PDN 2027'!$E$7:$E$506,MATCH(ROW()-5,'Formulación PDN 2027'!$AK$7:$AK$506,0)),7),"")</f>
        <v/>
      </c>
      <c r="W467" s="15" t="str">
        <f>IFERROR(INDEX('Formulación PDN 2027'!$H$7:$H$506,MATCH(ROW()-5,'Formulación PDN 2027'!$AK$7:$AK$506,0))&amp;"","")</f>
        <v/>
      </c>
      <c r="X467" s="15" t="str">
        <f>IFERROR(INDEX('Formulación PDN 2027'!$U$7:$U$506,MATCH(ROW()-5,'Formulación PDN 2027'!$AK$7:$AK$506,0))&amp;"","")</f>
        <v/>
      </c>
      <c r="Y467" s="15" t="str">
        <f>IFERROR(INDEX('Formulación PDN 2027'!$AH$7:$AH$506,MATCH(ROW()-5,'Formulación PDN 2027'!$AK$7:$AK$506,0))&amp;"","")</f>
        <v/>
      </c>
    </row>
    <row r="468" spans="1:25" x14ac:dyDescent="0.3">
      <c r="A468" s="15" t="str">
        <f>IFERROR(INDEX('Formulación PDN 2027'!$A$7:$A$506,MATCH(ROW()-5,'Formulación PDN 2027'!$AK$7:$AK$506,0))&amp;"","")</f>
        <v/>
      </c>
      <c r="B468" s="20" t="str">
        <f>IFERROR(INDEX('Formulación PDN 2027'!$M$7:$M$506,MATCH(ROW()-5,'Formulación PDN 2027'!$AK$7:$AK$506,0)),"")</f>
        <v/>
      </c>
      <c r="C468" s="15" t="str">
        <f>IFERROR(INDEX('Formulación PDN 2027'!$N$7:$N$506,MATCH(ROW()-5,'Formulación PDN 2027'!$AK$7:$AK$506,0))&amp;"","")</f>
        <v/>
      </c>
      <c r="D468" s="15" t="str">
        <f>IFERROR(INDEX('Formulación PDN 2027'!$L$7:$L$506,MATCH(ROW()-5,'Formulación PDN 2027'!$AK$7:$AK$506,0))&amp;"","")</f>
        <v/>
      </c>
      <c r="E468" s="15" t="str">
        <f>IFERROR(MATCH(INDEX('Formulación PDN 2027'!$O$7:$O$506,MATCH(ROW()-5,'Formulación PDN 2027'!$AK$7:$AK$506,0)),L_MESES,0),"")</f>
        <v/>
      </c>
      <c r="F468" s="15" t="str">
        <f>IFERROR(MATCH(INDEX('Formulación PDN 2027'!$P$7:$P$506,MATCH(ROW()-5,'Formulación PDN 2027'!$AK$7:$AK$506,0)),L_MESES,0),"")</f>
        <v/>
      </c>
      <c r="G468" s="15" t="str">
        <f>IFERROR(INDEX('Formulación PDN 2027'!$Q$7:$Q$506,MATCH(ROW()-5,'Formulación PDN 2027'!$AK$7:$AK$506,0)),"")</f>
        <v/>
      </c>
      <c r="H468" s="15" t="str">
        <f>IFERROR(INDEX('Formulación PDN 2027'!$R$7:$R$506,MATCH(ROW()-5,'Formulación PDN 2027'!$AK$7:$AK$506,0))&amp;"","")</f>
        <v/>
      </c>
      <c r="I468" s="15" t="str">
        <f>IFERROR(INDEX('Formulación PDN 2027'!$S$7:$S$506,MATCH(ROW()-5,'Formulación PDN 2027'!$AK$7:$AK$506,0))&amp;"","")</f>
        <v/>
      </c>
      <c r="J468" s="15" t="str">
        <f>IFERROR(INDEX('Formulación PDN 2027'!$T$7:$T$506,MATCH(ROW()-5,'Formulación PDN 2027'!$AK$7:$AK$506,0))&amp;"","")</f>
        <v/>
      </c>
      <c r="K468" s="43" t="str">
        <f>IFERROR(INDEX('Formulación PDN 2027'!$W$7:$W$506,MATCH(ROW()-5,'Formulación PDN 2027'!$AK$7:$AK$506,0)),"")</f>
        <v/>
      </c>
      <c r="L468" s="43" t="str">
        <f>IFERROR(INDEX('Formulación PDN 2027'!$X$7:$X$506,MATCH(ROW()-5,'Formulación PDN 2027'!$AK$7:$AK$506,0)),"")</f>
        <v/>
      </c>
      <c r="M468" s="15" t="str">
        <f>IFERROR(INDEX('Formulación PDN 2027'!$Y$7:$Y$506,MATCH(ROW()-5,'Formulación PDN 2027'!$AK$7:$AK$506,0))&amp;"","")</f>
        <v/>
      </c>
      <c r="N468" s="15" t="str">
        <f>IFERROR(INDEX('Formulación PDN 2027'!$Z$7:$Z$506,MATCH(ROW()-5,'Formulación PDN 2027'!$AK$7:$AK$506,0))&amp;"","")</f>
        <v/>
      </c>
      <c r="O468" s="15"/>
      <c r="P468" s="15" t="str">
        <f>IFERROR(INDEX('Formulación PDN 2027'!$AA$7:$AA$506,MATCH(ROW()-5,'Formulación PDN 2027'!$AK$7:$AK$506,0))&amp;"","")</f>
        <v/>
      </c>
      <c r="Q468" s="15" t="str">
        <f>IFERROR(INDEX('Formulación PDN 2027'!$AB$7:$AB$506,MATCH(ROW()-5,'Formulación PDN 2027'!$AK$7:$AK$506,0))&amp;"","")</f>
        <v/>
      </c>
      <c r="R468" s="15" t="str">
        <f>IFERROR(INDEX('Formulación PDN 2027'!$AD$7:$AD$506,MATCH(ROW()-5,'Formulación PDN 2027'!$AK$7:$AK$506,0))&amp;"","")</f>
        <v/>
      </c>
      <c r="S468" s="15" t="str">
        <f>IFERROR(INDEX('Formulación PDN 2027'!$AE$7:$AE$506,MATCH(ROW()-5,'Formulación PDN 2027'!$AK$7:$AK$506,0))&amp;"","")</f>
        <v/>
      </c>
      <c r="T468" s="15" t="str">
        <f>IFERROR(INDEX('Formulación PDN 2027'!$C$7:$C$506,MATCH(ROW()-5,'Formulación PDN 2027'!$AK$7:$AK$506,0))&amp;"","")</f>
        <v/>
      </c>
      <c r="U468" s="15" t="str">
        <f>IFERROR(INDEX('Formulación PDN 2027'!$B$7:$B$506,MATCH(ROW()-5,'Formulación PDN 2027'!$AK$7:$AK$506,0))&amp;"","")</f>
        <v/>
      </c>
      <c r="V468" s="15" t="str">
        <f>IFERROR(LEFT(INDEX('Formulación PDN 2027'!$E$7:$E$506,MATCH(ROW()-5,'Formulación PDN 2027'!$AK$7:$AK$506,0)),7),"")</f>
        <v/>
      </c>
      <c r="W468" s="15" t="str">
        <f>IFERROR(INDEX('Formulación PDN 2027'!$H$7:$H$506,MATCH(ROW()-5,'Formulación PDN 2027'!$AK$7:$AK$506,0))&amp;"","")</f>
        <v/>
      </c>
      <c r="X468" s="15" t="str">
        <f>IFERROR(INDEX('Formulación PDN 2027'!$U$7:$U$506,MATCH(ROW()-5,'Formulación PDN 2027'!$AK$7:$AK$506,0))&amp;"","")</f>
        <v/>
      </c>
      <c r="Y468" s="15" t="str">
        <f>IFERROR(INDEX('Formulación PDN 2027'!$AH$7:$AH$506,MATCH(ROW()-5,'Formulación PDN 2027'!$AK$7:$AK$506,0))&amp;"","")</f>
        <v/>
      </c>
    </row>
    <row r="469" spans="1:25" x14ac:dyDescent="0.3">
      <c r="A469" s="15" t="str">
        <f>IFERROR(INDEX('Formulación PDN 2027'!$A$7:$A$506,MATCH(ROW()-5,'Formulación PDN 2027'!$AK$7:$AK$506,0))&amp;"","")</f>
        <v/>
      </c>
      <c r="B469" s="20" t="str">
        <f>IFERROR(INDEX('Formulación PDN 2027'!$M$7:$M$506,MATCH(ROW()-5,'Formulación PDN 2027'!$AK$7:$AK$506,0)),"")</f>
        <v/>
      </c>
      <c r="C469" s="15" t="str">
        <f>IFERROR(INDEX('Formulación PDN 2027'!$N$7:$N$506,MATCH(ROW()-5,'Formulación PDN 2027'!$AK$7:$AK$506,0))&amp;"","")</f>
        <v/>
      </c>
      <c r="D469" s="15" t="str">
        <f>IFERROR(INDEX('Formulación PDN 2027'!$L$7:$L$506,MATCH(ROW()-5,'Formulación PDN 2027'!$AK$7:$AK$506,0))&amp;"","")</f>
        <v/>
      </c>
      <c r="E469" s="15" t="str">
        <f>IFERROR(MATCH(INDEX('Formulación PDN 2027'!$O$7:$O$506,MATCH(ROW()-5,'Formulación PDN 2027'!$AK$7:$AK$506,0)),L_MESES,0),"")</f>
        <v/>
      </c>
      <c r="F469" s="15" t="str">
        <f>IFERROR(MATCH(INDEX('Formulación PDN 2027'!$P$7:$P$506,MATCH(ROW()-5,'Formulación PDN 2027'!$AK$7:$AK$506,0)),L_MESES,0),"")</f>
        <v/>
      </c>
      <c r="G469" s="15" t="str">
        <f>IFERROR(INDEX('Formulación PDN 2027'!$Q$7:$Q$506,MATCH(ROW()-5,'Formulación PDN 2027'!$AK$7:$AK$506,0)),"")</f>
        <v/>
      </c>
      <c r="H469" s="15" t="str">
        <f>IFERROR(INDEX('Formulación PDN 2027'!$R$7:$R$506,MATCH(ROW()-5,'Formulación PDN 2027'!$AK$7:$AK$506,0))&amp;"","")</f>
        <v/>
      </c>
      <c r="I469" s="15" t="str">
        <f>IFERROR(INDEX('Formulación PDN 2027'!$S$7:$S$506,MATCH(ROW()-5,'Formulación PDN 2027'!$AK$7:$AK$506,0))&amp;"","")</f>
        <v/>
      </c>
      <c r="J469" s="15" t="str">
        <f>IFERROR(INDEX('Formulación PDN 2027'!$T$7:$T$506,MATCH(ROW()-5,'Formulación PDN 2027'!$AK$7:$AK$506,0))&amp;"","")</f>
        <v/>
      </c>
      <c r="K469" s="43" t="str">
        <f>IFERROR(INDEX('Formulación PDN 2027'!$W$7:$W$506,MATCH(ROW()-5,'Formulación PDN 2027'!$AK$7:$AK$506,0)),"")</f>
        <v/>
      </c>
      <c r="L469" s="43" t="str">
        <f>IFERROR(INDEX('Formulación PDN 2027'!$X$7:$X$506,MATCH(ROW()-5,'Formulación PDN 2027'!$AK$7:$AK$506,0)),"")</f>
        <v/>
      </c>
      <c r="M469" s="15" t="str">
        <f>IFERROR(INDEX('Formulación PDN 2027'!$Y$7:$Y$506,MATCH(ROW()-5,'Formulación PDN 2027'!$AK$7:$AK$506,0))&amp;"","")</f>
        <v/>
      </c>
      <c r="N469" s="15" t="str">
        <f>IFERROR(INDEX('Formulación PDN 2027'!$Z$7:$Z$506,MATCH(ROW()-5,'Formulación PDN 2027'!$AK$7:$AK$506,0))&amp;"","")</f>
        <v/>
      </c>
      <c r="O469" s="15"/>
      <c r="P469" s="15" t="str">
        <f>IFERROR(INDEX('Formulación PDN 2027'!$AA$7:$AA$506,MATCH(ROW()-5,'Formulación PDN 2027'!$AK$7:$AK$506,0))&amp;"","")</f>
        <v/>
      </c>
      <c r="Q469" s="15" t="str">
        <f>IFERROR(INDEX('Formulación PDN 2027'!$AB$7:$AB$506,MATCH(ROW()-5,'Formulación PDN 2027'!$AK$7:$AK$506,0))&amp;"","")</f>
        <v/>
      </c>
      <c r="R469" s="15" t="str">
        <f>IFERROR(INDEX('Formulación PDN 2027'!$AD$7:$AD$506,MATCH(ROW()-5,'Formulación PDN 2027'!$AK$7:$AK$506,0))&amp;"","")</f>
        <v/>
      </c>
      <c r="S469" s="15" t="str">
        <f>IFERROR(INDEX('Formulación PDN 2027'!$AE$7:$AE$506,MATCH(ROW()-5,'Formulación PDN 2027'!$AK$7:$AK$506,0))&amp;"","")</f>
        <v/>
      </c>
      <c r="T469" s="15" t="str">
        <f>IFERROR(INDEX('Formulación PDN 2027'!$C$7:$C$506,MATCH(ROW()-5,'Formulación PDN 2027'!$AK$7:$AK$506,0))&amp;"","")</f>
        <v/>
      </c>
      <c r="U469" s="15" t="str">
        <f>IFERROR(INDEX('Formulación PDN 2027'!$B$7:$B$506,MATCH(ROW()-5,'Formulación PDN 2027'!$AK$7:$AK$506,0))&amp;"","")</f>
        <v/>
      </c>
      <c r="V469" s="15" t="str">
        <f>IFERROR(LEFT(INDEX('Formulación PDN 2027'!$E$7:$E$506,MATCH(ROW()-5,'Formulación PDN 2027'!$AK$7:$AK$506,0)),7),"")</f>
        <v/>
      </c>
      <c r="W469" s="15" t="str">
        <f>IFERROR(INDEX('Formulación PDN 2027'!$H$7:$H$506,MATCH(ROW()-5,'Formulación PDN 2027'!$AK$7:$AK$506,0))&amp;"","")</f>
        <v/>
      </c>
      <c r="X469" s="15" t="str">
        <f>IFERROR(INDEX('Formulación PDN 2027'!$U$7:$U$506,MATCH(ROW()-5,'Formulación PDN 2027'!$AK$7:$AK$506,0))&amp;"","")</f>
        <v/>
      </c>
      <c r="Y469" s="15" t="str">
        <f>IFERROR(INDEX('Formulación PDN 2027'!$AH$7:$AH$506,MATCH(ROW()-5,'Formulación PDN 2027'!$AK$7:$AK$506,0))&amp;"","")</f>
        <v/>
      </c>
    </row>
    <row r="470" spans="1:25" x14ac:dyDescent="0.3">
      <c r="A470" s="15" t="str">
        <f>IFERROR(INDEX('Formulación PDN 2027'!$A$7:$A$506,MATCH(ROW()-5,'Formulación PDN 2027'!$AK$7:$AK$506,0))&amp;"","")</f>
        <v/>
      </c>
      <c r="B470" s="20" t="str">
        <f>IFERROR(INDEX('Formulación PDN 2027'!$M$7:$M$506,MATCH(ROW()-5,'Formulación PDN 2027'!$AK$7:$AK$506,0)),"")</f>
        <v/>
      </c>
      <c r="C470" s="15" t="str">
        <f>IFERROR(INDEX('Formulación PDN 2027'!$N$7:$N$506,MATCH(ROW()-5,'Formulación PDN 2027'!$AK$7:$AK$506,0))&amp;"","")</f>
        <v/>
      </c>
      <c r="D470" s="15" t="str">
        <f>IFERROR(INDEX('Formulación PDN 2027'!$L$7:$L$506,MATCH(ROW()-5,'Formulación PDN 2027'!$AK$7:$AK$506,0))&amp;"","")</f>
        <v/>
      </c>
      <c r="E470" s="15" t="str">
        <f>IFERROR(MATCH(INDEX('Formulación PDN 2027'!$O$7:$O$506,MATCH(ROW()-5,'Formulación PDN 2027'!$AK$7:$AK$506,0)),L_MESES,0),"")</f>
        <v/>
      </c>
      <c r="F470" s="15" t="str">
        <f>IFERROR(MATCH(INDEX('Formulación PDN 2027'!$P$7:$P$506,MATCH(ROW()-5,'Formulación PDN 2027'!$AK$7:$AK$506,0)),L_MESES,0),"")</f>
        <v/>
      </c>
      <c r="G470" s="15" t="str">
        <f>IFERROR(INDEX('Formulación PDN 2027'!$Q$7:$Q$506,MATCH(ROW()-5,'Formulación PDN 2027'!$AK$7:$AK$506,0)),"")</f>
        <v/>
      </c>
      <c r="H470" s="15" t="str">
        <f>IFERROR(INDEX('Formulación PDN 2027'!$R$7:$R$506,MATCH(ROW()-5,'Formulación PDN 2027'!$AK$7:$AK$506,0))&amp;"","")</f>
        <v/>
      </c>
      <c r="I470" s="15" t="str">
        <f>IFERROR(INDEX('Formulación PDN 2027'!$S$7:$S$506,MATCH(ROW()-5,'Formulación PDN 2027'!$AK$7:$AK$506,0))&amp;"","")</f>
        <v/>
      </c>
      <c r="J470" s="15" t="str">
        <f>IFERROR(INDEX('Formulación PDN 2027'!$T$7:$T$506,MATCH(ROW()-5,'Formulación PDN 2027'!$AK$7:$AK$506,0))&amp;"","")</f>
        <v/>
      </c>
      <c r="K470" s="43" t="str">
        <f>IFERROR(INDEX('Formulación PDN 2027'!$W$7:$W$506,MATCH(ROW()-5,'Formulación PDN 2027'!$AK$7:$AK$506,0)),"")</f>
        <v/>
      </c>
      <c r="L470" s="43" t="str">
        <f>IFERROR(INDEX('Formulación PDN 2027'!$X$7:$X$506,MATCH(ROW()-5,'Formulación PDN 2027'!$AK$7:$AK$506,0)),"")</f>
        <v/>
      </c>
      <c r="M470" s="15" t="str">
        <f>IFERROR(INDEX('Formulación PDN 2027'!$Y$7:$Y$506,MATCH(ROW()-5,'Formulación PDN 2027'!$AK$7:$AK$506,0))&amp;"","")</f>
        <v/>
      </c>
      <c r="N470" s="15" t="str">
        <f>IFERROR(INDEX('Formulación PDN 2027'!$Z$7:$Z$506,MATCH(ROW()-5,'Formulación PDN 2027'!$AK$7:$AK$506,0))&amp;"","")</f>
        <v/>
      </c>
      <c r="O470" s="15"/>
      <c r="P470" s="15" t="str">
        <f>IFERROR(INDEX('Formulación PDN 2027'!$AA$7:$AA$506,MATCH(ROW()-5,'Formulación PDN 2027'!$AK$7:$AK$506,0))&amp;"","")</f>
        <v/>
      </c>
      <c r="Q470" s="15" t="str">
        <f>IFERROR(INDEX('Formulación PDN 2027'!$AB$7:$AB$506,MATCH(ROW()-5,'Formulación PDN 2027'!$AK$7:$AK$506,0))&amp;"","")</f>
        <v/>
      </c>
      <c r="R470" s="15" t="str">
        <f>IFERROR(INDEX('Formulación PDN 2027'!$AD$7:$AD$506,MATCH(ROW()-5,'Formulación PDN 2027'!$AK$7:$AK$506,0))&amp;"","")</f>
        <v/>
      </c>
      <c r="S470" s="15" t="str">
        <f>IFERROR(INDEX('Formulación PDN 2027'!$AE$7:$AE$506,MATCH(ROW()-5,'Formulación PDN 2027'!$AK$7:$AK$506,0))&amp;"","")</f>
        <v/>
      </c>
      <c r="T470" s="15" t="str">
        <f>IFERROR(INDEX('Formulación PDN 2027'!$C$7:$C$506,MATCH(ROW()-5,'Formulación PDN 2027'!$AK$7:$AK$506,0))&amp;"","")</f>
        <v/>
      </c>
      <c r="U470" s="15" t="str">
        <f>IFERROR(INDEX('Formulación PDN 2027'!$B$7:$B$506,MATCH(ROW()-5,'Formulación PDN 2027'!$AK$7:$AK$506,0))&amp;"","")</f>
        <v/>
      </c>
      <c r="V470" s="15" t="str">
        <f>IFERROR(LEFT(INDEX('Formulación PDN 2027'!$E$7:$E$506,MATCH(ROW()-5,'Formulación PDN 2027'!$AK$7:$AK$506,0)),7),"")</f>
        <v/>
      </c>
      <c r="W470" s="15" t="str">
        <f>IFERROR(INDEX('Formulación PDN 2027'!$H$7:$H$506,MATCH(ROW()-5,'Formulación PDN 2027'!$AK$7:$AK$506,0))&amp;"","")</f>
        <v/>
      </c>
      <c r="X470" s="15" t="str">
        <f>IFERROR(INDEX('Formulación PDN 2027'!$U$7:$U$506,MATCH(ROW()-5,'Formulación PDN 2027'!$AK$7:$AK$506,0))&amp;"","")</f>
        <v/>
      </c>
      <c r="Y470" s="15" t="str">
        <f>IFERROR(INDEX('Formulación PDN 2027'!$AH$7:$AH$506,MATCH(ROW()-5,'Formulación PDN 2027'!$AK$7:$AK$506,0))&amp;"","")</f>
        <v/>
      </c>
    </row>
    <row r="471" spans="1:25" x14ac:dyDescent="0.3">
      <c r="A471" s="15" t="str">
        <f>IFERROR(INDEX('Formulación PDN 2027'!$A$7:$A$506,MATCH(ROW()-5,'Formulación PDN 2027'!$AK$7:$AK$506,0))&amp;"","")</f>
        <v/>
      </c>
      <c r="B471" s="20" t="str">
        <f>IFERROR(INDEX('Formulación PDN 2027'!$M$7:$M$506,MATCH(ROW()-5,'Formulación PDN 2027'!$AK$7:$AK$506,0)),"")</f>
        <v/>
      </c>
      <c r="C471" s="15" t="str">
        <f>IFERROR(INDEX('Formulación PDN 2027'!$N$7:$N$506,MATCH(ROW()-5,'Formulación PDN 2027'!$AK$7:$AK$506,0))&amp;"","")</f>
        <v/>
      </c>
      <c r="D471" s="15" t="str">
        <f>IFERROR(INDEX('Formulación PDN 2027'!$L$7:$L$506,MATCH(ROW()-5,'Formulación PDN 2027'!$AK$7:$AK$506,0))&amp;"","")</f>
        <v/>
      </c>
      <c r="E471" s="15" t="str">
        <f>IFERROR(MATCH(INDEX('Formulación PDN 2027'!$O$7:$O$506,MATCH(ROW()-5,'Formulación PDN 2027'!$AK$7:$AK$506,0)),L_MESES,0),"")</f>
        <v/>
      </c>
      <c r="F471" s="15" t="str">
        <f>IFERROR(MATCH(INDEX('Formulación PDN 2027'!$P$7:$P$506,MATCH(ROW()-5,'Formulación PDN 2027'!$AK$7:$AK$506,0)),L_MESES,0),"")</f>
        <v/>
      </c>
      <c r="G471" s="15" t="str">
        <f>IFERROR(INDEX('Formulación PDN 2027'!$Q$7:$Q$506,MATCH(ROW()-5,'Formulación PDN 2027'!$AK$7:$AK$506,0)),"")</f>
        <v/>
      </c>
      <c r="H471" s="15" t="str">
        <f>IFERROR(INDEX('Formulación PDN 2027'!$R$7:$R$506,MATCH(ROW()-5,'Formulación PDN 2027'!$AK$7:$AK$506,0))&amp;"","")</f>
        <v/>
      </c>
      <c r="I471" s="15" t="str">
        <f>IFERROR(INDEX('Formulación PDN 2027'!$S$7:$S$506,MATCH(ROW()-5,'Formulación PDN 2027'!$AK$7:$AK$506,0))&amp;"","")</f>
        <v/>
      </c>
      <c r="J471" s="15" t="str">
        <f>IFERROR(INDEX('Formulación PDN 2027'!$T$7:$T$506,MATCH(ROW()-5,'Formulación PDN 2027'!$AK$7:$AK$506,0))&amp;"","")</f>
        <v/>
      </c>
      <c r="K471" s="43" t="str">
        <f>IFERROR(INDEX('Formulación PDN 2027'!$W$7:$W$506,MATCH(ROW()-5,'Formulación PDN 2027'!$AK$7:$AK$506,0)),"")</f>
        <v/>
      </c>
      <c r="L471" s="43" t="str">
        <f>IFERROR(INDEX('Formulación PDN 2027'!$X$7:$X$506,MATCH(ROW()-5,'Formulación PDN 2027'!$AK$7:$AK$506,0)),"")</f>
        <v/>
      </c>
      <c r="M471" s="15" t="str">
        <f>IFERROR(INDEX('Formulación PDN 2027'!$Y$7:$Y$506,MATCH(ROW()-5,'Formulación PDN 2027'!$AK$7:$AK$506,0))&amp;"","")</f>
        <v/>
      </c>
      <c r="N471" s="15" t="str">
        <f>IFERROR(INDEX('Formulación PDN 2027'!$Z$7:$Z$506,MATCH(ROW()-5,'Formulación PDN 2027'!$AK$7:$AK$506,0))&amp;"","")</f>
        <v/>
      </c>
      <c r="O471" s="15"/>
      <c r="P471" s="15" t="str">
        <f>IFERROR(INDEX('Formulación PDN 2027'!$AA$7:$AA$506,MATCH(ROW()-5,'Formulación PDN 2027'!$AK$7:$AK$506,0))&amp;"","")</f>
        <v/>
      </c>
      <c r="Q471" s="15" t="str">
        <f>IFERROR(INDEX('Formulación PDN 2027'!$AB$7:$AB$506,MATCH(ROW()-5,'Formulación PDN 2027'!$AK$7:$AK$506,0))&amp;"","")</f>
        <v/>
      </c>
      <c r="R471" s="15" t="str">
        <f>IFERROR(INDEX('Formulación PDN 2027'!$AD$7:$AD$506,MATCH(ROW()-5,'Formulación PDN 2027'!$AK$7:$AK$506,0))&amp;"","")</f>
        <v/>
      </c>
      <c r="S471" s="15" t="str">
        <f>IFERROR(INDEX('Formulación PDN 2027'!$AE$7:$AE$506,MATCH(ROW()-5,'Formulación PDN 2027'!$AK$7:$AK$506,0))&amp;"","")</f>
        <v/>
      </c>
      <c r="T471" s="15" t="str">
        <f>IFERROR(INDEX('Formulación PDN 2027'!$C$7:$C$506,MATCH(ROW()-5,'Formulación PDN 2027'!$AK$7:$AK$506,0))&amp;"","")</f>
        <v/>
      </c>
      <c r="U471" s="15" t="str">
        <f>IFERROR(INDEX('Formulación PDN 2027'!$B$7:$B$506,MATCH(ROW()-5,'Formulación PDN 2027'!$AK$7:$AK$506,0))&amp;"","")</f>
        <v/>
      </c>
      <c r="V471" s="15" t="str">
        <f>IFERROR(LEFT(INDEX('Formulación PDN 2027'!$E$7:$E$506,MATCH(ROW()-5,'Formulación PDN 2027'!$AK$7:$AK$506,0)),7),"")</f>
        <v/>
      </c>
      <c r="W471" s="15" t="str">
        <f>IFERROR(INDEX('Formulación PDN 2027'!$H$7:$H$506,MATCH(ROW()-5,'Formulación PDN 2027'!$AK$7:$AK$506,0))&amp;"","")</f>
        <v/>
      </c>
      <c r="X471" s="15" t="str">
        <f>IFERROR(INDEX('Formulación PDN 2027'!$U$7:$U$506,MATCH(ROW()-5,'Formulación PDN 2027'!$AK$7:$AK$506,0))&amp;"","")</f>
        <v/>
      </c>
      <c r="Y471" s="15" t="str">
        <f>IFERROR(INDEX('Formulación PDN 2027'!$AH$7:$AH$506,MATCH(ROW()-5,'Formulación PDN 2027'!$AK$7:$AK$506,0))&amp;"","")</f>
        <v/>
      </c>
    </row>
    <row r="472" spans="1:25" x14ac:dyDescent="0.3">
      <c r="A472" s="15" t="str">
        <f>IFERROR(INDEX('Formulación PDN 2027'!$A$7:$A$506,MATCH(ROW()-5,'Formulación PDN 2027'!$AK$7:$AK$506,0))&amp;"","")</f>
        <v/>
      </c>
      <c r="B472" s="20" t="str">
        <f>IFERROR(INDEX('Formulación PDN 2027'!$M$7:$M$506,MATCH(ROW()-5,'Formulación PDN 2027'!$AK$7:$AK$506,0)),"")</f>
        <v/>
      </c>
      <c r="C472" s="15" t="str">
        <f>IFERROR(INDEX('Formulación PDN 2027'!$N$7:$N$506,MATCH(ROW()-5,'Formulación PDN 2027'!$AK$7:$AK$506,0))&amp;"","")</f>
        <v/>
      </c>
      <c r="D472" s="15" t="str">
        <f>IFERROR(INDEX('Formulación PDN 2027'!$L$7:$L$506,MATCH(ROW()-5,'Formulación PDN 2027'!$AK$7:$AK$506,0))&amp;"","")</f>
        <v/>
      </c>
      <c r="E472" s="15" t="str">
        <f>IFERROR(MATCH(INDEX('Formulación PDN 2027'!$O$7:$O$506,MATCH(ROW()-5,'Formulación PDN 2027'!$AK$7:$AK$506,0)),L_MESES,0),"")</f>
        <v/>
      </c>
      <c r="F472" s="15" t="str">
        <f>IFERROR(MATCH(INDEX('Formulación PDN 2027'!$P$7:$P$506,MATCH(ROW()-5,'Formulación PDN 2027'!$AK$7:$AK$506,0)),L_MESES,0),"")</f>
        <v/>
      </c>
      <c r="G472" s="15" t="str">
        <f>IFERROR(INDEX('Formulación PDN 2027'!$Q$7:$Q$506,MATCH(ROW()-5,'Formulación PDN 2027'!$AK$7:$AK$506,0)),"")</f>
        <v/>
      </c>
      <c r="H472" s="15" t="str">
        <f>IFERROR(INDEX('Formulación PDN 2027'!$R$7:$R$506,MATCH(ROW()-5,'Formulación PDN 2027'!$AK$7:$AK$506,0))&amp;"","")</f>
        <v/>
      </c>
      <c r="I472" s="15" t="str">
        <f>IFERROR(INDEX('Formulación PDN 2027'!$S$7:$S$506,MATCH(ROW()-5,'Formulación PDN 2027'!$AK$7:$AK$506,0))&amp;"","")</f>
        <v/>
      </c>
      <c r="J472" s="15" t="str">
        <f>IFERROR(INDEX('Formulación PDN 2027'!$T$7:$T$506,MATCH(ROW()-5,'Formulación PDN 2027'!$AK$7:$AK$506,0))&amp;"","")</f>
        <v/>
      </c>
      <c r="K472" s="43" t="str">
        <f>IFERROR(INDEX('Formulación PDN 2027'!$W$7:$W$506,MATCH(ROW()-5,'Formulación PDN 2027'!$AK$7:$AK$506,0)),"")</f>
        <v/>
      </c>
      <c r="L472" s="43" t="str">
        <f>IFERROR(INDEX('Formulación PDN 2027'!$X$7:$X$506,MATCH(ROW()-5,'Formulación PDN 2027'!$AK$7:$AK$506,0)),"")</f>
        <v/>
      </c>
      <c r="M472" s="15" t="str">
        <f>IFERROR(INDEX('Formulación PDN 2027'!$Y$7:$Y$506,MATCH(ROW()-5,'Formulación PDN 2027'!$AK$7:$AK$506,0))&amp;"","")</f>
        <v/>
      </c>
      <c r="N472" s="15" t="str">
        <f>IFERROR(INDEX('Formulación PDN 2027'!$Z$7:$Z$506,MATCH(ROW()-5,'Formulación PDN 2027'!$AK$7:$AK$506,0))&amp;"","")</f>
        <v/>
      </c>
      <c r="O472" s="15"/>
      <c r="P472" s="15" t="str">
        <f>IFERROR(INDEX('Formulación PDN 2027'!$AA$7:$AA$506,MATCH(ROW()-5,'Formulación PDN 2027'!$AK$7:$AK$506,0))&amp;"","")</f>
        <v/>
      </c>
      <c r="Q472" s="15" t="str">
        <f>IFERROR(INDEX('Formulación PDN 2027'!$AB$7:$AB$506,MATCH(ROW()-5,'Formulación PDN 2027'!$AK$7:$AK$506,0))&amp;"","")</f>
        <v/>
      </c>
      <c r="R472" s="15" t="str">
        <f>IFERROR(INDEX('Formulación PDN 2027'!$AD$7:$AD$506,MATCH(ROW()-5,'Formulación PDN 2027'!$AK$7:$AK$506,0))&amp;"","")</f>
        <v/>
      </c>
      <c r="S472" s="15" t="str">
        <f>IFERROR(INDEX('Formulación PDN 2027'!$AE$7:$AE$506,MATCH(ROW()-5,'Formulación PDN 2027'!$AK$7:$AK$506,0))&amp;"","")</f>
        <v/>
      </c>
      <c r="T472" s="15" t="str">
        <f>IFERROR(INDEX('Formulación PDN 2027'!$C$7:$C$506,MATCH(ROW()-5,'Formulación PDN 2027'!$AK$7:$AK$506,0))&amp;"","")</f>
        <v/>
      </c>
      <c r="U472" s="15" t="str">
        <f>IFERROR(INDEX('Formulación PDN 2027'!$B$7:$B$506,MATCH(ROW()-5,'Formulación PDN 2027'!$AK$7:$AK$506,0))&amp;"","")</f>
        <v/>
      </c>
      <c r="V472" s="15" t="str">
        <f>IFERROR(LEFT(INDEX('Formulación PDN 2027'!$E$7:$E$506,MATCH(ROW()-5,'Formulación PDN 2027'!$AK$7:$AK$506,0)),7),"")</f>
        <v/>
      </c>
      <c r="W472" s="15" t="str">
        <f>IFERROR(INDEX('Formulación PDN 2027'!$H$7:$H$506,MATCH(ROW()-5,'Formulación PDN 2027'!$AK$7:$AK$506,0))&amp;"","")</f>
        <v/>
      </c>
      <c r="X472" s="15" t="str">
        <f>IFERROR(INDEX('Formulación PDN 2027'!$U$7:$U$506,MATCH(ROW()-5,'Formulación PDN 2027'!$AK$7:$AK$506,0))&amp;"","")</f>
        <v/>
      </c>
      <c r="Y472" s="15" t="str">
        <f>IFERROR(INDEX('Formulación PDN 2027'!$AH$7:$AH$506,MATCH(ROW()-5,'Formulación PDN 2027'!$AK$7:$AK$506,0))&amp;"","")</f>
        <v/>
      </c>
    </row>
    <row r="473" spans="1:25" x14ac:dyDescent="0.3">
      <c r="A473" s="15" t="str">
        <f>IFERROR(INDEX('Formulación PDN 2027'!$A$7:$A$506,MATCH(ROW()-5,'Formulación PDN 2027'!$AK$7:$AK$506,0))&amp;"","")</f>
        <v/>
      </c>
      <c r="B473" s="20" t="str">
        <f>IFERROR(INDEX('Formulación PDN 2027'!$M$7:$M$506,MATCH(ROW()-5,'Formulación PDN 2027'!$AK$7:$AK$506,0)),"")</f>
        <v/>
      </c>
      <c r="C473" s="15" t="str">
        <f>IFERROR(INDEX('Formulación PDN 2027'!$N$7:$N$506,MATCH(ROW()-5,'Formulación PDN 2027'!$AK$7:$AK$506,0))&amp;"","")</f>
        <v/>
      </c>
      <c r="D473" s="15" t="str">
        <f>IFERROR(INDEX('Formulación PDN 2027'!$L$7:$L$506,MATCH(ROW()-5,'Formulación PDN 2027'!$AK$7:$AK$506,0))&amp;"","")</f>
        <v/>
      </c>
      <c r="E473" s="15" t="str">
        <f>IFERROR(MATCH(INDEX('Formulación PDN 2027'!$O$7:$O$506,MATCH(ROW()-5,'Formulación PDN 2027'!$AK$7:$AK$506,0)),L_MESES,0),"")</f>
        <v/>
      </c>
      <c r="F473" s="15" t="str">
        <f>IFERROR(MATCH(INDEX('Formulación PDN 2027'!$P$7:$P$506,MATCH(ROW()-5,'Formulación PDN 2027'!$AK$7:$AK$506,0)),L_MESES,0),"")</f>
        <v/>
      </c>
      <c r="G473" s="15" t="str">
        <f>IFERROR(INDEX('Formulación PDN 2027'!$Q$7:$Q$506,MATCH(ROW()-5,'Formulación PDN 2027'!$AK$7:$AK$506,0)),"")</f>
        <v/>
      </c>
      <c r="H473" s="15" t="str">
        <f>IFERROR(INDEX('Formulación PDN 2027'!$R$7:$R$506,MATCH(ROW()-5,'Formulación PDN 2027'!$AK$7:$AK$506,0))&amp;"","")</f>
        <v/>
      </c>
      <c r="I473" s="15" t="str">
        <f>IFERROR(INDEX('Formulación PDN 2027'!$S$7:$S$506,MATCH(ROW()-5,'Formulación PDN 2027'!$AK$7:$AK$506,0))&amp;"","")</f>
        <v/>
      </c>
      <c r="J473" s="15" t="str">
        <f>IFERROR(INDEX('Formulación PDN 2027'!$T$7:$T$506,MATCH(ROW()-5,'Formulación PDN 2027'!$AK$7:$AK$506,0))&amp;"","")</f>
        <v/>
      </c>
      <c r="K473" s="43" t="str">
        <f>IFERROR(INDEX('Formulación PDN 2027'!$W$7:$W$506,MATCH(ROW()-5,'Formulación PDN 2027'!$AK$7:$AK$506,0)),"")</f>
        <v/>
      </c>
      <c r="L473" s="43" t="str">
        <f>IFERROR(INDEX('Formulación PDN 2027'!$X$7:$X$506,MATCH(ROW()-5,'Formulación PDN 2027'!$AK$7:$AK$506,0)),"")</f>
        <v/>
      </c>
      <c r="M473" s="15" t="str">
        <f>IFERROR(INDEX('Formulación PDN 2027'!$Y$7:$Y$506,MATCH(ROW()-5,'Formulación PDN 2027'!$AK$7:$AK$506,0))&amp;"","")</f>
        <v/>
      </c>
      <c r="N473" s="15" t="str">
        <f>IFERROR(INDEX('Formulación PDN 2027'!$Z$7:$Z$506,MATCH(ROW()-5,'Formulación PDN 2027'!$AK$7:$AK$506,0))&amp;"","")</f>
        <v/>
      </c>
      <c r="O473" s="15"/>
      <c r="P473" s="15" t="str">
        <f>IFERROR(INDEX('Formulación PDN 2027'!$AA$7:$AA$506,MATCH(ROW()-5,'Formulación PDN 2027'!$AK$7:$AK$506,0))&amp;"","")</f>
        <v/>
      </c>
      <c r="Q473" s="15" t="str">
        <f>IFERROR(INDEX('Formulación PDN 2027'!$AB$7:$AB$506,MATCH(ROW()-5,'Formulación PDN 2027'!$AK$7:$AK$506,0))&amp;"","")</f>
        <v/>
      </c>
      <c r="R473" s="15" t="str">
        <f>IFERROR(INDEX('Formulación PDN 2027'!$AD$7:$AD$506,MATCH(ROW()-5,'Formulación PDN 2027'!$AK$7:$AK$506,0))&amp;"","")</f>
        <v/>
      </c>
      <c r="S473" s="15" t="str">
        <f>IFERROR(INDEX('Formulación PDN 2027'!$AE$7:$AE$506,MATCH(ROW()-5,'Formulación PDN 2027'!$AK$7:$AK$506,0))&amp;"","")</f>
        <v/>
      </c>
      <c r="T473" s="15" t="str">
        <f>IFERROR(INDEX('Formulación PDN 2027'!$C$7:$C$506,MATCH(ROW()-5,'Formulación PDN 2027'!$AK$7:$AK$506,0))&amp;"","")</f>
        <v/>
      </c>
      <c r="U473" s="15" t="str">
        <f>IFERROR(INDEX('Formulación PDN 2027'!$B$7:$B$506,MATCH(ROW()-5,'Formulación PDN 2027'!$AK$7:$AK$506,0))&amp;"","")</f>
        <v/>
      </c>
      <c r="V473" s="15" t="str">
        <f>IFERROR(LEFT(INDEX('Formulación PDN 2027'!$E$7:$E$506,MATCH(ROW()-5,'Formulación PDN 2027'!$AK$7:$AK$506,0)),7),"")</f>
        <v/>
      </c>
      <c r="W473" s="15" t="str">
        <f>IFERROR(INDEX('Formulación PDN 2027'!$H$7:$H$506,MATCH(ROW()-5,'Formulación PDN 2027'!$AK$7:$AK$506,0))&amp;"","")</f>
        <v/>
      </c>
      <c r="X473" s="15" t="str">
        <f>IFERROR(INDEX('Formulación PDN 2027'!$U$7:$U$506,MATCH(ROW()-5,'Formulación PDN 2027'!$AK$7:$AK$506,0))&amp;"","")</f>
        <v/>
      </c>
      <c r="Y473" s="15" t="str">
        <f>IFERROR(INDEX('Formulación PDN 2027'!$AH$7:$AH$506,MATCH(ROW()-5,'Formulación PDN 2027'!$AK$7:$AK$506,0))&amp;"","")</f>
        <v/>
      </c>
    </row>
    <row r="474" spans="1:25" x14ac:dyDescent="0.3">
      <c r="A474" s="15" t="str">
        <f>IFERROR(INDEX('Formulación PDN 2027'!$A$7:$A$506,MATCH(ROW()-5,'Formulación PDN 2027'!$AK$7:$AK$506,0))&amp;"","")</f>
        <v/>
      </c>
      <c r="B474" s="20" t="str">
        <f>IFERROR(INDEX('Formulación PDN 2027'!$M$7:$M$506,MATCH(ROW()-5,'Formulación PDN 2027'!$AK$7:$AK$506,0)),"")</f>
        <v/>
      </c>
      <c r="C474" s="15" t="str">
        <f>IFERROR(INDEX('Formulación PDN 2027'!$N$7:$N$506,MATCH(ROW()-5,'Formulación PDN 2027'!$AK$7:$AK$506,0))&amp;"","")</f>
        <v/>
      </c>
      <c r="D474" s="15" t="str">
        <f>IFERROR(INDEX('Formulación PDN 2027'!$L$7:$L$506,MATCH(ROW()-5,'Formulación PDN 2027'!$AK$7:$AK$506,0))&amp;"","")</f>
        <v/>
      </c>
      <c r="E474" s="15" t="str">
        <f>IFERROR(MATCH(INDEX('Formulación PDN 2027'!$O$7:$O$506,MATCH(ROW()-5,'Formulación PDN 2027'!$AK$7:$AK$506,0)),L_MESES,0),"")</f>
        <v/>
      </c>
      <c r="F474" s="15" t="str">
        <f>IFERROR(MATCH(INDEX('Formulación PDN 2027'!$P$7:$P$506,MATCH(ROW()-5,'Formulación PDN 2027'!$AK$7:$AK$506,0)),L_MESES,0),"")</f>
        <v/>
      </c>
      <c r="G474" s="15" t="str">
        <f>IFERROR(INDEX('Formulación PDN 2027'!$Q$7:$Q$506,MATCH(ROW()-5,'Formulación PDN 2027'!$AK$7:$AK$506,0)),"")</f>
        <v/>
      </c>
      <c r="H474" s="15" t="str">
        <f>IFERROR(INDEX('Formulación PDN 2027'!$R$7:$R$506,MATCH(ROW()-5,'Formulación PDN 2027'!$AK$7:$AK$506,0))&amp;"","")</f>
        <v/>
      </c>
      <c r="I474" s="15" t="str">
        <f>IFERROR(INDEX('Formulación PDN 2027'!$S$7:$S$506,MATCH(ROW()-5,'Formulación PDN 2027'!$AK$7:$AK$506,0))&amp;"","")</f>
        <v/>
      </c>
      <c r="J474" s="15" t="str">
        <f>IFERROR(INDEX('Formulación PDN 2027'!$T$7:$T$506,MATCH(ROW()-5,'Formulación PDN 2027'!$AK$7:$AK$506,0))&amp;"","")</f>
        <v/>
      </c>
      <c r="K474" s="43" t="str">
        <f>IFERROR(INDEX('Formulación PDN 2027'!$W$7:$W$506,MATCH(ROW()-5,'Formulación PDN 2027'!$AK$7:$AK$506,0)),"")</f>
        <v/>
      </c>
      <c r="L474" s="43" t="str">
        <f>IFERROR(INDEX('Formulación PDN 2027'!$X$7:$X$506,MATCH(ROW()-5,'Formulación PDN 2027'!$AK$7:$AK$506,0)),"")</f>
        <v/>
      </c>
      <c r="M474" s="15" t="str">
        <f>IFERROR(INDEX('Formulación PDN 2027'!$Y$7:$Y$506,MATCH(ROW()-5,'Formulación PDN 2027'!$AK$7:$AK$506,0))&amp;"","")</f>
        <v/>
      </c>
      <c r="N474" s="15" t="str">
        <f>IFERROR(INDEX('Formulación PDN 2027'!$Z$7:$Z$506,MATCH(ROW()-5,'Formulación PDN 2027'!$AK$7:$AK$506,0))&amp;"","")</f>
        <v/>
      </c>
      <c r="O474" s="15"/>
      <c r="P474" s="15" t="str">
        <f>IFERROR(INDEX('Formulación PDN 2027'!$AA$7:$AA$506,MATCH(ROW()-5,'Formulación PDN 2027'!$AK$7:$AK$506,0))&amp;"","")</f>
        <v/>
      </c>
      <c r="Q474" s="15" t="str">
        <f>IFERROR(INDEX('Formulación PDN 2027'!$AB$7:$AB$506,MATCH(ROW()-5,'Formulación PDN 2027'!$AK$7:$AK$506,0))&amp;"","")</f>
        <v/>
      </c>
      <c r="R474" s="15" t="str">
        <f>IFERROR(INDEX('Formulación PDN 2027'!$AD$7:$AD$506,MATCH(ROW()-5,'Formulación PDN 2027'!$AK$7:$AK$506,0))&amp;"","")</f>
        <v/>
      </c>
      <c r="S474" s="15" t="str">
        <f>IFERROR(INDEX('Formulación PDN 2027'!$AE$7:$AE$506,MATCH(ROW()-5,'Formulación PDN 2027'!$AK$7:$AK$506,0))&amp;"","")</f>
        <v/>
      </c>
      <c r="T474" s="15" t="str">
        <f>IFERROR(INDEX('Formulación PDN 2027'!$C$7:$C$506,MATCH(ROW()-5,'Formulación PDN 2027'!$AK$7:$AK$506,0))&amp;"","")</f>
        <v/>
      </c>
      <c r="U474" s="15" t="str">
        <f>IFERROR(INDEX('Formulación PDN 2027'!$B$7:$B$506,MATCH(ROW()-5,'Formulación PDN 2027'!$AK$7:$AK$506,0))&amp;"","")</f>
        <v/>
      </c>
      <c r="V474" s="15" t="str">
        <f>IFERROR(LEFT(INDEX('Formulación PDN 2027'!$E$7:$E$506,MATCH(ROW()-5,'Formulación PDN 2027'!$AK$7:$AK$506,0)),7),"")</f>
        <v/>
      </c>
      <c r="W474" s="15" t="str">
        <f>IFERROR(INDEX('Formulación PDN 2027'!$H$7:$H$506,MATCH(ROW()-5,'Formulación PDN 2027'!$AK$7:$AK$506,0))&amp;"","")</f>
        <v/>
      </c>
      <c r="X474" s="15" t="str">
        <f>IFERROR(INDEX('Formulación PDN 2027'!$U$7:$U$506,MATCH(ROW()-5,'Formulación PDN 2027'!$AK$7:$AK$506,0))&amp;"","")</f>
        <v/>
      </c>
      <c r="Y474" s="15" t="str">
        <f>IFERROR(INDEX('Formulación PDN 2027'!$AH$7:$AH$506,MATCH(ROW()-5,'Formulación PDN 2027'!$AK$7:$AK$506,0))&amp;"","")</f>
        <v/>
      </c>
    </row>
    <row r="475" spans="1:25" x14ac:dyDescent="0.3">
      <c r="A475" s="15" t="str">
        <f>IFERROR(INDEX('Formulación PDN 2027'!$A$7:$A$506,MATCH(ROW()-5,'Formulación PDN 2027'!$AK$7:$AK$506,0))&amp;"","")</f>
        <v/>
      </c>
      <c r="B475" s="20" t="str">
        <f>IFERROR(INDEX('Formulación PDN 2027'!$M$7:$M$506,MATCH(ROW()-5,'Formulación PDN 2027'!$AK$7:$AK$506,0)),"")</f>
        <v/>
      </c>
      <c r="C475" s="15" t="str">
        <f>IFERROR(INDEX('Formulación PDN 2027'!$N$7:$N$506,MATCH(ROW()-5,'Formulación PDN 2027'!$AK$7:$AK$506,0))&amp;"","")</f>
        <v/>
      </c>
      <c r="D475" s="15" t="str">
        <f>IFERROR(INDEX('Formulación PDN 2027'!$L$7:$L$506,MATCH(ROW()-5,'Formulación PDN 2027'!$AK$7:$AK$506,0))&amp;"","")</f>
        <v/>
      </c>
      <c r="E475" s="15" t="str">
        <f>IFERROR(MATCH(INDEX('Formulación PDN 2027'!$O$7:$O$506,MATCH(ROW()-5,'Formulación PDN 2027'!$AK$7:$AK$506,0)),L_MESES,0),"")</f>
        <v/>
      </c>
      <c r="F475" s="15" t="str">
        <f>IFERROR(MATCH(INDEX('Formulación PDN 2027'!$P$7:$P$506,MATCH(ROW()-5,'Formulación PDN 2027'!$AK$7:$AK$506,0)),L_MESES,0),"")</f>
        <v/>
      </c>
      <c r="G475" s="15" t="str">
        <f>IFERROR(INDEX('Formulación PDN 2027'!$Q$7:$Q$506,MATCH(ROW()-5,'Formulación PDN 2027'!$AK$7:$AK$506,0)),"")</f>
        <v/>
      </c>
      <c r="H475" s="15" t="str">
        <f>IFERROR(INDEX('Formulación PDN 2027'!$R$7:$R$506,MATCH(ROW()-5,'Formulación PDN 2027'!$AK$7:$AK$506,0))&amp;"","")</f>
        <v/>
      </c>
      <c r="I475" s="15" t="str">
        <f>IFERROR(INDEX('Formulación PDN 2027'!$S$7:$S$506,MATCH(ROW()-5,'Formulación PDN 2027'!$AK$7:$AK$506,0))&amp;"","")</f>
        <v/>
      </c>
      <c r="J475" s="15" t="str">
        <f>IFERROR(INDEX('Formulación PDN 2027'!$T$7:$T$506,MATCH(ROW()-5,'Formulación PDN 2027'!$AK$7:$AK$506,0))&amp;"","")</f>
        <v/>
      </c>
      <c r="K475" s="43" t="str">
        <f>IFERROR(INDEX('Formulación PDN 2027'!$W$7:$W$506,MATCH(ROW()-5,'Formulación PDN 2027'!$AK$7:$AK$506,0)),"")</f>
        <v/>
      </c>
      <c r="L475" s="43" t="str">
        <f>IFERROR(INDEX('Formulación PDN 2027'!$X$7:$X$506,MATCH(ROW()-5,'Formulación PDN 2027'!$AK$7:$AK$506,0)),"")</f>
        <v/>
      </c>
      <c r="M475" s="15" t="str">
        <f>IFERROR(INDEX('Formulación PDN 2027'!$Y$7:$Y$506,MATCH(ROW()-5,'Formulación PDN 2027'!$AK$7:$AK$506,0))&amp;"","")</f>
        <v/>
      </c>
      <c r="N475" s="15" t="str">
        <f>IFERROR(INDEX('Formulación PDN 2027'!$Z$7:$Z$506,MATCH(ROW()-5,'Formulación PDN 2027'!$AK$7:$AK$506,0))&amp;"","")</f>
        <v/>
      </c>
      <c r="O475" s="15"/>
      <c r="P475" s="15" t="str">
        <f>IFERROR(INDEX('Formulación PDN 2027'!$AA$7:$AA$506,MATCH(ROW()-5,'Formulación PDN 2027'!$AK$7:$AK$506,0))&amp;"","")</f>
        <v/>
      </c>
      <c r="Q475" s="15" t="str">
        <f>IFERROR(INDEX('Formulación PDN 2027'!$AB$7:$AB$506,MATCH(ROW()-5,'Formulación PDN 2027'!$AK$7:$AK$506,0))&amp;"","")</f>
        <v/>
      </c>
      <c r="R475" s="15" t="str">
        <f>IFERROR(INDEX('Formulación PDN 2027'!$AD$7:$AD$506,MATCH(ROW()-5,'Formulación PDN 2027'!$AK$7:$AK$506,0))&amp;"","")</f>
        <v/>
      </c>
      <c r="S475" s="15" t="str">
        <f>IFERROR(INDEX('Formulación PDN 2027'!$AE$7:$AE$506,MATCH(ROW()-5,'Formulación PDN 2027'!$AK$7:$AK$506,0))&amp;"","")</f>
        <v/>
      </c>
      <c r="T475" s="15" t="str">
        <f>IFERROR(INDEX('Formulación PDN 2027'!$C$7:$C$506,MATCH(ROW()-5,'Formulación PDN 2027'!$AK$7:$AK$506,0))&amp;"","")</f>
        <v/>
      </c>
      <c r="U475" s="15" t="str">
        <f>IFERROR(INDEX('Formulación PDN 2027'!$B$7:$B$506,MATCH(ROW()-5,'Formulación PDN 2027'!$AK$7:$AK$506,0))&amp;"","")</f>
        <v/>
      </c>
      <c r="V475" s="15" t="str">
        <f>IFERROR(LEFT(INDEX('Formulación PDN 2027'!$E$7:$E$506,MATCH(ROW()-5,'Formulación PDN 2027'!$AK$7:$AK$506,0)),7),"")</f>
        <v/>
      </c>
      <c r="W475" s="15" t="str">
        <f>IFERROR(INDEX('Formulación PDN 2027'!$H$7:$H$506,MATCH(ROW()-5,'Formulación PDN 2027'!$AK$7:$AK$506,0))&amp;"","")</f>
        <v/>
      </c>
      <c r="X475" s="15" t="str">
        <f>IFERROR(INDEX('Formulación PDN 2027'!$U$7:$U$506,MATCH(ROW()-5,'Formulación PDN 2027'!$AK$7:$AK$506,0))&amp;"","")</f>
        <v/>
      </c>
      <c r="Y475" s="15" t="str">
        <f>IFERROR(INDEX('Formulación PDN 2027'!$AH$7:$AH$506,MATCH(ROW()-5,'Formulación PDN 2027'!$AK$7:$AK$506,0))&amp;"","")</f>
        <v/>
      </c>
    </row>
    <row r="476" spans="1:25" x14ac:dyDescent="0.3">
      <c r="A476" s="15" t="str">
        <f>IFERROR(INDEX('Formulación PDN 2027'!$A$7:$A$506,MATCH(ROW()-5,'Formulación PDN 2027'!$AK$7:$AK$506,0))&amp;"","")</f>
        <v/>
      </c>
      <c r="B476" s="20" t="str">
        <f>IFERROR(INDEX('Formulación PDN 2027'!$M$7:$M$506,MATCH(ROW()-5,'Formulación PDN 2027'!$AK$7:$AK$506,0)),"")</f>
        <v/>
      </c>
      <c r="C476" s="15" t="str">
        <f>IFERROR(INDEX('Formulación PDN 2027'!$N$7:$N$506,MATCH(ROW()-5,'Formulación PDN 2027'!$AK$7:$AK$506,0))&amp;"","")</f>
        <v/>
      </c>
      <c r="D476" s="15" t="str">
        <f>IFERROR(INDEX('Formulación PDN 2027'!$L$7:$L$506,MATCH(ROW()-5,'Formulación PDN 2027'!$AK$7:$AK$506,0))&amp;"","")</f>
        <v/>
      </c>
      <c r="E476" s="15" t="str">
        <f>IFERROR(MATCH(INDEX('Formulación PDN 2027'!$O$7:$O$506,MATCH(ROW()-5,'Formulación PDN 2027'!$AK$7:$AK$506,0)),L_MESES,0),"")</f>
        <v/>
      </c>
      <c r="F476" s="15" t="str">
        <f>IFERROR(MATCH(INDEX('Formulación PDN 2027'!$P$7:$P$506,MATCH(ROW()-5,'Formulación PDN 2027'!$AK$7:$AK$506,0)),L_MESES,0),"")</f>
        <v/>
      </c>
      <c r="G476" s="15" t="str">
        <f>IFERROR(INDEX('Formulación PDN 2027'!$Q$7:$Q$506,MATCH(ROW()-5,'Formulación PDN 2027'!$AK$7:$AK$506,0)),"")</f>
        <v/>
      </c>
      <c r="H476" s="15" t="str">
        <f>IFERROR(INDEX('Formulación PDN 2027'!$R$7:$R$506,MATCH(ROW()-5,'Formulación PDN 2027'!$AK$7:$AK$506,0))&amp;"","")</f>
        <v/>
      </c>
      <c r="I476" s="15" t="str">
        <f>IFERROR(INDEX('Formulación PDN 2027'!$S$7:$S$506,MATCH(ROW()-5,'Formulación PDN 2027'!$AK$7:$AK$506,0))&amp;"","")</f>
        <v/>
      </c>
      <c r="J476" s="15" t="str">
        <f>IFERROR(INDEX('Formulación PDN 2027'!$T$7:$T$506,MATCH(ROW()-5,'Formulación PDN 2027'!$AK$7:$AK$506,0))&amp;"","")</f>
        <v/>
      </c>
      <c r="K476" s="43" t="str">
        <f>IFERROR(INDEX('Formulación PDN 2027'!$W$7:$W$506,MATCH(ROW()-5,'Formulación PDN 2027'!$AK$7:$AK$506,0)),"")</f>
        <v/>
      </c>
      <c r="L476" s="43" t="str">
        <f>IFERROR(INDEX('Formulación PDN 2027'!$X$7:$X$506,MATCH(ROW()-5,'Formulación PDN 2027'!$AK$7:$AK$506,0)),"")</f>
        <v/>
      </c>
      <c r="M476" s="15" t="str">
        <f>IFERROR(INDEX('Formulación PDN 2027'!$Y$7:$Y$506,MATCH(ROW()-5,'Formulación PDN 2027'!$AK$7:$AK$506,0))&amp;"","")</f>
        <v/>
      </c>
      <c r="N476" s="15" t="str">
        <f>IFERROR(INDEX('Formulación PDN 2027'!$Z$7:$Z$506,MATCH(ROW()-5,'Formulación PDN 2027'!$AK$7:$AK$506,0))&amp;"","")</f>
        <v/>
      </c>
      <c r="O476" s="15"/>
      <c r="P476" s="15" t="str">
        <f>IFERROR(INDEX('Formulación PDN 2027'!$AA$7:$AA$506,MATCH(ROW()-5,'Formulación PDN 2027'!$AK$7:$AK$506,0))&amp;"","")</f>
        <v/>
      </c>
      <c r="Q476" s="15" t="str">
        <f>IFERROR(INDEX('Formulación PDN 2027'!$AB$7:$AB$506,MATCH(ROW()-5,'Formulación PDN 2027'!$AK$7:$AK$506,0))&amp;"","")</f>
        <v/>
      </c>
      <c r="R476" s="15" t="str">
        <f>IFERROR(INDEX('Formulación PDN 2027'!$AD$7:$AD$506,MATCH(ROW()-5,'Formulación PDN 2027'!$AK$7:$AK$506,0))&amp;"","")</f>
        <v/>
      </c>
      <c r="S476" s="15" t="str">
        <f>IFERROR(INDEX('Formulación PDN 2027'!$AE$7:$AE$506,MATCH(ROW()-5,'Formulación PDN 2027'!$AK$7:$AK$506,0))&amp;"","")</f>
        <v/>
      </c>
      <c r="T476" s="15" t="str">
        <f>IFERROR(INDEX('Formulación PDN 2027'!$C$7:$C$506,MATCH(ROW()-5,'Formulación PDN 2027'!$AK$7:$AK$506,0))&amp;"","")</f>
        <v/>
      </c>
      <c r="U476" s="15" t="str">
        <f>IFERROR(INDEX('Formulación PDN 2027'!$B$7:$B$506,MATCH(ROW()-5,'Formulación PDN 2027'!$AK$7:$AK$506,0))&amp;"","")</f>
        <v/>
      </c>
      <c r="V476" s="15" t="str">
        <f>IFERROR(LEFT(INDEX('Formulación PDN 2027'!$E$7:$E$506,MATCH(ROW()-5,'Formulación PDN 2027'!$AK$7:$AK$506,0)),7),"")</f>
        <v/>
      </c>
      <c r="W476" s="15" t="str">
        <f>IFERROR(INDEX('Formulación PDN 2027'!$H$7:$H$506,MATCH(ROW()-5,'Formulación PDN 2027'!$AK$7:$AK$506,0))&amp;"","")</f>
        <v/>
      </c>
      <c r="X476" s="15" t="str">
        <f>IFERROR(INDEX('Formulación PDN 2027'!$U$7:$U$506,MATCH(ROW()-5,'Formulación PDN 2027'!$AK$7:$AK$506,0))&amp;"","")</f>
        <v/>
      </c>
      <c r="Y476" s="15" t="str">
        <f>IFERROR(INDEX('Formulación PDN 2027'!$AH$7:$AH$506,MATCH(ROW()-5,'Formulación PDN 2027'!$AK$7:$AK$506,0))&amp;"","")</f>
        <v/>
      </c>
    </row>
    <row r="477" spans="1:25" x14ac:dyDescent="0.3">
      <c r="A477" s="15" t="str">
        <f>IFERROR(INDEX('Formulación PDN 2027'!$A$7:$A$506,MATCH(ROW()-5,'Formulación PDN 2027'!$AK$7:$AK$506,0))&amp;"","")</f>
        <v/>
      </c>
      <c r="B477" s="20" t="str">
        <f>IFERROR(INDEX('Formulación PDN 2027'!$M$7:$M$506,MATCH(ROW()-5,'Formulación PDN 2027'!$AK$7:$AK$506,0)),"")</f>
        <v/>
      </c>
      <c r="C477" s="15" t="str">
        <f>IFERROR(INDEX('Formulación PDN 2027'!$N$7:$N$506,MATCH(ROW()-5,'Formulación PDN 2027'!$AK$7:$AK$506,0))&amp;"","")</f>
        <v/>
      </c>
      <c r="D477" s="15" t="str">
        <f>IFERROR(INDEX('Formulación PDN 2027'!$L$7:$L$506,MATCH(ROW()-5,'Formulación PDN 2027'!$AK$7:$AK$506,0))&amp;"","")</f>
        <v/>
      </c>
      <c r="E477" s="15" t="str">
        <f>IFERROR(MATCH(INDEX('Formulación PDN 2027'!$O$7:$O$506,MATCH(ROW()-5,'Formulación PDN 2027'!$AK$7:$AK$506,0)),L_MESES,0),"")</f>
        <v/>
      </c>
      <c r="F477" s="15" t="str">
        <f>IFERROR(MATCH(INDEX('Formulación PDN 2027'!$P$7:$P$506,MATCH(ROW()-5,'Formulación PDN 2027'!$AK$7:$AK$506,0)),L_MESES,0),"")</f>
        <v/>
      </c>
      <c r="G477" s="15" t="str">
        <f>IFERROR(INDEX('Formulación PDN 2027'!$Q$7:$Q$506,MATCH(ROW()-5,'Formulación PDN 2027'!$AK$7:$AK$506,0)),"")</f>
        <v/>
      </c>
      <c r="H477" s="15" t="str">
        <f>IFERROR(INDEX('Formulación PDN 2027'!$R$7:$R$506,MATCH(ROW()-5,'Formulación PDN 2027'!$AK$7:$AK$506,0))&amp;"","")</f>
        <v/>
      </c>
      <c r="I477" s="15" t="str">
        <f>IFERROR(INDEX('Formulación PDN 2027'!$S$7:$S$506,MATCH(ROW()-5,'Formulación PDN 2027'!$AK$7:$AK$506,0))&amp;"","")</f>
        <v/>
      </c>
      <c r="J477" s="15" t="str">
        <f>IFERROR(INDEX('Formulación PDN 2027'!$T$7:$T$506,MATCH(ROW()-5,'Formulación PDN 2027'!$AK$7:$AK$506,0))&amp;"","")</f>
        <v/>
      </c>
      <c r="K477" s="43" t="str">
        <f>IFERROR(INDEX('Formulación PDN 2027'!$W$7:$W$506,MATCH(ROW()-5,'Formulación PDN 2027'!$AK$7:$AK$506,0)),"")</f>
        <v/>
      </c>
      <c r="L477" s="43" t="str">
        <f>IFERROR(INDEX('Formulación PDN 2027'!$X$7:$X$506,MATCH(ROW()-5,'Formulación PDN 2027'!$AK$7:$AK$506,0)),"")</f>
        <v/>
      </c>
      <c r="M477" s="15" t="str">
        <f>IFERROR(INDEX('Formulación PDN 2027'!$Y$7:$Y$506,MATCH(ROW()-5,'Formulación PDN 2027'!$AK$7:$AK$506,0))&amp;"","")</f>
        <v/>
      </c>
      <c r="N477" s="15" t="str">
        <f>IFERROR(INDEX('Formulación PDN 2027'!$Z$7:$Z$506,MATCH(ROW()-5,'Formulación PDN 2027'!$AK$7:$AK$506,0))&amp;"","")</f>
        <v/>
      </c>
      <c r="O477" s="15"/>
      <c r="P477" s="15" t="str">
        <f>IFERROR(INDEX('Formulación PDN 2027'!$AA$7:$AA$506,MATCH(ROW()-5,'Formulación PDN 2027'!$AK$7:$AK$506,0))&amp;"","")</f>
        <v/>
      </c>
      <c r="Q477" s="15" t="str">
        <f>IFERROR(INDEX('Formulación PDN 2027'!$AB$7:$AB$506,MATCH(ROW()-5,'Formulación PDN 2027'!$AK$7:$AK$506,0))&amp;"","")</f>
        <v/>
      </c>
      <c r="R477" s="15" t="str">
        <f>IFERROR(INDEX('Formulación PDN 2027'!$AD$7:$AD$506,MATCH(ROW()-5,'Formulación PDN 2027'!$AK$7:$AK$506,0))&amp;"","")</f>
        <v/>
      </c>
      <c r="S477" s="15" t="str">
        <f>IFERROR(INDEX('Formulación PDN 2027'!$AE$7:$AE$506,MATCH(ROW()-5,'Formulación PDN 2027'!$AK$7:$AK$506,0))&amp;"","")</f>
        <v/>
      </c>
      <c r="T477" s="15" t="str">
        <f>IFERROR(INDEX('Formulación PDN 2027'!$C$7:$C$506,MATCH(ROW()-5,'Formulación PDN 2027'!$AK$7:$AK$506,0))&amp;"","")</f>
        <v/>
      </c>
      <c r="U477" s="15" t="str">
        <f>IFERROR(INDEX('Formulación PDN 2027'!$B$7:$B$506,MATCH(ROW()-5,'Formulación PDN 2027'!$AK$7:$AK$506,0))&amp;"","")</f>
        <v/>
      </c>
      <c r="V477" s="15" t="str">
        <f>IFERROR(LEFT(INDEX('Formulación PDN 2027'!$E$7:$E$506,MATCH(ROW()-5,'Formulación PDN 2027'!$AK$7:$AK$506,0)),7),"")</f>
        <v/>
      </c>
      <c r="W477" s="15" t="str">
        <f>IFERROR(INDEX('Formulación PDN 2027'!$H$7:$H$506,MATCH(ROW()-5,'Formulación PDN 2027'!$AK$7:$AK$506,0))&amp;"","")</f>
        <v/>
      </c>
      <c r="X477" s="15" t="str">
        <f>IFERROR(INDEX('Formulación PDN 2027'!$U$7:$U$506,MATCH(ROW()-5,'Formulación PDN 2027'!$AK$7:$AK$506,0))&amp;"","")</f>
        <v/>
      </c>
      <c r="Y477" s="15" t="str">
        <f>IFERROR(INDEX('Formulación PDN 2027'!$AH$7:$AH$506,MATCH(ROW()-5,'Formulación PDN 2027'!$AK$7:$AK$506,0))&amp;"","")</f>
        <v/>
      </c>
    </row>
    <row r="478" spans="1:25" x14ac:dyDescent="0.3">
      <c r="A478" s="15" t="str">
        <f>IFERROR(INDEX('Formulación PDN 2027'!$A$7:$A$506,MATCH(ROW()-5,'Formulación PDN 2027'!$AK$7:$AK$506,0))&amp;"","")</f>
        <v/>
      </c>
      <c r="B478" s="20" t="str">
        <f>IFERROR(INDEX('Formulación PDN 2027'!$M$7:$M$506,MATCH(ROW()-5,'Formulación PDN 2027'!$AK$7:$AK$506,0)),"")</f>
        <v/>
      </c>
      <c r="C478" s="15" t="str">
        <f>IFERROR(INDEX('Formulación PDN 2027'!$N$7:$N$506,MATCH(ROW()-5,'Formulación PDN 2027'!$AK$7:$AK$506,0))&amp;"","")</f>
        <v/>
      </c>
      <c r="D478" s="15" t="str">
        <f>IFERROR(INDEX('Formulación PDN 2027'!$L$7:$L$506,MATCH(ROW()-5,'Formulación PDN 2027'!$AK$7:$AK$506,0))&amp;"","")</f>
        <v/>
      </c>
      <c r="E478" s="15" t="str">
        <f>IFERROR(MATCH(INDEX('Formulación PDN 2027'!$O$7:$O$506,MATCH(ROW()-5,'Formulación PDN 2027'!$AK$7:$AK$506,0)),L_MESES,0),"")</f>
        <v/>
      </c>
      <c r="F478" s="15" t="str">
        <f>IFERROR(MATCH(INDEX('Formulación PDN 2027'!$P$7:$P$506,MATCH(ROW()-5,'Formulación PDN 2027'!$AK$7:$AK$506,0)),L_MESES,0),"")</f>
        <v/>
      </c>
      <c r="G478" s="15" t="str">
        <f>IFERROR(INDEX('Formulación PDN 2027'!$Q$7:$Q$506,MATCH(ROW()-5,'Formulación PDN 2027'!$AK$7:$AK$506,0)),"")</f>
        <v/>
      </c>
      <c r="H478" s="15" t="str">
        <f>IFERROR(INDEX('Formulación PDN 2027'!$R$7:$R$506,MATCH(ROW()-5,'Formulación PDN 2027'!$AK$7:$AK$506,0))&amp;"","")</f>
        <v/>
      </c>
      <c r="I478" s="15" t="str">
        <f>IFERROR(INDEX('Formulación PDN 2027'!$S$7:$S$506,MATCH(ROW()-5,'Formulación PDN 2027'!$AK$7:$AK$506,0))&amp;"","")</f>
        <v/>
      </c>
      <c r="J478" s="15" t="str">
        <f>IFERROR(INDEX('Formulación PDN 2027'!$T$7:$T$506,MATCH(ROW()-5,'Formulación PDN 2027'!$AK$7:$AK$506,0))&amp;"","")</f>
        <v/>
      </c>
      <c r="K478" s="43" t="str">
        <f>IFERROR(INDEX('Formulación PDN 2027'!$W$7:$W$506,MATCH(ROW()-5,'Formulación PDN 2027'!$AK$7:$AK$506,0)),"")</f>
        <v/>
      </c>
      <c r="L478" s="43" t="str">
        <f>IFERROR(INDEX('Formulación PDN 2027'!$X$7:$X$506,MATCH(ROW()-5,'Formulación PDN 2027'!$AK$7:$AK$506,0)),"")</f>
        <v/>
      </c>
      <c r="M478" s="15" t="str">
        <f>IFERROR(INDEX('Formulación PDN 2027'!$Y$7:$Y$506,MATCH(ROW()-5,'Formulación PDN 2027'!$AK$7:$AK$506,0))&amp;"","")</f>
        <v/>
      </c>
      <c r="N478" s="15" t="str">
        <f>IFERROR(INDEX('Formulación PDN 2027'!$Z$7:$Z$506,MATCH(ROW()-5,'Formulación PDN 2027'!$AK$7:$AK$506,0))&amp;"","")</f>
        <v/>
      </c>
      <c r="O478" s="15"/>
      <c r="P478" s="15" t="str">
        <f>IFERROR(INDEX('Formulación PDN 2027'!$AA$7:$AA$506,MATCH(ROW()-5,'Formulación PDN 2027'!$AK$7:$AK$506,0))&amp;"","")</f>
        <v/>
      </c>
      <c r="Q478" s="15" t="str">
        <f>IFERROR(INDEX('Formulación PDN 2027'!$AB$7:$AB$506,MATCH(ROW()-5,'Formulación PDN 2027'!$AK$7:$AK$506,0))&amp;"","")</f>
        <v/>
      </c>
      <c r="R478" s="15" t="str">
        <f>IFERROR(INDEX('Formulación PDN 2027'!$AD$7:$AD$506,MATCH(ROW()-5,'Formulación PDN 2027'!$AK$7:$AK$506,0))&amp;"","")</f>
        <v/>
      </c>
      <c r="S478" s="15" t="str">
        <f>IFERROR(INDEX('Formulación PDN 2027'!$AE$7:$AE$506,MATCH(ROW()-5,'Formulación PDN 2027'!$AK$7:$AK$506,0))&amp;"","")</f>
        <v/>
      </c>
      <c r="T478" s="15" t="str">
        <f>IFERROR(INDEX('Formulación PDN 2027'!$C$7:$C$506,MATCH(ROW()-5,'Formulación PDN 2027'!$AK$7:$AK$506,0))&amp;"","")</f>
        <v/>
      </c>
      <c r="U478" s="15" t="str">
        <f>IFERROR(INDEX('Formulación PDN 2027'!$B$7:$B$506,MATCH(ROW()-5,'Formulación PDN 2027'!$AK$7:$AK$506,0))&amp;"","")</f>
        <v/>
      </c>
      <c r="V478" s="15" t="str">
        <f>IFERROR(LEFT(INDEX('Formulación PDN 2027'!$E$7:$E$506,MATCH(ROW()-5,'Formulación PDN 2027'!$AK$7:$AK$506,0)),7),"")</f>
        <v/>
      </c>
      <c r="W478" s="15" t="str">
        <f>IFERROR(INDEX('Formulación PDN 2027'!$H$7:$H$506,MATCH(ROW()-5,'Formulación PDN 2027'!$AK$7:$AK$506,0))&amp;"","")</f>
        <v/>
      </c>
      <c r="X478" s="15" t="str">
        <f>IFERROR(INDEX('Formulación PDN 2027'!$U$7:$U$506,MATCH(ROW()-5,'Formulación PDN 2027'!$AK$7:$AK$506,0))&amp;"","")</f>
        <v/>
      </c>
      <c r="Y478" s="15" t="str">
        <f>IFERROR(INDEX('Formulación PDN 2027'!$AH$7:$AH$506,MATCH(ROW()-5,'Formulación PDN 2027'!$AK$7:$AK$506,0))&amp;"","")</f>
        <v/>
      </c>
    </row>
    <row r="479" spans="1:25" x14ac:dyDescent="0.3">
      <c r="A479" s="15" t="str">
        <f>IFERROR(INDEX('Formulación PDN 2027'!$A$7:$A$506,MATCH(ROW()-5,'Formulación PDN 2027'!$AK$7:$AK$506,0))&amp;"","")</f>
        <v/>
      </c>
      <c r="B479" s="20" t="str">
        <f>IFERROR(INDEX('Formulación PDN 2027'!$M$7:$M$506,MATCH(ROW()-5,'Formulación PDN 2027'!$AK$7:$AK$506,0)),"")</f>
        <v/>
      </c>
      <c r="C479" s="15" t="str">
        <f>IFERROR(INDEX('Formulación PDN 2027'!$N$7:$N$506,MATCH(ROW()-5,'Formulación PDN 2027'!$AK$7:$AK$506,0))&amp;"","")</f>
        <v/>
      </c>
      <c r="D479" s="15" t="str">
        <f>IFERROR(INDEX('Formulación PDN 2027'!$L$7:$L$506,MATCH(ROW()-5,'Formulación PDN 2027'!$AK$7:$AK$506,0))&amp;"","")</f>
        <v/>
      </c>
      <c r="E479" s="15" t="str">
        <f>IFERROR(MATCH(INDEX('Formulación PDN 2027'!$O$7:$O$506,MATCH(ROW()-5,'Formulación PDN 2027'!$AK$7:$AK$506,0)),L_MESES,0),"")</f>
        <v/>
      </c>
      <c r="F479" s="15" t="str">
        <f>IFERROR(MATCH(INDEX('Formulación PDN 2027'!$P$7:$P$506,MATCH(ROW()-5,'Formulación PDN 2027'!$AK$7:$AK$506,0)),L_MESES,0),"")</f>
        <v/>
      </c>
      <c r="G479" s="15" t="str">
        <f>IFERROR(INDEX('Formulación PDN 2027'!$Q$7:$Q$506,MATCH(ROW()-5,'Formulación PDN 2027'!$AK$7:$AK$506,0)),"")</f>
        <v/>
      </c>
      <c r="H479" s="15" t="str">
        <f>IFERROR(INDEX('Formulación PDN 2027'!$R$7:$R$506,MATCH(ROW()-5,'Formulación PDN 2027'!$AK$7:$AK$506,0))&amp;"","")</f>
        <v/>
      </c>
      <c r="I479" s="15" t="str">
        <f>IFERROR(INDEX('Formulación PDN 2027'!$S$7:$S$506,MATCH(ROW()-5,'Formulación PDN 2027'!$AK$7:$AK$506,0))&amp;"","")</f>
        <v/>
      </c>
      <c r="J479" s="15" t="str">
        <f>IFERROR(INDEX('Formulación PDN 2027'!$T$7:$T$506,MATCH(ROW()-5,'Formulación PDN 2027'!$AK$7:$AK$506,0))&amp;"","")</f>
        <v/>
      </c>
      <c r="K479" s="43" t="str">
        <f>IFERROR(INDEX('Formulación PDN 2027'!$W$7:$W$506,MATCH(ROW()-5,'Formulación PDN 2027'!$AK$7:$AK$506,0)),"")</f>
        <v/>
      </c>
      <c r="L479" s="43" t="str">
        <f>IFERROR(INDEX('Formulación PDN 2027'!$X$7:$X$506,MATCH(ROW()-5,'Formulación PDN 2027'!$AK$7:$AK$506,0)),"")</f>
        <v/>
      </c>
      <c r="M479" s="15" t="str">
        <f>IFERROR(INDEX('Formulación PDN 2027'!$Y$7:$Y$506,MATCH(ROW()-5,'Formulación PDN 2027'!$AK$7:$AK$506,0))&amp;"","")</f>
        <v/>
      </c>
      <c r="N479" s="15" t="str">
        <f>IFERROR(INDEX('Formulación PDN 2027'!$Z$7:$Z$506,MATCH(ROW()-5,'Formulación PDN 2027'!$AK$7:$AK$506,0))&amp;"","")</f>
        <v/>
      </c>
      <c r="O479" s="15"/>
      <c r="P479" s="15" t="str">
        <f>IFERROR(INDEX('Formulación PDN 2027'!$AA$7:$AA$506,MATCH(ROW()-5,'Formulación PDN 2027'!$AK$7:$AK$506,0))&amp;"","")</f>
        <v/>
      </c>
      <c r="Q479" s="15" t="str">
        <f>IFERROR(INDEX('Formulación PDN 2027'!$AB$7:$AB$506,MATCH(ROW()-5,'Formulación PDN 2027'!$AK$7:$AK$506,0))&amp;"","")</f>
        <v/>
      </c>
      <c r="R479" s="15" t="str">
        <f>IFERROR(INDEX('Formulación PDN 2027'!$AD$7:$AD$506,MATCH(ROW()-5,'Formulación PDN 2027'!$AK$7:$AK$506,0))&amp;"","")</f>
        <v/>
      </c>
      <c r="S479" s="15" t="str">
        <f>IFERROR(INDEX('Formulación PDN 2027'!$AE$7:$AE$506,MATCH(ROW()-5,'Formulación PDN 2027'!$AK$7:$AK$506,0))&amp;"","")</f>
        <v/>
      </c>
      <c r="T479" s="15" t="str">
        <f>IFERROR(INDEX('Formulación PDN 2027'!$C$7:$C$506,MATCH(ROW()-5,'Formulación PDN 2027'!$AK$7:$AK$506,0))&amp;"","")</f>
        <v/>
      </c>
      <c r="U479" s="15" t="str">
        <f>IFERROR(INDEX('Formulación PDN 2027'!$B$7:$B$506,MATCH(ROW()-5,'Formulación PDN 2027'!$AK$7:$AK$506,0))&amp;"","")</f>
        <v/>
      </c>
      <c r="V479" s="15" t="str">
        <f>IFERROR(LEFT(INDEX('Formulación PDN 2027'!$E$7:$E$506,MATCH(ROW()-5,'Formulación PDN 2027'!$AK$7:$AK$506,0)),7),"")</f>
        <v/>
      </c>
      <c r="W479" s="15" t="str">
        <f>IFERROR(INDEX('Formulación PDN 2027'!$H$7:$H$506,MATCH(ROW()-5,'Formulación PDN 2027'!$AK$7:$AK$506,0))&amp;"","")</f>
        <v/>
      </c>
      <c r="X479" s="15" t="str">
        <f>IFERROR(INDEX('Formulación PDN 2027'!$U$7:$U$506,MATCH(ROW()-5,'Formulación PDN 2027'!$AK$7:$AK$506,0))&amp;"","")</f>
        <v/>
      </c>
      <c r="Y479" s="15" t="str">
        <f>IFERROR(INDEX('Formulación PDN 2027'!$AH$7:$AH$506,MATCH(ROW()-5,'Formulación PDN 2027'!$AK$7:$AK$506,0))&amp;"","")</f>
        <v/>
      </c>
    </row>
    <row r="480" spans="1:25" x14ac:dyDescent="0.3">
      <c r="A480" s="15" t="str">
        <f>IFERROR(INDEX('Formulación PDN 2027'!$A$7:$A$506,MATCH(ROW()-5,'Formulación PDN 2027'!$AK$7:$AK$506,0))&amp;"","")</f>
        <v/>
      </c>
      <c r="B480" s="20" t="str">
        <f>IFERROR(INDEX('Formulación PDN 2027'!$M$7:$M$506,MATCH(ROW()-5,'Formulación PDN 2027'!$AK$7:$AK$506,0)),"")</f>
        <v/>
      </c>
      <c r="C480" s="15" t="str">
        <f>IFERROR(INDEX('Formulación PDN 2027'!$N$7:$N$506,MATCH(ROW()-5,'Formulación PDN 2027'!$AK$7:$AK$506,0))&amp;"","")</f>
        <v/>
      </c>
      <c r="D480" s="15" t="str">
        <f>IFERROR(INDEX('Formulación PDN 2027'!$L$7:$L$506,MATCH(ROW()-5,'Formulación PDN 2027'!$AK$7:$AK$506,0))&amp;"","")</f>
        <v/>
      </c>
      <c r="E480" s="15" t="str">
        <f>IFERROR(MATCH(INDEX('Formulación PDN 2027'!$O$7:$O$506,MATCH(ROW()-5,'Formulación PDN 2027'!$AK$7:$AK$506,0)),L_MESES,0),"")</f>
        <v/>
      </c>
      <c r="F480" s="15" t="str">
        <f>IFERROR(MATCH(INDEX('Formulación PDN 2027'!$P$7:$P$506,MATCH(ROW()-5,'Formulación PDN 2027'!$AK$7:$AK$506,0)),L_MESES,0),"")</f>
        <v/>
      </c>
      <c r="G480" s="15" t="str">
        <f>IFERROR(INDEX('Formulación PDN 2027'!$Q$7:$Q$506,MATCH(ROW()-5,'Formulación PDN 2027'!$AK$7:$AK$506,0)),"")</f>
        <v/>
      </c>
      <c r="H480" s="15" t="str">
        <f>IFERROR(INDEX('Formulación PDN 2027'!$R$7:$R$506,MATCH(ROW()-5,'Formulación PDN 2027'!$AK$7:$AK$506,0))&amp;"","")</f>
        <v/>
      </c>
      <c r="I480" s="15" t="str">
        <f>IFERROR(INDEX('Formulación PDN 2027'!$S$7:$S$506,MATCH(ROW()-5,'Formulación PDN 2027'!$AK$7:$AK$506,0))&amp;"","")</f>
        <v/>
      </c>
      <c r="J480" s="15" t="str">
        <f>IFERROR(INDEX('Formulación PDN 2027'!$T$7:$T$506,MATCH(ROW()-5,'Formulación PDN 2027'!$AK$7:$AK$506,0))&amp;"","")</f>
        <v/>
      </c>
      <c r="K480" s="43" t="str">
        <f>IFERROR(INDEX('Formulación PDN 2027'!$W$7:$W$506,MATCH(ROW()-5,'Formulación PDN 2027'!$AK$7:$AK$506,0)),"")</f>
        <v/>
      </c>
      <c r="L480" s="43" t="str">
        <f>IFERROR(INDEX('Formulación PDN 2027'!$X$7:$X$506,MATCH(ROW()-5,'Formulación PDN 2027'!$AK$7:$AK$506,0)),"")</f>
        <v/>
      </c>
      <c r="M480" s="15" t="str">
        <f>IFERROR(INDEX('Formulación PDN 2027'!$Y$7:$Y$506,MATCH(ROW()-5,'Formulación PDN 2027'!$AK$7:$AK$506,0))&amp;"","")</f>
        <v/>
      </c>
      <c r="N480" s="15" t="str">
        <f>IFERROR(INDEX('Formulación PDN 2027'!$Z$7:$Z$506,MATCH(ROW()-5,'Formulación PDN 2027'!$AK$7:$AK$506,0))&amp;"","")</f>
        <v/>
      </c>
      <c r="O480" s="15"/>
      <c r="P480" s="15" t="str">
        <f>IFERROR(INDEX('Formulación PDN 2027'!$AA$7:$AA$506,MATCH(ROW()-5,'Formulación PDN 2027'!$AK$7:$AK$506,0))&amp;"","")</f>
        <v/>
      </c>
      <c r="Q480" s="15" t="str">
        <f>IFERROR(INDEX('Formulación PDN 2027'!$AB$7:$AB$506,MATCH(ROW()-5,'Formulación PDN 2027'!$AK$7:$AK$506,0))&amp;"","")</f>
        <v/>
      </c>
      <c r="R480" s="15" t="str">
        <f>IFERROR(INDEX('Formulación PDN 2027'!$AD$7:$AD$506,MATCH(ROW()-5,'Formulación PDN 2027'!$AK$7:$AK$506,0))&amp;"","")</f>
        <v/>
      </c>
      <c r="S480" s="15" t="str">
        <f>IFERROR(INDEX('Formulación PDN 2027'!$AE$7:$AE$506,MATCH(ROW()-5,'Formulación PDN 2027'!$AK$7:$AK$506,0))&amp;"","")</f>
        <v/>
      </c>
      <c r="T480" s="15" t="str">
        <f>IFERROR(INDEX('Formulación PDN 2027'!$C$7:$C$506,MATCH(ROW()-5,'Formulación PDN 2027'!$AK$7:$AK$506,0))&amp;"","")</f>
        <v/>
      </c>
      <c r="U480" s="15" t="str">
        <f>IFERROR(INDEX('Formulación PDN 2027'!$B$7:$B$506,MATCH(ROW()-5,'Formulación PDN 2027'!$AK$7:$AK$506,0))&amp;"","")</f>
        <v/>
      </c>
      <c r="V480" s="15" t="str">
        <f>IFERROR(LEFT(INDEX('Formulación PDN 2027'!$E$7:$E$506,MATCH(ROW()-5,'Formulación PDN 2027'!$AK$7:$AK$506,0)),7),"")</f>
        <v/>
      </c>
      <c r="W480" s="15" t="str">
        <f>IFERROR(INDEX('Formulación PDN 2027'!$H$7:$H$506,MATCH(ROW()-5,'Formulación PDN 2027'!$AK$7:$AK$506,0))&amp;"","")</f>
        <v/>
      </c>
      <c r="X480" s="15" t="str">
        <f>IFERROR(INDEX('Formulación PDN 2027'!$U$7:$U$506,MATCH(ROW()-5,'Formulación PDN 2027'!$AK$7:$AK$506,0))&amp;"","")</f>
        <v/>
      </c>
      <c r="Y480" s="15" t="str">
        <f>IFERROR(INDEX('Formulación PDN 2027'!$AH$7:$AH$506,MATCH(ROW()-5,'Formulación PDN 2027'!$AK$7:$AK$506,0))&amp;"","")</f>
        <v/>
      </c>
    </row>
    <row r="481" spans="1:25" x14ac:dyDescent="0.3">
      <c r="A481" s="15" t="str">
        <f>IFERROR(INDEX('Formulación PDN 2027'!$A$7:$A$506,MATCH(ROW()-5,'Formulación PDN 2027'!$AK$7:$AK$506,0))&amp;"","")</f>
        <v/>
      </c>
      <c r="B481" s="20" t="str">
        <f>IFERROR(INDEX('Formulación PDN 2027'!$M$7:$M$506,MATCH(ROW()-5,'Formulación PDN 2027'!$AK$7:$AK$506,0)),"")</f>
        <v/>
      </c>
      <c r="C481" s="15" t="str">
        <f>IFERROR(INDEX('Formulación PDN 2027'!$N$7:$N$506,MATCH(ROW()-5,'Formulación PDN 2027'!$AK$7:$AK$506,0))&amp;"","")</f>
        <v/>
      </c>
      <c r="D481" s="15" t="str">
        <f>IFERROR(INDEX('Formulación PDN 2027'!$L$7:$L$506,MATCH(ROW()-5,'Formulación PDN 2027'!$AK$7:$AK$506,0))&amp;"","")</f>
        <v/>
      </c>
      <c r="E481" s="15" t="str">
        <f>IFERROR(MATCH(INDEX('Formulación PDN 2027'!$O$7:$O$506,MATCH(ROW()-5,'Formulación PDN 2027'!$AK$7:$AK$506,0)),L_MESES,0),"")</f>
        <v/>
      </c>
      <c r="F481" s="15" t="str">
        <f>IFERROR(MATCH(INDEX('Formulación PDN 2027'!$P$7:$P$506,MATCH(ROW()-5,'Formulación PDN 2027'!$AK$7:$AK$506,0)),L_MESES,0),"")</f>
        <v/>
      </c>
      <c r="G481" s="15" t="str">
        <f>IFERROR(INDEX('Formulación PDN 2027'!$Q$7:$Q$506,MATCH(ROW()-5,'Formulación PDN 2027'!$AK$7:$AK$506,0)),"")</f>
        <v/>
      </c>
      <c r="H481" s="15" t="str">
        <f>IFERROR(INDEX('Formulación PDN 2027'!$R$7:$R$506,MATCH(ROW()-5,'Formulación PDN 2027'!$AK$7:$AK$506,0))&amp;"","")</f>
        <v/>
      </c>
      <c r="I481" s="15" t="str">
        <f>IFERROR(INDEX('Formulación PDN 2027'!$S$7:$S$506,MATCH(ROW()-5,'Formulación PDN 2027'!$AK$7:$AK$506,0))&amp;"","")</f>
        <v/>
      </c>
      <c r="J481" s="15" t="str">
        <f>IFERROR(INDEX('Formulación PDN 2027'!$T$7:$T$506,MATCH(ROW()-5,'Formulación PDN 2027'!$AK$7:$AK$506,0))&amp;"","")</f>
        <v/>
      </c>
      <c r="K481" s="43" t="str">
        <f>IFERROR(INDEX('Formulación PDN 2027'!$W$7:$W$506,MATCH(ROW()-5,'Formulación PDN 2027'!$AK$7:$AK$506,0)),"")</f>
        <v/>
      </c>
      <c r="L481" s="43" t="str">
        <f>IFERROR(INDEX('Formulación PDN 2027'!$X$7:$X$506,MATCH(ROW()-5,'Formulación PDN 2027'!$AK$7:$AK$506,0)),"")</f>
        <v/>
      </c>
      <c r="M481" s="15" t="str">
        <f>IFERROR(INDEX('Formulación PDN 2027'!$Y$7:$Y$506,MATCH(ROW()-5,'Formulación PDN 2027'!$AK$7:$AK$506,0))&amp;"","")</f>
        <v/>
      </c>
      <c r="N481" s="15" t="str">
        <f>IFERROR(INDEX('Formulación PDN 2027'!$Z$7:$Z$506,MATCH(ROW()-5,'Formulación PDN 2027'!$AK$7:$AK$506,0))&amp;"","")</f>
        <v/>
      </c>
      <c r="O481" s="15"/>
      <c r="P481" s="15" t="str">
        <f>IFERROR(INDEX('Formulación PDN 2027'!$AA$7:$AA$506,MATCH(ROW()-5,'Formulación PDN 2027'!$AK$7:$AK$506,0))&amp;"","")</f>
        <v/>
      </c>
      <c r="Q481" s="15" t="str">
        <f>IFERROR(INDEX('Formulación PDN 2027'!$AB$7:$AB$506,MATCH(ROW()-5,'Formulación PDN 2027'!$AK$7:$AK$506,0))&amp;"","")</f>
        <v/>
      </c>
      <c r="R481" s="15" t="str">
        <f>IFERROR(INDEX('Formulación PDN 2027'!$AD$7:$AD$506,MATCH(ROW()-5,'Formulación PDN 2027'!$AK$7:$AK$506,0))&amp;"","")</f>
        <v/>
      </c>
      <c r="S481" s="15" t="str">
        <f>IFERROR(INDEX('Formulación PDN 2027'!$AE$7:$AE$506,MATCH(ROW()-5,'Formulación PDN 2027'!$AK$7:$AK$506,0))&amp;"","")</f>
        <v/>
      </c>
      <c r="T481" s="15" t="str">
        <f>IFERROR(INDEX('Formulación PDN 2027'!$C$7:$C$506,MATCH(ROW()-5,'Formulación PDN 2027'!$AK$7:$AK$506,0))&amp;"","")</f>
        <v/>
      </c>
      <c r="U481" s="15" t="str">
        <f>IFERROR(INDEX('Formulación PDN 2027'!$B$7:$B$506,MATCH(ROW()-5,'Formulación PDN 2027'!$AK$7:$AK$506,0))&amp;"","")</f>
        <v/>
      </c>
      <c r="V481" s="15" t="str">
        <f>IFERROR(LEFT(INDEX('Formulación PDN 2027'!$E$7:$E$506,MATCH(ROW()-5,'Formulación PDN 2027'!$AK$7:$AK$506,0)),7),"")</f>
        <v/>
      </c>
      <c r="W481" s="15" t="str">
        <f>IFERROR(INDEX('Formulación PDN 2027'!$H$7:$H$506,MATCH(ROW()-5,'Formulación PDN 2027'!$AK$7:$AK$506,0))&amp;"","")</f>
        <v/>
      </c>
      <c r="X481" s="15" t="str">
        <f>IFERROR(INDEX('Formulación PDN 2027'!$U$7:$U$506,MATCH(ROW()-5,'Formulación PDN 2027'!$AK$7:$AK$506,0))&amp;"","")</f>
        <v/>
      </c>
      <c r="Y481" s="15" t="str">
        <f>IFERROR(INDEX('Formulación PDN 2027'!$AH$7:$AH$506,MATCH(ROW()-5,'Formulación PDN 2027'!$AK$7:$AK$506,0))&amp;"","")</f>
        <v/>
      </c>
    </row>
    <row r="482" spans="1:25" x14ac:dyDescent="0.3">
      <c r="A482" s="15" t="str">
        <f>IFERROR(INDEX('Formulación PDN 2027'!$A$7:$A$506,MATCH(ROW()-5,'Formulación PDN 2027'!$AK$7:$AK$506,0))&amp;"","")</f>
        <v/>
      </c>
      <c r="B482" s="20" t="str">
        <f>IFERROR(INDEX('Formulación PDN 2027'!$M$7:$M$506,MATCH(ROW()-5,'Formulación PDN 2027'!$AK$7:$AK$506,0)),"")</f>
        <v/>
      </c>
      <c r="C482" s="15" t="str">
        <f>IFERROR(INDEX('Formulación PDN 2027'!$N$7:$N$506,MATCH(ROW()-5,'Formulación PDN 2027'!$AK$7:$AK$506,0))&amp;"","")</f>
        <v/>
      </c>
      <c r="D482" s="15" t="str">
        <f>IFERROR(INDEX('Formulación PDN 2027'!$L$7:$L$506,MATCH(ROW()-5,'Formulación PDN 2027'!$AK$7:$AK$506,0))&amp;"","")</f>
        <v/>
      </c>
      <c r="E482" s="15" t="str">
        <f>IFERROR(MATCH(INDEX('Formulación PDN 2027'!$O$7:$O$506,MATCH(ROW()-5,'Formulación PDN 2027'!$AK$7:$AK$506,0)),L_MESES,0),"")</f>
        <v/>
      </c>
      <c r="F482" s="15" t="str">
        <f>IFERROR(MATCH(INDEX('Formulación PDN 2027'!$P$7:$P$506,MATCH(ROW()-5,'Formulación PDN 2027'!$AK$7:$AK$506,0)),L_MESES,0),"")</f>
        <v/>
      </c>
      <c r="G482" s="15" t="str">
        <f>IFERROR(INDEX('Formulación PDN 2027'!$Q$7:$Q$506,MATCH(ROW()-5,'Formulación PDN 2027'!$AK$7:$AK$506,0)),"")</f>
        <v/>
      </c>
      <c r="H482" s="15" t="str">
        <f>IFERROR(INDEX('Formulación PDN 2027'!$R$7:$R$506,MATCH(ROW()-5,'Formulación PDN 2027'!$AK$7:$AK$506,0))&amp;"","")</f>
        <v/>
      </c>
      <c r="I482" s="15" t="str">
        <f>IFERROR(INDEX('Formulación PDN 2027'!$S$7:$S$506,MATCH(ROW()-5,'Formulación PDN 2027'!$AK$7:$AK$506,0))&amp;"","")</f>
        <v/>
      </c>
      <c r="J482" s="15" t="str">
        <f>IFERROR(INDEX('Formulación PDN 2027'!$T$7:$T$506,MATCH(ROW()-5,'Formulación PDN 2027'!$AK$7:$AK$506,0))&amp;"","")</f>
        <v/>
      </c>
      <c r="K482" s="43" t="str">
        <f>IFERROR(INDEX('Formulación PDN 2027'!$W$7:$W$506,MATCH(ROW()-5,'Formulación PDN 2027'!$AK$7:$AK$506,0)),"")</f>
        <v/>
      </c>
      <c r="L482" s="43" t="str">
        <f>IFERROR(INDEX('Formulación PDN 2027'!$X$7:$X$506,MATCH(ROW()-5,'Formulación PDN 2027'!$AK$7:$AK$506,0)),"")</f>
        <v/>
      </c>
      <c r="M482" s="15" t="str">
        <f>IFERROR(INDEX('Formulación PDN 2027'!$Y$7:$Y$506,MATCH(ROW()-5,'Formulación PDN 2027'!$AK$7:$AK$506,0))&amp;"","")</f>
        <v/>
      </c>
      <c r="N482" s="15" t="str">
        <f>IFERROR(INDEX('Formulación PDN 2027'!$Z$7:$Z$506,MATCH(ROW()-5,'Formulación PDN 2027'!$AK$7:$AK$506,0))&amp;"","")</f>
        <v/>
      </c>
      <c r="O482" s="15"/>
      <c r="P482" s="15" t="str">
        <f>IFERROR(INDEX('Formulación PDN 2027'!$AA$7:$AA$506,MATCH(ROW()-5,'Formulación PDN 2027'!$AK$7:$AK$506,0))&amp;"","")</f>
        <v/>
      </c>
      <c r="Q482" s="15" t="str">
        <f>IFERROR(INDEX('Formulación PDN 2027'!$AB$7:$AB$506,MATCH(ROW()-5,'Formulación PDN 2027'!$AK$7:$AK$506,0))&amp;"","")</f>
        <v/>
      </c>
      <c r="R482" s="15" t="str">
        <f>IFERROR(INDEX('Formulación PDN 2027'!$AD$7:$AD$506,MATCH(ROW()-5,'Formulación PDN 2027'!$AK$7:$AK$506,0))&amp;"","")</f>
        <v/>
      </c>
      <c r="S482" s="15" t="str">
        <f>IFERROR(INDEX('Formulación PDN 2027'!$AE$7:$AE$506,MATCH(ROW()-5,'Formulación PDN 2027'!$AK$7:$AK$506,0))&amp;"","")</f>
        <v/>
      </c>
      <c r="T482" s="15" t="str">
        <f>IFERROR(INDEX('Formulación PDN 2027'!$C$7:$C$506,MATCH(ROW()-5,'Formulación PDN 2027'!$AK$7:$AK$506,0))&amp;"","")</f>
        <v/>
      </c>
      <c r="U482" s="15" t="str">
        <f>IFERROR(INDEX('Formulación PDN 2027'!$B$7:$B$506,MATCH(ROW()-5,'Formulación PDN 2027'!$AK$7:$AK$506,0))&amp;"","")</f>
        <v/>
      </c>
      <c r="V482" s="15" t="str">
        <f>IFERROR(LEFT(INDEX('Formulación PDN 2027'!$E$7:$E$506,MATCH(ROW()-5,'Formulación PDN 2027'!$AK$7:$AK$506,0)),7),"")</f>
        <v/>
      </c>
      <c r="W482" s="15" t="str">
        <f>IFERROR(INDEX('Formulación PDN 2027'!$H$7:$H$506,MATCH(ROW()-5,'Formulación PDN 2027'!$AK$7:$AK$506,0))&amp;"","")</f>
        <v/>
      </c>
      <c r="X482" s="15" t="str">
        <f>IFERROR(INDEX('Formulación PDN 2027'!$U$7:$U$506,MATCH(ROW()-5,'Formulación PDN 2027'!$AK$7:$AK$506,0))&amp;"","")</f>
        <v/>
      </c>
      <c r="Y482" s="15" t="str">
        <f>IFERROR(INDEX('Formulación PDN 2027'!$AH$7:$AH$506,MATCH(ROW()-5,'Formulación PDN 2027'!$AK$7:$AK$506,0))&amp;"","")</f>
        <v/>
      </c>
    </row>
    <row r="483" spans="1:25" x14ac:dyDescent="0.3">
      <c r="A483" s="15" t="str">
        <f>IFERROR(INDEX('Formulación PDN 2027'!$A$7:$A$506,MATCH(ROW()-5,'Formulación PDN 2027'!$AK$7:$AK$506,0))&amp;"","")</f>
        <v/>
      </c>
      <c r="B483" s="20" t="str">
        <f>IFERROR(INDEX('Formulación PDN 2027'!$M$7:$M$506,MATCH(ROW()-5,'Formulación PDN 2027'!$AK$7:$AK$506,0)),"")</f>
        <v/>
      </c>
      <c r="C483" s="15" t="str">
        <f>IFERROR(INDEX('Formulación PDN 2027'!$N$7:$N$506,MATCH(ROW()-5,'Formulación PDN 2027'!$AK$7:$AK$506,0))&amp;"","")</f>
        <v/>
      </c>
      <c r="D483" s="15" t="str">
        <f>IFERROR(INDEX('Formulación PDN 2027'!$L$7:$L$506,MATCH(ROW()-5,'Formulación PDN 2027'!$AK$7:$AK$506,0))&amp;"","")</f>
        <v/>
      </c>
      <c r="E483" s="15" t="str">
        <f>IFERROR(MATCH(INDEX('Formulación PDN 2027'!$O$7:$O$506,MATCH(ROW()-5,'Formulación PDN 2027'!$AK$7:$AK$506,0)),L_MESES,0),"")</f>
        <v/>
      </c>
      <c r="F483" s="15" t="str">
        <f>IFERROR(MATCH(INDEX('Formulación PDN 2027'!$P$7:$P$506,MATCH(ROW()-5,'Formulación PDN 2027'!$AK$7:$AK$506,0)),L_MESES,0),"")</f>
        <v/>
      </c>
      <c r="G483" s="15" t="str">
        <f>IFERROR(INDEX('Formulación PDN 2027'!$Q$7:$Q$506,MATCH(ROW()-5,'Formulación PDN 2027'!$AK$7:$AK$506,0)),"")</f>
        <v/>
      </c>
      <c r="H483" s="15" t="str">
        <f>IFERROR(INDEX('Formulación PDN 2027'!$R$7:$R$506,MATCH(ROW()-5,'Formulación PDN 2027'!$AK$7:$AK$506,0))&amp;"","")</f>
        <v/>
      </c>
      <c r="I483" s="15" t="str">
        <f>IFERROR(INDEX('Formulación PDN 2027'!$S$7:$S$506,MATCH(ROW()-5,'Formulación PDN 2027'!$AK$7:$AK$506,0))&amp;"","")</f>
        <v/>
      </c>
      <c r="J483" s="15" t="str">
        <f>IFERROR(INDEX('Formulación PDN 2027'!$T$7:$T$506,MATCH(ROW()-5,'Formulación PDN 2027'!$AK$7:$AK$506,0))&amp;"","")</f>
        <v/>
      </c>
      <c r="K483" s="43" t="str">
        <f>IFERROR(INDEX('Formulación PDN 2027'!$W$7:$W$506,MATCH(ROW()-5,'Formulación PDN 2027'!$AK$7:$AK$506,0)),"")</f>
        <v/>
      </c>
      <c r="L483" s="43" t="str">
        <f>IFERROR(INDEX('Formulación PDN 2027'!$X$7:$X$506,MATCH(ROW()-5,'Formulación PDN 2027'!$AK$7:$AK$506,0)),"")</f>
        <v/>
      </c>
      <c r="M483" s="15" t="str">
        <f>IFERROR(INDEX('Formulación PDN 2027'!$Y$7:$Y$506,MATCH(ROW()-5,'Formulación PDN 2027'!$AK$7:$AK$506,0))&amp;"","")</f>
        <v/>
      </c>
      <c r="N483" s="15" t="str">
        <f>IFERROR(INDEX('Formulación PDN 2027'!$Z$7:$Z$506,MATCH(ROW()-5,'Formulación PDN 2027'!$AK$7:$AK$506,0))&amp;"","")</f>
        <v/>
      </c>
      <c r="O483" s="15"/>
      <c r="P483" s="15" t="str">
        <f>IFERROR(INDEX('Formulación PDN 2027'!$AA$7:$AA$506,MATCH(ROW()-5,'Formulación PDN 2027'!$AK$7:$AK$506,0))&amp;"","")</f>
        <v/>
      </c>
      <c r="Q483" s="15" t="str">
        <f>IFERROR(INDEX('Formulación PDN 2027'!$AB$7:$AB$506,MATCH(ROW()-5,'Formulación PDN 2027'!$AK$7:$AK$506,0))&amp;"","")</f>
        <v/>
      </c>
      <c r="R483" s="15" t="str">
        <f>IFERROR(INDEX('Formulación PDN 2027'!$AD$7:$AD$506,MATCH(ROW()-5,'Formulación PDN 2027'!$AK$7:$AK$506,0))&amp;"","")</f>
        <v/>
      </c>
      <c r="S483" s="15" t="str">
        <f>IFERROR(INDEX('Formulación PDN 2027'!$AE$7:$AE$506,MATCH(ROW()-5,'Formulación PDN 2027'!$AK$7:$AK$506,0))&amp;"","")</f>
        <v/>
      </c>
      <c r="T483" s="15" t="str">
        <f>IFERROR(INDEX('Formulación PDN 2027'!$C$7:$C$506,MATCH(ROW()-5,'Formulación PDN 2027'!$AK$7:$AK$506,0))&amp;"","")</f>
        <v/>
      </c>
      <c r="U483" s="15" t="str">
        <f>IFERROR(INDEX('Formulación PDN 2027'!$B$7:$B$506,MATCH(ROW()-5,'Formulación PDN 2027'!$AK$7:$AK$506,0))&amp;"","")</f>
        <v/>
      </c>
      <c r="V483" s="15" t="str">
        <f>IFERROR(LEFT(INDEX('Formulación PDN 2027'!$E$7:$E$506,MATCH(ROW()-5,'Formulación PDN 2027'!$AK$7:$AK$506,0)),7),"")</f>
        <v/>
      </c>
      <c r="W483" s="15" t="str">
        <f>IFERROR(INDEX('Formulación PDN 2027'!$H$7:$H$506,MATCH(ROW()-5,'Formulación PDN 2027'!$AK$7:$AK$506,0))&amp;"","")</f>
        <v/>
      </c>
      <c r="X483" s="15" t="str">
        <f>IFERROR(INDEX('Formulación PDN 2027'!$U$7:$U$506,MATCH(ROW()-5,'Formulación PDN 2027'!$AK$7:$AK$506,0))&amp;"","")</f>
        <v/>
      </c>
      <c r="Y483" s="15" t="str">
        <f>IFERROR(INDEX('Formulación PDN 2027'!$AH$7:$AH$506,MATCH(ROW()-5,'Formulación PDN 2027'!$AK$7:$AK$506,0))&amp;"","")</f>
        <v/>
      </c>
    </row>
    <row r="484" spans="1:25" x14ac:dyDescent="0.3">
      <c r="A484" s="15" t="str">
        <f>IFERROR(INDEX('Formulación PDN 2027'!$A$7:$A$506,MATCH(ROW()-5,'Formulación PDN 2027'!$AK$7:$AK$506,0))&amp;"","")</f>
        <v/>
      </c>
      <c r="B484" s="20" t="str">
        <f>IFERROR(INDEX('Formulación PDN 2027'!$M$7:$M$506,MATCH(ROW()-5,'Formulación PDN 2027'!$AK$7:$AK$506,0)),"")</f>
        <v/>
      </c>
      <c r="C484" s="15" t="str">
        <f>IFERROR(INDEX('Formulación PDN 2027'!$N$7:$N$506,MATCH(ROW()-5,'Formulación PDN 2027'!$AK$7:$AK$506,0))&amp;"","")</f>
        <v/>
      </c>
      <c r="D484" s="15" t="str">
        <f>IFERROR(INDEX('Formulación PDN 2027'!$L$7:$L$506,MATCH(ROW()-5,'Formulación PDN 2027'!$AK$7:$AK$506,0))&amp;"","")</f>
        <v/>
      </c>
      <c r="E484" s="15" t="str">
        <f>IFERROR(MATCH(INDEX('Formulación PDN 2027'!$O$7:$O$506,MATCH(ROW()-5,'Formulación PDN 2027'!$AK$7:$AK$506,0)),L_MESES,0),"")</f>
        <v/>
      </c>
      <c r="F484" s="15" t="str">
        <f>IFERROR(MATCH(INDEX('Formulación PDN 2027'!$P$7:$P$506,MATCH(ROW()-5,'Formulación PDN 2027'!$AK$7:$AK$506,0)),L_MESES,0),"")</f>
        <v/>
      </c>
      <c r="G484" s="15" t="str">
        <f>IFERROR(INDEX('Formulación PDN 2027'!$Q$7:$Q$506,MATCH(ROW()-5,'Formulación PDN 2027'!$AK$7:$AK$506,0)),"")</f>
        <v/>
      </c>
      <c r="H484" s="15" t="str">
        <f>IFERROR(INDEX('Formulación PDN 2027'!$R$7:$R$506,MATCH(ROW()-5,'Formulación PDN 2027'!$AK$7:$AK$506,0))&amp;"","")</f>
        <v/>
      </c>
      <c r="I484" s="15" t="str">
        <f>IFERROR(INDEX('Formulación PDN 2027'!$S$7:$S$506,MATCH(ROW()-5,'Formulación PDN 2027'!$AK$7:$AK$506,0))&amp;"","")</f>
        <v/>
      </c>
      <c r="J484" s="15" t="str">
        <f>IFERROR(INDEX('Formulación PDN 2027'!$T$7:$T$506,MATCH(ROW()-5,'Formulación PDN 2027'!$AK$7:$AK$506,0))&amp;"","")</f>
        <v/>
      </c>
      <c r="K484" s="43" t="str">
        <f>IFERROR(INDEX('Formulación PDN 2027'!$W$7:$W$506,MATCH(ROW()-5,'Formulación PDN 2027'!$AK$7:$AK$506,0)),"")</f>
        <v/>
      </c>
      <c r="L484" s="43" t="str">
        <f>IFERROR(INDEX('Formulación PDN 2027'!$X$7:$X$506,MATCH(ROW()-5,'Formulación PDN 2027'!$AK$7:$AK$506,0)),"")</f>
        <v/>
      </c>
      <c r="M484" s="15" t="str">
        <f>IFERROR(INDEX('Formulación PDN 2027'!$Y$7:$Y$506,MATCH(ROW()-5,'Formulación PDN 2027'!$AK$7:$AK$506,0))&amp;"","")</f>
        <v/>
      </c>
      <c r="N484" s="15" t="str">
        <f>IFERROR(INDEX('Formulación PDN 2027'!$Z$7:$Z$506,MATCH(ROW()-5,'Formulación PDN 2027'!$AK$7:$AK$506,0))&amp;"","")</f>
        <v/>
      </c>
      <c r="O484" s="15"/>
      <c r="P484" s="15" t="str">
        <f>IFERROR(INDEX('Formulación PDN 2027'!$AA$7:$AA$506,MATCH(ROW()-5,'Formulación PDN 2027'!$AK$7:$AK$506,0))&amp;"","")</f>
        <v/>
      </c>
      <c r="Q484" s="15" t="str">
        <f>IFERROR(INDEX('Formulación PDN 2027'!$AB$7:$AB$506,MATCH(ROW()-5,'Formulación PDN 2027'!$AK$7:$AK$506,0))&amp;"","")</f>
        <v/>
      </c>
      <c r="R484" s="15" t="str">
        <f>IFERROR(INDEX('Formulación PDN 2027'!$AD$7:$AD$506,MATCH(ROW()-5,'Formulación PDN 2027'!$AK$7:$AK$506,0))&amp;"","")</f>
        <v/>
      </c>
      <c r="S484" s="15" t="str">
        <f>IFERROR(INDEX('Formulación PDN 2027'!$AE$7:$AE$506,MATCH(ROW()-5,'Formulación PDN 2027'!$AK$7:$AK$506,0))&amp;"","")</f>
        <v/>
      </c>
      <c r="T484" s="15" t="str">
        <f>IFERROR(INDEX('Formulación PDN 2027'!$C$7:$C$506,MATCH(ROW()-5,'Formulación PDN 2027'!$AK$7:$AK$506,0))&amp;"","")</f>
        <v/>
      </c>
      <c r="U484" s="15" t="str">
        <f>IFERROR(INDEX('Formulación PDN 2027'!$B$7:$B$506,MATCH(ROW()-5,'Formulación PDN 2027'!$AK$7:$AK$506,0))&amp;"","")</f>
        <v/>
      </c>
      <c r="V484" s="15" t="str">
        <f>IFERROR(LEFT(INDEX('Formulación PDN 2027'!$E$7:$E$506,MATCH(ROW()-5,'Formulación PDN 2027'!$AK$7:$AK$506,0)),7),"")</f>
        <v/>
      </c>
      <c r="W484" s="15" t="str">
        <f>IFERROR(INDEX('Formulación PDN 2027'!$H$7:$H$506,MATCH(ROW()-5,'Formulación PDN 2027'!$AK$7:$AK$506,0))&amp;"","")</f>
        <v/>
      </c>
      <c r="X484" s="15" t="str">
        <f>IFERROR(INDEX('Formulación PDN 2027'!$U$7:$U$506,MATCH(ROW()-5,'Formulación PDN 2027'!$AK$7:$AK$506,0))&amp;"","")</f>
        <v/>
      </c>
      <c r="Y484" s="15" t="str">
        <f>IFERROR(INDEX('Formulación PDN 2027'!$AH$7:$AH$506,MATCH(ROW()-5,'Formulación PDN 2027'!$AK$7:$AK$506,0))&amp;"","")</f>
        <v/>
      </c>
    </row>
    <row r="485" spans="1:25" x14ac:dyDescent="0.3">
      <c r="A485" s="15" t="str">
        <f>IFERROR(INDEX('Formulación PDN 2027'!$A$7:$A$506,MATCH(ROW()-5,'Formulación PDN 2027'!$AK$7:$AK$506,0))&amp;"","")</f>
        <v/>
      </c>
      <c r="B485" s="20" t="str">
        <f>IFERROR(INDEX('Formulación PDN 2027'!$M$7:$M$506,MATCH(ROW()-5,'Formulación PDN 2027'!$AK$7:$AK$506,0)),"")</f>
        <v/>
      </c>
      <c r="C485" s="15" t="str">
        <f>IFERROR(INDEX('Formulación PDN 2027'!$N$7:$N$506,MATCH(ROW()-5,'Formulación PDN 2027'!$AK$7:$AK$506,0))&amp;"","")</f>
        <v/>
      </c>
      <c r="D485" s="15" t="str">
        <f>IFERROR(INDEX('Formulación PDN 2027'!$L$7:$L$506,MATCH(ROW()-5,'Formulación PDN 2027'!$AK$7:$AK$506,0))&amp;"","")</f>
        <v/>
      </c>
      <c r="E485" s="15" t="str">
        <f>IFERROR(MATCH(INDEX('Formulación PDN 2027'!$O$7:$O$506,MATCH(ROW()-5,'Formulación PDN 2027'!$AK$7:$AK$506,0)),L_MESES,0),"")</f>
        <v/>
      </c>
      <c r="F485" s="15" t="str">
        <f>IFERROR(MATCH(INDEX('Formulación PDN 2027'!$P$7:$P$506,MATCH(ROW()-5,'Formulación PDN 2027'!$AK$7:$AK$506,0)),L_MESES,0),"")</f>
        <v/>
      </c>
      <c r="G485" s="15" t="str">
        <f>IFERROR(INDEX('Formulación PDN 2027'!$Q$7:$Q$506,MATCH(ROW()-5,'Formulación PDN 2027'!$AK$7:$AK$506,0)),"")</f>
        <v/>
      </c>
      <c r="H485" s="15" t="str">
        <f>IFERROR(INDEX('Formulación PDN 2027'!$R$7:$R$506,MATCH(ROW()-5,'Formulación PDN 2027'!$AK$7:$AK$506,0))&amp;"","")</f>
        <v/>
      </c>
      <c r="I485" s="15" t="str">
        <f>IFERROR(INDEX('Formulación PDN 2027'!$S$7:$S$506,MATCH(ROW()-5,'Formulación PDN 2027'!$AK$7:$AK$506,0))&amp;"","")</f>
        <v/>
      </c>
      <c r="J485" s="15" t="str">
        <f>IFERROR(INDEX('Formulación PDN 2027'!$T$7:$T$506,MATCH(ROW()-5,'Formulación PDN 2027'!$AK$7:$AK$506,0))&amp;"","")</f>
        <v/>
      </c>
      <c r="K485" s="43" t="str">
        <f>IFERROR(INDEX('Formulación PDN 2027'!$W$7:$W$506,MATCH(ROW()-5,'Formulación PDN 2027'!$AK$7:$AK$506,0)),"")</f>
        <v/>
      </c>
      <c r="L485" s="43" t="str">
        <f>IFERROR(INDEX('Formulación PDN 2027'!$X$7:$X$506,MATCH(ROW()-5,'Formulación PDN 2027'!$AK$7:$AK$506,0)),"")</f>
        <v/>
      </c>
      <c r="M485" s="15" t="str">
        <f>IFERROR(INDEX('Formulación PDN 2027'!$Y$7:$Y$506,MATCH(ROW()-5,'Formulación PDN 2027'!$AK$7:$AK$506,0))&amp;"","")</f>
        <v/>
      </c>
      <c r="N485" s="15" t="str">
        <f>IFERROR(INDEX('Formulación PDN 2027'!$Z$7:$Z$506,MATCH(ROW()-5,'Formulación PDN 2027'!$AK$7:$AK$506,0))&amp;"","")</f>
        <v/>
      </c>
      <c r="O485" s="15"/>
      <c r="P485" s="15" t="str">
        <f>IFERROR(INDEX('Formulación PDN 2027'!$AA$7:$AA$506,MATCH(ROW()-5,'Formulación PDN 2027'!$AK$7:$AK$506,0))&amp;"","")</f>
        <v/>
      </c>
      <c r="Q485" s="15" t="str">
        <f>IFERROR(INDEX('Formulación PDN 2027'!$AB$7:$AB$506,MATCH(ROW()-5,'Formulación PDN 2027'!$AK$7:$AK$506,0))&amp;"","")</f>
        <v/>
      </c>
      <c r="R485" s="15" t="str">
        <f>IFERROR(INDEX('Formulación PDN 2027'!$AD$7:$AD$506,MATCH(ROW()-5,'Formulación PDN 2027'!$AK$7:$AK$506,0))&amp;"","")</f>
        <v/>
      </c>
      <c r="S485" s="15" t="str">
        <f>IFERROR(INDEX('Formulación PDN 2027'!$AE$7:$AE$506,MATCH(ROW()-5,'Formulación PDN 2027'!$AK$7:$AK$506,0))&amp;"","")</f>
        <v/>
      </c>
      <c r="T485" s="15" t="str">
        <f>IFERROR(INDEX('Formulación PDN 2027'!$C$7:$C$506,MATCH(ROW()-5,'Formulación PDN 2027'!$AK$7:$AK$506,0))&amp;"","")</f>
        <v/>
      </c>
      <c r="U485" s="15" t="str">
        <f>IFERROR(INDEX('Formulación PDN 2027'!$B$7:$B$506,MATCH(ROW()-5,'Formulación PDN 2027'!$AK$7:$AK$506,0))&amp;"","")</f>
        <v/>
      </c>
      <c r="V485" s="15" t="str">
        <f>IFERROR(LEFT(INDEX('Formulación PDN 2027'!$E$7:$E$506,MATCH(ROW()-5,'Formulación PDN 2027'!$AK$7:$AK$506,0)),7),"")</f>
        <v/>
      </c>
      <c r="W485" s="15" t="str">
        <f>IFERROR(INDEX('Formulación PDN 2027'!$H$7:$H$506,MATCH(ROW()-5,'Formulación PDN 2027'!$AK$7:$AK$506,0))&amp;"","")</f>
        <v/>
      </c>
      <c r="X485" s="15" t="str">
        <f>IFERROR(INDEX('Formulación PDN 2027'!$U$7:$U$506,MATCH(ROW()-5,'Formulación PDN 2027'!$AK$7:$AK$506,0))&amp;"","")</f>
        <v/>
      </c>
      <c r="Y485" s="15" t="str">
        <f>IFERROR(INDEX('Formulación PDN 2027'!$AH$7:$AH$506,MATCH(ROW()-5,'Formulación PDN 2027'!$AK$7:$AK$506,0))&amp;"","")</f>
        <v/>
      </c>
    </row>
    <row r="486" spans="1:25" x14ac:dyDescent="0.3">
      <c r="A486" s="15" t="str">
        <f>IFERROR(INDEX('Formulación PDN 2027'!$A$7:$A$506,MATCH(ROW()-5,'Formulación PDN 2027'!$AK$7:$AK$506,0))&amp;"","")</f>
        <v/>
      </c>
      <c r="B486" s="20" t="str">
        <f>IFERROR(INDEX('Formulación PDN 2027'!$M$7:$M$506,MATCH(ROW()-5,'Formulación PDN 2027'!$AK$7:$AK$506,0)),"")</f>
        <v/>
      </c>
      <c r="C486" s="15" t="str">
        <f>IFERROR(INDEX('Formulación PDN 2027'!$N$7:$N$506,MATCH(ROW()-5,'Formulación PDN 2027'!$AK$7:$AK$506,0))&amp;"","")</f>
        <v/>
      </c>
      <c r="D486" s="15" t="str">
        <f>IFERROR(INDEX('Formulación PDN 2027'!$L$7:$L$506,MATCH(ROW()-5,'Formulación PDN 2027'!$AK$7:$AK$506,0))&amp;"","")</f>
        <v/>
      </c>
      <c r="E486" s="15" t="str">
        <f>IFERROR(MATCH(INDEX('Formulación PDN 2027'!$O$7:$O$506,MATCH(ROW()-5,'Formulación PDN 2027'!$AK$7:$AK$506,0)),L_MESES,0),"")</f>
        <v/>
      </c>
      <c r="F486" s="15" t="str">
        <f>IFERROR(MATCH(INDEX('Formulación PDN 2027'!$P$7:$P$506,MATCH(ROW()-5,'Formulación PDN 2027'!$AK$7:$AK$506,0)),L_MESES,0),"")</f>
        <v/>
      </c>
      <c r="G486" s="15" t="str">
        <f>IFERROR(INDEX('Formulación PDN 2027'!$Q$7:$Q$506,MATCH(ROW()-5,'Formulación PDN 2027'!$AK$7:$AK$506,0)),"")</f>
        <v/>
      </c>
      <c r="H486" s="15" t="str">
        <f>IFERROR(INDEX('Formulación PDN 2027'!$R$7:$R$506,MATCH(ROW()-5,'Formulación PDN 2027'!$AK$7:$AK$506,0))&amp;"","")</f>
        <v/>
      </c>
      <c r="I486" s="15" t="str">
        <f>IFERROR(INDEX('Formulación PDN 2027'!$S$7:$S$506,MATCH(ROW()-5,'Formulación PDN 2027'!$AK$7:$AK$506,0))&amp;"","")</f>
        <v/>
      </c>
      <c r="J486" s="15" t="str">
        <f>IFERROR(INDEX('Formulación PDN 2027'!$T$7:$T$506,MATCH(ROW()-5,'Formulación PDN 2027'!$AK$7:$AK$506,0))&amp;"","")</f>
        <v/>
      </c>
      <c r="K486" s="43" t="str">
        <f>IFERROR(INDEX('Formulación PDN 2027'!$W$7:$W$506,MATCH(ROW()-5,'Formulación PDN 2027'!$AK$7:$AK$506,0)),"")</f>
        <v/>
      </c>
      <c r="L486" s="43" t="str">
        <f>IFERROR(INDEX('Formulación PDN 2027'!$X$7:$X$506,MATCH(ROW()-5,'Formulación PDN 2027'!$AK$7:$AK$506,0)),"")</f>
        <v/>
      </c>
      <c r="M486" s="15" t="str">
        <f>IFERROR(INDEX('Formulación PDN 2027'!$Y$7:$Y$506,MATCH(ROW()-5,'Formulación PDN 2027'!$AK$7:$AK$506,0))&amp;"","")</f>
        <v/>
      </c>
      <c r="N486" s="15" t="str">
        <f>IFERROR(INDEX('Formulación PDN 2027'!$Z$7:$Z$506,MATCH(ROW()-5,'Formulación PDN 2027'!$AK$7:$AK$506,0))&amp;"","")</f>
        <v/>
      </c>
      <c r="O486" s="15"/>
      <c r="P486" s="15" t="str">
        <f>IFERROR(INDEX('Formulación PDN 2027'!$AA$7:$AA$506,MATCH(ROW()-5,'Formulación PDN 2027'!$AK$7:$AK$506,0))&amp;"","")</f>
        <v/>
      </c>
      <c r="Q486" s="15" t="str">
        <f>IFERROR(INDEX('Formulación PDN 2027'!$AB$7:$AB$506,MATCH(ROW()-5,'Formulación PDN 2027'!$AK$7:$AK$506,0))&amp;"","")</f>
        <v/>
      </c>
      <c r="R486" s="15" t="str">
        <f>IFERROR(INDEX('Formulación PDN 2027'!$AD$7:$AD$506,MATCH(ROW()-5,'Formulación PDN 2027'!$AK$7:$AK$506,0))&amp;"","")</f>
        <v/>
      </c>
      <c r="S486" s="15" t="str">
        <f>IFERROR(INDEX('Formulación PDN 2027'!$AE$7:$AE$506,MATCH(ROW()-5,'Formulación PDN 2027'!$AK$7:$AK$506,0))&amp;"","")</f>
        <v/>
      </c>
      <c r="T486" s="15" t="str">
        <f>IFERROR(INDEX('Formulación PDN 2027'!$C$7:$C$506,MATCH(ROW()-5,'Formulación PDN 2027'!$AK$7:$AK$506,0))&amp;"","")</f>
        <v/>
      </c>
      <c r="U486" s="15" t="str">
        <f>IFERROR(INDEX('Formulación PDN 2027'!$B$7:$B$506,MATCH(ROW()-5,'Formulación PDN 2027'!$AK$7:$AK$506,0))&amp;"","")</f>
        <v/>
      </c>
      <c r="V486" s="15" t="str">
        <f>IFERROR(LEFT(INDEX('Formulación PDN 2027'!$E$7:$E$506,MATCH(ROW()-5,'Formulación PDN 2027'!$AK$7:$AK$506,0)),7),"")</f>
        <v/>
      </c>
      <c r="W486" s="15" t="str">
        <f>IFERROR(INDEX('Formulación PDN 2027'!$H$7:$H$506,MATCH(ROW()-5,'Formulación PDN 2027'!$AK$7:$AK$506,0))&amp;"","")</f>
        <v/>
      </c>
      <c r="X486" s="15" t="str">
        <f>IFERROR(INDEX('Formulación PDN 2027'!$U$7:$U$506,MATCH(ROW()-5,'Formulación PDN 2027'!$AK$7:$AK$506,0))&amp;"","")</f>
        <v/>
      </c>
      <c r="Y486" s="15" t="str">
        <f>IFERROR(INDEX('Formulación PDN 2027'!$AH$7:$AH$506,MATCH(ROW()-5,'Formulación PDN 2027'!$AK$7:$AK$506,0))&amp;"","")</f>
        <v/>
      </c>
    </row>
    <row r="487" spans="1:25" x14ac:dyDescent="0.3">
      <c r="A487" s="15" t="str">
        <f>IFERROR(INDEX('Formulación PDN 2027'!$A$7:$A$506,MATCH(ROW()-5,'Formulación PDN 2027'!$AK$7:$AK$506,0))&amp;"","")</f>
        <v/>
      </c>
      <c r="B487" s="20" t="str">
        <f>IFERROR(INDEX('Formulación PDN 2027'!$M$7:$M$506,MATCH(ROW()-5,'Formulación PDN 2027'!$AK$7:$AK$506,0)),"")</f>
        <v/>
      </c>
      <c r="C487" s="15" t="str">
        <f>IFERROR(INDEX('Formulación PDN 2027'!$N$7:$N$506,MATCH(ROW()-5,'Formulación PDN 2027'!$AK$7:$AK$506,0))&amp;"","")</f>
        <v/>
      </c>
      <c r="D487" s="15" t="str">
        <f>IFERROR(INDEX('Formulación PDN 2027'!$L$7:$L$506,MATCH(ROW()-5,'Formulación PDN 2027'!$AK$7:$AK$506,0))&amp;"","")</f>
        <v/>
      </c>
      <c r="E487" s="15" t="str">
        <f>IFERROR(MATCH(INDEX('Formulación PDN 2027'!$O$7:$O$506,MATCH(ROW()-5,'Formulación PDN 2027'!$AK$7:$AK$506,0)),L_MESES,0),"")</f>
        <v/>
      </c>
      <c r="F487" s="15" t="str">
        <f>IFERROR(MATCH(INDEX('Formulación PDN 2027'!$P$7:$P$506,MATCH(ROW()-5,'Formulación PDN 2027'!$AK$7:$AK$506,0)),L_MESES,0),"")</f>
        <v/>
      </c>
      <c r="G487" s="15" t="str">
        <f>IFERROR(INDEX('Formulación PDN 2027'!$Q$7:$Q$506,MATCH(ROW()-5,'Formulación PDN 2027'!$AK$7:$AK$506,0)),"")</f>
        <v/>
      </c>
      <c r="H487" s="15" t="str">
        <f>IFERROR(INDEX('Formulación PDN 2027'!$R$7:$R$506,MATCH(ROW()-5,'Formulación PDN 2027'!$AK$7:$AK$506,0))&amp;"","")</f>
        <v/>
      </c>
      <c r="I487" s="15" t="str">
        <f>IFERROR(INDEX('Formulación PDN 2027'!$S$7:$S$506,MATCH(ROW()-5,'Formulación PDN 2027'!$AK$7:$AK$506,0))&amp;"","")</f>
        <v/>
      </c>
      <c r="J487" s="15" t="str">
        <f>IFERROR(INDEX('Formulación PDN 2027'!$T$7:$T$506,MATCH(ROW()-5,'Formulación PDN 2027'!$AK$7:$AK$506,0))&amp;"","")</f>
        <v/>
      </c>
      <c r="K487" s="43" t="str">
        <f>IFERROR(INDEX('Formulación PDN 2027'!$W$7:$W$506,MATCH(ROW()-5,'Formulación PDN 2027'!$AK$7:$AK$506,0)),"")</f>
        <v/>
      </c>
      <c r="L487" s="43" t="str">
        <f>IFERROR(INDEX('Formulación PDN 2027'!$X$7:$X$506,MATCH(ROW()-5,'Formulación PDN 2027'!$AK$7:$AK$506,0)),"")</f>
        <v/>
      </c>
      <c r="M487" s="15" t="str">
        <f>IFERROR(INDEX('Formulación PDN 2027'!$Y$7:$Y$506,MATCH(ROW()-5,'Formulación PDN 2027'!$AK$7:$AK$506,0))&amp;"","")</f>
        <v/>
      </c>
      <c r="N487" s="15" t="str">
        <f>IFERROR(INDEX('Formulación PDN 2027'!$Z$7:$Z$506,MATCH(ROW()-5,'Formulación PDN 2027'!$AK$7:$AK$506,0))&amp;"","")</f>
        <v/>
      </c>
      <c r="O487" s="15"/>
      <c r="P487" s="15" t="str">
        <f>IFERROR(INDEX('Formulación PDN 2027'!$AA$7:$AA$506,MATCH(ROW()-5,'Formulación PDN 2027'!$AK$7:$AK$506,0))&amp;"","")</f>
        <v/>
      </c>
      <c r="Q487" s="15" t="str">
        <f>IFERROR(INDEX('Formulación PDN 2027'!$AB$7:$AB$506,MATCH(ROW()-5,'Formulación PDN 2027'!$AK$7:$AK$506,0))&amp;"","")</f>
        <v/>
      </c>
      <c r="R487" s="15" t="str">
        <f>IFERROR(INDEX('Formulación PDN 2027'!$AD$7:$AD$506,MATCH(ROW()-5,'Formulación PDN 2027'!$AK$7:$AK$506,0))&amp;"","")</f>
        <v/>
      </c>
      <c r="S487" s="15" t="str">
        <f>IFERROR(INDEX('Formulación PDN 2027'!$AE$7:$AE$506,MATCH(ROW()-5,'Formulación PDN 2027'!$AK$7:$AK$506,0))&amp;"","")</f>
        <v/>
      </c>
      <c r="T487" s="15" t="str">
        <f>IFERROR(INDEX('Formulación PDN 2027'!$C$7:$C$506,MATCH(ROW()-5,'Formulación PDN 2027'!$AK$7:$AK$506,0))&amp;"","")</f>
        <v/>
      </c>
      <c r="U487" s="15" t="str">
        <f>IFERROR(INDEX('Formulación PDN 2027'!$B$7:$B$506,MATCH(ROW()-5,'Formulación PDN 2027'!$AK$7:$AK$506,0))&amp;"","")</f>
        <v/>
      </c>
      <c r="V487" s="15" t="str">
        <f>IFERROR(LEFT(INDEX('Formulación PDN 2027'!$E$7:$E$506,MATCH(ROW()-5,'Formulación PDN 2027'!$AK$7:$AK$506,0)),7),"")</f>
        <v/>
      </c>
      <c r="W487" s="15" t="str">
        <f>IFERROR(INDEX('Formulación PDN 2027'!$H$7:$H$506,MATCH(ROW()-5,'Formulación PDN 2027'!$AK$7:$AK$506,0))&amp;"","")</f>
        <v/>
      </c>
      <c r="X487" s="15" t="str">
        <f>IFERROR(INDEX('Formulación PDN 2027'!$U$7:$U$506,MATCH(ROW()-5,'Formulación PDN 2027'!$AK$7:$AK$506,0))&amp;"","")</f>
        <v/>
      </c>
      <c r="Y487" s="15" t="str">
        <f>IFERROR(INDEX('Formulación PDN 2027'!$AH$7:$AH$506,MATCH(ROW()-5,'Formulación PDN 2027'!$AK$7:$AK$506,0))&amp;"","")</f>
        <v/>
      </c>
    </row>
    <row r="488" spans="1:25" x14ac:dyDescent="0.3">
      <c r="A488" s="15" t="str">
        <f>IFERROR(INDEX('Formulación PDN 2027'!$A$7:$A$506,MATCH(ROW()-5,'Formulación PDN 2027'!$AK$7:$AK$506,0))&amp;"","")</f>
        <v/>
      </c>
      <c r="B488" s="20" t="str">
        <f>IFERROR(INDEX('Formulación PDN 2027'!$M$7:$M$506,MATCH(ROW()-5,'Formulación PDN 2027'!$AK$7:$AK$506,0)),"")</f>
        <v/>
      </c>
      <c r="C488" s="15" t="str">
        <f>IFERROR(INDEX('Formulación PDN 2027'!$N$7:$N$506,MATCH(ROW()-5,'Formulación PDN 2027'!$AK$7:$AK$506,0))&amp;"","")</f>
        <v/>
      </c>
      <c r="D488" s="15" t="str">
        <f>IFERROR(INDEX('Formulación PDN 2027'!$L$7:$L$506,MATCH(ROW()-5,'Formulación PDN 2027'!$AK$7:$AK$506,0))&amp;"","")</f>
        <v/>
      </c>
      <c r="E488" s="15" t="str">
        <f>IFERROR(MATCH(INDEX('Formulación PDN 2027'!$O$7:$O$506,MATCH(ROW()-5,'Formulación PDN 2027'!$AK$7:$AK$506,0)),L_MESES,0),"")</f>
        <v/>
      </c>
      <c r="F488" s="15" t="str">
        <f>IFERROR(MATCH(INDEX('Formulación PDN 2027'!$P$7:$P$506,MATCH(ROW()-5,'Formulación PDN 2027'!$AK$7:$AK$506,0)),L_MESES,0),"")</f>
        <v/>
      </c>
      <c r="G488" s="15" t="str">
        <f>IFERROR(INDEX('Formulación PDN 2027'!$Q$7:$Q$506,MATCH(ROW()-5,'Formulación PDN 2027'!$AK$7:$AK$506,0)),"")</f>
        <v/>
      </c>
      <c r="H488" s="15" t="str">
        <f>IFERROR(INDEX('Formulación PDN 2027'!$R$7:$R$506,MATCH(ROW()-5,'Formulación PDN 2027'!$AK$7:$AK$506,0))&amp;"","")</f>
        <v/>
      </c>
      <c r="I488" s="15" t="str">
        <f>IFERROR(INDEX('Formulación PDN 2027'!$S$7:$S$506,MATCH(ROW()-5,'Formulación PDN 2027'!$AK$7:$AK$506,0))&amp;"","")</f>
        <v/>
      </c>
      <c r="J488" s="15" t="str">
        <f>IFERROR(INDEX('Formulación PDN 2027'!$T$7:$T$506,MATCH(ROW()-5,'Formulación PDN 2027'!$AK$7:$AK$506,0))&amp;"","")</f>
        <v/>
      </c>
      <c r="K488" s="43" t="str">
        <f>IFERROR(INDEX('Formulación PDN 2027'!$W$7:$W$506,MATCH(ROW()-5,'Formulación PDN 2027'!$AK$7:$AK$506,0)),"")</f>
        <v/>
      </c>
      <c r="L488" s="43" t="str">
        <f>IFERROR(INDEX('Formulación PDN 2027'!$X$7:$X$506,MATCH(ROW()-5,'Formulación PDN 2027'!$AK$7:$AK$506,0)),"")</f>
        <v/>
      </c>
      <c r="M488" s="15" t="str">
        <f>IFERROR(INDEX('Formulación PDN 2027'!$Y$7:$Y$506,MATCH(ROW()-5,'Formulación PDN 2027'!$AK$7:$AK$506,0))&amp;"","")</f>
        <v/>
      </c>
      <c r="N488" s="15" t="str">
        <f>IFERROR(INDEX('Formulación PDN 2027'!$Z$7:$Z$506,MATCH(ROW()-5,'Formulación PDN 2027'!$AK$7:$AK$506,0))&amp;"","")</f>
        <v/>
      </c>
      <c r="O488" s="15"/>
      <c r="P488" s="15" t="str">
        <f>IFERROR(INDEX('Formulación PDN 2027'!$AA$7:$AA$506,MATCH(ROW()-5,'Formulación PDN 2027'!$AK$7:$AK$506,0))&amp;"","")</f>
        <v/>
      </c>
      <c r="Q488" s="15" t="str">
        <f>IFERROR(INDEX('Formulación PDN 2027'!$AB$7:$AB$506,MATCH(ROW()-5,'Formulación PDN 2027'!$AK$7:$AK$506,0))&amp;"","")</f>
        <v/>
      </c>
      <c r="R488" s="15" t="str">
        <f>IFERROR(INDEX('Formulación PDN 2027'!$AD$7:$AD$506,MATCH(ROW()-5,'Formulación PDN 2027'!$AK$7:$AK$506,0))&amp;"","")</f>
        <v/>
      </c>
      <c r="S488" s="15" t="str">
        <f>IFERROR(INDEX('Formulación PDN 2027'!$AE$7:$AE$506,MATCH(ROW()-5,'Formulación PDN 2027'!$AK$7:$AK$506,0))&amp;"","")</f>
        <v/>
      </c>
      <c r="T488" s="15" t="str">
        <f>IFERROR(INDEX('Formulación PDN 2027'!$C$7:$C$506,MATCH(ROW()-5,'Formulación PDN 2027'!$AK$7:$AK$506,0))&amp;"","")</f>
        <v/>
      </c>
      <c r="U488" s="15" t="str">
        <f>IFERROR(INDEX('Formulación PDN 2027'!$B$7:$B$506,MATCH(ROW()-5,'Formulación PDN 2027'!$AK$7:$AK$506,0))&amp;"","")</f>
        <v/>
      </c>
      <c r="V488" s="15" t="str">
        <f>IFERROR(LEFT(INDEX('Formulación PDN 2027'!$E$7:$E$506,MATCH(ROW()-5,'Formulación PDN 2027'!$AK$7:$AK$506,0)),7),"")</f>
        <v/>
      </c>
      <c r="W488" s="15" t="str">
        <f>IFERROR(INDEX('Formulación PDN 2027'!$H$7:$H$506,MATCH(ROW()-5,'Formulación PDN 2027'!$AK$7:$AK$506,0))&amp;"","")</f>
        <v/>
      </c>
      <c r="X488" s="15" t="str">
        <f>IFERROR(INDEX('Formulación PDN 2027'!$U$7:$U$506,MATCH(ROW()-5,'Formulación PDN 2027'!$AK$7:$AK$506,0))&amp;"","")</f>
        <v/>
      </c>
      <c r="Y488" s="15" t="str">
        <f>IFERROR(INDEX('Formulación PDN 2027'!$AH$7:$AH$506,MATCH(ROW()-5,'Formulación PDN 2027'!$AK$7:$AK$506,0))&amp;"","")</f>
        <v/>
      </c>
    </row>
    <row r="489" spans="1:25" x14ac:dyDescent="0.3">
      <c r="A489" s="15" t="str">
        <f>IFERROR(INDEX('Formulación PDN 2027'!$A$7:$A$506,MATCH(ROW()-5,'Formulación PDN 2027'!$AK$7:$AK$506,0))&amp;"","")</f>
        <v/>
      </c>
      <c r="B489" s="20" t="str">
        <f>IFERROR(INDEX('Formulación PDN 2027'!$M$7:$M$506,MATCH(ROW()-5,'Formulación PDN 2027'!$AK$7:$AK$506,0)),"")</f>
        <v/>
      </c>
      <c r="C489" s="15" t="str">
        <f>IFERROR(INDEX('Formulación PDN 2027'!$N$7:$N$506,MATCH(ROW()-5,'Formulación PDN 2027'!$AK$7:$AK$506,0))&amp;"","")</f>
        <v/>
      </c>
      <c r="D489" s="15" t="str">
        <f>IFERROR(INDEX('Formulación PDN 2027'!$L$7:$L$506,MATCH(ROW()-5,'Formulación PDN 2027'!$AK$7:$AK$506,0))&amp;"","")</f>
        <v/>
      </c>
      <c r="E489" s="15" t="str">
        <f>IFERROR(MATCH(INDEX('Formulación PDN 2027'!$O$7:$O$506,MATCH(ROW()-5,'Formulación PDN 2027'!$AK$7:$AK$506,0)),L_MESES,0),"")</f>
        <v/>
      </c>
      <c r="F489" s="15" t="str">
        <f>IFERROR(MATCH(INDEX('Formulación PDN 2027'!$P$7:$P$506,MATCH(ROW()-5,'Formulación PDN 2027'!$AK$7:$AK$506,0)),L_MESES,0),"")</f>
        <v/>
      </c>
      <c r="G489" s="15" t="str">
        <f>IFERROR(INDEX('Formulación PDN 2027'!$Q$7:$Q$506,MATCH(ROW()-5,'Formulación PDN 2027'!$AK$7:$AK$506,0)),"")</f>
        <v/>
      </c>
      <c r="H489" s="15" t="str">
        <f>IFERROR(INDEX('Formulación PDN 2027'!$R$7:$R$506,MATCH(ROW()-5,'Formulación PDN 2027'!$AK$7:$AK$506,0))&amp;"","")</f>
        <v/>
      </c>
      <c r="I489" s="15" t="str">
        <f>IFERROR(INDEX('Formulación PDN 2027'!$S$7:$S$506,MATCH(ROW()-5,'Formulación PDN 2027'!$AK$7:$AK$506,0))&amp;"","")</f>
        <v/>
      </c>
      <c r="J489" s="15" t="str">
        <f>IFERROR(INDEX('Formulación PDN 2027'!$T$7:$T$506,MATCH(ROW()-5,'Formulación PDN 2027'!$AK$7:$AK$506,0))&amp;"","")</f>
        <v/>
      </c>
      <c r="K489" s="43" t="str">
        <f>IFERROR(INDEX('Formulación PDN 2027'!$W$7:$W$506,MATCH(ROW()-5,'Formulación PDN 2027'!$AK$7:$AK$506,0)),"")</f>
        <v/>
      </c>
      <c r="L489" s="43" t="str">
        <f>IFERROR(INDEX('Formulación PDN 2027'!$X$7:$X$506,MATCH(ROW()-5,'Formulación PDN 2027'!$AK$7:$AK$506,0)),"")</f>
        <v/>
      </c>
      <c r="M489" s="15" t="str">
        <f>IFERROR(INDEX('Formulación PDN 2027'!$Y$7:$Y$506,MATCH(ROW()-5,'Formulación PDN 2027'!$AK$7:$AK$506,0))&amp;"","")</f>
        <v/>
      </c>
      <c r="N489" s="15" t="str">
        <f>IFERROR(INDEX('Formulación PDN 2027'!$Z$7:$Z$506,MATCH(ROW()-5,'Formulación PDN 2027'!$AK$7:$AK$506,0))&amp;"","")</f>
        <v/>
      </c>
      <c r="O489" s="15"/>
      <c r="P489" s="15" t="str">
        <f>IFERROR(INDEX('Formulación PDN 2027'!$AA$7:$AA$506,MATCH(ROW()-5,'Formulación PDN 2027'!$AK$7:$AK$506,0))&amp;"","")</f>
        <v/>
      </c>
      <c r="Q489" s="15" t="str">
        <f>IFERROR(INDEX('Formulación PDN 2027'!$AB$7:$AB$506,MATCH(ROW()-5,'Formulación PDN 2027'!$AK$7:$AK$506,0))&amp;"","")</f>
        <v/>
      </c>
      <c r="R489" s="15" t="str">
        <f>IFERROR(INDEX('Formulación PDN 2027'!$AD$7:$AD$506,MATCH(ROW()-5,'Formulación PDN 2027'!$AK$7:$AK$506,0))&amp;"","")</f>
        <v/>
      </c>
      <c r="S489" s="15" t="str">
        <f>IFERROR(INDEX('Formulación PDN 2027'!$AE$7:$AE$506,MATCH(ROW()-5,'Formulación PDN 2027'!$AK$7:$AK$506,0))&amp;"","")</f>
        <v/>
      </c>
      <c r="T489" s="15" t="str">
        <f>IFERROR(INDEX('Formulación PDN 2027'!$C$7:$C$506,MATCH(ROW()-5,'Formulación PDN 2027'!$AK$7:$AK$506,0))&amp;"","")</f>
        <v/>
      </c>
      <c r="U489" s="15" t="str">
        <f>IFERROR(INDEX('Formulación PDN 2027'!$B$7:$B$506,MATCH(ROW()-5,'Formulación PDN 2027'!$AK$7:$AK$506,0))&amp;"","")</f>
        <v/>
      </c>
      <c r="V489" s="15" t="str">
        <f>IFERROR(LEFT(INDEX('Formulación PDN 2027'!$E$7:$E$506,MATCH(ROW()-5,'Formulación PDN 2027'!$AK$7:$AK$506,0)),7),"")</f>
        <v/>
      </c>
      <c r="W489" s="15" t="str">
        <f>IFERROR(INDEX('Formulación PDN 2027'!$H$7:$H$506,MATCH(ROW()-5,'Formulación PDN 2027'!$AK$7:$AK$506,0))&amp;"","")</f>
        <v/>
      </c>
      <c r="X489" s="15" t="str">
        <f>IFERROR(INDEX('Formulación PDN 2027'!$U$7:$U$506,MATCH(ROW()-5,'Formulación PDN 2027'!$AK$7:$AK$506,0))&amp;"","")</f>
        <v/>
      </c>
      <c r="Y489" s="15" t="str">
        <f>IFERROR(INDEX('Formulación PDN 2027'!$AH$7:$AH$506,MATCH(ROW()-5,'Formulación PDN 2027'!$AK$7:$AK$506,0))&amp;"","")</f>
        <v/>
      </c>
    </row>
    <row r="490" spans="1:25" x14ac:dyDescent="0.3">
      <c r="A490" s="15" t="str">
        <f>IFERROR(INDEX('Formulación PDN 2027'!$A$7:$A$506,MATCH(ROW()-5,'Formulación PDN 2027'!$AK$7:$AK$506,0))&amp;"","")</f>
        <v/>
      </c>
      <c r="B490" s="20" t="str">
        <f>IFERROR(INDEX('Formulación PDN 2027'!$M$7:$M$506,MATCH(ROW()-5,'Formulación PDN 2027'!$AK$7:$AK$506,0)),"")</f>
        <v/>
      </c>
      <c r="C490" s="15" t="str">
        <f>IFERROR(INDEX('Formulación PDN 2027'!$N$7:$N$506,MATCH(ROW()-5,'Formulación PDN 2027'!$AK$7:$AK$506,0))&amp;"","")</f>
        <v/>
      </c>
      <c r="D490" s="15" t="str">
        <f>IFERROR(INDEX('Formulación PDN 2027'!$L$7:$L$506,MATCH(ROW()-5,'Formulación PDN 2027'!$AK$7:$AK$506,0))&amp;"","")</f>
        <v/>
      </c>
      <c r="E490" s="15" t="str">
        <f>IFERROR(MATCH(INDEX('Formulación PDN 2027'!$O$7:$O$506,MATCH(ROW()-5,'Formulación PDN 2027'!$AK$7:$AK$506,0)),L_MESES,0),"")</f>
        <v/>
      </c>
      <c r="F490" s="15" t="str">
        <f>IFERROR(MATCH(INDEX('Formulación PDN 2027'!$P$7:$P$506,MATCH(ROW()-5,'Formulación PDN 2027'!$AK$7:$AK$506,0)),L_MESES,0),"")</f>
        <v/>
      </c>
      <c r="G490" s="15" t="str">
        <f>IFERROR(INDEX('Formulación PDN 2027'!$Q$7:$Q$506,MATCH(ROW()-5,'Formulación PDN 2027'!$AK$7:$AK$506,0)),"")</f>
        <v/>
      </c>
      <c r="H490" s="15" t="str">
        <f>IFERROR(INDEX('Formulación PDN 2027'!$R$7:$R$506,MATCH(ROW()-5,'Formulación PDN 2027'!$AK$7:$AK$506,0))&amp;"","")</f>
        <v/>
      </c>
      <c r="I490" s="15" t="str">
        <f>IFERROR(INDEX('Formulación PDN 2027'!$S$7:$S$506,MATCH(ROW()-5,'Formulación PDN 2027'!$AK$7:$AK$506,0))&amp;"","")</f>
        <v/>
      </c>
      <c r="J490" s="15" t="str">
        <f>IFERROR(INDEX('Formulación PDN 2027'!$T$7:$T$506,MATCH(ROW()-5,'Formulación PDN 2027'!$AK$7:$AK$506,0))&amp;"","")</f>
        <v/>
      </c>
      <c r="K490" s="43" t="str">
        <f>IFERROR(INDEX('Formulación PDN 2027'!$W$7:$W$506,MATCH(ROW()-5,'Formulación PDN 2027'!$AK$7:$AK$506,0)),"")</f>
        <v/>
      </c>
      <c r="L490" s="43" t="str">
        <f>IFERROR(INDEX('Formulación PDN 2027'!$X$7:$X$506,MATCH(ROW()-5,'Formulación PDN 2027'!$AK$7:$AK$506,0)),"")</f>
        <v/>
      </c>
      <c r="M490" s="15" t="str">
        <f>IFERROR(INDEX('Formulación PDN 2027'!$Y$7:$Y$506,MATCH(ROW()-5,'Formulación PDN 2027'!$AK$7:$AK$506,0))&amp;"","")</f>
        <v/>
      </c>
      <c r="N490" s="15" t="str">
        <f>IFERROR(INDEX('Formulación PDN 2027'!$Z$7:$Z$506,MATCH(ROW()-5,'Formulación PDN 2027'!$AK$7:$AK$506,0))&amp;"","")</f>
        <v/>
      </c>
      <c r="O490" s="15"/>
      <c r="P490" s="15" t="str">
        <f>IFERROR(INDEX('Formulación PDN 2027'!$AA$7:$AA$506,MATCH(ROW()-5,'Formulación PDN 2027'!$AK$7:$AK$506,0))&amp;"","")</f>
        <v/>
      </c>
      <c r="Q490" s="15" t="str">
        <f>IFERROR(INDEX('Formulación PDN 2027'!$AB$7:$AB$506,MATCH(ROW()-5,'Formulación PDN 2027'!$AK$7:$AK$506,0))&amp;"","")</f>
        <v/>
      </c>
      <c r="R490" s="15" t="str">
        <f>IFERROR(INDEX('Formulación PDN 2027'!$AD$7:$AD$506,MATCH(ROW()-5,'Formulación PDN 2027'!$AK$7:$AK$506,0))&amp;"","")</f>
        <v/>
      </c>
      <c r="S490" s="15" t="str">
        <f>IFERROR(INDEX('Formulación PDN 2027'!$AE$7:$AE$506,MATCH(ROW()-5,'Formulación PDN 2027'!$AK$7:$AK$506,0))&amp;"","")</f>
        <v/>
      </c>
      <c r="T490" s="15" t="str">
        <f>IFERROR(INDEX('Formulación PDN 2027'!$C$7:$C$506,MATCH(ROW()-5,'Formulación PDN 2027'!$AK$7:$AK$506,0))&amp;"","")</f>
        <v/>
      </c>
      <c r="U490" s="15" t="str">
        <f>IFERROR(INDEX('Formulación PDN 2027'!$B$7:$B$506,MATCH(ROW()-5,'Formulación PDN 2027'!$AK$7:$AK$506,0))&amp;"","")</f>
        <v/>
      </c>
      <c r="V490" s="15" t="str">
        <f>IFERROR(LEFT(INDEX('Formulación PDN 2027'!$E$7:$E$506,MATCH(ROW()-5,'Formulación PDN 2027'!$AK$7:$AK$506,0)),7),"")</f>
        <v/>
      </c>
      <c r="W490" s="15" t="str">
        <f>IFERROR(INDEX('Formulación PDN 2027'!$H$7:$H$506,MATCH(ROW()-5,'Formulación PDN 2027'!$AK$7:$AK$506,0))&amp;"","")</f>
        <v/>
      </c>
      <c r="X490" s="15" t="str">
        <f>IFERROR(INDEX('Formulación PDN 2027'!$U$7:$U$506,MATCH(ROW()-5,'Formulación PDN 2027'!$AK$7:$AK$506,0))&amp;"","")</f>
        <v/>
      </c>
      <c r="Y490" s="15" t="str">
        <f>IFERROR(INDEX('Formulación PDN 2027'!$AH$7:$AH$506,MATCH(ROW()-5,'Formulación PDN 2027'!$AK$7:$AK$506,0))&amp;"","")</f>
        <v/>
      </c>
    </row>
    <row r="491" spans="1:25" x14ac:dyDescent="0.3">
      <c r="A491" s="15" t="str">
        <f>IFERROR(INDEX('Formulación PDN 2027'!$A$7:$A$506,MATCH(ROW()-5,'Formulación PDN 2027'!$AK$7:$AK$506,0))&amp;"","")</f>
        <v/>
      </c>
      <c r="B491" s="20" t="str">
        <f>IFERROR(INDEX('Formulación PDN 2027'!$M$7:$M$506,MATCH(ROW()-5,'Formulación PDN 2027'!$AK$7:$AK$506,0)),"")</f>
        <v/>
      </c>
      <c r="C491" s="15" t="str">
        <f>IFERROR(INDEX('Formulación PDN 2027'!$N$7:$N$506,MATCH(ROW()-5,'Formulación PDN 2027'!$AK$7:$AK$506,0))&amp;"","")</f>
        <v/>
      </c>
      <c r="D491" s="15" t="str">
        <f>IFERROR(INDEX('Formulación PDN 2027'!$L$7:$L$506,MATCH(ROW()-5,'Formulación PDN 2027'!$AK$7:$AK$506,0))&amp;"","")</f>
        <v/>
      </c>
      <c r="E491" s="15" t="str">
        <f>IFERROR(MATCH(INDEX('Formulación PDN 2027'!$O$7:$O$506,MATCH(ROW()-5,'Formulación PDN 2027'!$AK$7:$AK$506,0)),L_MESES,0),"")</f>
        <v/>
      </c>
      <c r="F491" s="15" t="str">
        <f>IFERROR(MATCH(INDEX('Formulación PDN 2027'!$P$7:$P$506,MATCH(ROW()-5,'Formulación PDN 2027'!$AK$7:$AK$506,0)),L_MESES,0),"")</f>
        <v/>
      </c>
      <c r="G491" s="15" t="str">
        <f>IFERROR(INDEX('Formulación PDN 2027'!$Q$7:$Q$506,MATCH(ROW()-5,'Formulación PDN 2027'!$AK$7:$AK$506,0)),"")</f>
        <v/>
      </c>
      <c r="H491" s="15" t="str">
        <f>IFERROR(INDEX('Formulación PDN 2027'!$R$7:$R$506,MATCH(ROW()-5,'Formulación PDN 2027'!$AK$7:$AK$506,0))&amp;"","")</f>
        <v/>
      </c>
      <c r="I491" s="15" t="str">
        <f>IFERROR(INDEX('Formulación PDN 2027'!$S$7:$S$506,MATCH(ROW()-5,'Formulación PDN 2027'!$AK$7:$AK$506,0))&amp;"","")</f>
        <v/>
      </c>
      <c r="J491" s="15" t="str">
        <f>IFERROR(INDEX('Formulación PDN 2027'!$T$7:$T$506,MATCH(ROW()-5,'Formulación PDN 2027'!$AK$7:$AK$506,0))&amp;"","")</f>
        <v/>
      </c>
      <c r="K491" s="43" t="str">
        <f>IFERROR(INDEX('Formulación PDN 2027'!$W$7:$W$506,MATCH(ROW()-5,'Formulación PDN 2027'!$AK$7:$AK$506,0)),"")</f>
        <v/>
      </c>
      <c r="L491" s="43" t="str">
        <f>IFERROR(INDEX('Formulación PDN 2027'!$X$7:$X$506,MATCH(ROW()-5,'Formulación PDN 2027'!$AK$7:$AK$506,0)),"")</f>
        <v/>
      </c>
      <c r="M491" s="15" t="str">
        <f>IFERROR(INDEX('Formulación PDN 2027'!$Y$7:$Y$506,MATCH(ROW()-5,'Formulación PDN 2027'!$AK$7:$AK$506,0))&amp;"","")</f>
        <v/>
      </c>
      <c r="N491" s="15" t="str">
        <f>IFERROR(INDEX('Formulación PDN 2027'!$Z$7:$Z$506,MATCH(ROW()-5,'Formulación PDN 2027'!$AK$7:$AK$506,0))&amp;"","")</f>
        <v/>
      </c>
      <c r="O491" s="15"/>
      <c r="P491" s="15" t="str">
        <f>IFERROR(INDEX('Formulación PDN 2027'!$AA$7:$AA$506,MATCH(ROW()-5,'Formulación PDN 2027'!$AK$7:$AK$506,0))&amp;"","")</f>
        <v/>
      </c>
      <c r="Q491" s="15" t="str">
        <f>IFERROR(INDEX('Formulación PDN 2027'!$AB$7:$AB$506,MATCH(ROW()-5,'Formulación PDN 2027'!$AK$7:$AK$506,0))&amp;"","")</f>
        <v/>
      </c>
      <c r="R491" s="15" t="str">
        <f>IFERROR(INDEX('Formulación PDN 2027'!$AD$7:$AD$506,MATCH(ROW()-5,'Formulación PDN 2027'!$AK$7:$AK$506,0))&amp;"","")</f>
        <v/>
      </c>
      <c r="S491" s="15" t="str">
        <f>IFERROR(INDEX('Formulación PDN 2027'!$AE$7:$AE$506,MATCH(ROW()-5,'Formulación PDN 2027'!$AK$7:$AK$506,0))&amp;"","")</f>
        <v/>
      </c>
      <c r="T491" s="15" t="str">
        <f>IFERROR(INDEX('Formulación PDN 2027'!$C$7:$C$506,MATCH(ROW()-5,'Formulación PDN 2027'!$AK$7:$AK$506,0))&amp;"","")</f>
        <v/>
      </c>
      <c r="U491" s="15" t="str">
        <f>IFERROR(INDEX('Formulación PDN 2027'!$B$7:$B$506,MATCH(ROW()-5,'Formulación PDN 2027'!$AK$7:$AK$506,0))&amp;"","")</f>
        <v/>
      </c>
      <c r="V491" s="15" t="str">
        <f>IFERROR(LEFT(INDEX('Formulación PDN 2027'!$E$7:$E$506,MATCH(ROW()-5,'Formulación PDN 2027'!$AK$7:$AK$506,0)),7),"")</f>
        <v/>
      </c>
      <c r="W491" s="15" t="str">
        <f>IFERROR(INDEX('Formulación PDN 2027'!$H$7:$H$506,MATCH(ROW()-5,'Formulación PDN 2027'!$AK$7:$AK$506,0))&amp;"","")</f>
        <v/>
      </c>
      <c r="X491" s="15" t="str">
        <f>IFERROR(INDEX('Formulación PDN 2027'!$U$7:$U$506,MATCH(ROW()-5,'Formulación PDN 2027'!$AK$7:$AK$506,0))&amp;"","")</f>
        <v/>
      </c>
      <c r="Y491" s="15" t="str">
        <f>IFERROR(INDEX('Formulación PDN 2027'!$AH$7:$AH$506,MATCH(ROW()-5,'Formulación PDN 2027'!$AK$7:$AK$506,0))&amp;"","")</f>
        <v/>
      </c>
    </row>
    <row r="492" spans="1:25" x14ac:dyDescent="0.3">
      <c r="A492" s="15" t="str">
        <f>IFERROR(INDEX('Formulación PDN 2027'!$A$7:$A$506,MATCH(ROW()-5,'Formulación PDN 2027'!$AK$7:$AK$506,0))&amp;"","")</f>
        <v/>
      </c>
      <c r="B492" s="20" t="str">
        <f>IFERROR(INDEX('Formulación PDN 2027'!$M$7:$M$506,MATCH(ROW()-5,'Formulación PDN 2027'!$AK$7:$AK$506,0)),"")</f>
        <v/>
      </c>
      <c r="C492" s="15" t="str">
        <f>IFERROR(INDEX('Formulación PDN 2027'!$N$7:$N$506,MATCH(ROW()-5,'Formulación PDN 2027'!$AK$7:$AK$506,0))&amp;"","")</f>
        <v/>
      </c>
      <c r="D492" s="15" t="str">
        <f>IFERROR(INDEX('Formulación PDN 2027'!$L$7:$L$506,MATCH(ROW()-5,'Formulación PDN 2027'!$AK$7:$AK$506,0))&amp;"","")</f>
        <v/>
      </c>
      <c r="E492" s="15" t="str">
        <f>IFERROR(MATCH(INDEX('Formulación PDN 2027'!$O$7:$O$506,MATCH(ROW()-5,'Formulación PDN 2027'!$AK$7:$AK$506,0)),L_MESES,0),"")</f>
        <v/>
      </c>
      <c r="F492" s="15" t="str">
        <f>IFERROR(MATCH(INDEX('Formulación PDN 2027'!$P$7:$P$506,MATCH(ROW()-5,'Formulación PDN 2027'!$AK$7:$AK$506,0)),L_MESES,0),"")</f>
        <v/>
      </c>
      <c r="G492" s="15" t="str">
        <f>IFERROR(INDEX('Formulación PDN 2027'!$Q$7:$Q$506,MATCH(ROW()-5,'Formulación PDN 2027'!$AK$7:$AK$506,0)),"")</f>
        <v/>
      </c>
      <c r="H492" s="15" t="str">
        <f>IFERROR(INDEX('Formulación PDN 2027'!$R$7:$R$506,MATCH(ROW()-5,'Formulación PDN 2027'!$AK$7:$AK$506,0))&amp;"","")</f>
        <v/>
      </c>
      <c r="I492" s="15" t="str">
        <f>IFERROR(INDEX('Formulación PDN 2027'!$S$7:$S$506,MATCH(ROW()-5,'Formulación PDN 2027'!$AK$7:$AK$506,0))&amp;"","")</f>
        <v/>
      </c>
      <c r="J492" s="15" t="str">
        <f>IFERROR(INDEX('Formulación PDN 2027'!$T$7:$T$506,MATCH(ROW()-5,'Formulación PDN 2027'!$AK$7:$AK$506,0))&amp;"","")</f>
        <v/>
      </c>
      <c r="K492" s="43" t="str">
        <f>IFERROR(INDEX('Formulación PDN 2027'!$W$7:$W$506,MATCH(ROW()-5,'Formulación PDN 2027'!$AK$7:$AK$506,0)),"")</f>
        <v/>
      </c>
      <c r="L492" s="43" t="str">
        <f>IFERROR(INDEX('Formulación PDN 2027'!$X$7:$X$506,MATCH(ROW()-5,'Formulación PDN 2027'!$AK$7:$AK$506,0)),"")</f>
        <v/>
      </c>
      <c r="M492" s="15" t="str">
        <f>IFERROR(INDEX('Formulación PDN 2027'!$Y$7:$Y$506,MATCH(ROW()-5,'Formulación PDN 2027'!$AK$7:$AK$506,0))&amp;"","")</f>
        <v/>
      </c>
      <c r="N492" s="15" t="str">
        <f>IFERROR(INDEX('Formulación PDN 2027'!$Z$7:$Z$506,MATCH(ROW()-5,'Formulación PDN 2027'!$AK$7:$AK$506,0))&amp;"","")</f>
        <v/>
      </c>
      <c r="O492" s="15"/>
      <c r="P492" s="15" t="str">
        <f>IFERROR(INDEX('Formulación PDN 2027'!$AA$7:$AA$506,MATCH(ROW()-5,'Formulación PDN 2027'!$AK$7:$AK$506,0))&amp;"","")</f>
        <v/>
      </c>
      <c r="Q492" s="15" t="str">
        <f>IFERROR(INDEX('Formulación PDN 2027'!$AB$7:$AB$506,MATCH(ROW()-5,'Formulación PDN 2027'!$AK$7:$AK$506,0))&amp;"","")</f>
        <v/>
      </c>
      <c r="R492" s="15" t="str">
        <f>IFERROR(INDEX('Formulación PDN 2027'!$AD$7:$AD$506,MATCH(ROW()-5,'Formulación PDN 2027'!$AK$7:$AK$506,0))&amp;"","")</f>
        <v/>
      </c>
      <c r="S492" s="15" t="str">
        <f>IFERROR(INDEX('Formulación PDN 2027'!$AE$7:$AE$506,MATCH(ROW()-5,'Formulación PDN 2027'!$AK$7:$AK$506,0))&amp;"","")</f>
        <v/>
      </c>
      <c r="T492" s="15" t="str">
        <f>IFERROR(INDEX('Formulación PDN 2027'!$C$7:$C$506,MATCH(ROW()-5,'Formulación PDN 2027'!$AK$7:$AK$506,0))&amp;"","")</f>
        <v/>
      </c>
      <c r="U492" s="15" t="str">
        <f>IFERROR(INDEX('Formulación PDN 2027'!$B$7:$B$506,MATCH(ROW()-5,'Formulación PDN 2027'!$AK$7:$AK$506,0))&amp;"","")</f>
        <v/>
      </c>
      <c r="V492" s="15" t="str">
        <f>IFERROR(LEFT(INDEX('Formulación PDN 2027'!$E$7:$E$506,MATCH(ROW()-5,'Formulación PDN 2027'!$AK$7:$AK$506,0)),7),"")</f>
        <v/>
      </c>
      <c r="W492" s="15" t="str">
        <f>IFERROR(INDEX('Formulación PDN 2027'!$H$7:$H$506,MATCH(ROW()-5,'Formulación PDN 2027'!$AK$7:$AK$506,0))&amp;"","")</f>
        <v/>
      </c>
      <c r="X492" s="15" t="str">
        <f>IFERROR(INDEX('Formulación PDN 2027'!$U$7:$U$506,MATCH(ROW()-5,'Formulación PDN 2027'!$AK$7:$AK$506,0))&amp;"","")</f>
        <v/>
      </c>
      <c r="Y492" s="15" t="str">
        <f>IFERROR(INDEX('Formulación PDN 2027'!$AH$7:$AH$506,MATCH(ROW()-5,'Formulación PDN 2027'!$AK$7:$AK$506,0))&amp;"","")</f>
        <v/>
      </c>
    </row>
    <row r="493" spans="1:25" x14ac:dyDescent="0.3">
      <c r="A493" s="15" t="str">
        <f>IFERROR(INDEX('Formulación PDN 2027'!$A$7:$A$506,MATCH(ROW()-5,'Formulación PDN 2027'!$AK$7:$AK$506,0))&amp;"","")</f>
        <v/>
      </c>
      <c r="B493" s="20" t="str">
        <f>IFERROR(INDEX('Formulación PDN 2027'!$M$7:$M$506,MATCH(ROW()-5,'Formulación PDN 2027'!$AK$7:$AK$506,0)),"")</f>
        <v/>
      </c>
      <c r="C493" s="15" t="str">
        <f>IFERROR(INDEX('Formulación PDN 2027'!$N$7:$N$506,MATCH(ROW()-5,'Formulación PDN 2027'!$AK$7:$AK$506,0))&amp;"","")</f>
        <v/>
      </c>
      <c r="D493" s="15" t="str">
        <f>IFERROR(INDEX('Formulación PDN 2027'!$L$7:$L$506,MATCH(ROW()-5,'Formulación PDN 2027'!$AK$7:$AK$506,0))&amp;"","")</f>
        <v/>
      </c>
      <c r="E493" s="15" t="str">
        <f>IFERROR(MATCH(INDEX('Formulación PDN 2027'!$O$7:$O$506,MATCH(ROW()-5,'Formulación PDN 2027'!$AK$7:$AK$506,0)),L_MESES,0),"")</f>
        <v/>
      </c>
      <c r="F493" s="15" t="str">
        <f>IFERROR(MATCH(INDEX('Formulación PDN 2027'!$P$7:$P$506,MATCH(ROW()-5,'Formulación PDN 2027'!$AK$7:$AK$506,0)),L_MESES,0),"")</f>
        <v/>
      </c>
      <c r="G493" s="15" t="str">
        <f>IFERROR(INDEX('Formulación PDN 2027'!$Q$7:$Q$506,MATCH(ROW()-5,'Formulación PDN 2027'!$AK$7:$AK$506,0)),"")</f>
        <v/>
      </c>
      <c r="H493" s="15" t="str">
        <f>IFERROR(INDEX('Formulación PDN 2027'!$R$7:$R$506,MATCH(ROW()-5,'Formulación PDN 2027'!$AK$7:$AK$506,0))&amp;"","")</f>
        <v/>
      </c>
      <c r="I493" s="15" t="str">
        <f>IFERROR(INDEX('Formulación PDN 2027'!$S$7:$S$506,MATCH(ROW()-5,'Formulación PDN 2027'!$AK$7:$AK$506,0))&amp;"","")</f>
        <v/>
      </c>
      <c r="J493" s="15" t="str">
        <f>IFERROR(INDEX('Formulación PDN 2027'!$T$7:$T$506,MATCH(ROW()-5,'Formulación PDN 2027'!$AK$7:$AK$506,0))&amp;"","")</f>
        <v/>
      </c>
      <c r="K493" s="43" t="str">
        <f>IFERROR(INDEX('Formulación PDN 2027'!$W$7:$W$506,MATCH(ROW()-5,'Formulación PDN 2027'!$AK$7:$AK$506,0)),"")</f>
        <v/>
      </c>
      <c r="L493" s="43" t="str">
        <f>IFERROR(INDEX('Formulación PDN 2027'!$X$7:$X$506,MATCH(ROW()-5,'Formulación PDN 2027'!$AK$7:$AK$506,0)),"")</f>
        <v/>
      </c>
      <c r="M493" s="15" t="str">
        <f>IFERROR(INDEX('Formulación PDN 2027'!$Y$7:$Y$506,MATCH(ROW()-5,'Formulación PDN 2027'!$AK$7:$AK$506,0))&amp;"","")</f>
        <v/>
      </c>
      <c r="N493" s="15" t="str">
        <f>IFERROR(INDEX('Formulación PDN 2027'!$Z$7:$Z$506,MATCH(ROW()-5,'Formulación PDN 2027'!$AK$7:$AK$506,0))&amp;"","")</f>
        <v/>
      </c>
      <c r="O493" s="15"/>
      <c r="P493" s="15" t="str">
        <f>IFERROR(INDEX('Formulación PDN 2027'!$AA$7:$AA$506,MATCH(ROW()-5,'Formulación PDN 2027'!$AK$7:$AK$506,0))&amp;"","")</f>
        <v/>
      </c>
      <c r="Q493" s="15" t="str">
        <f>IFERROR(INDEX('Formulación PDN 2027'!$AB$7:$AB$506,MATCH(ROW()-5,'Formulación PDN 2027'!$AK$7:$AK$506,0))&amp;"","")</f>
        <v/>
      </c>
      <c r="R493" s="15" t="str">
        <f>IFERROR(INDEX('Formulación PDN 2027'!$AD$7:$AD$506,MATCH(ROW()-5,'Formulación PDN 2027'!$AK$7:$AK$506,0))&amp;"","")</f>
        <v/>
      </c>
      <c r="S493" s="15" t="str">
        <f>IFERROR(INDEX('Formulación PDN 2027'!$AE$7:$AE$506,MATCH(ROW()-5,'Formulación PDN 2027'!$AK$7:$AK$506,0))&amp;"","")</f>
        <v/>
      </c>
      <c r="T493" s="15" t="str">
        <f>IFERROR(INDEX('Formulación PDN 2027'!$C$7:$C$506,MATCH(ROW()-5,'Formulación PDN 2027'!$AK$7:$AK$506,0))&amp;"","")</f>
        <v/>
      </c>
      <c r="U493" s="15" t="str">
        <f>IFERROR(INDEX('Formulación PDN 2027'!$B$7:$B$506,MATCH(ROW()-5,'Formulación PDN 2027'!$AK$7:$AK$506,0))&amp;"","")</f>
        <v/>
      </c>
      <c r="V493" s="15" t="str">
        <f>IFERROR(LEFT(INDEX('Formulación PDN 2027'!$E$7:$E$506,MATCH(ROW()-5,'Formulación PDN 2027'!$AK$7:$AK$506,0)),7),"")</f>
        <v/>
      </c>
      <c r="W493" s="15" t="str">
        <f>IFERROR(INDEX('Formulación PDN 2027'!$H$7:$H$506,MATCH(ROW()-5,'Formulación PDN 2027'!$AK$7:$AK$506,0))&amp;"","")</f>
        <v/>
      </c>
      <c r="X493" s="15" t="str">
        <f>IFERROR(INDEX('Formulación PDN 2027'!$U$7:$U$506,MATCH(ROW()-5,'Formulación PDN 2027'!$AK$7:$AK$506,0))&amp;"","")</f>
        <v/>
      </c>
      <c r="Y493" s="15" t="str">
        <f>IFERROR(INDEX('Formulación PDN 2027'!$AH$7:$AH$506,MATCH(ROW()-5,'Formulación PDN 2027'!$AK$7:$AK$506,0))&amp;"","")</f>
        <v/>
      </c>
    </row>
    <row r="494" spans="1:25" x14ac:dyDescent="0.3">
      <c r="A494" s="15" t="str">
        <f>IFERROR(INDEX('Formulación PDN 2027'!$A$7:$A$506,MATCH(ROW()-5,'Formulación PDN 2027'!$AK$7:$AK$506,0))&amp;"","")</f>
        <v/>
      </c>
      <c r="B494" s="20" t="str">
        <f>IFERROR(INDEX('Formulación PDN 2027'!$M$7:$M$506,MATCH(ROW()-5,'Formulación PDN 2027'!$AK$7:$AK$506,0)),"")</f>
        <v/>
      </c>
      <c r="C494" s="15" t="str">
        <f>IFERROR(INDEX('Formulación PDN 2027'!$N$7:$N$506,MATCH(ROW()-5,'Formulación PDN 2027'!$AK$7:$AK$506,0))&amp;"","")</f>
        <v/>
      </c>
      <c r="D494" s="15" t="str">
        <f>IFERROR(INDEX('Formulación PDN 2027'!$L$7:$L$506,MATCH(ROW()-5,'Formulación PDN 2027'!$AK$7:$AK$506,0))&amp;"","")</f>
        <v/>
      </c>
      <c r="E494" s="15" t="str">
        <f>IFERROR(MATCH(INDEX('Formulación PDN 2027'!$O$7:$O$506,MATCH(ROW()-5,'Formulación PDN 2027'!$AK$7:$AK$506,0)),L_MESES,0),"")</f>
        <v/>
      </c>
      <c r="F494" s="15" t="str">
        <f>IFERROR(MATCH(INDEX('Formulación PDN 2027'!$P$7:$P$506,MATCH(ROW()-5,'Formulación PDN 2027'!$AK$7:$AK$506,0)),L_MESES,0),"")</f>
        <v/>
      </c>
      <c r="G494" s="15" t="str">
        <f>IFERROR(INDEX('Formulación PDN 2027'!$Q$7:$Q$506,MATCH(ROW()-5,'Formulación PDN 2027'!$AK$7:$AK$506,0)),"")</f>
        <v/>
      </c>
      <c r="H494" s="15" t="str">
        <f>IFERROR(INDEX('Formulación PDN 2027'!$R$7:$R$506,MATCH(ROW()-5,'Formulación PDN 2027'!$AK$7:$AK$506,0))&amp;"","")</f>
        <v/>
      </c>
      <c r="I494" s="15" t="str">
        <f>IFERROR(INDEX('Formulación PDN 2027'!$S$7:$S$506,MATCH(ROW()-5,'Formulación PDN 2027'!$AK$7:$AK$506,0))&amp;"","")</f>
        <v/>
      </c>
      <c r="J494" s="15" t="str">
        <f>IFERROR(INDEX('Formulación PDN 2027'!$T$7:$T$506,MATCH(ROW()-5,'Formulación PDN 2027'!$AK$7:$AK$506,0))&amp;"","")</f>
        <v/>
      </c>
      <c r="K494" s="43" t="str">
        <f>IFERROR(INDEX('Formulación PDN 2027'!$W$7:$W$506,MATCH(ROW()-5,'Formulación PDN 2027'!$AK$7:$AK$506,0)),"")</f>
        <v/>
      </c>
      <c r="L494" s="43" t="str">
        <f>IFERROR(INDEX('Formulación PDN 2027'!$X$7:$X$506,MATCH(ROW()-5,'Formulación PDN 2027'!$AK$7:$AK$506,0)),"")</f>
        <v/>
      </c>
      <c r="M494" s="15" t="str">
        <f>IFERROR(INDEX('Formulación PDN 2027'!$Y$7:$Y$506,MATCH(ROW()-5,'Formulación PDN 2027'!$AK$7:$AK$506,0))&amp;"","")</f>
        <v/>
      </c>
      <c r="N494" s="15" t="str">
        <f>IFERROR(INDEX('Formulación PDN 2027'!$Z$7:$Z$506,MATCH(ROW()-5,'Formulación PDN 2027'!$AK$7:$AK$506,0))&amp;"","")</f>
        <v/>
      </c>
      <c r="O494" s="15"/>
      <c r="P494" s="15" t="str">
        <f>IFERROR(INDEX('Formulación PDN 2027'!$AA$7:$AA$506,MATCH(ROW()-5,'Formulación PDN 2027'!$AK$7:$AK$506,0))&amp;"","")</f>
        <v/>
      </c>
      <c r="Q494" s="15" t="str">
        <f>IFERROR(INDEX('Formulación PDN 2027'!$AB$7:$AB$506,MATCH(ROW()-5,'Formulación PDN 2027'!$AK$7:$AK$506,0))&amp;"","")</f>
        <v/>
      </c>
      <c r="R494" s="15" t="str">
        <f>IFERROR(INDEX('Formulación PDN 2027'!$AD$7:$AD$506,MATCH(ROW()-5,'Formulación PDN 2027'!$AK$7:$AK$506,0))&amp;"","")</f>
        <v/>
      </c>
      <c r="S494" s="15" t="str">
        <f>IFERROR(INDEX('Formulación PDN 2027'!$AE$7:$AE$506,MATCH(ROW()-5,'Formulación PDN 2027'!$AK$7:$AK$506,0))&amp;"","")</f>
        <v/>
      </c>
      <c r="T494" s="15" t="str">
        <f>IFERROR(INDEX('Formulación PDN 2027'!$C$7:$C$506,MATCH(ROW()-5,'Formulación PDN 2027'!$AK$7:$AK$506,0))&amp;"","")</f>
        <v/>
      </c>
      <c r="U494" s="15" t="str">
        <f>IFERROR(INDEX('Formulación PDN 2027'!$B$7:$B$506,MATCH(ROW()-5,'Formulación PDN 2027'!$AK$7:$AK$506,0))&amp;"","")</f>
        <v/>
      </c>
      <c r="V494" s="15" t="str">
        <f>IFERROR(LEFT(INDEX('Formulación PDN 2027'!$E$7:$E$506,MATCH(ROW()-5,'Formulación PDN 2027'!$AK$7:$AK$506,0)),7),"")</f>
        <v/>
      </c>
      <c r="W494" s="15" t="str">
        <f>IFERROR(INDEX('Formulación PDN 2027'!$H$7:$H$506,MATCH(ROW()-5,'Formulación PDN 2027'!$AK$7:$AK$506,0))&amp;"","")</f>
        <v/>
      </c>
      <c r="X494" s="15" t="str">
        <f>IFERROR(INDEX('Formulación PDN 2027'!$U$7:$U$506,MATCH(ROW()-5,'Formulación PDN 2027'!$AK$7:$AK$506,0))&amp;"","")</f>
        <v/>
      </c>
      <c r="Y494" s="15" t="str">
        <f>IFERROR(INDEX('Formulación PDN 2027'!$AH$7:$AH$506,MATCH(ROW()-5,'Formulación PDN 2027'!$AK$7:$AK$506,0))&amp;"","")</f>
        <v/>
      </c>
    </row>
    <row r="495" spans="1:25" x14ac:dyDescent="0.3">
      <c r="A495" s="15" t="str">
        <f>IFERROR(INDEX('Formulación PDN 2027'!$A$7:$A$506,MATCH(ROW()-5,'Formulación PDN 2027'!$AK$7:$AK$506,0))&amp;"","")</f>
        <v/>
      </c>
      <c r="B495" s="20" t="str">
        <f>IFERROR(INDEX('Formulación PDN 2027'!$M$7:$M$506,MATCH(ROW()-5,'Formulación PDN 2027'!$AK$7:$AK$506,0)),"")</f>
        <v/>
      </c>
      <c r="C495" s="15" t="str">
        <f>IFERROR(INDEX('Formulación PDN 2027'!$N$7:$N$506,MATCH(ROW()-5,'Formulación PDN 2027'!$AK$7:$AK$506,0))&amp;"","")</f>
        <v/>
      </c>
      <c r="D495" s="15" t="str">
        <f>IFERROR(INDEX('Formulación PDN 2027'!$L$7:$L$506,MATCH(ROW()-5,'Formulación PDN 2027'!$AK$7:$AK$506,0))&amp;"","")</f>
        <v/>
      </c>
      <c r="E495" s="15" t="str">
        <f>IFERROR(MATCH(INDEX('Formulación PDN 2027'!$O$7:$O$506,MATCH(ROW()-5,'Formulación PDN 2027'!$AK$7:$AK$506,0)),L_MESES,0),"")</f>
        <v/>
      </c>
      <c r="F495" s="15" t="str">
        <f>IFERROR(MATCH(INDEX('Formulación PDN 2027'!$P$7:$P$506,MATCH(ROW()-5,'Formulación PDN 2027'!$AK$7:$AK$506,0)),L_MESES,0),"")</f>
        <v/>
      </c>
      <c r="G495" s="15" t="str">
        <f>IFERROR(INDEX('Formulación PDN 2027'!$Q$7:$Q$506,MATCH(ROW()-5,'Formulación PDN 2027'!$AK$7:$AK$506,0)),"")</f>
        <v/>
      </c>
      <c r="H495" s="15" t="str">
        <f>IFERROR(INDEX('Formulación PDN 2027'!$R$7:$R$506,MATCH(ROW()-5,'Formulación PDN 2027'!$AK$7:$AK$506,0))&amp;"","")</f>
        <v/>
      </c>
      <c r="I495" s="15" t="str">
        <f>IFERROR(INDEX('Formulación PDN 2027'!$S$7:$S$506,MATCH(ROW()-5,'Formulación PDN 2027'!$AK$7:$AK$506,0))&amp;"","")</f>
        <v/>
      </c>
      <c r="J495" s="15" t="str">
        <f>IFERROR(INDEX('Formulación PDN 2027'!$T$7:$T$506,MATCH(ROW()-5,'Formulación PDN 2027'!$AK$7:$AK$506,0))&amp;"","")</f>
        <v/>
      </c>
      <c r="K495" s="43" t="str">
        <f>IFERROR(INDEX('Formulación PDN 2027'!$W$7:$W$506,MATCH(ROW()-5,'Formulación PDN 2027'!$AK$7:$AK$506,0)),"")</f>
        <v/>
      </c>
      <c r="L495" s="43" t="str">
        <f>IFERROR(INDEX('Formulación PDN 2027'!$X$7:$X$506,MATCH(ROW()-5,'Formulación PDN 2027'!$AK$7:$AK$506,0)),"")</f>
        <v/>
      </c>
      <c r="M495" s="15" t="str">
        <f>IFERROR(INDEX('Formulación PDN 2027'!$Y$7:$Y$506,MATCH(ROW()-5,'Formulación PDN 2027'!$AK$7:$AK$506,0))&amp;"","")</f>
        <v/>
      </c>
      <c r="N495" s="15" t="str">
        <f>IFERROR(INDEX('Formulación PDN 2027'!$Z$7:$Z$506,MATCH(ROW()-5,'Formulación PDN 2027'!$AK$7:$AK$506,0))&amp;"","")</f>
        <v/>
      </c>
      <c r="O495" s="15"/>
      <c r="P495" s="15" t="str">
        <f>IFERROR(INDEX('Formulación PDN 2027'!$AA$7:$AA$506,MATCH(ROW()-5,'Formulación PDN 2027'!$AK$7:$AK$506,0))&amp;"","")</f>
        <v/>
      </c>
      <c r="Q495" s="15" t="str">
        <f>IFERROR(INDEX('Formulación PDN 2027'!$AB$7:$AB$506,MATCH(ROW()-5,'Formulación PDN 2027'!$AK$7:$AK$506,0))&amp;"","")</f>
        <v/>
      </c>
      <c r="R495" s="15" t="str">
        <f>IFERROR(INDEX('Formulación PDN 2027'!$AD$7:$AD$506,MATCH(ROW()-5,'Formulación PDN 2027'!$AK$7:$AK$506,0))&amp;"","")</f>
        <v/>
      </c>
      <c r="S495" s="15" t="str">
        <f>IFERROR(INDEX('Formulación PDN 2027'!$AE$7:$AE$506,MATCH(ROW()-5,'Formulación PDN 2027'!$AK$7:$AK$506,0))&amp;"","")</f>
        <v/>
      </c>
      <c r="T495" s="15" t="str">
        <f>IFERROR(INDEX('Formulación PDN 2027'!$C$7:$C$506,MATCH(ROW()-5,'Formulación PDN 2027'!$AK$7:$AK$506,0))&amp;"","")</f>
        <v/>
      </c>
      <c r="U495" s="15" t="str">
        <f>IFERROR(INDEX('Formulación PDN 2027'!$B$7:$B$506,MATCH(ROW()-5,'Formulación PDN 2027'!$AK$7:$AK$506,0))&amp;"","")</f>
        <v/>
      </c>
      <c r="V495" s="15" t="str">
        <f>IFERROR(LEFT(INDEX('Formulación PDN 2027'!$E$7:$E$506,MATCH(ROW()-5,'Formulación PDN 2027'!$AK$7:$AK$506,0)),7),"")</f>
        <v/>
      </c>
      <c r="W495" s="15" t="str">
        <f>IFERROR(INDEX('Formulación PDN 2027'!$H$7:$H$506,MATCH(ROW()-5,'Formulación PDN 2027'!$AK$7:$AK$506,0))&amp;"","")</f>
        <v/>
      </c>
      <c r="X495" s="15" t="str">
        <f>IFERROR(INDEX('Formulación PDN 2027'!$U$7:$U$506,MATCH(ROW()-5,'Formulación PDN 2027'!$AK$7:$AK$506,0))&amp;"","")</f>
        <v/>
      </c>
      <c r="Y495" s="15" t="str">
        <f>IFERROR(INDEX('Formulación PDN 2027'!$AH$7:$AH$506,MATCH(ROW()-5,'Formulación PDN 2027'!$AK$7:$AK$506,0))&amp;"","")</f>
        <v/>
      </c>
    </row>
    <row r="496" spans="1:25" x14ac:dyDescent="0.3">
      <c r="A496" s="15" t="str">
        <f>IFERROR(INDEX('Formulación PDN 2027'!$A$7:$A$506,MATCH(ROW()-5,'Formulación PDN 2027'!$AK$7:$AK$506,0))&amp;"","")</f>
        <v/>
      </c>
      <c r="B496" s="20" t="str">
        <f>IFERROR(INDEX('Formulación PDN 2027'!$M$7:$M$506,MATCH(ROW()-5,'Formulación PDN 2027'!$AK$7:$AK$506,0)),"")</f>
        <v/>
      </c>
      <c r="C496" s="15" t="str">
        <f>IFERROR(INDEX('Formulación PDN 2027'!$N$7:$N$506,MATCH(ROW()-5,'Formulación PDN 2027'!$AK$7:$AK$506,0))&amp;"","")</f>
        <v/>
      </c>
      <c r="D496" s="15" t="str">
        <f>IFERROR(INDEX('Formulación PDN 2027'!$L$7:$L$506,MATCH(ROW()-5,'Formulación PDN 2027'!$AK$7:$AK$506,0))&amp;"","")</f>
        <v/>
      </c>
      <c r="E496" s="15" t="str">
        <f>IFERROR(MATCH(INDEX('Formulación PDN 2027'!$O$7:$O$506,MATCH(ROW()-5,'Formulación PDN 2027'!$AK$7:$AK$506,0)),L_MESES,0),"")</f>
        <v/>
      </c>
      <c r="F496" s="15" t="str">
        <f>IFERROR(MATCH(INDEX('Formulación PDN 2027'!$P$7:$P$506,MATCH(ROW()-5,'Formulación PDN 2027'!$AK$7:$AK$506,0)),L_MESES,0),"")</f>
        <v/>
      </c>
      <c r="G496" s="15" t="str">
        <f>IFERROR(INDEX('Formulación PDN 2027'!$Q$7:$Q$506,MATCH(ROW()-5,'Formulación PDN 2027'!$AK$7:$AK$506,0)),"")</f>
        <v/>
      </c>
      <c r="H496" s="15" t="str">
        <f>IFERROR(INDEX('Formulación PDN 2027'!$R$7:$R$506,MATCH(ROW()-5,'Formulación PDN 2027'!$AK$7:$AK$506,0))&amp;"","")</f>
        <v/>
      </c>
      <c r="I496" s="15" t="str">
        <f>IFERROR(INDEX('Formulación PDN 2027'!$S$7:$S$506,MATCH(ROW()-5,'Formulación PDN 2027'!$AK$7:$AK$506,0))&amp;"","")</f>
        <v/>
      </c>
      <c r="J496" s="15" t="str">
        <f>IFERROR(INDEX('Formulación PDN 2027'!$T$7:$T$506,MATCH(ROW()-5,'Formulación PDN 2027'!$AK$7:$AK$506,0))&amp;"","")</f>
        <v/>
      </c>
      <c r="K496" s="43" t="str">
        <f>IFERROR(INDEX('Formulación PDN 2027'!$W$7:$W$506,MATCH(ROW()-5,'Formulación PDN 2027'!$AK$7:$AK$506,0)),"")</f>
        <v/>
      </c>
      <c r="L496" s="43" t="str">
        <f>IFERROR(INDEX('Formulación PDN 2027'!$X$7:$X$506,MATCH(ROW()-5,'Formulación PDN 2027'!$AK$7:$AK$506,0)),"")</f>
        <v/>
      </c>
      <c r="M496" s="15" t="str">
        <f>IFERROR(INDEX('Formulación PDN 2027'!$Y$7:$Y$506,MATCH(ROW()-5,'Formulación PDN 2027'!$AK$7:$AK$506,0))&amp;"","")</f>
        <v/>
      </c>
      <c r="N496" s="15" t="str">
        <f>IFERROR(INDEX('Formulación PDN 2027'!$Z$7:$Z$506,MATCH(ROW()-5,'Formulación PDN 2027'!$AK$7:$AK$506,0))&amp;"","")</f>
        <v/>
      </c>
      <c r="O496" s="15"/>
      <c r="P496" s="15" t="str">
        <f>IFERROR(INDEX('Formulación PDN 2027'!$AA$7:$AA$506,MATCH(ROW()-5,'Formulación PDN 2027'!$AK$7:$AK$506,0))&amp;"","")</f>
        <v/>
      </c>
      <c r="Q496" s="15" t="str">
        <f>IFERROR(INDEX('Formulación PDN 2027'!$AB$7:$AB$506,MATCH(ROW()-5,'Formulación PDN 2027'!$AK$7:$AK$506,0))&amp;"","")</f>
        <v/>
      </c>
      <c r="R496" s="15" t="str">
        <f>IFERROR(INDEX('Formulación PDN 2027'!$AD$7:$AD$506,MATCH(ROW()-5,'Formulación PDN 2027'!$AK$7:$AK$506,0))&amp;"","")</f>
        <v/>
      </c>
      <c r="S496" s="15" t="str">
        <f>IFERROR(INDEX('Formulación PDN 2027'!$AE$7:$AE$506,MATCH(ROW()-5,'Formulación PDN 2027'!$AK$7:$AK$506,0))&amp;"","")</f>
        <v/>
      </c>
      <c r="T496" s="15" t="str">
        <f>IFERROR(INDEX('Formulación PDN 2027'!$C$7:$C$506,MATCH(ROW()-5,'Formulación PDN 2027'!$AK$7:$AK$506,0))&amp;"","")</f>
        <v/>
      </c>
      <c r="U496" s="15" t="str">
        <f>IFERROR(INDEX('Formulación PDN 2027'!$B$7:$B$506,MATCH(ROW()-5,'Formulación PDN 2027'!$AK$7:$AK$506,0))&amp;"","")</f>
        <v/>
      </c>
      <c r="V496" s="15" t="str">
        <f>IFERROR(LEFT(INDEX('Formulación PDN 2027'!$E$7:$E$506,MATCH(ROW()-5,'Formulación PDN 2027'!$AK$7:$AK$506,0)),7),"")</f>
        <v/>
      </c>
      <c r="W496" s="15" t="str">
        <f>IFERROR(INDEX('Formulación PDN 2027'!$H$7:$H$506,MATCH(ROW()-5,'Formulación PDN 2027'!$AK$7:$AK$506,0))&amp;"","")</f>
        <v/>
      </c>
      <c r="X496" s="15" t="str">
        <f>IFERROR(INDEX('Formulación PDN 2027'!$U$7:$U$506,MATCH(ROW()-5,'Formulación PDN 2027'!$AK$7:$AK$506,0))&amp;"","")</f>
        <v/>
      </c>
      <c r="Y496" s="15" t="str">
        <f>IFERROR(INDEX('Formulación PDN 2027'!$AH$7:$AH$506,MATCH(ROW()-5,'Formulación PDN 2027'!$AK$7:$AK$506,0))&amp;"","")</f>
        <v/>
      </c>
    </row>
    <row r="497" spans="1:25" x14ac:dyDescent="0.3">
      <c r="A497" s="15" t="str">
        <f>IFERROR(INDEX('Formulación PDN 2027'!$A$7:$A$506,MATCH(ROW()-5,'Formulación PDN 2027'!$AK$7:$AK$506,0))&amp;"","")</f>
        <v/>
      </c>
      <c r="B497" s="20" t="str">
        <f>IFERROR(INDEX('Formulación PDN 2027'!$M$7:$M$506,MATCH(ROW()-5,'Formulación PDN 2027'!$AK$7:$AK$506,0)),"")</f>
        <v/>
      </c>
      <c r="C497" s="15" t="str">
        <f>IFERROR(INDEX('Formulación PDN 2027'!$N$7:$N$506,MATCH(ROW()-5,'Formulación PDN 2027'!$AK$7:$AK$506,0))&amp;"","")</f>
        <v/>
      </c>
      <c r="D497" s="15" t="str">
        <f>IFERROR(INDEX('Formulación PDN 2027'!$L$7:$L$506,MATCH(ROW()-5,'Formulación PDN 2027'!$AK$7:$AK$506,0))&amp;"","")</f>
        <v/>
      </c>
      <c r="E497" s="15" t="str">
        <f>IFERROR(MATCH(INDEX('Formulación PDN 2027'!$O$7:$O$506,MATCH(ROW()-5,'Formulación PDN 2027'!$AK$7:$AK$506,0)),L_MESES,0),"")</f>
        <v/>
      </c>
      <c r="F497" s="15" t="str">
        <f>IFERROR(MATCH(INDEX('Formulación PDN 2027'!$P$7:$P$506,MATCH(ROW()-5,'Formulación PDN 2027'!$AK$7:$AK$506,0)),L_MESES,0),"")</f>
        <v/>
      </c>
      <c r="G497" s="15" t="str">
        <f>IFERROR(INDEX('Formulación PDN 2027'!$Q$7:$Q$506,MATCH(ROW()-5,'Formulación PDN 2027'!$AK$7:$AK$506,0)),"")</f>
        <v/>
      </c>
      <c r="H497" s="15" t="str">
        <f>IFERROR(INDEX('Formulación PDN 2027'!$R$7:$R$506,MATCH(ROW()-5,'Formulación PDN 2027'!$AK$7:$AK$506,0))&amp;"","")</f>
        <v/>
      </c>
      <c r="I497" s="15" t="str">
        <f>IFERROR(INDEX('Formulación PDN 2027'!$S$7:$S$506,MATCH(ROW()-5,'Formulación PDN 2027'!$AK$7:$AK$506,0))&amp;"","")</f>
        <v/>
      </c>
      <c r="J497" s="15" t="str">
        <f>IFERROR(INDEX('Formulación PDN 2027'!$T$7:$T$506,MATCH(ROW()-5,'Formulación PDN 2027'!$AK$7:$AK$506,0))&amp;"","")</f>
        <v/>
      </c>
      <c r="K497" s="43" t="str">
        <f>IFERROR(INDEX('Formulación PDN 2027'!$W$7:$W$506,MATCH(ROW()-5,'Formulación PDN 2027'!$AK$7:$AK$506,0)),"")</f>
        <v/>
      </c>
      <c r="L497" s="43" t="str">
        <f>IFERROR(INDEX('Formulación PDN 2027'!$X$7:$X$506,MATCH(ROW()-5,'Formulación PDN 2027'!$AK$7:$AK$506,0)),"")</f>
        <v/>
      </c>
      <c r="M497" s="15" t="str">
        <f>IFERROR(INDEX('Formulación PDN 2027'!$Y$7:$Y$506,MATCH(ROW()-5,'Formulación PDN 2027'!$AK$7:$AK$506,0))&amp;"","")</f>
        <v/>
      </c>
      <c r="N497" s="15" t="str">
        <f>IFERROR(INDEX('Formulación PDN 2027'!$Z$7:$Z$506,MATCH(ROW()-5,'Formulación PDN 2027'!$AK$7:$AK$506,0))&amp;"","")</f>
        <v/>
      </c>
      <c r="O497" s="15"/>
      <c r="P497" s="15" t="str">
        <f>IFERROR(INDEX('Formulación PDN 2027'!$AA$7:$AA$506,MATCH(ROW()-5,'Formulación PDN 2027'!$AK$7:$AK$506,0))&amp;"","")</f>
        <v/>
      </c>
      <c r="Q497" s="15" t="str">
        <f>IFERROR(INDEX('Formulación PDN 2027'!$AB$7:$AB$506,MATCH(ROW()-5,'Formulación PDN 2027'!$AK$7:$AK$506,0))&amp;"","")</f>
        <v/>
      </c>
      <c r="R497" s="15" t="str">
        <f>IFERROR(INDEX('Formulación PDN 2027'!$AD$7:$AD$506,MATCH(ROW()-5,'Formulación PDN 2027'!$AK$7:$AK$506,0))&amp;"","")</f>
        <v/>
      </c>
      <c r="S497" s="15" t="str">
        <f>IFERROR(INDEX('Formulación PDN 2027'!$AE$7:$AE$506,MATCH(ROW()-5,'Formulación PDN 2027'!$AK$7:$AK$506,0))&amp;"","")</f>
        <v/>
      </c>
      <c r="T497" s="15" t="str">
        <f>IFERROR(INDEX('Formulación PDN 2027'!$C$7:$C$506,MATCH(ROW()-5,'Formulación PDN 2027'!$AK$7:$AK$506,0))&amp;"","")</f>
        <v/>
      </c>
      <c r="U497" s="15" t="str">
        <f>IFERROR(INDEX('Formulación PDN 2027'!$B$7:$B$506,MATCH(ROW()-5,'Formulación PDN 2027'!$AK$7:$AK$506,0))&amp;"","")</f>
        <v/>
      </c>
      <c r="V497" s="15" t="str">
        <f>IFERROR(LEFT(INDEX('Formulación PDN 2027'!$E$7:$E$506,MATCH(ROW()-5,'Formulación PDN 2027'!$AK$7:$AK$506,0)),7),"")</f>
        <v/>
      </c>
      <c r="W497" s="15" t="str">
        <f>IFERROR(INDEX('Formulación PDN 2027'!$H$7:$H$506,MATCH(ROW()-5,'Formulación PDN 2027'!$AK$7:$AK$506,0))&amp;"","")</f>
        <v/>
      </c>
      <c r="X497" s="15" t="str">
        <f>IFERROR(INDEX('Formulación PDN 2027'!$U$7:$U$506,MATCH(ROW()-5,'Formulación PDN 2027'!$AK$7:$AK$506,0))&amp;"","")</f>
        <v/>
      </c>
      <c r="Y497" s="15" t="str">
        <f>IFERROR(INDEX('Formulación PDN 2027'!$AH$7:$AH$506,MATCH(ROW()-5,'Formulación PDN 2027'!$AK$7:$AK$506,0))&amp;"","")</f>
        <v/>
      </c>
    </row>
    <row r="498" spans="1:25" x14ac:dyDescent="0.3">
      <c r="A498" s="15" t="str">
        <f>IFERROR(INDEX('Formulación PDN 2027'!$A$7:$A$506,MATCH(ROW()-5,'Formulación PDN 2027'!$AK$7:$AK$506,0))&amp;"","")</f>
        <v/>
      </c>
      <c r="B498" s="20" t="str">
        <f>IFERROR(INDEX('Formulación PDN 2027'!$M$7:$M$506,MATCH(ROW()-5,'Formulación PDN 2027'!$AK$7:$AK$506,0)),"")</f>
        <v/>
      </c>
      <c r="C498" s="15" t="str">
        <f>IFERROR(INDEX('Formulación PDN 2027'!$N$7:$N$506,MATCH(ROW()-5,'Formulación PDN 2027'!$AK$7:$AK$506,0))&amp;"","")</f>
        <v/>
      </c>
      <c r="D498" s="15" t="str">
        <f>IFERROR(INDEX('Formulación PDN 2027'!$L$7:$L$506,MATCH(ROW()-5,'Formulación PDN 2027'!$AK$7:$AK$506,0))&amp;"","")</f>
        <v/>
      </c>
      <c r="E498" s="15" t="str">
        <f>IFERROR(MATCH(INDEX('Formulación PDN 2027'!$O$7:$O$506,MATCH(ROW()-5,'Formulación PDN 2027'!$AK$7:$AK$506,0)),L_MESES,0),"")</f>
        <v/>
      </c>
      <c r="F498" s="15" t="str">
        <f>IFERROR(MATCH(INDEX('Formulación PDN 2027'!$P$7:$P$506,MATCH(ROW()-5,'Formulación PDN 2027'!$AK$7:$AK$506,0)),L_MESES,0),"")</f>
        <v/>
      </c>
      <c r="G498" s="15" t="str">
        <f>IFERROR(INDEX('Formulación PDN 2027'!$Q$7:$Q$506,MATCH(ROW()-5,'Formulación PDN 2027'!$AK$7:$AK$506,0)),"")</f>
        <v/>
      </c>
      <c r="H498" s="15" t="str">
        <f>IFERROR(INDEX('Formulación PDN 2027'!$R$7:$R$506,MATCH(ROW()-5,'Formulación PDN 2027'!$AK$7:$AK$506,0))&amp;"","")</f>
        <v/>
      </c>
      <c r="I498" s="15" t="str">
        <f>IFERROR(INDEX('Formulación PDN 2027'!$S$7:$S$506,MATCH(ROW()-5,'Formulación PDN 2027'!$AK$7:$AK$506,0))&amp;"","")</f>
        <v/>
      </c>
      <c r="J498" s="15" t="str">
        <f>IFERROR(INDEX('Formulación PDN 2027'!$T$7:$T$506,MATCH(ROW()-5,'Formulación PDN 2027'!$AK$7:$AK$506,0))&amp;"","")</f>
        <v/>
      </c>
      <c r="K498" s="43" t="str">
        <f>IFERROR(INDEX('Formulación PDN 2027'!$W$7:$W$506,MATCH(ROW()-5,'Formulación PDN 2027'!$AK$7:$AK$506,0)),"")</f>
        <v/>
      </c>
      <c r="L498" s="43" t="str">
        <f>IFERROR(INDEX('Formulación PDN 2027'!$X$7:$X$506,MATCH(ROW()-5,'Formulación PDN 2027'!$AK$7:$AK$506,0)),"")</f>
        <v/>
      </c>
      <c r="M498" s="15" t="str">
        <f>IFERROR(INDEX('Formulación PDN 2027'!$Y$7:$Y$506,MATCH(ROW()-5,'Formulación PDN 2027'!$AK$7:$AK$506,0))&amp;"","")</f>
        <v/>
      </c>
      <c r="N498" s="15" t="str">
        <f>IFERROR(INDEX('Formulación PDN 2027'!$Z$7:$Z$506,MATCH(ROW()-5,'Formulación PDN 2027'!$AK$7:$AK$506,0))&amp;"","")</f>
        <v/>
      </c>
      <c r="O498" s="15"/>
      <c r="P498" s="15" t="str">
        <f>IFERROR(INDEX('Formulación PDN 2027'!$AA$7:$AA$506,MATCH(ROW()-5,'Formulación PDN 2027'!$AK$7:$AK$506,0))&amp;"","")</f>
        <v/>
      </c>
      <c r="Q498" s="15" t="str">
        <f>IFERROR(INDEX('Formulación PDN 2027'!$AB$7:$AB$506,MATCH(ROW()-5,'Formulación PDN 2027'!$AK$7:$AK$506,0))&amp;"","")</f>
        <v/>
      </c>
      <c r="R498" s="15" t="str">
        <f>IFERROR(INDEX('Formulación PDN 2027'!$AD$7:$AD$506,MATCH(ROW()-5,'Formulación PDN 2027'!$AK$7:$AK$506,0))&amp;"","")</f>
        <v/>
      </c>
      <c r="S498" s="15" t="str">
        <f>IFERROR(INDEX('Formulación PDN 2027'!$AE$7:$AE$506,MATCH(ROW()-5,'Formulación PDN 2027'!$AK$7:$AK$506,0))&amp;"","")</f>
        <v/>
      </c>
      <c r="T498" s="15" t="str">
        <f>IFERROR(INDEX('Formulación PDN 2027'!$C$7:$C$506,MATCH(ROW()-5,'Formulación PDN 2027'!$AK$7:$AK$506,0))&amp;"","")</f>
        <v/>
      </c>
      <c r="U498" s="15" t="str">
        <f>IFERROR(INDEX('Formulación PDN 2027'!$B$7:$B$506,MATCH(ROW()-5,'Formulación PDN 2027'!$AK$7:$AK$506,0))&amp;"","")</f>
        <v/>
      </c>
      <c r="V498" s="15" t="str">
        <f>IFERROR(LEFT(INDEX('Formulación PDN 2027'!$E$7:$E$506,MATCH(ROW()-5,'Formulación PDN 2027'!$AK$7:$AK$506,0)),7),"")</f>
        <v/>
      </c>
      <c r="W498" s="15" t="str">
        <f>IFERROR(INDEX('Formulación PDN 2027'!$H$7:$H$506,MATCH(ROW()-5,'Formulación PDN 2027'!$AK$7:$AK$506,0))&amp;"","")</f>
        <v/>
      </c>
      <c r="X498" s="15" t="str">
        <f>IFERROR(INDEX('Formulación PDN 2027'!$U$7:$U$506,MATCH(ROW()-5,'Formulación PDN 2027'!$AK$7:$AK$506,0))&amp;"","")</f>
        <v/>
      </c>
      <c r="Y498" s="15" t="str">
        <f>IFERROR(INDEX('Formulación PDN 2027'!$AH$7:$AH$506,MATCH(ROW()-5,'Formulación PDN 2027'!$AK$7:$AK$506,0))&amp;"","")</f>
        <v/>
      </c>
    </row>
    <row r="499" spans="1:25" x14ac:dyDescent="0.3">
      <c r="A499" s="15" t="str">
        <f>IFERROR(INDEX('Formulación PDN 2027'!$A$7:$A$506,MATCH(ROW()-5,'Formulación PDN 2027'!$AK$7:$AK$506,0))&amp;"","")</f>
        <v/>
      </c>
      <c r="B499" s="20" t="str">
        <f>IFERROR(INDEX('Formulación PDN 2027'!$M$7:$M$506,MATCH(ROW()-5,'Formulación PDN 2027'!$AK$7:$AK$506,0)),"")</f>
        <v/>
      </c>
      <c r="C499" s="15" t="str">
        <f>IFERROR(INDEX('Formulación PDN 2027'!$N$7:$N$506,MATCH(ROW()-5,'Formulación PDN 2027'!$AK$7:$AK$506,0))&amp;"","")</f>
        <v/>
      </c>
      <c r="D499" s="15" t="str">
        <f>IFERROR(INDEX('Formulación PDN 2027'!$L$7:$L$506,MATCH(ROW()-5,'Formulación PDN 2027'!$AK$7:$AK$506,0))&amp;"","")</f>
        <v/>
      </c>
      <c r="E499" s="15" t="str">
        <f>IFERROR(MATCH(INDEX('Formulación PDN 2027'!$O$7:$O$506,MATCH(ROW()-5,'Formulación PDN 2027'!$AK$7:$AK$506,0)),L_MESES,0),"")</f>
        <v/>
      </c>
      <c r="F499" s="15" t="str">
        <f>IFERROR(MATCH(INDEX('Formulación PDN 2027'!$P$7:$P$506,MATCH(ROW()-5,'Formulación PDN 2027'!$AK$7:$AK$506,0)),L_MESES,0),"")</f>
        <v/>
      </c>
      <c r="G499" s="15" t="str">
        <f>IFERROR(INDEX('Formulación PDN 2027'!$Q$7:$Q$506,MATCH(ROW()-5,'Formulación PDN 2027'!$AK$7:$AK$506,0)),"")</f>
        <v/>
      </c>
      <c r="H499" s="15" t="str">
        <f>IFERROR(INDEX('Formulación PDN 2027'!$R$7:$R$506,MATCH(ROW()-5,'Formulación PDN 2027'!$AK$7:$AK$506,0))&amp;"","")</f>
        <v/>
      </c>
      <c r="I499" s="15" t="str">
        <f>IFERROR(INDEX('Formulación PDN 2027'!$S$7:$S$506,MATCH(ROW()-5,'Formulación PDN 2027'!$AK$7:$AK$506,0))&amp;"","")</f>
        <v/>
      </c>
      <c r="J499" s="15" t="str">
        <f>IFERROR(INDEX('Formulación PDN 2027'!$T$7:$T$506,MATCH(ROW()-5,'Formulación PDN 2027'!$AK$7:$AK$506,0))&amp;"","")</f>
        <v/>
      </c>
      <c r="K499" s="43" t="str">
        <f>IFERROR(INDEX('Formulación PDN 2027'!$W$7:$W$506,MATCH(ROW()-5,'Formulación PDN 2027'!$AK$7:$AK$506,0)),"")</f>
        <v/>
      </c>
      <c r="L499" s="43" t="str">
        <f>IFERROR(INDEX('Formulación PDN 2027'!$X$7:$X$506,MATCH(ROW()-5,'Formulación PDN 2027'!$AK$7:$AK$506,0)),"")</f>
        <v/>
      </c>
      <c r="M499" s="15" t="str">
        <f>IFERROR(INDEX('Formulación PDN 2027'!$Y$7:$Y$506,MATCH(ROW()-5,'Formulación PDN 2027'!$AK$7:$AK$506,0))&amp;"","")</f>
        <v/>
      </c>
      <c r="N499" s="15" t="str">
        <f>IFERROR(INDEX('Formulación PDN 2027'!$Z$7:$Z$506,MATCH(ROW()-5,'Formulación PDN 2027'!$AK$7:$AK$506,0))&amp;"","")</f>
        <v/>
      </c>
      <c r="O499" s="15"/>
      <c r="P499" s="15" t="str">
        <f>IFERROR(INDEX('Formulación PDN 2027'!$AA$7:$AA$506,MATCH(ROW()-5,'Formulación PDN 2027'!$AK$7:$AK$506,0))&amp;"","")</f>
        <v/>
      </c>
      <c r="Q499" s="15" t="str">
        <f>IFERROR(INDEX('Formulación PDN 2027'!$AB$7:$AB$506,MATCH(ROW()-5,'Formulación PDN 2027'!$AK$7:$AK$506,0))&amp;"","")</f>
        <v/>
      </c>
      <c r="R499" s="15" t="str">
        <f>IFERROR(INDEX('Formulación PDN 2027'!$AD$7:$AD$506,MATCH(ROW()-5,'Formulación PDN 2027'!$AK$7:$AK$506,0))&amp;"","")</f>
        <v/>
      </c>
      <c r="S499" s="15" t="str">
        <f>IFERROR(INDEX('Formulación PDN 2027'!$AE$7:$AE$506,MATCH(ROW()-5,'Formulación PDN 2027'!$AK$7:$AK$506,0))&amp;"","")</f>
        <v/>
      </c>
      <c r="T499" s="15" t="str">
        <f>IFERROR(INDEX('Formulación PDN 2027'!$C$7:$C$506,MATCH(ROW()-5,'Formulación PDN 2027'!$AK$7:$AK$506,0))&amp;"","")</f>
        <v/>
      </c>
      <c r="U499" s="15" t="str">
        <f>IFERROR(INDEX('Formulación PDN 2027'!$B$7:$B$506,MATCH(ROW()-5,'Formulación PDN 2027'!$AK$7:$AK$506,0))&amp;"","")</f>
        <v/>
      </c>
      <c r="V499" s="15" t="str">
        <f>IFERROR(LEFT(INDEX('Formulación PDN 2027'!$E$7:$E$506,MATCH(ROW()-5,'Formulación PDN 2027'!$AK$7:$AK$506,0)),7),"")</f>
        <v/>
      </c>
      <c r="W499" s="15" t="str">
        <f>IFERROR(INDEX('Formulación PDN 2027'!$H$7:$H$506,MATCH(ROW()-5,'Formulación PDN 2027'!$AK$7:$AK$506,0))&amp;"","")</f>
        <v/>
      </c>
      <c r="X499" s="15" t="str">
        <f>IFERROR(INDEX('Formulación PDN 2027'!$U$7:$U$506,MATCH(ROW()-5,'Formulación PDN 2027'!$AK$7:$AK$506,0))&amp;"","")</f>
        <v/>
      </c>
      <c r="Y499" s="15" t="str">
        <f>IFERROR(INDEX('Formulación PDN 2027'!$AH$7:$AH$506,MATCH(ROW()-5,'Formulación PDN 2027'!$AK$7:$AK$506,0))&amp;"","")</f>
        <v/>
      </c>
    </row>
    <row r="500" spans="1:25" x14ac:dyDescent="0.3">
      <c r="A500" s="15" t="str">
        <f>IFERROR(INDEX('Formulación PDN 2027'!$A$7:$A$506,MATCH(ROW()-5,'Formulación PDN 2027'!$AK$7:$AK$506,0))&amp;"","")</f>
        <v/>
      </c>
      <c r="B500" s="20" t="str">
        <f>IFERROR(INDEX('Formulación PDN 2027'!$M$7:$M$506,MATCH(ROW()-5,'Formulación PDN 2027'!$AK$7:$AK$506,0)),"")</f>
        <v/>
      </c>
      <c r="C500" s="15" t="str">
        <f>IFERROR(INDEX('Formulación PDN 2027'!$N$7:$N$506,MATCH(ROW()-5,'Formulación PDN 2027'!$AK$7:$AK$506,0))&amp;"","")</f>
        <v/>
      </c>
      <c r="D500" s="15" t="str">
        <f>IFERROR(INDEX('Formulación PDN 2027'!$L$7:$L$506,MATCH(ROW()-5,'Formulación PDN 2027'!$AK$7:$AK$506,0))&amp;"","")</f>
        <v/>
      </c>
      <c r="E500" s="15" t="str">
        <f>IFERROR(MATCH(INDEX('Formulación PDN 2027'!$O$7:$O$506,MATCH(ROW()-5,'Formulación PDN 2027'!$AK$7:$AK$506,0)),L_MESES,0),"")</f>
        <v/>
      </c>
      <c r="F500" s="15" t="str">
        <f>IFERROR(MATCH(INDEX('Formulación PDN 2027'!$P$7:$P$506,MATCH(ROW()-5,'Formulación PDN 2027'!$AK$7:$AK$506,0)),L_MESES,0),"")</f>
        <v/>
      </c>
      <c r="G500" s="15" t="str">
        <f>IFERROR(INDEX('Formulación PDN 2027'!$Q$7:$Q$506,MATCH(ROW()-5,'Formulación PDN 2027'!$AK$7:$AK$506,0)),"")</f>
        <v/>
      </c>
      <c r="H500" s="15" t="str">
        <f>IFERROR(INDEX('Formulación PDN 2027'!$R$7:$R$506,MATCH(ROW()-5,'Formulación PDN 2027'!$AK$7:$AK$506,0))&amp;"","")</f>
        <v/>
      </c>
      <c r="I500" s="15" t="str">
        <f>IFERROR(INDEX('Formulación PDN 2027'!$S$7:$S$506,MATCH(ROW()-5,'Formulación PDN 2027'!$AK$7:$AK$506,0))&amp;"","")</f>
        <v/>
      </c>
      <c r="J500" s="15" t="str">
        <f>IFERROR(INDEX('Formulación PDN 2027'!$T$7:$T$506,MATCH(ROW()-5,'Formulación PDN 2027'!$AK$7:$AK$506,0))&amp;"","")</f>
        <v/>
      </c>
      <c r="K500" s="43" t="str">
        <f>IFERROR(INDEX('Formulación PDN 2027'!$W$7:$W$506,MATCH(ROW()-5,'Formulación PDN 2027'!$AK$7:$AK$506,0)),"")</f>
        <v/>
      </c>
      <c r="L500" s="43" t="str">
        <f>IFERROR(INDEX('Formulación PDN 2027'!$X$7:$X$506,MATCH(ROW()-5,'Formulación PDN 2027'!$AK$7:$AK$506,0)),"")</f>
        <v/>
      </c>
      <c r="M500" s="15" t="str">
        <f>IFERROR(INDEX('Formulación PDN 2027'!$Y$7:$Y$506,MATCH(ROW()-5,'Formulación PDN 2027'!$AK$7:$AK$506,0))&amp;"","")</f>
        <v/>
      </c>
      <c r="N500" s="15" t="str">
        <f>IFERROR(INDEX('Formulación PDN 2027'!$Z$7:$Z$506,MATCH(ROW()-5,'Formulación PDN 2027'!$AK$7:$AK$506,0))&amp;"","")</f>
        <v/>
      </c>
      <c r="O500" s="15"/>
      <c r="P500" s="15" t="str">
        <f>IFERROR(INDEX('Formulación PDN 2027'!$AA$7:$AA$506,MATCH(ROW()-5,'Formulación PDN 2027'!$AK$7:$AK$506,0))&amp;"","")</f>
        <v/>
      </c>
      <c r="Q500" s="15" t="str">
        <f>IFERROR(INDEX('Formulación PDN 2027'!$AB$7:$AB$506,MATCH(ROW()-5,'Formulación PDN 2027'!$AK$7:$AK$506,0))&amp;"","")</f>
        <v/>
      </c>
      <c r="R500" s="15" t="str">
        <f>IFERROR(INDEX('Formulación PDN 2027'!$AD$7:$AD$506,MATCH(ROW()-5,'Formulación PDN 2027'!$AK$7:$AK$506,0))&amp;"","")</f>
        <v/>
      </c>
      <c r="S500" s="15" t="str">
        <f>IFERROR(INDEX('Formulación PDN 2027'!$AE$7:$AE$506,MATCH(ROW()-5,'Formulación PDN 2027'!$AK$7:$AK$506,0))&amp;"","")</f>
        <v/>
      </c>
      <c r="T500" s="15" t="str">
        <f>IFERROR(INDEX('Formulación PDN 2027'!$C$7:$C$506,MATCH(ROW()-5,'Formulación PDN 2027'!$AK$7:$AK$506,0))&amp;"","")</f>
        <v/>
      </c>
      <c r="U500" s="15" t="str">
        <f>IFERROR(INDEX('Formulación PDN 2027'!$B$7:$B$506,MATCH(ROW()-5,'Formulación PDN 2027'!$AK$7:$AK$506,0))&amp;"","")</f>
        <v/>
      </c>
      <c r="V500" s="15" t="str">
        <f>IFERROR(LEFT(INDEX('Formulación PDN 2027'!$E$7:$E$506,MATCH(ROW()-5,'Formulación PDN 2027'!$AK$7:$AK$506,0)),7),"")</f>
        <v/>
      </c>
      <c r="W500" s="15" t="str">
        <f>IFERROR(INDEX('Formulación PDN 2027'!$H$7:$H$506,MATCH(ROW()-5,'Formulación PDN 2027'!$AK$7:$AK$506,0))&amp;"","")</f>
        <v/>
      </c>
      <c r="X500" s="15" t="str">
        <f>IFERROR(INDEX('Formulación PDN 2027'!$U$7:$U$506,MATCH(ROW()-5,'Formulación PDN 2027'!$AK$7:$AK$506,0))&amp;"","")</f>
        <v/>
      </c>
      <c r="Y500" s="15" t="str">
        <f>IFERROR(INDEX('Formulación PDN 2027'!$AH$7:$AH$506,MATCH(ROW()-5,'Formulación PDN 2027'!$AK$7:$AK$506,0))&amp;"","")</f>
        <v/>
      </c>
    </row>
    <row r="501" spans="1:25" x14ac:dyDescent="0.3">
      <c r="A501" s="15" t="str">
        <f>IFERROR(INDEX('Formulación PDN 2027'!$A$7:$A$506,MATCH(ROW()-5,'Formulación PDN 2027'!$AK$7:$AK$506,0))&amp;"","")</f>
        <v/>
      </c>
      <c r="B501" s="20" t="str">
        <f>IFERROR(INDEX('Formulación PDN 2027'!$M$7:$M$506,MATCH(ROW()-5,'Formulación PDN 2027'!$AK$7:$AK$506,0)),"")</f>
        <v/>
      </c>
      <c r="C501" s="15" t="str">
        <f>IFERROR(INDEX('Formulación PDN 2027'!$N$7:$N$506,MATCH(ROW()-5,'Formulación PDN 2027'!$AK$7:$AK$506,0))&amp;"","")</f>
        <v/>
      </c>
      <c r="D501" s="15" t="str">
        <f>IFERROR(INDEX('Formulación PDN 2027'!$L$7:$L$506,MATCH(ROW()-5,'Formulación PDN 2027'!$AK$7:$AK$506,0))&amp;"","")</f>
        <v/>
      </c>
      <c r="E501" s="15" t="str">
        <f>IFERROR(MATCH(INDEX('Formulación PDN 2027'!$O$7:$O$506,MATCH(ROW()-5,'Formulación PDN 2027'!$AK$7:$AK$506,0)),L_MESES,0),"")</f>
        <v/>
      </c>
      <c r="F501" s="15" t="str">
        <f>IFERROR(MATCH(INDEX('Formulación PDN 2027'!$P$7:$P$506,MATCH(ROW()-5,'Formulación PDN 2027'!$AK$7:$AK$506,0)),L_MESES,0),"")</f>
        <v/>
      </c>
      <c r="G501" s="15" t="str">
        <f>IFERROR(INDEX('Formulación PDN 2027'!$Q$7:$Q$506,MATCH(ROW()-5,'Formulación PDN 2027'!$AK$7:$AK$506,0)),"")</f>
        <v/>
      </c>
      <c r="H501" s="15" t="str">
        <f>IFERROR(INDEX('Formulación PDN 2027'!$R$7:$R$506,MATCH(ROW()-5,'Formulación PDN 2027'!$AK$7:$AK$506,0))&amp;"","")</f>
        <v/>
      </c>
      <c r="I501" s="15" t="str">
        <f>IFERROR(INDEX('Formulación PDN 2027'!$S$7:$S$506,MATCH(ROW()-5,'Formulación PDN 2027'!$AK$7:$AK$506,0))&amp;"","")</f>
        <v/>
      </c>
      <c r="J501" s="15" t="str">
        <f>IFERROR(INDEX('Formulación PDN 2027'!$T$7:$T$506,MATCH(ROW()-5,'Formulación PDN 2027'!$AK$7:$AK$506,0))&amp;"","")</f>
        <v/>
      </c>
      <c r="K501" s="43" t="str">
        <f>IFERROR(INDEX('Formulación PDN 2027'!$W$7:$W$506,MATCH(ROW()-5,'Formulación PDN 2027'!$AK$7:$AK$506,0)),"")</f>
        <v/>
      </c>
      <c r="L501" s="43" t="str">
        <f>IFERROR(INDEX('Formulación PDN 2027'!$X$7:$X$506,MATCH(ROW()-5,'Formulación PDN 2027'!$AK$7:$AK$506,0)),"")</f>
        <v/>
      </c>
      <c r="M501" s="15" t="str">
        <f>IFERROR(INDEX('Formulación PDN 2027'!$Y$7:$Y$506,MATCH(ROW()-5,'Formulación PDN 2027'!$AK$7:$AK$506,0))&amp;"","")</f>
        <v/>
      </c>
      <c r="N501" s="15" t="str">
        <f>IFERROR(INDEX('Formulación PDN 2027'!$Z$7:$Z$506,MATCH(ROW()-5,'Formulación PDN 2027'!$AK$7:$AK$506,0))&amp;"","")</f>
        <v/>
      </c>
      <c r="O501" s="15"/>
      <c r="P501" s="15" t="str">
        <f>IFERROR(INDEX('Formulación PDN 2027'!$AA$7:$AA$506,MATCH(ROW()-5,'Formulación PDN 2027'!$AK$7:$AK$506,0))&amp;"","")</f>
        <v/>
      </c>
      <c r="Q501" s="15" t="str">
        <f>IFERROR(INDEX('Formulación PDN 2027'!$AB$7:$AB$506,MATCH(ROW()-5,'Formulación PDN 2027'!$AK$7:$AK$506,0))&amp;"","")</f>
        <v/>
      </c>
      <c r="R501" s="15" t="str">
        <f>IFERROR(INDEX('Formulación PDN 2027'!$AD$7:$AD$506,MATCH(ROW()-5,'Formulación PDN 2027'!$AK$7:$AK$506,0))&amp;"","")</f>
        <v/>
      </c>
      <c r="S501" s="15" t="str">
        <f>IFERROR(INDEX('Formulación PDN 2027'!$AE$7:$AE$506,MATCH(ROW()-5,'Formulación PDN 2027'!$AK$7:$AK$506,0))&amp;"","")</f>
        <v/>
      </c>
      <c r="T501" s="15" t="str">
        <f>IFERROR(INDEX('Formulación PDN 2027'!$C$7:$C$506,MATCH(ROW()-5,'Formulación PDN 2027'!$AK$7:$AK$506,0))&amp;"","")</f>
        <v/>
      </c>
      <c r="U501" s="15" t="str">
        <f>IFERROR(INDEX('Formulación PDN 2027'!$B$7:$B$506,MATCH(ROW()-5,'Formulación PDN 2027'!$AK$7:$AK$506,0))&amp;"","")</f>
        <v/>
      </c>
      <c r="V501" s="15" t="str">
        <f>IFERROR(LEFT(INDEX('Formulación PDN 2027'!$E$7:$E$506,MATCH(ROW()-5,'Formulación PDN 2027'!$AK$7:$AK$506,0)),7),"")</f>
        <v/>
      </c>
      <c r="W501" s="15" t="str">
        <f>IFERROR(INDEX('Formulación PDN 2027'!$H$7:$H$506,MATCH(ROW()-5,'Formulación PDN 2027'!$AK$7:$AK$506,0))&amp;"","")</f>
        <v/>
      </c>
      <c r="X501" s="15" t="str">
        <f>IFERROR(INDEX('Formulación PDN 2027'!$U$7:$U$506,MATCH(ROW()-5,'Formulación PDN 2027'!$AK$7:$AK$506,0))&amp;"","")</f>
        <v/>
      </c>
      <c r="Y501" s="15" t="str">
        <f>IFERROR(INDEX('Formulación PDN 2027'!$AH$7:$AH$506,MATCH(ROW()-5,'Formulación PDN 2027'!$AK$7:$AK$506,0))&amp;"","")</f>
        <v/>
      </c>
    </row>
    <row r="502" spans="1:25" x14ac:dyDescent="0.3">
      <c r="A502" s="15" t="str">
        <f>IFERROR(INDEX('Formulación PDN 2027'!$A$7:$A$506,MATCH(ROW()-5,'Formulación PDN 2027'!$AK$7:$AK$506,0))&amp;"","")</f>
        <v/>
      </c>
      <c r="B502" s="20" t="str">
        <f>IFERROR(INDEX('Formulación PDN 2027'!$M$7:$M$506,MATCH(ROW()-5,'Formulación PDN 2027'!$AK$7:$AK$506,0)),"")</f>
        <v/>
      </c>
      <c r="C502" s="15" t="str">
        <f>IFERROR(INDEX('Formulación PDN 2027'!$N$7:$N$506,MATCH(ROW()-5,'Formulación PDN 2027'!$AK$7:$AK$506,0))&amp;"","")</f>
        <v/>
      </c>
      <c r="D502" s="15" t="str">
        <f>IFERROR(INDEX('Formulación PDN 2027'!$L$7:$L$506,MATCH(ROW()-5,'Formulación PDN 2027'!$AK$7:$AK$506,0))&amp;"","")</f>
        <v/>
      </c>
      <c r="E502" s="15" t="str">
        <f>IFERROR(MATCH(INDEX('Formulación PDN 2027'!$O$7:$O$506,MATCH(ROW()-5,'Formulación PDN 2027'!$AK$7:$AK$506,0)),L_MESES,0),"")</f>
        <v/>
      </c>
      <c r="F502" s="15" t="str">
        <f>IFERROR(MATCH(INDEX('Formulación PDN 2027'!$P$7:$P$506,MATCH(ROW()-5,'Formulación PDN 2027'!$AK$7:$AK$506,0)),L_MESES,0),"")</f>
        <v/>
      </c>
      <c r="G502" s="15" t="str">
        <f>IFERROR(INDEX('Formulación PDN 2027'!$Q$7:$Q$506,MATCH(ROW()-5,'Formulación PDN 2027'!$AK$7:$AK$506,0)),"")</f>
        <v/>
      </c>
      <c r="H502" s="15" t="str">
        <f>IFERROR(INDEX('Formulación PDN 2027'!$R$7:$R$506,MATCH(ROW()-5,'Formulación PDN 2027'!$AK$7:$AK$506,0))&amp;"","")</f>
        <v/>
      </c>
      <c r="I502" s="15" t="str">
        <f>IFERROR(INDEX('Formulación PDN 2027'!$S$7:$S$506,MATCH(ROW()-5,'Formulación PDN 2027'!$AK$7:$AK$506,0))&amp;"","")</f>
        <v/>
      </c>
      <c r="J502" s="15" t="str">
        <f>IFERROR(INDEX('Formulación PDN 2027'!$T$7:$T$506,MATCH(ROW()-5,'Formulación PDN 2027'!$AK$7:$AK$506,0))&amp;"","")</f>
        <v/>
      </c>
      <c r="K502" s="43" t="str">
        <f>IFERROR(INDEX('Formulación PDN 2027'!$W$7:$W$506,MATCH(ROW()-5,'Formulación PDN 2027'!$AK$7:$AK$506,0)),"")</f>
        <v/>
      </c>
      <c r="L502" s="43" t="str">
        <f>IFERROR(INDEX('Formulación PDN 2027'!$X$7:$X$506,MATCH(ROW()-5,'Formulación PDN 2027'!$AK$7:$AK$506,0)),"")</f>
        <v/>
      </c>
      <c r="M502" s="15" t="str">
        <f>IFERROR(INDEX('Formulación PDN 2027'!$Y$7:$Y$506,MATCH(ROW()-5,'Formulación PDN 2027'!$AK$7:$AK$506,0))&amp;"","")</f>
        <v/>
      </c>
      <c r="N502" s="15" t="str">
        <f>IFERROR(INDEX('Formulación PDN 2027'!$Z$7:$Z$506,MATCH(ROW()-5,'Formulación PDN 2027'!$AK$7:$AK$506,0))&amp;"","")</f>
        <v/>
      </c>
      <c r="O502" s="15"/>
      <c r="P502" s="15" t="str">
        <f>IFERROR(INDEX('Formulación PDN 2027'!$AA$7:$AA$506,MATCH(ROW()-5,'Formulación PDN 2027'!$AK$7:$AK$506,0))&amp;"","")</f>
        <v/>
      </c>
      <c r="Q502" s="15" t="str">
        <f>IFERROR(INDEX('Formulación PDN 2027'!$AB$7:$AB$506,MATCH(ROW()-5,'Formulación PDN 2027'!$AK$7:$AK$506,0))&amp;"","")</f>
        <v/>
      </c>
      <c r="R502" s="15" t="str">
        <f>IFERROR(INDEX('Formulación PDN 2027'!$AD$7:$AD$506,MATCH(ROW()-5,'Formulación PDN 2027'!$AK$7:$AK$506,0))&amp;"","")</f>
        <v/>
      </c>
      <c r="S502" s="15" t="str">
        <f>IFERROR(INDEX('Formulación PDN 2027'!$AE$7:$AE$506,MATCH(ROW()-5,'Formulación PDN 2027'!$AK$7:$AK$506,0))&amp;"","")</f>
        <v/>
      </c>
      <c r="T502" s="15" t="str">
        <f>IFERROR(INDEX('Formulación PDN 2027'!$C$7:$C$506,MATCH(ROW()-5,'Formulación PDN 2027'!$AK$7:$AK$506,0))&amp;"","")</f>
        <v/>
      </c>
      <c r="U502" s="15" t="str">
        <f>IFERROR(INDEX('Formulación PDN 2027'!$B$7:$B$506,MATCH(ROW()-5,'Formulación PDN 2027'!$AK$7:$AK$506,0))&amp;"","")</f>
        <v/>
      </c>
      <c r="V502" s="15" t="str">
        <f>IFERROR(LEFT(INDEX('Formulación PDN 2027'!$E$7:$E$506,MATCH(ROW()-5,'Formulación PDN 2027'!$AK$7:$AK$506,0)),7),"")</f>
        <v/>
      </c>
      <c r="W502" s="15" t="str">
        <f>IFERROR(INDEX('Formulación PDN 2027'!$H$7:$H$506,MATCH(ROW()-5,'Formulación PDN 2027'!$AK$7:$AK$506,0))&amp;"","")</f>
        <v/>
      </c>
      <c r="X502" s="15" t="str">
        <f>IFERROR(INDEX('Formulación PDN 2027'!$U$7:$U$506,MATCH(ROW()-5,'Formulación PDN 2027'!$AK$7:$AK$506,0))&amp;"","")</f>
        <v/>
      </c>
      <c r="Y502" s="15" t="str">
        <f>IFERROR(INDEX('Formulación PDN 2027'!$AH$7:$AH$506,MATCH(ROW()-5,'Formulación PDN 2027'!$AK$7:$AK$506,0))&amp;"","")</f>
        <v/>
      </c>
    </row>
    <row r="503" spans="1:25" x14ac:dyDescent="0.3">
      <c r="A503" s="15" t="str">
        <f>IFERROR(INDEX('Formulación PDN 2027'!$A$7:$A$506,MATCH(ROW()-5,'Formulación PDN 2027'!$AK$7:$AK$506,0))&amp;"","")</f>
        <v/>
      </c>
      <c r="B503" s="20" t="str">
        <f>IFERROR(INDEX('Formulación PDN 2027'!$M$7:$M$506,MATCH(ROW()-5,'Formulación PDN 2027'!$AK$7:$AK$506,0)),"")</f>
        <v/>
      </c>
      <c r="C503" s="15" t="str">
        <f>IFERROR(INDEX('Formulación PDN 2027'!$N$7:$N$506,MATCH(ROW()-5,'Formulación PDN 2027'!$AK$7:$AK$506,0))&amp;"","")</f>
        <v/>
      </c>
      <c r="D503" s="15" t="str">
        <f>IFERROR(INDEX('Formulación PDN 2027'!$L$7:$L$506,MATCH(ROW()-5,'Formulación PDN 2027'!$AK$7:$AK$506,0))&amp;"","")</f>
        <v/>
      </c>
      <c r="E503" s="15" t="str">
        <f>IFERROR(MATCH(INDEX('Formulación PDN 2027'!$O$7:$O$506,MATCH(ROW()-5,'Formulación PDN 2027'!$AK$7:$AK$506,0)),L_MESES,0),"")</f>
        <v/>
      </c>
      <c r="F503" s="15" t="str">
        <f>IFERROR(MATCH(INDEX('Formulación PDN 2027'!$P$7:$P$506,MATCH(ROW()-5,'Formulación PDN 2027'!$AK$7:$AK$506,0)),L_MESES,0),"")</f>
        <v/>
      </c>
      <c r="G503" s="15" t="str">
        <f>IFERROR(INDEX('Formulación PDN 2027'!$Q$7:$Q$506,MATCH(ROW()-5,'Formulación PDN 2027'!$AK$7:$AK$506,0)),"")</f>
        <v/>
      </c>
      <c r="H503" s="15" t="str">
        <f>IFERROR(INDEX('Formulación PDN 2027'!$R$7:$R$506,MATCH(ROW()-5,'Formulación PDN 2027'!$AK$7:$AK$506,0))&amp;"","")</f>
        <v/>
      </c>
      <c r="I503" s="15" t="str">
        <f>IFERROR(INDEX('Formulación PDN 2027'!$S$7:$S$506,MATCH(ROW()-5,'Formulación PDN 2027'!$AK$7:$AK$506,0))&amp;"","")</f>
        <v/>
      </c>
      <c r="J503" s="15" t="str">
        <f>IFERROR(INDEX('Formulación PDN 2027'!$T$7:$T$506,MATCH(ROW()-5,'Formulación PDN 2027'!$AK$7:$AK$506,0))&amp;"","")</f>
        <v/>
      </c>
      <c r="K503" s="43" t="str">
        <f>IFERROR(INDEX('Formulación PDN 2027'!$W$7:$W$506,MATCH(ROW()-5,'Formulación PDN 2027'!$AK$7:$AK$506,0)),"")</f>
        <v/>
      </c>
      <c r="L503" s="43" t="str">
        <f>IFERROR(INDEX('Formulación PDN 2027'!$X$7:$X$506,MATCH(ROW()-5,'Formulación PDN 2027'!$AK$7:$AK$506,0)),"")</f>
        <v/>
      </c>
      <c r="M503" s="15" t="str">
        <f>IFERROR(INDEX('Formulación PDN 2027'!$Y$7:$Y$506,MATCH(ROW()-5,'Formulación PDN 2027'!$AK$7:$AK$506,0))&amp;"","")</f>
        <v/>
      </c>
      <c r="N503" s="15" t="str">
        <f>IFERROR(INDEX('Formulación PDN 2027'!$Z$7:$Z$506,MATCH(ROW()-5,'Formulación PDN 2027'!$AK$7:$AK$506,0))&amp;"","")</f>
        <v/>
      </c>
      <c r="O503" s="15"/>
      <c r="P503" s="15" t="str">
        <f>IFERROR(INDEX('Formulación PDN 2027'!$AA$7:$AA$506,MATCH(ROW()-5,'Formulación PDN 2027'!$AK$7:$AK$506,0))&amp;"","")</f>
        <v/>
      </c>
      <c r="Q503" s="15" t="str">
        <f>IFERROR(INDEX('Formulación PDN 2027'!$AB$7:$AB$506,MATCH(ROW()-5,'Formulación PDN 2027'!$AK$7:$AK$506,0))&amp;"","")</f>
        <v/>
      </c>
      <c r="R503" s="15" t="str">
        <f>IFERROR(INDEX('Formulación PDN 2027'!$AD$7:$AD$506,MATCH(ROW()-5,'Formulación PDN 2027'!$AK$7:$AK$506,0))&amp;"","")</f>
        <v/>
      </c>
      <c r="S503" s="15" t="str">
        <f>IFERROR(INDEX('Formulación PDN 2027'!$AE$7:$AE$506,MATCH(ROW()-5,'Formulación PDN 2027'!$AK$7:$AK$506,0))&amp;"","")</f>
        <v/>
      </c>
      <c r="T503" s="15" t="str">
        <f>IFERROR(INDEX('Formulación PDN 2027'!$C$7:$C$506,MATCH(ROW()-5,'Formulación PDN 2027'!$AK$7:$AK$506,0))&amp;"","")</f>
        <v/>
      </c>
      <c r="U503" s="15" t="str">
        <f>IFERROR(INDEX('Formulación PDN 2027'!$B$7:$B$506,MATCH(ROW()-5,'Formulación PDN 2027'!$AK$7:$AK$506,0))&amp;"","")</f>
        <v/>
      </c>
      <c r="V503" s="15" t="str">
        <f>IFERROR(LEFT(INDEX('Formulación PDN 2027'!$E$7:$E$506,MATCH(ROW()-5,'Formulación PDN 2027'!$AK$7:$AK$506,0)),7),"")</f>
        <v/>
      </c>
      <c r="W503" s="15" t="str">
        <f>IFERROR(INDEX('Formulación PDN 2027'!$H$7:$H$506,MATCH(ROW()-5,'Formulación PDN 2027'!$AK$7:$AK$506,0))&amp;"","")</f>
        <v/>
      </c>
      <c r="X503" s="15" t="str">
        <f>IFERROR(INDEX('Formulación PDN 2027'!$U$7:$U$506,MATCH(ROW()-5,'Formulación PDN 2027'!$AK$7:$AK$506,0))&amp;"","")</f>
        <v/>
      </c>
      <c r="Y503" s="15" t="str">
        <f>IFERROR(INDEX('Formulación PDN 2027'!$AH$7:$AH$506,MATCH(ROW()-5,'Formulación PDN 2027'!$AK$7:$AK$506,0))&amp;"","")</f>
        <v/>
      </c>
    </row>
    <row r="504" spans="1:25" x14ac:dyDescent="0.3">
      <c r="A504" s="15" t="str">
        <f>IFERROR(INDEX('Formulación PDN 2027'!$A$7:$A$506,MATCH(ROW()-5,'Formulación PDN 2027'!$AK$7:$AK$506,0))&amp;"","")</f>
        <v/>
      </c>
      <c r="B504" s="20" t="str">
        <f>IFERROR(INDEX('Formulación PDN 2027'!$M$7:$M$506,MATCH(ROW()-5,'Formulación PDN 2027'!$AK$7:$AK$506,0)),"")</f>
        <v/>
      </c>
      <c r="C504" s="15" t="str">
        <f>IFERROR(INDEX('Formulación PDN 2027'!$N$7:$N$506,MATCH(ROW()-5,'Formulación PDN 2027'!$AK$7:$AK$506,0))&amp;"","")</f>
        <v/>
      </c>
      <c r="D504" s="15" t="str">
        <f>IFERROR(INDEX('Formulación PDN 2027'!$L$7:$L$506,MATCH(ROW()-5,'Formulación PDN 2027'!$AK$7:$AK$506,0))&amp;"","")</f>
        <v/>
      </c>
      <c r="E504" s="15" t="str">
        <f>IFERROR(MATCH(INDEX('Formulación PDN 2027'!$O$7:$O$506,MATCH(ROW()-5,'Formulación PDN 2027'!$AK$7:$AK$506,0)),L_MESES,0),"")</f>
        <v/>
      </c>
      <c r="F504" s="15" t="str">
        <f>IFERROR(MATCH(INDEX('Formulación PDN 2027'!$P$7:$P$506,MATCH(ROW()-5,'Formulación PDN 2027'!$AK$7:$AK$506,0)),L_MESES,0),"")</f>
        <v/>
      </c>
      <c r="G504" s="15" t="str">
        <f>IFERROR(INDEX('Formulación PDN 2027'!$Q$7:$Q$506,MATCH(ROW()-5,'Formulación PDN 2027'!$AK$7:$AK$506,0)),"")</f>
        <v/>
      </c>
      <c r="H504" s="15" t="str">
        <f>IFERROR(INDEX('Formulación PDN 2027'!$R$7:$R$506,MATCH(ROW()-5,'Formulación PDN 2027'!$AK$7:$AK$506,0))&amp;"","")</f>
        <v/>
      </c>
      <c r="I504" s="15" t="str">
        <f>IFERROR(INDEX('Formulación PDN 2027'!$S$7:$S$506,MATCH(ROW()-5,'Formulación PDN 2027'!$AK$7:$AK$506,0))&amp;"","")</f>
        <v/>
      </c>
      <c r="J504" s="15" t="str">
        <f>IFERROR(INDEX('Formulación PDN 2027'!$T$7:$T$506,MATCH(ROW()-5,'Formulación PDN 2027'!$AK$7:$AK$506,0))&amp;"","")</f>
        <v/>
      </c>
      <c r="K504" s="43" t="str">
        <f>IFERROR(INDEX('Formulación PDN 2027'!$W$7:$W$506,MATCH(ROW()-5,'Formulación PDN 2027'!$AK$7:$AK$506,0)),"")</f>
        <v/>
      </c>
      <c r="L504" s="43" t="str">
        <f>IFERROR(INDEX('Formulación PDN 2027'!$X$7:$X$506,MATCH(ROW()-5,'Formulación PDN 2027'!$AK$7:$AK$506,0)),"")</f>
        <v/>
      </c>
      <c r="M504" s="15" t="str">
        <f>IFERROR(INDEX('Formulación PDN 2027'!$Y$7:$Y$506,MATCH(ROW()-5,'Formulación PDN 2027'!$AK$7:$AK$506,0))&amp;"","")</f>
        <v/>
      </c>
      <c r="N504" s="15" t="str">
        <f>IFERROR(INDEX('Formulación PDN 2027'!$Z$7:$Z$506,MATCH(ROW()-5,'Formulación PDN 2027'!$AK$7:$AK$506,0))&amp;"","")</f>
        <v/>
      </c>
      <c r="O504" s="15"/>
      <c r="P504" s="15" t="str">
        <f>IFERROR(INDEX('Formulación PDN 2027'!$AA$7:$AA$506,MATCH(ROW()-5,'Formulación PDN 2027'!$AK$7:$AK$506,0))&amp;"","")</f>
        <v/>
      </c>
      <c r="Q504" s="15" t="str">
        <f>IFERROR(INDEX('Formulación PDN 2027'!$AB$7:$AB$506,MATCH(ROW()-5,'Formulación PDN 2027'!$AK$7:$AK$506,0))&amp;"","")</f>
        <v/>
      </c>
      <c r="R504" s="15" t="str">
        <f>IFERROR(INDEX('Formulación PDN 2027'!$AD$7:$AD$506,MATCH(ROW()-5,'Formulación PDN 2027'!$AK$7:$AK$506,0))&amp;"","")</f>
        <v/>
      </c>
      <c r="S504" s="15" t="str">
        <f>IFERROR(INDEX('Formulación PDN 2027'!$AE$7:$AE$506,MATCH(ROW()-5,'Formulación PDN 2027'!$AK$7:$AK$506,0))&amp;"","")</f>
        <v/>
      </c>
      <c r="T504" s="15" t="str">
        <f>IFERROR(INDEX('Formulación PDN 2027'!$C$7:$C$506,MATCH(ROW()-5,'Formulación PDN 2027'!$AK$7:$AK$506,0))&amp;"","")</f>
        <v/>
      </c>
      <c r="U504" s="15" t="str">
        <f>IFERROR(INDEX('Formulación PDN 2027'!$B$7:$B$506,MATCH(ROW()-5,'Formulación PDN 2027'!$AK$7:$AK$506,0))&amp;"","")</f>
        <v/>
      </c>
      <c r="V504" s="15" t="str">
        <f>IFERROR(LEFT(INDEX('Formulación PDN 2027'!$E$7:$E$506,MATCH(ROW()-5,'Formulación PDN 2027'!$AK$7:$AK$506,0)),7),"")</f>
        <v/>
      </c>
      <c r="W504" s="15" t="str">
        <f>IFERROR(INDEX('Formulación PDN 2027'!$H$7:$H$506,MATCH(ROW()-5,'Formulación PDN 2027'!$AK$7:$AK$506,0))&amp;"","")</f>
        <v/>
      </c>
      <c r="X504" s="15" t="str">
        <f>IFERROR(INDEX('Formulación PDN 2027'!$U$7:$U$506,MATCH(ROW()-5,'Formulación PDN 2027'!$AK$7:$AK$506,0))&amp;"","")</f>
        <v/>
      </c>
      <c r="Y504" s="15" t="str">
        <f>IFERROR(INDEX('Formulación PDN 2027'!$AH$7:$AH$506,MATCH(ROW()-5,'Formulación PDN 2027'!$AK$7:$AK$506,0))&amp;"","")</f>
        <v/>
      </c>
    </row>
    <row r="505" spans="1:25" x14ac:dyDescent="0.3">
      <c r="A505" s="15" t="str">
        <f>IFERROR(INDEX('Formulación PDN 2027'!$A$7:$A$506,MATCH(ROW()-5,'Formulación PDN 2027'!$AK$7:$AK$506,0))&amp;"","")</f>
        <v/>
      </c>
      <c r="B505" s="20" t="str">
        <f>IFERROR(INDEX('Formulación PDN 2027'!$M$7:$M$506,MATCH(ROW()-5,'Formulación PDN 2027'!$AK$7:$AK$506,0)),"")</f>
        <v/>
      </c>
      <c r="C505" s="15" t="str">
        <f>IFERROR(INDEX('Formulación PDN 2027'!$N$7:$N$506,MATCH(ROW()-5,'Formulación PDN 2027'!$AK$7:$AK$506,0))&amp;"","")</f>
        <v/>
      </c>
      <c r="D505" s="15" t="str">
        <f>IFERROR(INDEX('Formulación PDN 2027'!$L$7:$L$506,MATCH(ROW()-5,'Formulación PDN 2027'!$AK$7:$AK$506,0))&amp;"","")</f>
        <v/>
      </c>
      <c r="E505" s="15" t="str">
        <f>IFERROR(MATCH(INDEX('Formulación PDN 2027'!$O$7:$O$506,MATCH(ROW()-5,'Formulación PDN 2027'!$AK$7:$AK$506,0)),L_MESES,0),"")</f>
        <v/>
      </c>
      <c r="F505" s="15" t="str">
        <f>IFERROR(MATCH(INDEX('Formulación PDN 2027'!$P$7:$P$506,MATCH(ROW()-5,'Formulación PDN 2027'!$AK$7:$AK$506,0)),L_MESES,0),"")</f>
        <v/>
      </c>
      <c r="G505" s="15" t="str">
        <f>IFERROR(INDEX('Formulación PDN 2027'!$Q$7:$Q$506,MATCH(ROW()-5,'Formulación PDN 2027'!$AK$7:$AK$506,0)),"")</f>
        <v/>
      </c>
      <c r="H505" s="15" t="str">
        <f>IFERROR(INDEX('Formulación PDN 2027'!$R$7:$R$506,MATCH(ROW()-5,'Formulación PDN 2027'!$AK$7:$AK$506,0))&amp;"","")</f>
        <v/>
      </c>
      <c r="I505" s="15" t="str">
        <f>IFERROR(INDEX('Formulación PDN 2027'!$S$7:$S$506,MATCH(ROW()-5,'Formulación PDN 2027'!$AK$7:$AK$506,0))&amp;"","")</f>
        <v/>
      </c>
      <c r="J505" s="15" t="str">
        <f>IFERROR(INDEX('Formulación PDN 2027'!$T$7:$T$506,MATCH(ROW()-5,'Formulación PDN 2027'!$AK$7:$AK$506,0))&amp;"","")</f>
        <v/>
      </c>
      <c r="K505" s="43" t="str">
        <f>IFERROR(INDEX('Formulación PDN 2027'!$W$7:$W$506,MATCH(ROW()-5,'Formulación PDN 2027'!$AK$7:$AK$506,0)),"")</f>
        <v/>
      </c>
      <c r="L505" s="43" t="str">
        <f>IFERROR(INDEX('Formulación PDN 2027'!$X$7:$X$506,MATCH(ROW()-5,'Formulación PDN 2027'!$AK$7:$AK$506,0)),"")</f>
        <v/>
      </c>
      <c r="M505" s="15" t="str">
        <f>IFERROR(INDEX('Formulación PDN 2027'!$Y$7:$Y$506,MATCH(ROW()-5,'Formulación PDN 2027'!$AK$7:$AK$506,0))&amp;"","")</f>
        <v/>
      </c>
      <c r="N505" s="15" t="str">
        <f>IFERROR(INDEX('Formulación PDN 2027'!$Z$7:$Z$506,MATCH(ROW()-5,'Formulación PDN 2027'!$AK$7:$AK$506,0))&amp;"","")</f>
        <v/>
      </c>
      <c r="O505" s="15"/>
      <c r="P505" s="15" t="str">
        <f>IFERROR(INDEX('Formulación PDN 2027'!$AA$7:$AA$506,MATCH(ROW()-5,'Formulación PDN 2027'!$AK$7:$AK$506,0))&amp;"","")</f>
        <v/>
      </c>
      <c r="Q505" s="15" t="str">
        <f>IFERROR(INDEX('Formulación PDN 2027'!$AB$7:$AB$506,MATCH(ROW()-5,'Formulación PDN 2027'!$AK$7:$AK$506,0))&amp;"","")</f>
        <v/>
      </c>
      <c r="R505" s="15" t="str">
        <f>IFERROR(INDEX('Formulación PDN 2027'!$AD$7:$AD$506,MATCH(ROW()-5,'Formulación PDN 2027'!$AK$7:$AK$506,0))&amp;"","")</f>
        <v/>
      </c>
      <c r="S505" s="15" t="str">
        <f>IFERROR(INDEX('Formulación PDN 2027'!$AE$7:$AE$506,MATCH(ROW()-5,'Formulación PDN 2027'!$AK$7:$AK$506,0))&amp;"","")</f>
        <v/>
      </c>
      <c r="T505" s="15" t="str">
        <f>IFERROR(INDEX('Formulación PDN 2027'!$C$7:$C$506,MATCH(ROW()-5,'Formulación PDN 2027'!$AK$7:$AK$506,0))&amp;"","")</f>
        <v/>
      </c>
      <c r="U505" s="15" t="str">
        <f>IFERROR(INDEX('Formulación PDN 2027'!$B$7:$B$506,MATCH(ROW()-5,'Formulación PDN 2027'!$AK$7:$AK$506,0))&amp;"","")</f>
        <v/>
      </c>
      <c r="V505" s="15" t="str">
        <f>IFERROR(LEFT(INDEX('Formulación PDN 2027'!$E$7:$E$506,MATCH(ROW()-5,'Formulación PDN 2027'!$AK$7:$AK$506,0)),7),"")</f>
        <v/>
      </c>
      <c r="W505" s="15" t="str">
        <f>IFERROR(INDEX('Formulación PDN 2027'!$H$7:$H$506,MATCH(ROW()-5,'Formulación PDN 2027'!$AK$7:$AK$506,0))&amp;"","")</f>
        <v/>
      </c>
      <c r="X505" s="15" t="str">
        <f>IFERROR(INDEX('Formulación PDN 2027'!$U$7:$U$506,MATCH(ROW()-5,'Formulación PDN 2027'!$AK$7:$AK$506,0))&amp;"","")</f>
        <v/>
      </c>
      <c r="Y505" s="15" t="str">
        <f>IFERROR(INDEX('Formulación PDN 2027'!$AH$7:$AH$506,MATCH(ROW()-5,'Formulación PDN 2027'!$AK$7:$AK$506,0))&amp;"","")</f>
        <v/>
      </c>
    </row>
  </sheetData>
  <sheetProtection password="CC6D" sheet="1" formatColumns="0" formatRows="0" autoFilter="0"/>
  <mergeCells count="2">
    <mergeCell ref="A4:S4"/>
    <mergeCell ref="T4:Y4"/>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208"/>
  <sheetViews>
    <sheetView zoomScaleNormal="100" workbookViewId="0"/>
  </sheetViews>
  <sheetFormatPr baseColWidth="10" defaultColWidth="8.6640625" defaultRowHeight="14.4" x14ac:dyDescent="0.3"/>
  <cols>
    <col min="1" max="1" width="9" customWidth="1"/>
    <col min="3" max="3" width="30" customWidth="1"/>
    <col min="5" max="5" width="30" customWidth="1"/>
    <col min="6" max="6" width="50" customWidth="1"/>
    <col min="9" max="9" width="50" customWidth="1"/>
    <col min="14" max="14" width="34" customWidth="1"/>
    <col min="17" max="17" width="50" customWidth="1"/>
    <col min="18" max="18" width="40" customWidth="1"/>
    <col min="21" max="21" width="70" customWidth="1"/>
    <col min="26" max="26" width="12" customWidth="1"/>
    <col min="28" max="28" width="40" customWidth="1"/>
    <col min="29" max="29" width="45" customWidth="1"/>
    <col min="33" max="33" width="40" customWidth="1"/>
    <col min="37" max="37" width="50" customWidth="1"/>
  </cols>
  <sheetData>
    <row r="1" spans="1:37" ht="17.399999999999999" x14ac:dyDescent="0.3">
      <c r="A1" s="10" t="s">
        <v>2001</v>
      </c>
    </row>
    <row r="2" spans="1:37" x14ac:dyDescent="0.3">
      <c r="A2" s="11" t="s">
        <v>2002</v>
      </c>
    </row>
    <row r="4" spans="1:37" ht="92.4" x14ac:dyDescent="0.3">
      <c r="A4" s="23" t="s">
        <v>2003</v>
      </c>
      <c r="B4" s="23" t="s">
        <v>2004</v>
      </c>
      <c r="C4" s="23" t="s">
        <v>2005</v>
      </c>
      <c r="D4" s="23" t="s">
        <v>2006</v>
      </c>
      <c r="E4" s="23" t="s">
        <v>2007</v>
      </c>
      <c r="F4" s="23" t="s">
        <v>2008</v>
      </c>
      <c r="G4" s="23" t="s">
        <v>2009</v>
      </c>
      <c r="H4" s="23" t="s">
        <v>2010</v>
      </c>
      <c r="I4" s="23" t="s">
        <v>2011</v>
      </c>
      <c r="K4" s="23" t="s">
        <v>2012</v>
      </c>
      <c r="L4" s="23" t="s">
        <v>2013</v>
      </c>
      <c r="M4" s="23" t="s">
        <v>1895</v>
      </c>
      <c r="N4" s="23" t="s">
        <v>2014</v>
      </c>
      <c r="O4" s="23" t="s">
        <v>2015</v>
      </c>
      <c r="P4" s="23" t="s">
        <v>2016</v>
      </c>
      <c r="Q4" s="23" t="s">
        <v>2017</v>
      </c>
      <c r="R4" s="23" t="s">
        <v>2018</v>
      </c>
      <c r="T4" s="23" t="s">
        <v>2019</v>
      </c>
      <c r="U4" s="23" t="s">
        <v>2020</v>
      </c>
      <c r="V4" s="23" t="s">
        <v>2021</v>
      </c>
      <c r="W4" s="23" t="s">
        <v>2022</v>
      </c>
      <c r="X4" s="23" t="s">
        <v>2023</v>
      </c>
      <c r="Z4" s="23" t="s">
        <v>2024</v>
      </c>
      <c r="AA4" s="23" t="s">
        <v>753</v>
      </c>
      <c r="AB4" s="23" t="s">
        <v>100</v>
      </c>
      <c r="AC4" s="23" t="s">
        <v>754</v>
      </c>
      <c r="AD4" s="23" t="s">
        <v>755</v>
      </c>
      <c r="AE4" s="23" t="s">
        <v>2025</v>
      </c>
      <c r="AF4" s="23" t="s">
        <v>2026</v>
      </c>
      <c r="AG4" s="23" t="s">
        <v>67</v>
      </c>
      <c r="AH4" s="23" t="s">
        <v>767</v>
      </c>
      <c r="AJ4" s="23" t="s">
        <v>2013</v>
      </c>
      <c r="AK4" s="23" t="s">
        <v>2018</v>
      </c>
    </row>
    <row r="5" spans="1:37" x14ac:dyDescent="0.3">
      <c r="A5" s="44" t="s">
        <v>2027</v>
      </c>
      <c r="B5" s="44">
        <v>1</v>
      </c>
      <c r="C5" s="44" t="s">
        <v>1907</v>
      </c>
      <c r="D5" s="44" t="s">
        <v>2028</v>
      </c>
      <c r="E5" s="44" t="s">
        <v>2029</v>
      </c>
      <c r="F5" s="44" t="s">
        <v>2030</v>
      </c>
      <c r="G5" s="44" t="s">
        <v>2031</v>
      </c>
      <c r="H5" s="44" t="s">
        <v>2032</v>
      </c>
      <c r="I5" s="44" t="s">
        <v>2033</v>
      </c>
      <c r="J5" s="44"/>
      <c r="K5" s="44" t="s">
        <v>2034</v>
      </c>
      <c r="L5" s="44" t="s">
        <v>2035</v>
      </c>
      <c r="M5" s="44" t="s">
        <v>2036</v>
      </c>
      <c r="N5" s="44" t="s">
        <v>2037</v>
      </c>
      <c r="O5" s="44" t="s">
        <v>2038</v>
      </c>
      <c r="P5" s="44" t="s">
        <v>2039</v>
      </c>
      <c r="Q5" s="44" t="s">
        <v>2040</v>
      </c>
      <c r="R5" s="44" t="s">
        <v>858</v>
      </c>
      <c r="S5" s="44"/>
      <c r="T5" s="44" t="s">
        <v>2027</v>
      </c>
      <c r="U5" s="44" t="s">
        <v>2041</v>
      </c>
      <c r="V5" s="44" t="s">
        <v>2042</v>
      </c>
      <c r="W5" s="44" t="s">
        <v>814</v>
      </c>
      <c r="X5" s="44"/>
      <c r="Y5" s="44"/>
      <c r="Z5" s="44" t="s">
        <v>2043</v>
      </c>
      <c r="AA5" s="44" t="s">
        <v>2044</v>
      </c>
      <c r="AB5" s="44" t="s">
        <v>803</v>
      </c>
      <c r="AC5" s="44" t="s">
        <v>1919</v>
      </c>
      <c r="AD5" s="44" t="s">
        <v>2045</v>
      </c>
      <c r="AE5" s="44" t="s">
        <v>46</v>
      </c>
      <c r="AF5" s="44" t="s">
        <v>2046</v>
      </c>
      <c r="AG5" s="44" t="s">
        <v>2047</v>
      </c>
      <c r="AH5" s="44" t="s">
        <v>2048</v>
      </c>
      <c r="AI5" s="44"/>
      <c r="AJ5" s="44" t="s">
        <v>2035</v>
      </c>
      <c r="AK5" s="44" t="s">
        <v>858</v>
      </c>
    </row>
    <row r="6" spans="1:37" x14ac:dyDescent="0.3">
      <c r="A6" s="44" t="s">
        <v>2049</v>
      </c>
      <c r="B6" s="44">
        <v>1</v>
      </c>
      <c r="C6" s="44" t="s">
        <v>1907</v>
      </c>
      <c r="D6" s="44" t="s">
        <v>2028</v>
      </c>
      <c r="E6" s="44" t="s">
        <v>2029</v>
      </c>
      <c r="F6" s="44" t="s">
        <v>2050</v>
      </c>
      <c r="G6" s="44" t="s">
        <v>2051</v>
      </c>
      <c r="H6" s="44" t="s">
        <v>2052</v>
      </c>
      <c r="I6" s="44" t="s">
        <v>2053</v>
      </c>
      <c r="J6" s="44"/>
      <c r="K6" s="44" t="s">
        <v>2054</v>
      </c>
      <c r="L6" s="44" t="s">
        <v>2035</v>
      </c>
      <c r="M6" s="44" t="s">
        <v>2036</v>
      </c>
      <c r="N6" s="44" t="s">
        <v>1970</v>
      </c>
      <c r="O6" s="44" t="s">
        <v>2055</v>
      </c>
      <c r="P6" s="44" t="s">
        <v>2039</v>
      </c>
      <c r="Q6" s="44" t="s">
        <v>2056</v>
      </c>
      <c r="R6" s="44" t="s">
        <v>858</v>
      </c>
      <c r="S6" s="44"/>
      <c r="T6" s="44" t="s">
        <v>2027</v>
      </c>
      <c r="U6" s="44" t="s">
        <v>2057</v>
      </c>
      <c r="V6" s="44" t="s">
        <v>2058</v>
      </c>
      <c r="W6" s="44" t="s">
        <v>1372</v>
      </c>
      <c r="X6" s="44"/>
      <c r="Y6" s="44"/>
      <c r="Z6" s="44" t="s">
        <v>2059</v>
      </c>
      <c r="AA6" s="44" t="s">
        <v>2024</v>
      </c>
      <c r="AB6" s="44" t="s">
        <v>792</v>
      </c>
      <c r="AC6" s="44" t="s">
        <v>1920</v>
      </c>
      <c r="AD6" s="44" t="s">
        <v>2060</v>
      </c>
      <c r="AE6" s="44" t="s">
        <v>85</v>
      </c>
      <c r="AF6" s="44" t="s">
        <v>2061</v>
      </c>
      <c r="AG6" s="44" t="s">
        <v>2062</v>
      </c>
      <c r="AH6" s="44" t="s">
        <v>2063</v>
      </c>
      <c r="AI6" s="44"/>
      <c r="AJ6" s="44" t="s">
        <v>2064</v>
      </c>
      <c r="AK6" s="44" t="s">
        <v>814</v>
      </c>
    </row>
    <row r="7" spans="1:37" x14ac:dyDescent="0.3">
      <c r="A7" s="44" t="s">
        <v>2065</v>
      </c>
      <c r="B7" s="44">
        <v>1</v>
      </c>
      <c r="C7" s="44" t="s">
        <v>1907</v>
      </c>
      <c r="D7" s="44" t="s">
        <v>2066</v>
      </c>
      <c r="E7" s="44" t="s">
        <v>2067</v>
      </c>
      <c r="F7" s="44" t="s">
        <v>2068</v>
      </c>
      <c r="G7" s="44" t="s">
        <v>2069</v>
      </c>
      <c r="H7" s="44" t="s">
        <v>2070</v>
      </c>
      <c r="I7" s="44" t="s">
        <v>2071</v>
      </c>
      <c r="J7" s="44"/>
      <c r="K7" s="44" t="s">
        <v>2072</v>
      </c>
      <c r="L7" s="44" t="s">
        <v>2035</v>
      </c>
      <c r="M7" s="44" t="s">
        <v>2036</v>
      </c>
      <c r="N7" s="44" t="s">
        <v>2073</v>
      </c>
      <c r="O7" s="44" t="s">
        <v>2074</v>
      </c>
      <c r="P7" s="44" t="s">
        <v>2039</v>
      </c>
      <c r="Q7" s="44" t="s">
        <v>2075</v>
      </c>
      <c r="R7" s="44" t="s">
        <v>858</v>
      </c>
      <c r="S7" s="44"/>
      <c r="T7" s="44" t="s">
        <v>2027</v>
      </c>
      <c r="U7" s="44" t="s">
        <v>2076</v>
      </c>
      <c r="V7" s="44" t="s">
        <v>1935</v>
      </c>
      <c r="W7" s="44" t="s">
        <v>1140</v>
      </c>
      <c r="X7" s="44"/>
      <c r="Y7" s="44"/>
      <c r="Z7" s="44" t="s">
        <v>2077</v>
      </c>
      <c r="AA7" s="44" t="s">
        <v>2078</v>
      </c>
      <c r="AB7" s="44" t="s">
        <v>1111</v>
      </c>
      <c r="AC7" s="44" t="s">
        <v>1921</v>
      </c>
      <c r="AD7" s="44"/>
      <c r="AE7" s="44"/>
      <c r="AF7" s="44" t="s">
        <v>2079</v>
      </c>
      <c r="AG7" s="44" t="s">
        <v>2080</v>
      </c>
      <c r="AH7" s="44" t="s">
        <v>2081</v>
      </c>
      <c r="AI7" s="44"/>
      <c r="AJ7" s="44" t="s">
        <v>2082</v>
      </c>
      <c r="AK7" s="44" t="s">
        <v>891</v>
      </c>
    </row>
    <row r="8" spans="1:37" x14ac:dyDescent="0.3">
      <c r="A8" s="44" t="s">
        <v>2083</v>
      </c>
      <c r="B8" s="44">
        <v>1</v>
      </c>
      <c r="C8" s="44" t="s">
        <v>1907</v>
      </c>
      <c r="D8" s="44" t="s">
        <v>2084</v>
      </c>
      <c r="E8" s="44" t="s">
        <v>2085</v>
      </c>
      <c r="F8" s="44" t="s">
        <v>2086</v>
      </c>
      <c r="G8" s="44" t="s">
        <v>2087</v>
      </c>
      <c r="H8" s="44" t="s">
        <v>2088</v>
      </c>
      <c r="I8" s="44" t="s">
        <v>2089</v>
      </c>
      <c r="J8" s="44"/>
      <c r="K8" s="44" t="s">
        <v>2090</v>
      </c>
      <c r="L8" s="44" t="s">
        <v>2082</v>
      </c>
      <c r="M8" s="44" t="s">
        <v>2091</v>
      </c>
      <c r="N8" s="44" t="s">
        <v>2091</v>
      </c>
      <c r="O8" s="44" t="s">
        <v>2092</v>
      </c>
      <c r="P8" s="44" t="s">
        <v>2093</v>
      </c>
      <c r="Q8" s="44" t="s">
        <v>2094</v>
      </c>
      <c r="R8" s="44" t="s">
        <v>891</v>
      </c>
      <c r="S8" s="44"/>
      <c r="T8" s="44" t="s">
        <v>2027</v>
      </c>
      <c r="U8" s="44" t="s">
        <v>1934</v>
      </c>
      <c r="V8" s="44" t="s">
        <v>1935</v>
      </c>
      <c r="W8" s="44" t="s">
        <v>1140</v>
      </c>
      <c r="X8" s="44" t="s">
        <v>1936</v>
      </c>
      <c r="Y8" s="44"/>
      <c r="Z8" s="44" t="s">
        <v>2095</v>
      </c>
      <c r="AA8" s="44"/>
      <c r="AB8" s="44" t="s">
        <v>796</v>
      </c>
      <c r="AC8" s="44" t="s">
        <v>1922</v>
      </c>
      <c r="AD8" s="44"/>
      <c r="AE8" s="44"/>
      <c r="AF8" s="44" t="s">
        <v>2096</v>
      </c>
      <c r="AG8" s="44" t="s">
        <v>2097</v>
      </c>
      <c r="AH8" s="44"/>
      <c r="AI8" s="44"/>
      <c r="AJ8" s="44" t="s">
        <v>2098</v>
      </c>
      <c r="AK8" s="44" t="s">
        <v>850</v>
      </c>
    </row>
    <row r="9" spans="1:37" x14ac:dyDescent="0.3">
      <c r="A9" s="44" t="s">
        <v>2099</v>
      </c>
      <c r="B9" s="44">
        <v>1</v>
      </c>
      <c r="C9" s="44" t="s">
        <v>1907</v>
      </c>
      <c r="D9" s="44" t="s">
        <v>2084</v>
      </c>
      <c r="E9" s="44" t="s">
        <v>2085</v>
      </c>
      <c r="F9" s="44" t="s">
        <v>2100</v>
      </c>
      <c r="G9" s="44" t="s">
        <v>2101</v>
      </c>
      <c r="H9" s="44" t="s">
        <v>2102</v>
      </c>
      <c r="I9" s="44" t="s">
        <v>2103</v>
      </c>
      <c r="J9" s="44"/>
      <c r="K9" s="44" t="s">
        <v>2104</v>
      </c>
      <c r="L9" s="44" t="s">
        <v>2064</v>
      </c>
      <c r="M9" s="44" t="s">
        <v>2105</v>
      </c>
      <c r="N9" s="44" t="s">
        <v>2042</v>
      </c>
      <c r="O9" s="44" t="s">
        <v>2038</v>
      </c>
      <c r="P9" s="44" t="s">
        <v>2039</v>
      </c>
      <c r="Q9" s="44" t="s">
        <v>151</v>
      </c>
      <c r="R9" s="44" t="s">
        <v>814</v>
      </c>
      <c r="S9" s="44"/>
      <c r="T9" s="44" t="s">
        <v>2027</v>
      </c>
      <c r="U9" s="44" t="s">
        <v>2106</v>
      </c>
      <c r="V9" s="44" t="s">
        <v>2107</v>
      </c>
      <c r="W9" s="44" t="s">
        <v>1140</v>
      </c>
      <c r="X9" s="44"/>
      <c r="Y9" s="44"/>
      <c r="Z9" s="44" t="s">
        <v>2108</v>
      </c>
      <c r="AA9" s="44"/>
      <c r="AB9" s="44" t="s">
        <v>1916</v>
      </c>
      <c r="AC9" s="44" t="s">
        <v>1923</v>
      </c>
      <c r="AD9" s="44"/>
      <c r="AE9" s="44"/>
      <c r="AF9" s="44"/>
      <c r="AG9" s="44" t="s">
        <v>2109</v>
      </c>
      <c r="AH9" s="44"/>
      <c r="AI9" s="44"/>
      <c r="AJ9" s="44" t="s">
        <v>2110</v>
      </c>
      <c r="AK9" s="44" t="s">
        <v>1140</v>
      </c>
    </row>
    <row r="10" spans="1:37" x14ac:dyDescent="0.3">
      <c r="A10" s="44" t="s">
        <v>2111</v>
      </c>
      <c r="B10" s="44">
        <v>1</v>
      </c>
      <c r="C10" s="44" t="s">
        <v>1907</v>
      </c>
      <c r="D10" s="44" t="s">
        <v>2112</v>
      </c>
      <c r="E10" s="44" t="s">
        <v>2113</v>
      </c>
      <c r="F10" s="44" t="s">
        <v>2114</v>
      </c>
      <c r="G10" s="44" t="s">
        <v>2115</v>
      </c>
      <c r="H10" s="44" t="s">
        <v>2116</v>
      </c>
      <c r="I10" s="44" t="s">
        <v>2117</v>
      </c>
      <c r="J10" s="44"/>
      <c r="K10" s="44" t="s">
        <v>2118</v>
      </c>
      <c r="L10" s="44" t="s">
        <v>2064</v>
      </c>
      <c r="M10" s="44" t="s">
        <v>2105</v>
      </c>
      <c r="N10" s="44" t="s">
        <v>2119</v>
      </c>
      <c r="O10" s="44" t="s">
        <v>2038</v>
      </c>
      <c r="P10" s="44" t="s">
        <v>2039</v>
      </c>
      <c r="Q10" s="44" t="s">
        <v>2120</v>
      </c>
      <c r="R10" s="44" t="s">
        <v>814</v>
      </c>
      <c r="S10" s="44"/>
      <c r="T10" s="44" t="s">
        <v>2027</v>
      </c>
      <c r="U10" s="44" t="s">
        <v>2121</v>
      </c>
      <c r="V10" s="44" t="s">
        <v>2122</v>
      </c>
      <c r="W10" s="44" t="s">
        <v>929</v>
      </c>
      <c r="X10" s="44"/>
      <c r="Y10" s="44"/>
      <c r="Z10" s="44" t="s">
        <v>2123</v>
      </c>
      <c r="AA10" s="44"/>
      <c r="AB10" s="44" t="s">
        <v>1212</v>
      </c>
      <c r="AC10" s="44" t="s">
        <v>1924</v>
      </c>
      <c r="AD10" s="44"/>
      <c r="AE10" s="44"/>
      <c r="AF10" s="44"/>
      <c r="AG10" s="44" t="s">
        <v>2124</v>
      </c>
      <c r="AH10" s="44"/>
      <c r="AI10" s="44"/>
      <c r="AJ10" s="44" t="s">
        <v>2125</v>
      </c>
      <c r="AK10" s="44" t="s">
        <v>1294</v>
      </c>
    </row>
    <row r="11" spans="1:37" x14ac:dyDescent="0.3">
      <c r="A11" s="44" t="s">
        <v>2126</v>
      </c>
      <c r="B11" s="44">
        <v>1</v>
      </c>
      <c r="C11" s="44" t="s">
        <v>1907</v>
      </c>
      <c r="D11" s="44" t="s">
        <v>2127</v>
      </c>
      <c r="E11" s="44" t="s">
        <v>2128</v>
      </c>
      <c r="F11" s="44" t="s">
        <v>2129</v>
      </c>
      <c r="G11" s="44" t="s">
        <v>2130</v>
      </c>
      <c r="H11" s="44" t="s">
        <v>2131</v>
      </c>
      <c r="I11" s="44" t="s">
        <v>2132</v>
      </c>
      <c r="J11" s="44"/>
      <c r="K11" s="44" t="s">
        <v>2133</v>
      </c>
      <c r="L11" s="44" t="s">
        <v>2064</v>
      </c>
      <c r="M11" s="44" t="s">
        <v>2105</v>
      </c>
      <c r="N11" s="44" t="s">
        <v>2134</v>
      </c>
      <c r="O11" s="44" t="s">
        <v>2135</v>
      </c>
      <c r="P11" s="44" t="s">
        <v>2039</v>
      </c>
      <c r="Q11" s="44" t="s">
        <v>2136</v>
      </c>
      <c r="R11" s="44" t="s">
        <v>814</v>
      </c>
      <c r="S11" s="44"/>
      <c r="T11" s="44" t="s">
        <v>2027</v>
      </c>
      <c r="U11" s="44" t="s">
        <v>2137</v>
      </c>
      <c r="V11" s="44"/>
      <c r="W11" s="44"/>
      <c r="X11" s="44"/>
      <c r="Y11" s="44"/>
      <c r="Z11" s="44" t="s">
        <v>2138</v>
      </c>
      <c r="AA11" s="44"/>
      <c r="AB11" s="44" t="s">
        <v>1208</v>
      </c>
      <c r="AC11" s="44" t="s">
        <v>1925</v>
      </c>
      <c r="AD11" s="44"/>
      <c r="AE11" s="44"/>
      <c r="AF11" s="44"/>
      <c r="AG11" s="44" t="s">
        <v>2139</v>
      </c>
      <c r="AH11" s="44"/>
      <c r="AI11" s="44"/>
      <c r="AJ11" s="44" t="s">
        <v>2140</v>
      </c>
      <c r="AK11" s="44" t="s">
        <v>1135</v>
      </c>
    </row>
    <row r="12" spans="1:37" x14ac:dyDescent="0.3">
      <c r="A12" s="44" t="s">
        <v>2141</v>
      </c>
      <c r="B12" s="44">
        <v>1</v>
      </c>
      <c r="C12" s="44" t="s">
        <v>1907</v>
      </c>
      <c r="D12" s="44" t="s">
        <v>2127</v>
      </c>
      <c r="E12" s="44" t="s">
        <v>2128</v>
      </c>
      <c r="F12" s="44" t="s">
        <v>2142</v>
      </c>
      <c r="G12" s="44" t="s">
        <v>2143</v>
      </c>
      <c r="H12" s="44" t="s">
        <v>2144</v>
      </c>
      <c r="I12" s="44" t="s">
        <v>2145</v>
      </c>
      <c r="J12" s="44"/>
      <c r="K12" s="44" t="s">
        <v>2146</v>
      </c>
      <c r="L12" s="44" t="s">
        <v>2064</v>
      </c>
      <c r="M12" s="44" t="s">
        <v>2105</v>
      </c>
      <c r="N12" s="44" t="s">
        <v>2147</v>
      </c>
      <c r="O12" s="44" t="s">
        <v>2135</v>
      </c>
      <c r="P12" s="44" t="s">
        <v>2039</v>
      </c>
      <c r="Q12" s="44" t="s">
        <v>2148</v>
      </c>
      <c r="R12" s="44" t="s">
        <v>814</v>
      </c>
      <c r="S12" s="44"/>
      <c r="T12" s="44" t="s">
        <v>2049</v>
      </c>
      <c r="U12" s="44" t="s">
        <v>2149</v>
      </c>
      <c r="V12" s="44" t="s">
        <v>1935</v>
      </c>
      <c r="W12" s="44" t="s">
        <v>1140</v>
      </c>
      <c r="X12" s="44"/>
      <c r="Y12" s="44"/>
      <c r="Z12" s="44" t="s">
        <v>2150</v>
      </c>
      <c r="AA12" s="44"/>
      <c r="AB12" s="44"/>
      <c r="AC12" s="44" t="s">
        <v>1926</v>
      </c>
      <c r="AD12" s="44"/>
      <c r="AE12" s="44"/>
      <c r="AF12" s="44"/>
      <c r="AG12" s="44" t="s">
        <v>2151</v>
      </c>
      <c r="AH12" s="44"/>
      <c r="AI12" s="44"/>
      <c r="AJ12" s="44" t="s">
        <v>2152</v>
      </c>
      <c r="AK12" s="44" t="s">
        <v>1902</v>
      </c>
    </row>
    <row r="13" spans="1:37" x14ac:dyDescent="0.3">
      <c r="A13" s="44" t="s">
        <v>2153</v>
      </c>
      <c r="B13" s="44">
        <v>2</v>
      </c>
      <c r="C13" s="44" t="s">
        <v>1908</v>
      </c>
      <c r="D13" s="44" t="s">
        <v>2154</v>
      </c>
      <c r="E13" s="44" t="s">
        <v>2155</v>
      </c>
      <c r="F13" s="44" t="s">
        <v>2156</v>
      </c>
      <c r="G13" s="44" t="s">
        <v>2157</v>
      </c>
      <c r="H13" s="44" t="s">
        <v>2158</v>
      </c>
      <c r="I13" s="44" t="s">
        <v>2159</v>
      </c>
      <c r="J13" s="44"/>
      <c r="K13" s="44" t="s">
        <v>2160</v>
      </c>
      <c r="L13" s="44" t="s">
        <v>2161</v>
      </c>
      <c r="M13" s="44" t="s">
        <v>2162</v>
      </c>
      <c r="N13" s="44" t="s">
        <v>2163</v>
      </c>
      <c r="O13" s="44" t="s">
        <v>2164</v>
      </c>
      <c r="P13" s="44" t="s">
        <v>2039</v>
      </c>
      <c r="Q13" s="44" t="s">
        <v>2165</v>
      </c>
      <c r="R13" s="44" t="s">
        <v>841</v>
      </c>
      <c r="S13" s="44"/>
      <c r="T13" s="44" t="s">
        <v>2049</v>
      </c>
      <c r="U13" s="44" t="s">
        <v>2166</v>
      </c>
      <c r="V13" s="44" t="s">
        <v>2167</v>
      </c>
      <c r="W13" s="44" t="s">
        <v>1331</v>
      </c>
      <c r="X13" s="44"/>
      <c r="Y13" s="44"/>
      <c r="Z13" s="44" t="s">
        <v>2168</v>
      </c>
      <c r="AA13" s="44"/>
      <c r="AB13" s="44"/>
      <c r="AC13" s="44"/>
      <c r="AD13" s="44"/>
      <c r="AE13" s="44"/>
      <c r="AF13" s="44"/>
      <c r="AG13" s="44" t="s">
        <v>2169</v>
      </c>
      <c r="AH13" s="44"/>
      <c r="AI13" s="44"/>
      <c r="AJ13" s="44" t="s">
        <v>2170</v>
      </c>
      <c r="AK13" s="44" t="s">
        <v>1331</v>
      </c>
    </row>
    <row r="14" spans="1:37" x14ac:dyDescent="0.3">
      <c r="A14" s="44" t="s">
        <v>2171</v>
      </c>
      <c r="B14" s="44">
        <v>2</v>
      </c>
      <c r="C14" s="44" t="s">
        <v>1908</v>
      </c>
      <c r="D14" s="44" t="s">
        <v>2154</v>
      </c>
      <c r="E14" s="44" t="s">
        <v>2155</v>
      </c>
      <c r="F14" s="44" t="s">
        <v>2172</v>
      </c>
      <c r="G14" s="44" t="s">
        <v>2173</v>
      </c>
      <c r="H14" s="44" t="s">
        <v>2174</v>
      </c>
      <c r="I14" s="44" t="s">
        <v>2175</v>
      </c>
      <c r="J14" s="44"/>
      <c r="K14" s="44" t="s">
        <v>2176</v>
      </c>
      <c r="L14" s="44" t="s">
        <v>2064</v>
      </c>
      <c r="M14" s="44" t="s">
        <v>2105</v>
      </c>
      <c r="N14" s="44" t="s">
        <v>1973</v>
      </c>
      <c r="O14" s="44" t="s">
        <v>2135</v>
      </c>
      <c r="P14" s="44" t="s">
        <v>2039</v>
      </c>
      <c r="Q14" s="44" t="s">
        <v>2177</v>
      </c>
      <c r="R14" s="44" t="s">
        <v>814</v>
      </c>
      <c r="S14" s="44"/>
      <c r="T14" s="44" t="s">
        <v>2049</v>
      </c>
      <c r="U14" s="44" t="s">
        <v>2178</v>
      </c>
      <c r="V14" s="44" t="s">
        <v>2058</v>
      </c>
      <c r="W14" s="44" t="s">
        <v>1372</v>
      </c>
      <c r="X14" s="44"/>
      <c r="Y14" s="44"/>
      <c r="Z14" s="44" t="s">
        <v>2179</v>
      </c>
      <c r="AA14" s="44"/>
      <c r="AB14" s="44"/>
      <c r="AC14" s="44"/>
      <c r="AD14" s="44"/>
      <c r="AE14" s="44"/>
      <c r="AF14" s="44"/>
      <c r="AG14" s="44" t="s">
        <v>2180</v>
      </c>
      <c r="AH14" s="44"/>
      <c r="AI14" s="44"/>
      <c r="AJ14" s="44" t="s">
        <v>2181</v>
      </c>
      <c r="AK14" s="44" t="s">
        <v>1440</v>
      </c>
    </row>
    <row r="15" spans="1:37" x14ac:dyDescent="0.3">
      <c r="A15" s="44" t="s">
        <v>2182</v>
      </c>
      <c r="B15" s="44">
        <v>2</v>
      </c>
      <c r="C15" s="44" t="s">
        <v>1908</v>
      </c>
      <c r="D15" s="44" t="s">
        <v>2154</v>
      </c>
      <c r="E15" s="44" t="s">
        <v>2155</v>
      </c>
      <c r="F15" s="44" t="s">
        <v>2183</v>
      </c>
      <c r="G15" s="44" t="s">
        <v>2184</v>
      </c>
      <c r="H15" s="44" t="s">
        <v>2185</v>
      </c>
      <c r="I15" s="44" t="s">
        <v>2186</v>
      </c>
      <c r="J15" s="44"/>
      <c r="K15" s="44" t="s">
        <v>2187</v>
      </c>
      <c r="L15" s="44" t="s">
        <v>2098</v>
      </c>
      <c r="M15" s="44" t="s">
        <v>2188</v>
      </c>
      <c r="N15" s="44" t="s">
        <v>2189</v>
      </c>
      <c r="O15" s="44" t="s">
        <v>2038</v>
      </c>
      <c r="P15" s="44" t="s">
        <v>2039</v>
      </c>
      <c r="Q15" s="44" t="s">
        <v>2190</v>
      </c>
      <c r="R15" s="44" t="s">
        <v>850</v>
      </c>
      <c r="S15" s="44"/>
      <c r="T15" s="44" t="s">
        <v>2049</v>
      </c>
      <c r="U15" s="44" t="s">
        <v>2137</v>
      </c>
      <c r="V15" s="44"/>
      <c r="W15" s="44"/>
      <c r="X15" s="44"/>
      <c r="Y15" s="44"/>
      <c r="Z15" s="44" t="s">
        <v>2191</v>
      </c>
      <c r="AA15" s="44"/>
      <c r="AB15" s="44"/>
      <c r="AC15" s="44"/>
      <c r="AD15" s="44"/>
      <c r="AE15" s="44"/>
      <c r="AF15" s="44"/>
      <c r="AG15" s="44" t="s">
        <v>2192</v>
      </c>
      <c r="AH15" s="44"/>
      <c r="AI15" s="44"/>
      <c r="AJ15" s="44" t="s">
        <v>2193</v>
      </c>
      <c r="AK15" s="44" t="s">
        <v>1372</v>
      </c>
    </row>
    <row r="16" spans="1:37" x14ac:dyDescent="0.3">
      <c r="A16" s="44" t="s">
        <v>2194</v>
      </c>
      <c r="B16" s="44">
        <v>2</v>
      </c>
      <c r="C16" s="44" t="s">
        <v>1908</v>
      </c>
      <c r="D16" s="44" t="s">
        <v>2195</v>
      </c>
      <c r="E16" s="44" t="s">
        <v>2196</v>
      </c>
      <c r="F16" s="44" t="s">
        <v>2197</v>
      </c>
      <c r="G16" s="44" t="s">
        <v>2198</v>
      </c>
      <c r="H16" s="44" t="s">
        <v>2199</v>
      </c>
      <c r="I16" s="44" t="s">
        <v>2200</v>
      </c>
      <c r="J16" s="44"/>
      <c r="K16" s="44" t="s">
        <v>2201</v>
      </c>
      <c r="L16" s="44" t="s">
        <v>2098</v>
      </c>
      <c r="M16" s="44" t="s">
        <v>2188</v>
      </c>
      <c r="N16" s="44" t="s">
        <v>2202</v>
      </c>
      <c r="O16" s="44" t="s">
        <v>2202</v>
      </c>
      <c r="P16" s="44" t="s">
        <v>2203</v>
      </c>
      <c r="Q16" s="44" t="s">
        <v>2204</v>
      </c>
      <c r="R16" s="44" t="s">
        <v>850</v>
      </c>
      <c r="S16" s="44"/>
      <c r="T16" s="44" t="s">
        <v>2065</v>
      </c>
      <c r="U16" s="44" t="s">
        <v>2205</v>
      </c>
      <c r="V16" s="44" t="s">
        <v>1935</v>
      </c>
      <c r="W16" s="44" t="s">
        <v>1140</v>
      </c>
      <c r="X16" s="44"/>
      <c r="Y16" s="44"/>
      <c r="Z16" s="44" t="s">
        <v>2206</v>
      </c>
      <c r="AA16" s="44"/>
      <c r="AB16" s="44"/>
      <c r="AC16" s="44"/>
      <c r="AD16" s="44"/>
      <c r="AE16" s="44"/>
      <c r="AF16" s="44"/>
      <c r="AG16" s="44"/>
      <c r="AH16" s="44"/>
      <c r="AI16" s="44"/>
      <c r="AJ16" s="44" t="s">
        <v>2207</v>
      </c>
      <c r="AK16" s="44" t="s">
        <v>977</v>
      </c>
    </row>
    <row r="17" spans="1:37" x14ac:dyDescent="0.3">
      <c r="A17" s="44" t="s">
        <v>2208</v>
      </c>
      <c r="B17" s="44">
        <v>2</v>
      </c>
      <c r="C17" s="44" t="s">
        <v>1908</v>
      </c>
      <c r="D17" s="44" t="s">
        <v>2195</v>
      </c>
      <c r="E17" s="44" t="s">
        <v>2196</v>
      </c>
      <c r="F17" s="44" t="s">
        <v>2209</v>
      </c>
      <c r="G17" s="44" t="s">
        <v>2210</v>
      </c>
      <c r="H17" s="44" t="s">
        <v>2211</v>
      </c>
      <c r="I17" s="44" t="s">
        <v>2212</v>
      </c>
      <c r="J17" s="44"/>
      <c r="K17" s="44" t="s">
        <v>2213</v>
      </c>
      <c r="L17" s="44" t="s">
        <v>2098</v>
      </c>
      <c r="M17" s="44" t="s">
        <v>2188</v>
      </c>
      <c r="N17" s="44" t="s">
        <v>2214</v>
      </c>
      <c r="O17" s="44" t="s">
        <v>2215</v>
      </c>
      <c r="P17" s="44" t="s">
        <v>2093</v>
      </c>
      <c r="Q17" s="44" t="s">
        <v>2216</v>
      </c>
      <c r="R17" s="44" t="s">
        <v>850</v>
      </c>
      <c r="S17" s="44"/>
      <c r="T17" s="44" t="s">
        <v>2065</v>
      </c>
      <c r="U17" s="44" t="s">
        <v>2217</v>
      </c>
      <c r="V17" s="44" t="s">
        <v>1935</v>
      </c>
      <c r="W17" s="44" t="s">
        <v>1140</v>
      </c>
      <c r="X17" s="44"/>
      <c r="Y17" s="44"/>
      <c r="Z17" s="44"/>
      <c r="AA17" s="44"/>
      <c r="AB17" s="44"/>
      <c r="AC17" s="44"/>
      <c r="AD17" s="44"/>
      <c r="AE17" s="44"/>
      <c r="AF17" s="44"/>
      <c r="AG17" s="44"/>
      <c r="AH17" s="44"/>
      <c r="AI17" s="44"/>
      <c r="AJ17" s="44" t="s">
        <v>2218</v>
      </c>
      <c r="AK17" s="44" t="s">
        <v>1103</v>
      </c>
    </row>
    <row r="18" spans="1:37" x14ac:dyDescent="0.3">
      <c r="A18" s="44" t="s">
        <v>2219</v>
      </c>
      <c r="B18" s="44">
        <v>2</v>
      </c>
      <c r="C18" s="44" t="s">
        <v>1908</v>
      </c>
      <c r="D18" s="44" t="s">
        <v>2220</v>
      </c>
      <c r="E18" s="44" t="s">
        <v>2221</v>
      </c>
      <c r="F18" s="44" t="s">
        <v>2222</v>
      </c>
      <c r="G18" s="44" t="s">
        <v>2223</v>
      </c>
      <c r="H18" s="44" t="s">
        <v>2224</v>
      </c>
      <c r="I18" s="44" t="s">
        <v>2225</v>
      </c>
      <c r="J18" s="44"/>
      <c r="K18" s="44" t="s">
        <v>2226</v>
      </c>
      <c r="L18" s="44" t="s">
        <v>2207</v>
      </c>
      <c r="M18" s="44" t="s">
        <v>2227</v>
      </c>
      <c r="N18" s="44" t="s">
        <v>2228</v>
      </c>
      <c r="O18" s="44" t="s">
        <v>2229</v>
      </c>
      <c r="P18" s="44" t="s">
        <v>2203</v>
      </c>
      <c r="Q18" s="44" t="s">
        <v>2230</v>
      </c>
      <c r="R18" s="44" t="s">
        <v>977</v>
      </c>
      <c r="S18" s="44"/>
      <c r="T18" s="44" t="s">
        <v>2065</v>
      </c>
      <c r="U18" s="44" t="s">
        <v>2231</v>
      </c>
      <c r="V18" s="44" t="s">
        <v>2232</v>
      </c>
      <c r="W18" s="44" t="s">
        <v>1902</v>
      </c>
      <c r="X18" s="44"/>
      <c r="Y18" s="44"/>
      <c r="Z18" s="44"/>
      <c r="AA18" s="44"/>
      <c r="AB18" s="44"/>
      <c r="AC18" s="44"/>
      <c r="AD18" s="44"/>
      <c r="AE18" s="44"/>
      <c r="AF18" s="44"/>
      <c r="AG18" s="44"/>
      <c r="AH18" s="44"/>
      <c r="AI18" s="44"/>
      <c r="AJ18" s="44" t="s">
        <v>2161</v>
      </c>
      <c r="AK18" s="44" t="s">
        <v>841</v>
      </c>
    </row>
    <row r="19" spans="1:37" x14ac:dyDescent="0.3">
      <c r="A19" s="44" t="s">
        <v>2233</v>
      </c>
      <c r="B19" s="44">
        <v>2</v>
      </c>
      <c r="C19" s="44" t="s">
        <v>1908</v>
      </c>
      <c r="D19" s="44" t="s">
        <v>2234</v>
      </c>
      <c r="E19" s="44" t="s">
        <v>2235</v>
      </c>
      <c r="F19" s="44" t="s">
        <v>2236</v>
      </c>
      <c r="G19" s="44" t="s">
        <v>2237</v>
      </c>
      <c r="H19" s="44" t="s">
        <v>2238</v>
      </c>
      <c r="I19" s="44" t="s">
        <v>2239</v>
      </c>
      <c r="J19" s="44"/>
      <c r="K19" s="44" t="s">
        <v>2240</v>
      </c>
      <c r="L19" s="44" t="s">
        <v>2110</v>
      </c>
      <c r="M19" s="44" t="s">
        <v>623</v>
      </c>
      <c r="N19" s="44" t="s">
        <v>1935</v>
      </c>
      <c r="O19" s="44" t="s">
        <v>2241</v>
      </c>
      <c r="P19" s="44" t="s">
        <v>2242</v>
      </c>
      <c r="Q19" s="44" t="s">
        <v>2243</v>
      </c>
      <c r="R19" s="44" t="s">
        <v>1140</v>
      </c>
      <c r="S19" s="44"/>
      <c r="T19" s="44" t="s">
        <v>2065</v>
      </c>
      <c r="U19" s="44" t="s">
        <v>2244</v>
      </c>
      <c r="V19" s="44" t="s">
        <v>1935</v>
      </c>
      <c r="W19" s="44" t="s">
        <v>1140</v>
      </c>
      <c r="X19" s="44"/>
      <c r="Y19" s="44"/>
      <c r="Z19" s="44"/>
      <c r="AA19" s="44"/>
      <c r="AB19" s="44"/>
      <c r="AC19" s="44"/>
      <c r="AD19" s="44"/>
      <c r="AE19" s="44"/>
      <c r="AF19" s="44"/>
      <c r="AG19" s="44"/>
      <c r="AH19" s="44"/>
      <c r="AI19" s="44"/>
      <c r="AJ19" s="44" t="s">
        <v>2245</v>
      </c>
      <c r="AK19" s="44" t="s">
        <v>791</v>
      </c>
    </row>
    <row r="20" spans="1:37" x14ac:dyDescent="0.3">
      <c r="A20" s="44" t="s">
        <v>2246</v>
      </c>
      <c r="B20" s="44">
        <v>3</v>
      </c>
      <c r="C20" s="44" t="s">
        <v>1909</v>
      </c>
      <c r="D20" s="44" t="s">
        <v>2247</v>
      </c>
      <c r="E20" s="44" t="s">
        <v>2248</v>
      </c>
      <c r="F20" s="44" t="s">
        <v>2249</v>
      </c>
      <c r="G20" s="44" t="s">
        <v>2250</v>
      </c>
      <c r="H20" s="44" t="s">
        <v>2251</v>
      </c>
      <c r="I20" s="44" t="s">
        <v>2252</v>
      </c>
      <c r="J20" s="44"/>
      <c r="K20" s="44" t="s">
        <v>2253</v>
      </c>
      <c r="L20" s="44" t="s">
        <v>2152</v>
      </c>
      <c r="M20" s="44" t="s">
        <v>2254</v>
      </c>
      <c r="N20" s="44" t="s">
        <v>2255</v>
      </c>
      <c r="O20" s="44" t="s">
        <v>2241</v>
      </c>
      <c r="P20" s="44" t="s">
        <v>2242</v>
      </c>
      <c r="Q20" s="44" t="s">
        <v>2256</v>
      </c>
      <c r="R20" s="44" t="s">
        <v>1902</v>
      </c>
      <c r="S20" s="44"/>
      <c r="T20" s="44" t="s">
        <v>2065</v>
      </c>
      <c r="U20" s="44" t="s">
        <v>2257</v>
      </c>
      <c r="V20" s="44" t="s">
        <v>2147</v>
      </c>
      <c r="W20" s="44" t="s">
        <v>814</v>
      </c>
      <c r="X20" s="44"/>
      <c r="Y20" s="44"/>
      <c r="Z20" s="44"/>
      <c r="AA20" s="44"/>
      <c r="AB20" s="44"/>
      <c r="AC20" s="44"/>
      <c r="AD20" s="44"/>
      <c r="AE20" s="44"/>
      <c r="AF20" s="44"/>
      <c r="AG20" s="44"/>
      <c r="AH20" s="44"/>
      <c r="AI20" s="44"/>
      <c r="AJ20" s="44" t="s">
        <v>2258</v>
      </c>
      <c r="AK20" s="44" t="s">
        <v>911</v>
      </c>
    </row>
    <row r="21" spans="1:37" x14ac:dyDescent="0.3">
      <c r="A21" s="44" t="s">
        <v>2259</v>
      </c>
      <c r="B21" s="44">
        <v>3</v>
      </c>
      <c r="C21" s="44" t="s">
        <v>1909</v>
      </c>
      <c r="D21" s="44" t="s">
        <v>2260</v>
      </c>
      <c r="E21" s="44" t="s">
        <v>2261</v>
      </c>
      <c r="F21" s="44" t="s">
        <v>2262</v>
      </c>
      <c r="G21" s="44" t="s">
        <v>2263</v>
      </c>
      <c r="H21" s="44" t="s">
        <v>2264</v>
      </c>
      <c r="I21" s="44" t="s">
        <v>2265</v>
      </c>
      <c r="J21" s="44"/>
      <c r="K21" s="44" t="s">
        <v>2266</v>
      </c>
      <c r="L21" s="44" t="s">
        <v>2110</v>
      </c>
      <c r="M21" s="44" t="s">
        <v>623</v>
      </c>
      <c r="N21" s="44" t="s">
        <v>2267</v>
      </c>
      <c r="O21" s="44" t="s">
        <v>2241</v>
      </c>
      <c r="P21" s="44" t="s">
        <v>2242</v>
      </c>
      <c r="Q21" s="44" t="s">
        <v>2268</v>
      </c>
      <c r="R21" s="44" t="s">
        <v>1140</v>
      </c>
      <c r="S21" s="44"/>
      <c r="T21" s="44" t="s">
        <v>2065</v>
      </c>
      <c r="U21" s="44" t="s">
        <v>2269</v>
      </c>
      <c r="V21" s="44" t="s">
        <v>2255</v>
      </c>
      <c r="W21" s="44" t="s">
        <v>1902</v>
      </c>
      <c r="X21" s="44"/>
      <c r="Y21" s="44"/>
      <c r="Z21" s="44"/>
      <c r="AA21" s="44"/>
      <c r="AB21" s="44"/>
      <c r="AC21" s="44"/>
      <c r="AD21" s="44"/>
      <c r="AE21" s="44"/>
      <c r="AF21" s="44"/>
      <c r="AG21" s="44"/>
      <c r="AH21" s="44"/>
      <c r="AI21" s="44"/>
      <c r="AJ21" s="44" t="s">
        <v>2270</v>
      </c>
      <c r="AK21" s="44" t="s">
        <v>929</v>
      </c>
    </row>
    <row r="22" spans="1:37" x14ac:dyDescent="0.3">
      <c r="A22" s="44" t="s">
        <v>2271</v>
      </c>
      <c r="B22" s="44">
        <v>3</v>
      </c>
      <c r="C22" s="44" t="s">
        <v>1909</v>
      </c>
      <c r="D22" s="44" t="s">
        <v>2260</v>
      </c>
      <c r="E22" s="44" t="s">
        <v>2261</v>
      </c>
      <c r="F22" s="44" t="s">
        <v>2272</v>
      </c>
      <c r="G22" s="44" t="s">
        <v>2273</v>
      </c>
      <c r="H22" s="44" t="s">
        <v>2274</v>
      </c>
      <c r="I22" s="44" t="s">
        <v>2275</v>
      </c>
      <c r="J22" s="44"/>
      <c r="K22" s="44" t="s">
        <v>2276</v>
      </c>
      <c r="L22" s="44" t="s">
        <v>2064</v>
      </c>
      <c r="M22" s="44" t="s">
        <v>2105</v>
      </c>
      <c r="N22" s="44" t="s">
        <v>2277</v>
      </c>
      <c r="O22" s="44" t="s">
        <v>2038</v>
      </c>
      <c r="P22" s="44" t="s">
        <v>2039</v>
      </c>
      <c r="Q22" s="44" t="s">
        <v>2278</v>
      </c>
      <c r="R22" s="44" t="s">
        <v>814</v>
      </c>
      <c r="S22" s="44"/>
      <c r="T22" s="44" t="s">
        <v>2065</v>
      </c>
      <c r="U22" s="44" t="s">
        <v>2137</v>
      </c>
      <c r="V22" s="44"/>
      <c r="W22" s="44"/>
      <c r="X22" s="44"/>
      <c r="Y22" s="44"/>
      <c r="Z22" s="44"/>
      <c r="AA22" s="44"/>
      <c r="AB22" s="44"/>
      <c r="AC22" s="44"/>
      <c r="AD22" s="44"/>
      <c r="AE22" s="44"/>
      <c r="AF22" s="44"/>
      <c r="AG22" s="44"/>
      <c r="AH22" s="44"/>
      <c r="AI22" s="44"/>
      <c r="AJ22" s="44"/>
      <c r="AK22" s="44"/>
    </row>
    <row r="23" spans="1:37" x14ac:dyDescent="0.3">
      <c r="A23" s="44" t="s">
        <v>2279</v>
      </c>
      <c r="B23" s="44">
        <v>3</v>
      </c>
      <c r="C23" s="44" t="s">
        <v>1909</v>
      </c>
      <c r="D23" s="44" t="s">
        <v>2260</v>
      </c>
      <c r="E23" s="44" t="s">
        <v>2261</v>
      </c>
      <c r="F23" s="44" t="s">
        <v>2280</v>
      </c>
      <c r="G23" s="44" t="s">
        <v>2281</v>
      </c>
      <c r="H23" s="44" t="s">
        <v>2282</v>
      </c>
      <c r="I23" s="44" t="s">
        <v>2283</v>
      </c>
      <c r="J23" s="44"/>
      <c r="K23" s="44" t="s">
        <v>2284</v>
      </c>
      <c r="L23" s="44" t="s">
        <v>2064</v>
      </c>
      <c r="M23" s="44" t="s">
        <v>2105</v>
      </c>
      <c r="N23" s="44" t="s">
        <v>2285</v>
      </c>
      <c r="O23" s="44" t="s">
        <v>2038</v>
      </c>
      <c r="P23" s="44" t="s">
        <v>2039</v>
      </c>
      <c r="Q23" s="44" t="s">
        <v>2286</v>
      </c>
      <c r="R23" s="44" t="s">
        <v>814</v>
      </c>
      <c r="S23" s="44"/>
      <c r="T23" s="44" t="s">
        <v>2083</v>
      </c>
      <c r="U23" s="44" t="s">
        <v>2287</v>
      </c>
      <c r="V23" s="44" t="s">
        <v>2134</v>
      </c>
      <c r="W23" s="44" t="s">
        <v>814</v>
      </c>
      <c r="X23" s="44"/>
      <c r="Y23" s="44"/>
      <c r="Z23" s="44"/>
      <c r="AA23" s="44"/>
      <c r="AB23" s="44"/>
      <c r="AC23" s="44"/>
      <c r="AD23" s="44"/>
      <c r="AE23" s="44"/>
      <c r="AF23" s="44"/>
      <c r="AG23" s="44"/>
      <c r="AH23" s="44"/>
      <c r="AI23" s="44"/>
      <c r="AJ23" s="44"/>
      <c r="AK23" s="44"/>
    </row>
    <row r="24" spans="1:37" x14ac:dyDescent="0.3">
      <c r="A24" s="44" t="s">
        <v>2288</v>
      </c>
      <c r="B24" s="44">
        <v>3</v>
      </c>
      <c r="C24" s="44" t="s">
        <v>1909</v>
      </c>
      <c r="D24" s="44" t="s">
        <v>2260</v>
      </c>
      <c r="E24" s="44" t="s">
        <v>2261</v>
      </c>
      <c r="F24" s="44" t="s">
        <v>2289</v>
      </c>
      <c r="G24" s="44" t="s">
        <v>2290</v>
      </c>
      <c r="H24" s="44" t="s">
        <v>2291</v>
      </c>
      <c r="I24" s="44" t="s">
        <v>2292</v>
      </c>
      <c r="J24" s="44"/>
      <c r="K24" s="44" t="s">
        <v>2293</v>
      </c>
      <c r="L24" s="44" t="s">
        <v>2125</v>
      </c>
      <c r="M24" s="44" t="s">
        <v>2294</v>
      </c>
      <c r="N24" s="44" t="s">
        <v>2295</v>
      </c>
      <c r="O24" s="44" t="s">
        <v>2241</v>
      </c>
      <c r="P24" s="44" t="s">
        <v>2242</v>
      </c>
      <c r="Q24" s="44" t="s">
        <v>2296</v>
      </c>
      <c r="R24" s="44" t="s">
        <v>1294</v>
      </c>
      <c r="S24" s="44"/>
      <c r="T24" s="44" t="s">
        <v>2083</v>
      </c>
      <c r="U24" s="44" t="s">
        <v>2297</v>
      </c>
      <c r="V24" s="44" t="s">
        <v>2134</v>
      </c>
      <c r="W24" s="44" t="s">
        <v>814</v>
      </c>
      <c r="X24" s="44"/>
      <c r="Y24" s="44"/>
      <c r="Z24" s="44"/>
      <c r="AA24" s="44"/>
      <c r="AB24" s="44"/>
      <c r="AC24" s="44"/>
      <c r="AD24" s="44"/>
      <c r="AE24" s="44"/>
      <c r="AF24" s="44"/>
      <c r="AG24" s="44"/>
      <c r="AH24" s="44"/>
      <c r="AI24" s="44"/>
      <c r="AJ24" s="44"/>
      <c r="AK24" s="44"/>
    </row>
    <row r="25" spans="1:37" x14ac:dyDescent="0.3">
      <c r="A25" s="44" t="s">
        <v>2298</v>
      </c>
      <c r="B25" s="44">
        <v>3</v>
      </c>
      <c r="C25" s="44" t="s">
        <v>1909</v>
      </c>
      <c r="D25" s="44" t="s">
        <v>2299</v>
      </c>
      <c r="E25" s="44" t="s">
        <v>2300</v>
      </c>
      <c r="F25" s="44" t="s">
        <v>2301</v>
      </c>
      <c r="G25" s="44" t="s">
        <v>2302</v>
      </c>
      <c r="H25" s="44" t="s">
        <v>2303</v>
      </c>
      <c r="I25" s="44" t="s">
        <v>2304</v>
      </c>
      <c r="J25" s="44"/>
      <c r="K25" s="44" t="s">
        <v>2305</v>
      </c>
      <c r="L25" s="44" t="s">
        <v>2140</v>
      </c>
      <c r="M25" s="44" t="s">
        <v>1967</v>
      </c>
      <c r="N25" s="44" t="s">
        <v>1967</v>
      </c>
      <c r="O25" s="44" t="s">
        <v>2306</v>
      </c>
      <c r="P25" s="44" t="s">
        <v>2203</v>
      </c>
      <c r="Q25" s="44" t="s">
        <v>2307</v>
      </c>
      <c r="R25" s="44" t="s">
        <v>1135</v>
      </c>
      <c r="S25" s="44"/>
      <c r="T25" s="44" t="s">
        <v>2083</v>
      </c>
      <c r="U25" s="44" t="s">
        <v>2308</v>
      </c>
      <c r="V25" s="44" t="s">
        <v>2147</v>
      </c>
      <c r="W25" s="44" t="s">
        <v>814</v>
      </c>
      <c r="X25" s="44"/>
      <c r="Y25" s="44"/>
      <c r="Z25" s="44"/>
      <c r="AA25" s="44"/>
      <c r="AB25" s="44"/>
      <c r="AC25" s="44"/>
      <c r="AD25" s="44"/>
      <c r="AE25" s="44"/>
      <c r="AF25" s="44"/>
      <c r="AG25" s="44"/>
      <c r="AH25" s="44"/>
      <c r="AI25" s="44"/>
      <c r="AJ25" s="44"/>
      <c r="AK25" s="44"/>
    </row>
    <row r="26" spans="1:37" x14ac:dyDescent="0.3">
      <c r="A26" s="44" t="s">
        <v>2309</v>
      </c>
      <c r="B26" s="44">
        <v>3</v>
      </c>
      <c r="C26" s="44" t="s">
        <v>1909</v>
      </c>
      <c r="D26" s="44" t="s">
        <v>2299</v>
      </c>
      <c r="E26" s="44" t="s">
        <v>2300</v>
      </c>
      <c r="F26" s="44" t="s">
        <v>2310</v>
      </c>
      <c r="G26" s="44" t="s">
        <v>2302</v>
      </c>
      <c r="H26" s="44" t="s">
        <v>2311</v>
      </c>
      <c r="I26" s="44" t="s">
        <v>2312</v>
      </c>
      <c r="J26" s="44"/>
      <c r="K26" s="44" t="s">
        <v>2313</v>
      </c>
      <c r="L26" s="44" t="s">
        <v>2152</v>
      </c>
      <c r="M26" s="44" t="s">
        <v>2254</v>
      </c>
      <c r="N26" s="44" t="s">
        <v>2314</v>
      </c>
      <c r="O26" s="44" t="s">
        <v>2241</v>
      </c>
      <c r="P26" s="44" t="s">
        <v>2242</v>
      </c>
      <c r="Q26" s="44" t="s">
        <v>2315</v>
      </c>
      <c r="R26" s="44" t="s">
        <v>1902</v>
      </c>
      <c r="S26" s="44"/>
      <c r="T26" s="44" t="s">
        <v>2083</v>
      </c>
      <c r="U26" s="44" t="s">
        <v>2316</v>
      </c>
      <c r="V26" s="44" t="s">
        <v>2134</v>
      </c>
      <c r="W26" s="44" t="s">
        <v>814</v>
      </c>
      <c r="X26" s="44"/>
      <c r="Y26" s="44"/>
      <c r="Z26" s="44"/>
      <c r="AA26" s="44"/>
      <c r="AB26" s="44"/>
      <c r="AC26" s="44"/>
      <c r="AD26" s="44"/>
      <c r="AE26" s="44"/>
      <c r="AF26" s="44"/>
      <c r="AG26" s="44"/>
      <c r="AH26" s="44"/>
      <c r="AI26" s="44"/>
      <c r="AJ26" s="44"/>
      <c r="AK26" s="44"/>
    </row>
    <row r="27" spans="1:37" x14ac:dyDescent="0.3">
      <c r="A27" s="44" t="s">
        <v>2317</v>
      </c>
      <c r="B27" s="44">
        <v>3</v>
      </c>
      <c r="C27" s="44" t="s">
        <v>1909</v>
      </c>
      <c r="D27" s="44" t="s">
        <v>2299</v>
      </c>
      <c r="E27" s="44" t="s">
        <v>2300</v>
      </c>
      <c r="F27" s="44" t="s">
        <v>2318</v>
      </c>
      <c r="G27" s="44" t="s">
        <v>2319</v>
      </c>
      <c r="H27" s="44" t="s">
        <v>2320</v>
      </c>
      <c r="I27" s="44" t="s">
        <v>2321</v>
      </c>
      <c r="J27" s="44"/>
      <c r="K27" s="44" t="s">
        <v>2322</v>
      </c>
      <c r="L27" s="44" t="s">
        <v>2152</v>
      </c>
      <c r="M27" s="44" t="s">
        <v>2254</v>
      </c>
      <c r="N27" s="44" t="s">
        <v>2323</v>
      </c>
      <c r="O27" s="44" t="s">
        <v>2241</v>
      </c>
      <c r="P27" s="44" t="s">
        <v>2242</v>
      </c>
      <c r="Q27" s="44" t="s">
        <v>2324</v>
      </c>
      <c r="R27" s="44" t="s">
        <v>1902</v>
      </c>
      <c r="S27" s="44"/>
      <c r="T27" s="44" t="s">
        <v>2083</v>
      </c>
      <c r="U27" s="44" t="s">
        <v>2137</v>
      </c>
      <c r="V27" s="44"/>
      <c r="W27" s="44"/>
      <c r="X27" s="44"/>
      <c r="Y27" s="44"/>
      <c r="Z27" s="44"/>
      <c r="AA27" s="44"/>
      <c r="AB27" s="44"/>
      <c r="AC27" s="44"/>
      <c r="AD27" s="44"/>
      <c r="AE27" s="44"/>
      <c r="AF27" s="44"/>
      <c r="AG27" s="44"/>
      <c r="AH27" s="44"/>
      <c r="AI27" s="44"/>
      <c r="AJ27" s="44"/>
      <c r="AK27" s="44"/>
    </row>
    <row r="28" spans="1:37" x14ac:dyDescent="0.3">
      <c r="A28" s="44" t="s">
        <v>2325</v>
      </c>
      <c r="B28" s="44">
        <v>4</v>
      </c>
      <c r="C28" s="44" t="s">
        <v>1910</v>
      </c>
      <c r="D28" s="44" t="s">
        <v>2326</v>
      </c>
      <c r="E28" s="44" t="s">
        <v>2327</v>
      </c>
      <c r="F28" s="44" t="s">
        <v>2328</v>
      </c>
      <c r="G28" s="44" t="s">
        <v>2329</v>
      </c>
      <c r="H28" s="44" t="s">
        <v>2330</v>
      </c>
      <c r="I28" s="44" t="s">
        <v>2331</v>
      </c>
      <c r="J28" s="44"/>
      <c r="K28" s="44" t="s">
        <v>2332</v>
      </c>
      <c r="L28" s="44" t="s">
        <v>2152</v>
      </c>
      <c r="M28" s="44" t="s">
        <v>2254</v>
      </c>
      <c r="N28" s="44" t="s">
        <v>2333</v>
      </c>
      <c r="O28" s="44" t="s">
        <v>2241</v>
      </c>
      <c r="P28" s="44" t="s">
        <v>2242</v>
      </c>
      <c r="Q28" s="44" t="s">
        <v>2334</v>
      </c>
      <c r="R28" s="44" t="s">
        <v>1902</v>
      </c>
      <c r="S28" s="44"/>
      <c r="T28" s="44" t="s">
        <v>2099</v>
      </c>
      <c r="U28" s="44" t="s">
        <v>2335</v>
      </c>
      <c r="V28" s="44" t="s">
        <v>2134</v>
      </c>
      <c r="W28" s="44" t="s">
        <v>814</v>
      </c>
      <c r="X28" s="44"/>
      <c r="Y28" s="44"/>
      <c r="Z28" s="44"/>
      <c r="AA28" s="44"/>
      <c r="AB28" s="44"/>
      <c r="AC28" s="44"/>
      <c r="AD28" s="44"/>
      <c r="AE28" s="44"/>
      <c r="AF28" s="44"/>
      <c r="AG28" s="44"/>
      <c r="AH28" s="44"/>
      <c r="AI28" s="44"/>
      <c r="AJ28" s="44"/>
      <c r="AK28" s="44"/>
    </row>
    <row r="29" spans="1:37" x14ac:dyDescent="0.3">
      <c r="A29" s="44" t="s">
        <v>2336</v>
      </c>
      <c r="B29" s="44">
        <v>4</v>
      </c>
      <c r="C29" s="44" t="s">
        <v>1910</v>
      </c>
      <c r="D29" s="44" t="s">
        <v>2326</v>
      </c>
      <c r="E29" s="44" t="s">
        <v>2327</v>
      </c>
      <c r="F29" s="44" t="s">
        <v>2337</v>
      </c>
      <c r="G29" s="44" t="s">
        <v>2338</v>
      </c>
      <c r="H29" s="44" t="s">
        <v>2339</v>
      </c>
      <c r="I29" s="44" t="s">
        <v>2340</v>
      </c>
      <c r="J29" s="44"/>
      <c r="K29" s="44" t="s">
        <v>2341</v>
      </c>
      <c r="L29" s="44" t="s">
        <v>2152</v>
      </c>
      <c r="M29" s="44" t="s">
        <v>2254</v>
      </c>
      <c r="N29" s="44" t="s">
        <v>2342</v>
      </c>
      <c r="O29" s="44" t="s">
        <v>2241</v>
      </c>
      <c r="P29" s="44" t="s">
        <v>2242</v>
      </c>
      <c r="Q29" s="44" t="s">
        <v>2343</v>
      </c>
      <c r="R29" s="44" t="s">
        <v>1902</v>
      </c>
      <c r="S29" s="44"/>
      <c r="T29" s="44" t="s">
        <v>2099</v>
      </c>
      <c r="U29" s="44" t="s">
        <v>2344</v>
      </c>
      <c r="V29" s="44" t="s">
        <v>1935</v>
      </c>
      <c r="W29" s="44" t="s">
        <v>1140</v>
      </c>
      <c r="X29" s="44"/>
      <c r="Y29" s="44"/>
      <c r="Z29" s="44"/>
      <c r="AA29" s="44"/>
      <c r="AB29" s="44"/>
      <c r="AC29" s="44"/>
      <c r="AD29" s="44"/>
      <c r="AE29" s="44"/>
      <c r="AF29" s="44"/>
      <c r="AG29" s="44"/>
      <c r="AH29" s="44"/>
      <c r="AI29" s="44"/>
      <c r="AJ29" s="44"/>
      <c r="AK29" s="44"/>
    </row>
    <row r="30" spans="1:37" x14ac:dyDescent="0.3">
      <c r="A30" s="44" t="s">
        <v>2345</v>
      </c>
      <c r="B30" s="44">
        <v>4</v>
      </c>
      <c r="C30" s="44" t="s">
        <v>1910</v>
      </c>
      <c r="D30" s="44" t="s">
        <v>2326</v>
      </c>
      <c r="E30" s="44" t="s">
        <v>2327</v>
      </c>
      <c r="F30" s="44" t="s">
        <v>2346</v>
      </c>
      <c r="G30" s="44" t="s">
        <v>2347</v>
      </c>
      <c r="H30" s="44" t="s">
        <v>2348</v>
      </c>
      <c r="I30" s="44" t="s">
        <v>2349</v>
      </c>
      <c r="J30" s="44"/>
      <c r="K30" s="44" t="s">
        <v>2350</v>
      </c>
      <c r="L30" s="44" t="s">
        <v>2152</v>
      </c>
      <c r="M30" s="44" t="s">
        <v>2254</v>
      </c>
      <c r="N30" s="44" t="s">
        <v>2351</v>
      </c>
      <c r="O30" s="44" t="s">
        <v>2241</v>
      </c>
      <c r="P30" s="44" t="s">
        <v>2242</v>
      </c>
      <c r="Q30" s="44" t="s">
        <v>2352</v>
      </c>
      <c r="R30" s="44" t="s">
        <v>1902</v>
      </c>
      <c r="S30" s="44"/>
      <c r="T30" s="44" t="s">
        <v>2099</v>
      </c>
      <c r="U30" s="44" t="s">
        <v>2353</v>
      </c>
      <c r="V30" s="44" t="s">
        <v>2134</v>
      </c>
      <c r="W30" s="44" t="s">
        <v>814</v>
      </c>
      <c r="X30" s="44"/>
      <c r="Y30" s="44"/>
      <c r="Z30" s="44"/>
      <c r="AA30" s="44"/>
      <c r="AB30" s="44"/>
      <c r="AC30" s="44"/>
      <c r="AD30" s="44"/>
      <c r="AE30" s="44"/>
      <c r="AF30" s="44"/>
      <c r="AG30" s="44"/>
      <c r="AH30" s="44"/>
      <c r="AI30" s="44"/>
      <c r="AJ30" s="44"/>
      <c r="AK30" s="44"/>
    </row>
    <row r="31" spans="1:37" x14ac:dyDescent="0.3">
      <c r="A31" s="44" t="s">
        <v>2354</v>
      </c>
      <c r="B31" s="44">
        <v>4</v>
      </c>
      <c r="C31" s="44" t="s">
        <v>1910</v>
      </c>
      <c r="D31" s="44" t="s">
        <v>2355</v>
      </c>
      <c r="E31" s="44" t="s">
        <v>2356</v>
      </c>
      <c r="F31" s="44" t="s">
        <v>2357</v>
      </c>
      <c r="G31" s="44" t="s">
        <v>2302</v>
      </c>
      <c r="H31" s="44" t="s">
        <v>2358</v>
      </c>
      <c r="I31" s="44" t="s">
        <v>2359</v>
      </c>
      <c r="J31" s="44"/>
      <c r="K31" s="44" t="s">
        <v>2360</v>
      </c>
      <c r="L31" s="44" t="s">
        <v>2170</v>
      </c>
      <c r="M31" s="44" t="s">
        <v>2361</v>
      </c>
      <c r="N31" s="44" t="s">
        <v>2167</v>
      </c>
      <c r="O31" s="44" t="s">
        <v>2362</v>
      </c>
      <c r="P31" s="44" t="s">
        <v>2242</v>
      </c>
      <c r="Q31" s="44" t="s">
        <v>2363</v>
      </c>
      <c r="R31" s="44" t="s">
        <v>1331</v>
      </c>
      <c r="S31" s="44"/>
      <c r="T31" s="44" t="s">
        <v>2099</v>
      </c>
      <c r="U31" s="44" t="s">
        <v>2137</v>
      </c>
      <c r="V31" s="44"/>
      <c r="W31" s="44"/>
      <c r="X31" s="44"/>
      <c r="Y31" s="44"/>
      <c r="Z31" s="44"/>
      <c r="AA31" s="44"/>
      <c r="AB31" s="44"/>
      <c r="AC31" s="44"/>
      <c r="AD31" s="44"/>
      <c r="AE31" s="44"/>
      <c r="AF31" s="44"/>
      <c r="AG31" s="44"/>
      <c r="AH31" s="44"/>
      <c r="AI31" s="44"/>
      <c r="AJ31" s="44"/>
      <c r="AK31" s="44"/>
    </row>
    <row r="32" spans="1:37" x14ac:dyDescent="0.3">
      <c r="A32" s="44" t="s">
        <v>2364</v>
      </c>
      <c r="B32" s="44">
        <v>4</v>
      </c>
      <c r="C32" s="44" t="s">
        <v>1910</v>
      </c>
      <c r="D32" s="44" t="s">
        <v>2355</v>
      </c>
      <c r="E32" s="44" t="s">
        <v>2356</v>
      </c>
      <c r="F32" s="44" t="s">
        <v>2365</v>
      </c>
      <c r="G32" s="44" t="s">
        <v>2366</v>
      </c>
      <c r="H32" s="44" t="s">
        <v>2367</v>
      </c>
      <c r="I32" s="44" t="s">
        <v>153</v>
      </c>
      <c r="J32" s="44"/>
      <c r="K32" s="44" t="s">
        <v>2368</v>
      </c>
      <c r="L32" s="44" t="s">
        <v>2181</v>
      </c>
      <c r="M32" s="44" t="s">
        <v>1961</v>
      </c>
      <c r="N32" s="44" t="s">
        <v>1961</v>
      </c>
      <c r="O32" s="44" t="s">
        <v>2369</v>
      </c>
      <c r="P32" s="44" t="s">
        <v>2203</v>
      </c>
      <c r="Q32" s="44" t="s">
        <v>2370</v>
      </c>
      <c r="R32" s="44" t="s">
        <v>1440</v>
      </c>
      <c r="S32" s="44"/>
      <c r="T32" s="44" t="s">
        <v>2111</v>
      </c>
      <c r="U32" s="44" t="s">
        <v>2371</v>
      </c>
      <c r="V32" s="44" t="s">
        <v>2134</v>
      </c>
      <c r="W32" s="44" t="s">
        <v>814</v>
      </c>
      <c r="X32" s="44"/>
      <c r="Y32" s="44"/>
      <c r="Z32" s="44"/>
      <c r="AA32" s="44"/>
      <c r="AB32" s="44"/>
      <c r="AC32" s="44"/>
      <c r="AD32" s="44"/>
      <c r="AE32" s="44"/>
      <c r="AF32" s="44"/>
      <c r="AG32" s="44"/>
      <c r="AH32" s="44"/>
      <c r="AI32" s="44"/>
      <c r="AJ32" s="44"/>
      <c r="AK32" s="44"/>
    </row>
    <row r="33" spans="1:37" x14ac:dyDescent="0.3">
      <c r="A33" s="44" t="s">
        <v>2372</v>
      </c>
      <c r="B33" s="44">
        <v>4</v>
      </c>
      <c r="C33" s="44" t="s">
        <v>1910</v>
      </c>
      <c r="D33" s="44" t="s">
        <v>2355</v>
      </c>
      <c r="E33" s="44" t="s">
        <v>2356</v>
      </c>
      <c r="F33" s="44" t="s">
        <v>2373</v>
      </c>
      <c r="G33" s="44" t="s">
        <v>2374</v>
      </c>
      <c r="H33" s="44" t="s">
        <v>2375</v>
      </c>
      <c r="I33" s="44" t="s">
        <v>2376</v>
      </c>
      <c r="J33" s="44"/>
      <c r="K33" s="44" t="s">
        <v>2377</v>
      </c>
      <c r="L33" s="44" t="s">
        <v>2193</v>
      </c>
      <c r="M33" s="44" t="s">
        <v>2378</v>
      </c>
      <c r="N33" s="44" t="s">
        <v>2058</v>
      </c>
      <c r="O33" s="44" t="s">
        <v>2241</v>
      </c>
      <c r="P33" s="44" t="s">
        <v>2242</v>
      </c>
      <c r="Q33" s="44" t="s">
        <v>2379</v>
      </c>
      <c r="R33" s="44" t="s">
        <v>1372</v>
      </c>
      <c r="S33" s="44"/>
      <c r="T33" s="44" t="s">
        <v>2111</v>
      </c>
      <c r="U33" s="44" t="s">
        <v>2380</v>
      </c>
      <c r="V33" s="44" t="s">
        <v>2267</v>
      </c>
      <c r="W33" s="44" t="s">
        <v>1140</v>
      </c>
      <c r="X33" s="44"/>
      <c r="Y33" s="44"/>
      <c r="Z33" s="44"/>
      <c r="AA33" s="44"/>
      <c r="AB33" s="44"/>
      <c r="AC33" s="44"/>
      <c r="AD33" s="44"/>
      <c r="AE33" s="44"/>
      <c r="AF33" s="44"/>
      <c r="AG33" s="44"/>
      <c r="AH33" s="44"/>
      <c r="AI33" s="44"/>
      <c r="AJ33" s="44"/>
      <c r="AK33" s="44"/>
    </row>
    <row r="34" spans="1:37" x14ac:dyDescent="0.3">
      <c r="A34" s="44" t="s">
        <v>2381</v>
      </c>
      <c r="B34" s="44">
        <v>4</v>
      </c>
      <c r="C34" s="44" t="s">
        <v>1910</v>
      </c>
      <c r="D34" s="44" t="s">
        <v>2382</v>
      </c>
      <c r="E34" s="44" t="s">
        <v>2383</v>
      </c>
      <c r="F34" s="44" t="s">
        <v>2384</v>
      </c>
      <c r="G34" s="44" t="s">
        <v>2366</v>
      </c>
      <c r="H34" s="44" t="s">
        <v>2385</v>
      </c>
      <c r="I34" s="44" t="s">
        <v>2386</v>
      </c>
      <c r="J34" s="44"/>
      <c r="K34" s="44" t="s">
        <v>2387</v>
      </c>
      <c r="L34" s="44" t="s">
        <v>2207</v>
      </c>
      <c r="M34" s="44" t="s">
        <v>2227</v>
      </c>
      <c r="N34" s="44" t="s">
        <v>1956</v>
      </c>
      <c r="O34" s="44" t="s">
        <v>2388</v>
      </c>
      <c r="P34" s="44" t="s">
        <v>2203</v>
      </c>
      <c r="Q34" s="44" t="s">
        <v>2389</v>
      </c>
      <c r="R34" s="44" t="s">
        <v>977</v>
      </c>
      <c r="S34" s="44"/>
      <c r="T34" s="44" t="s">
        <v>2111</v>
      </c>
      <c r="U34" s="44" t="s">
        <v>2390</v>
      </c>
      <c r="V34" s="44" t="s">
        <v>2267</v>
      </c>
      <c r="W34" s="44" t="s">
        <v>1140</v>
      </c>
      <c r="X34" s="44"/>
      <c r="Y34" s="44"/>
      <c r="Z34" s="44"/>
      <c r="AA34" s="44"/>
      <c r="AB34" s="44"/>
      <c r="AC34" s="44"/>
      <c r="AD34" s="44"/>
      <c r="AE34" s="44"/>
      <c r="AF34" s="44"/>
      <c r="AG34" s="44"/>
      <c r="AH34" s="44"/>
      <c r="AI34" s="44"/>
      <c r="AJ34" s="44"/>
      <c r="AK34" s="44"/>
    </row>
    <row r="35" spans="1:37" x14ac:dyDescent="0.3">
      <c r="A35" s="44" t="s">
        <v>2391</v>
      </c>
      <c r="B35" s="44">
        <v>4</v>
      </c>
      <c r="C35" s="44" t="s">
        <v>1910</v>
      </c>
      <c r="D35" s="44" t="s">
        <v>2392</v>
      </c>
      <c r="E35" s="44" t="s">
        <v>2393</v>
      </c>
      <c r="F35" s="44" t="s">
        <v>2394</v>
      </c>
      <c r="G35" s="44" t="s">
        <v>2395</v>
      </c>
      <c r="H35" s="44" t="s">
        <v>2396</v>
      </c>
      <c r="I35" s="44" t="s">
        <v>2397</v>
      </c>
      <c r="J35" s="44"/>
      <c r="K35" s="44" t="s">
        <v>2398</v>
      </c>
      <c r="L35" s="44" t="s">
        <v>2207</v>
      </c>
      <c r="M35" s="44" t="s">
        <v>2227</v>
      </c>
      <c r="N35" s="44" t="s">
        <v>1947</v>
      </c>
      <c r="O35" s="44" t="s">
        <v>2369</v>
      </c>
      <c r="P35" s="44" t="s">
        <v>2203</v>
      </c>
      <c r="Q35" s="44" t="s">
        <v>2399</v>
      </c>
      <c r="R35" s="44" t="s">
        <v>977</v>
      </c>
      <c r="S35" s="44"/>
      <c r="T35" s="44" t="s">
        <v>2111</v>
      </c>
      <c r="U35" s="44" t="s">
        <v>2400</v>
      </c>
      <c r="V35" s="44" t="s">
        <v>2073</v>
      </c>
      <c r="W35" s="44" t="s">
        <v>858</v>
      </c>
      <c r="X35" s="44"/>
      <c r="Y35" s="44"/>
      <c r="Z35" s="44"/>
      <c r="AA35" s="44"/>
      <c r="AB35" s="44"/>
      <c r="AC35" s="44"/>
      <c r="AD35" s="44"/>
      <c r="AE35" s="44"/>
      <c r="AF35" s="44"/>
      <c r="AG35" s="44"/>
      <c r="AH35" s="44"/>
      <c r="AI35" s="44"/>
      <c r="AJ35" s="44"/>
      <c r="AK35" s="44"/>
    </row>
    <row r="36" spans="1:37" x14ac:dyDescent="0.3">
      <c r="A36" s="44" t="s">
        <v>2401</v>
      </c>
      <c r="B36" s="44">
        <v>4</v>
      </c>
      <c r="C36" s="44" t="s">
        <v>1910</v>
      </c>
      <c r="D36" s="44" t="s">
        <v>2392</v>
      </c>
      <c r="E36" s="44" t="s">
        <v>2393</v>
      </c>
      <c r="F36" s="44" t="s">
        <v>2402</v>
      </c>
      <c r="G36" s="44" t="s">
        <v>2403</v>
      </c>
      <c r="H36" s="44" t="s">
        <v>2404</v>
      </c>
      <c r="I36" s="44" t="s">
        <v>2405</v>
      </c>
      <c r="J36" s="44"/>
      <c r="K36" s="44" t="s">
        <v>2406</v>
      </c>
      <c r="L36" s="44" t="s">
        <v>2218</v>
      </c>
      <c r="M36" s="44" t="s">
        <v>2407</v>
      </c>
      <c r="N36" s="44" t="s">
        <v>2408</v>
      </c>
      <c r="O36" s="44" t="s">
        <v>2408</v>
      </c>
      <c r="P36" s="44" t="s">
        <v>2203</v>
      </c>
      <c r="Q36" s="44" t="s">
        <v>2409</v>
      </c>
      <c r="R36" s="44" t="s">
        <v>1103</v>
      </c>
      <c r="S36" s="44"/>
      <c r="T36" s="44" t="s">
        <v>2111</v>
      </c>
      <c r="U36" s="44" t="s">
        <v>2137</v>
      </c>
      <c r="V36" s="44"/>
      <c r="W36" s="44"/>
      <c r="X36" s="44"/>
      <c r="Y36" s="44"/>
      <c r="Z36" s="44"/>
      <c r="AA36" s="44"/>
      <c r="AB36" s="44"/>
      <c r="AC36" s="44"/>
      <c r="AD36" s="44"/>
      <c r="AE36" s="44"/>
      <c r="AF36" s="44"/>
      <c r="AG36" s="44"/>
      <c r="AH36" s="44"/>
      <c r="AI36" s="44"/>
      <c r="AJ36" s="44"/>
      <c r="AK36" s="44"/>
    </row>
    <row r="37" spans="1:37" x14ac:dyDescent="0.3">
      <c r="A37" s="44" t="s">
        <v>2410</v>
      </c>
      <c r="B37" s="44">
        <v>4</v>
      </c>
      <c r="C37" s="44" t="s">
        <v>1910</v>
      </c>
      <c r="D37" s="44" t="s">
        <v>2392</v>
      </c>
      <c r="E37" s="44" t="s">
        <v>2393</v>
      </c>
      <c r="F37" s="44" t="s">
        <v>2411</v>
      </c>
      <c r="G37" s="44" t="s">
        <v>2412</v>
      </c>
      <c r="H37" s="44" t="s">
        <v>2413</v>
      </c>
      <c r="I37" s="44" t="s">
        <v>2414</v>
      </c>
      <c r="J37" s="44"/>
      <c r="K37" s="44" t="s">
        <v>2415</v>
      </c>
      <c r="L37" s="44" t="s">
        <v>2218</v>
      </c>
      <c r="M37" s="44" t="s">
        <v>2407</v>
      </c>
      <c r="N37" s="44" t="s">
        <v>2416</v>
      </c>
      <c r="O37" s="44" t="s">
        <v>2417</v>
      </c>
      <c r="P37" s="44" t="s">
        <v>2203</v>
      </c>
      <c r="Q37" s="44" t="s">
        <v>2418</v>
      </c>
      <c r="R37" s="44" t="s">
        <v>1103</v>
      </c>
      <c r="S37" s="44"/>
      <c r="T37" s="44" t="s">
        <v>2126</v>
      </c>
      <c r="U37" s="44" t="s">
        <v>2419</v>
      </c>
      <c r="V37" s="44" t="s">
        <v>1942</v>
      </c>
      <c r="W37" s="44" t="s">
        <v>791</v>
      </c>
      <c r="X37" s="44"/>
      <c r="Y37" s="44"/>
      <c r="Z37" s="44"/>
      <c r="AA37" s="44"/>
      <c r="AB37" s="44"/>
      <c r="AC37" s="44"/>
      <c r="AD37" s="44"/>
      <c r="AE37" s="44"/>
      <c r="AF37" s="44"/>
      <c r="AG37" s="44"/>
      <c r="AH37" s="44"/>
      <c r="AI37" s="44"/>
      <c r="AJ37" s="44"/>
      <c r="AK37" s="44"/>
    </row>
    <row r="38" spans="1:37" x14ac:dyDescent="0.3">
      <c r="A38" s="44" t="s">
        <v>2420</v>
      </c>
      <c r="B38" s="44">
        <v>4</v>
      </c>
      <c r="C38" s="44" t="s">
        <v>1910</v>
      </c>
      <c r="D38" s="44" t="s">
        <v>2421</v>
      </c>
      <c r="E38" s="44" t="s">
        <v>2422</v>
      </c>
      <c r="F38" s="44" t="s">
        <v>2423</v>
      </c>
      <c r="G38" s="44" t="s">
        <v>2329</v>
      </c>
      <c r="H38" s="44" t="s">
        <v>2424</v>
      </c>
      <c r="I38" s="44" t="s">
        <v>2425</v>
      </c>
      <c r="J38" s="44"/>
      <c r="K38" s="44" t="s">
        <v>2426</v>
      </c>
      <c r="L38" s="44" t="s">
        <v>2161</v>
      </c>
      <c r="M38" s="44" t="s">
        <v>2162</v>
      </c>
      <c r="N38" s="44" t="s">
        <v>1964</v>
      </c>
      <c r="O38" s="44" t="s">
        <v>2164</v>
      </c>
      <c r="P38" s="44" t="s">
        <v>2039</v>
      </c>
      <c r="Q38" s="44" t="s">
        <v>2427</v>
      </c>
      <c r="R38" s="44" t="s">
        <v>841</v>
      </c>
      <c r="S38" s="44"/>
      <c r="T38" s="44" t="s">
        <v>2126</v>
      </c>
      <c r="U38" s="44" t="s">
        <v>2428</v>
      </c>
      <c r="V38" s="44" t="s">
        <v>1935</v>
      </c>
      <c r="W38" s="44" t="s">
        <v>1140</v>
      </c>
      <c r="X38" s="44"/>
      <c r="Y38" s="44"/>
      <c r="Z38" s="44"/>
      <c r="AA38" s="44"/>
      <c r="AB38" s="44"/>
      <c r="AC38" s="44"/>
      <c r="AD38" s="44"/>
      <c r="AE38" s="44"/>
      <c r="AF38" s="44"/>
      <c r="AG38" s="44"/>
      <c r="AH38" s="44"/>
      <c r="AI38" s="44"/>
      <c r="AJ38" s="44"/>
      <c r="AK38" s="44"/>
    </row>
    <row r="39" spans="1:37" x14ac:dyDescent="0.3">
      <c r="A39" s="44" t="s">
        <v>2429</v>
      </c>
      <c r="B39" s="44">
        <v>4</v>
      </c>
      <c r="C39" s="44" t="s">
        <v>1910</v>
      </c>
      <c r="D39" s="44" t="s">
        <v>2421</v>
      </c>
      <c r="E39" s="44" t="s">
        <v>2422</v>
      </c>
      <c r="F39" s="44" t="s">
        <v>2430</v>
      </c>
      <c r="G39" s="44" t="s">
        <v>2431</v>
      </c>
      <c r="H39" s="44" t="s">
        <v>2432</v>
      </c>
      <c r="I39" s="44" t="s">
        <v>2433</v>
      </c>
      <c r="J39" s="44"/>
      <c r="K39" s="44" t="s">
        <v>2434</v>
      </c>
      <c r="L39" s="44" t="s">
        <v>2245</v>
      </c>
      <c r="M39" s="44" t="s">
        <v>2435</v>
      </c>
      <c r="N39" s="44" t="s">
        <v>1942</v>
      </c>
      <c r="O39" s="44" t="s">
        <v>2436</v>
      </c>
      <c r="P39" s="44" t="s">
        <v>2039</v>
      </c>
      <c r="Q39" s="44" t="s">
        <v>2437</v>
      </c>
      <c r="R39" s="44" t="s">
        <v>791</v>
      </c>
      <c r="S39" s="44"/>
      <c r="T39" s="44" t="s">
        <v>2126</v>
      </c>
      <c r="U39" s="44" t="s">
        <v>1937</v>
      </c>
      <c r="V39" s="44" t="s">
        <v>1935</v>
      </c>
      <c r="W39" s="44" t="s">
        <v>1140</v>
      </c>
      <c r="X39" s="44" t="s">
        <v>1938</v>
      </c>
      <c r="Y39" s="44"/>
      <c r="Z39" s="44"/>
      <c r="AA39" s="44"/>
      <c r="AB39" s="44"/>
      <c r="AC39" s="44"/>
      <c r="AD39" s="44"/>
      <c r="AE39" s="44"/>
      <c r="AF39" s="44"/>
      <c r="AG39" s="44"/>
      <c r="AH39" s="44"/>
      <c r="AI39" s="44"/>
      <c r="AJ39" s="44"/>
      <c r="AK39" s="44"/>
    </row>
    <row r="40" spans="1:37" x14ac:dyDescent="0.3">
      <c r="A40" s="44" t="s">
        <v>2438</v>
      </c>
      <c r="B40" s="44">
        <v>5</v>
      </c>
      <c r="C40" s="44" t="s">
        <v>1911</v>
      </c>
      <c r="D40" s="44" t="s">
        <v>2439</v>
      </c>
      <c r="E40" s="44" t="s">
        <v>2440</v>
      </c>
      <c r="F40" s="44" t="s">
        <v>2441</v>
      </c>
      <c r="G40" s="44" t="s">
        <v>2442</v>
      </c>
      <c r="H40" s="44" t="s">
        <v>2443</v>
      </c>
      <c r="I40" s="44" t="s">
        <v>2444</v>
      </c>
      <c r="J40" s="44"/>
      <c r="K40" s="44" t="s">
        <v>2445</v>
      </c>
      <c r="L40" s="44" t="s">
        <v>2245</v>
      </c>
      <c r="M40" s="44" t="s">
        <v>2435</v>
      </c>
      <c r="N40" s="44" t="s">
        <v>2446</v>
      </c>
      <c r="O40" s="44" t="s">
        <v>2436</v>
      </c>
      <c r="P40" s="44" t="s">
        <v>2039</v>
      </c>
      <c r="Q40" s="44" t="s">
        <v>2447</v>
      </c>
      <c r="R40" s="44" t="s">
        <v>791</v>
      </c>
      <c r="S40" s="44"/>
      <c r="T40" s="44" t="s">
        <v>2126</v>
      </c>
      <c r="U40" s="44" t="s">
        <v>2137</v>
      </c>
      <c r="V40" s="44"/>
      <c r="W40" s="44"/>
      <c r="X40" s="44"/>
      <c r="Y40" s="44"/>
      <c r="Z40" s="44"/>
      <c r="AA40" s="44"/>
      <c r="AB40" s="44"/>
      <c r="AC40" s="44"/>
      <c r="AD40" s="44"/>
      <c r="AE40" s="44"/>
      <c r="AF40" s="44"/>
      <c r="AG40" s="44"/>
      <c r="AH40" s="44"/>
      <c r="AI40" s="44"/>
      <c r="AJ40" s="44"/>
      <c r="AK40" s="44"/>
    </row>
    <row r="41" spans="1:37" x14ac:dyDescent="0.3">
      <c r="A41" s="44" t="s">
        <v>2448</v>
      </c>
      <c r="B41" s="44">
        <v>5</v>
      </c>
      <c r="C41" s="44" t="s">
        <v>1911</v>
      </c>
      <c r="D41" s="44" t="s">
        <v>2449</v>
      </c>
      <c r="E41" s="44" t="s">
        <v>2450</v>
      </c>
      <c r="F41" s="44" t="s">
        <v>2451</v>
      </c>
      <c r="G41" s="44" t="s">
        <v>2452</v>
      </c>
      <c r="H41" s="44" t="s">
        <v>2453</v>
      </c>
      <c r="I41" s="44" t="s">
        <v>2454</v>
      </c>
      <c r="J41" s="44"/>
      <c r="K41" s="44" t="s">
        <v>2455</v>
      </c>
      <c r="L41" s="44" t="s">
        <v>2245</v>
      </c>
      <c r="M41" s="44" t="s">
        <v>2435</v>
      </c>
      <c r="N41" s="44" t="s">
        <v>2456</v>
      </c>
      <c r="O41" s="44" t="s">
        <v>2436</v>
      </c>
      <c r="P41" s="44" t="s">
        <v>2039</v>
      </c>
      <c r="Q41" s="44" t="s">
        <v>2457</v>
      </c>
      <c r="R41" s="44" t="s">
        <v>791</v>
      </c>
      <c r="S41" s="44"/>
      <c r="T41" s="44" t="s">
        <v>2141</v>
      </c>
      <c r="U41" s="44" t="s">
        <v>2458</v>
      </c>
      <c r="V41" s="44" t="s">
        <v>1935</v>
      </c>
      <c r="W41" s="44" t="s">
        <v>1140</v>
      </c>
      <c r="X41" s="44"/>
      <c r="Y41" s="44"/>
      <c r="Z41" s="44"/>
      <c r="AA41" s="44"/>
      <c r="AB41" s="44"/>
      <c r="AC41" s="44"/>
      <c r="AD41" s="44"/>
      <c r="AE41" s="44"/>
      <c r="AF41" s="44"/>
      <c r="AG41" s="44"/>
      <c r="AH41" s="44"/>
      <c r="AI41" s="44"/>
      <c r="AJ41" s="44"/>
      <c r="AK41" s="44"/>
    </row>
    <row r="42" spans="1:37" x14ac:dyDescent="0.3">
      <c r="A42" s="44" t="s">
        <v>2459</v>
      </c>
      <c r="B42" s="44">
        <v>5</v>
      </c>
      <c r="C42" s="44" t="s">
        <v>1911</v>
      </c>
      <c r="D42" s="44" t="s">
        <v>2449</v>
      </c>
      <c r="E42" s="44" t="s">
        <v>2450</v>
      </c>
      <c r="F42" s="44" t="s">
        <v>2460</v>
      </c>
      <c r="G42" s="44" t="s">
        <v>2302</v>
      </c>
      <c r="H42" s="44" t="s">
        <v>2461</v>
      </c>
      <c r="I42" s="44" t="s">
        <v>2462</v>
      </c>
      <c r="J42" s="44"/>
      <c r="K42" s="44" t="s">
        <v>2463</v>
      </c>
      <c r="L42" s="44" t="s">
        <v>2258</v>
      </c>
      <c r="M42" s="44" t="s">
        <v>723</v>
      </c>
      <c r="N42" s="44" t="s">
        <v>2464</v>
      </c>
      <c r="O42" s="44" t="s">
        <v>2465</v>
      </c>
      <c r="P42" s="44" t="s">
        <v>2242</v>
      </c>
      <c r="Q42" s="44" t="s">
        <v>2466</v>
      </c>
      <c r="R42" s="44" t="s">
        <v>911</v>
      </c>
      <c r="S42" s="44"/>
      <c r="T42" s="44" t="s">
        <v>2141</v>
      </c>
      <c r="U42" s="44" t="s">
        <v>1939</v>
      </c>
      <c r="V42" s="44" t="s">
        <v>1935</v>
      </c>
      <c r="W42" s="44" t="s">
        <v>1140</v>
      </c>
      <c r="X42" s="44" t="s">
        <v>1940</v>
      </c>
      <c r="Y42" s="44"/>
      <c r="Z42" s="44"/>
      <c r="AA42" s="44"/>
      <c r="AB42" s="44"/>
      <c r="AC42" s="44"/>
      <c r="AD42" s="44"/>
      <c r="AE42" s="44"/>
      <c r="AF42" s="44"/>
      <c r="AG42" s="44"/>
      <c r="AH42" s="44"/>
      <c r="AI42" s="44"/>
      <c r="AJ42" s="44"/>
      <c r="AK42" s="44"/>
    </row>
    <row r="43" spans="1:37" x14ac:dyDescent="0.3">
      <c r="A43" s="44" t="s">
        <v>2467</v>
      </c>
      <c r="B43" s="44">
        <v>5</v>
      </c>
      <c r="C43" s="44" t="s">
        <v>1911</v>
      </c>
      <c r="D43" s="44" t="s">
        <v>2449</v>
      </c>
      <c r="E43" s="44" t="s">
        <v>2450</v>
      </c>
      <c r="F43" s="44" t="s">
        <v>2468</v>
      </c>
      <c r="G43" s="44" t="s">
        <v>2302</v>
      </c>
      <c r="H43" s="44" t="s">
        <v>2469</v>
      </c>
      <c r="I43" s="44" t="s">
        <v>2470</v>
      </c>
      <c r="J43" s="44"/>
      <c r="K43" s="44" t="s">
        <v>2471</v>
      </c>
      <c r="L43" s="44" t="s">
        <v>2258</v>
      </c>
      <c r="M43" s="44" t="s">
        <v>723</v>
      </c>
      <c r="N43" s="44" t="s">
        <v>2472</v>
      </c>
      <c r="O43" s="44" t="s">
        <v>2465</v>
      </c>
      <c r="P43" s="44" t="s">
        <v>2242</v>
      </c>
      <c r="Q43" s="44" t="s">
        <v>2473</v>
      </c>
      <c r="R43" s="44" t="s">
        <v>911</v>
      </c>
      <c r="S43" s="44"/>
      <c r="T43" s="44" t="s">
        <v>2141</v>
      </c>
      <c r="U43" s="44" t="s">
        <v>1941</v>
      </c>
      <c r="V43" s="44" t="s">
        <v>1942</v>
      </c>
      <c r="W43" s="44" t="s">
        <v>791</v>
      </c>
      <c r="X43" s="44" t="s">
        <v>1943</v>
      </c>
      <c r="Y43" s="44"/>
      <c r="Z43" s="44"/>
      <c r="AA43" s="44"/>
      <c r="AB43" s="44"/>
      <c r="AC43" s="44"/>
      <c r="AD43" s="44"/>
      <c r="AE43" s="44"/>
      <c r="AF43" s="44"/>
      <c r="AG43" s="44"/>
      <c r="AH43" s="44"/>
      <c r="AI43" s="44"/>
      <c r="AJ43" s="44"/>
      <c r="AK43" s="44"/>
    </row>
    <row r="44" spans="1:37" x14ac:dyDescent="0.3">
      <c r="A44" s="44" t="s">
        <v>2474</v>
      </c>
      <c r="B44" s="44">
        <v>5</v>
      </c>
      <c r="C44" s="44" t="s">
        <v>1911</v>
      </c>
      <c r="D44" s="44" t="s">
        <v>2475</v>
      </c>
      <c r="E44" s="44" t="s">
        <v>2476</v>
      </c>
      <c r="F44" s="44" t="s">
        <v>2477</v>
      </c>
      <c r="G44" s="44" t="s">
        <v>2478</v>
      </c>
      <c r="H44" s="44" t="s">
        <v>2479</v>
      </c>
      <c r="I44" s="44" t="s">
        <v>2480</v>
      </c>
      <c r="J44" s="44"/>
      <c r="K44" s="44" t="s">
        <v>2481</v>
      </c>
      <c r="L44" s="44" t="s">
        <v>2258</v>
      </c>
      <c r="M44" s="44" t="s">
        <v>723</v>
      </c>
      <c r="N44" s="44" t="s">
        <v>2482</v>
      </c>
      <c r="O44" s="44" t="s">
        <v>2465</v>
      </c>
      <c r="P44" s="44" t="s">
        <v>2242</v>
      </c>
      <c r="Q44" s="44" t="s">
        <v>2483</v>
      </c>
      <c r="R44" s="44" t="s">
        <v>911</v>
      </c>
      <c r="S44" s="44"/>
      <c r="T44" s="44" t="s">
        <v>2141</v>
      </c>
      <c r="U44" s="44" t="s">
        <v>2137</v>
      </c>
      <c r="V44" s="44"/>
      <c r="W44" s="44"/>
      <c r="X44" s="44"/>
      <c r="Y44" s="44"/>
      <c r="Z44" s="44"/>
      <c r="AA44" s="44"/>
      <c r="AB44" s="44"/>
      <c r="AC44" s="44"/>
      <c r="AD44" s="44"/>
      <c r="AE44" s="44"/>
      <c r="AF44" s="44"/>
      <c r="AG44" s="44"/>
      <c r="AH44" s="44"/>
      <c r="AI44" s="44"/>
      <c r="AJ44" s="44"/>
      <c r="AK44" s="44"/>
    </row>
    <row r="45" spans="1:37" x14ac:dyDescent="0.3">
      <c r="A45" s="44" t="s">
        <v>2484</v>
      </c>
      <c r="B45" s="44">
        <v>5</v>
      </c>
      <c r="C45" s="44" t="s">
        <v>1911</v>
      </c>
      <c r="D45" s="44" t="s">
        <v>2485</v>
      </c>
      <c r="E45" s="44" t="s">
        <v>2486</v>
      </c>
      <c r="F45" s="44" t="s">
        <v>2487</v>
      </c>
      <c r="G45" s="44" t="s">
        <v>2302</v>
      </c>
      <c r="H45" s="44" t="s">
        <v>2488</v>
      </c>
      <c r="I45" s="44" t="s">
        <v>2489</v>
      </c>
      <c r="J45" s="44"/>
      <c r="K45" s="44" t="s">
        <v>2490</v>
      </c>
      <c r="L45" s="44" t="s">
        <v>2270</v>
      </c>
      <c r="M45" s="44" t="s">
        <v>2491</v>
      </c>
      <c r="N45" s="44" t="s">
        <v>2492</v>
      </c>
      <c r="O45" s="44" t="s">
        <v>1235</v>
      </c>
      <c r="P45" s="44" t="s">
        <v>2242</v>
      </c>
      <c r="Q45" s="44" t="s">
        <v>2493</v>
      </c>
      <c r="R45" s="44" t="s">
        <v>929</v>
      </c>
      <c r="S45" s="44"/>
      <c r="T45" s="44" t="s">
        <v>2153</v>
      </c>
      <c r="U45" s="44" t="s">
        <v>2494</v>
      </c>
      <c r="V45" s="44" t="s">
        <v>2472</v>
      </c>
      <c r="W45" s="44" t="s">
        <v>911</v>
      </c>
      <c r="X45" s="44"/>
      <c r="Y45" s="44"/>
      <c r="Z45" s="44"/>
      <c r="AA45" s="44"/>
      <c r="AB45" s="44"/>
      <c r="AC45" s="44"/>
      <c r="AD45" s="44"/>
      <c r="AE45" s="44"/>
      <c r="AF45" s="44"/>
      <c r="AG45" s="44"/>
      <c r="AH45" s="44"/>
      <c r="AI45" s="44"/>
      <c r="AJ45" s="44"/>
      <c r="AK45" s="44"/>
    </row>
    <row r="46" spans="1:37" x14ac:dyDescent="0.3">
      <c r="A46" s="44" t="s">
        <v>2495</v>
      </c>
      <c r="B46" s="44">
        <v>6</v>
      </c>
      <c r="C46" s="44" t="s">
        <v>1912</v>
      </c>
      <c r="D46" s="44" t="s">
        <v>2496</v>
      </c>
      <c r="E46" s="44" t="s">
        <v>2497</v>
      </c>
      <c r="F46" s="44" t="s">
        <v>2498</v>
      </c>
      <c r="G46" s="44" t="s">
        <v>2302</v>
      </c>
      <c r="H46" s="44" t="s">
        <v>2499</v>
      </c>
      <c r="I46" s="44" t="s">
        <v>2500</v>
      </c>
      <c r="J46" s="44"/>
      <c r="K46" s="44" t="s">
        <v>2501</v>
      </c>
      <c r="L46" s="44" t="s">
        <v>2270</v>
      </c>
      <c r="M46" s="44" t="s">
        <v>2491</v>
      </c>
      <c r="N46" s="44" t="s">
        <v>2502</v>
      </c>
      <c r="O46" s="44" t="s">
        <v>1235</v>
      </c>
      <c r="P46" s="44" t="s">
        <v>2242</v>
      </c>
      <c r="Q46" s="44" t="s">
        <v>2503</v>
      </c>
      <c r="R46" s="44" t="s">
        <v>929</v>
      </c>
      <c r="S46" s="44"/>
      <c r="T46" s="44" t="s">
        <v>2153</v>
      </c>
      <c r="U46" s="44" t="s">
        <v>2504</v>
      </c>
      <c r="V46" s="44" t="s">
        <v>2464</v>
      </c>
      <c r="W46" s="44" t="s">
        <v>911</v>
      </c>
      <c r="X46" s="44"/>
      <c r="Y46" s="44"/>
      <c r="Z46" s="44"/>
      <c r="AA46" s="44"/>
      <c r="AB46" s="44"/>
      <c r="AC46" s="44"/>
      <c r="AD46" s="44"/>
      <c r="AE46" s="44"/>
      <c r="AF46" s="44"/>
      <c r="AG46" s="44"/>
      <c r="AH46" s="44"/>
      <c r="AI46" s="44"/>
      <c r="AJ46" s="44"/>
      <c r="AK46" s="44"/>
    </row>
    <row r="47" spans="1:37" x14ac:dyDescent="0.3">
      <c r="A47" s="44" t="s">
        <v>2505</v>
      </c>
      <c r="B47" s="44">
        <v>6</v>
      </c>
      <c r="C47" s="44" t="s">
        <v>1912</v>
      </c>
      <c r="D47" s="44" t="s">
        <v>2496</v>
      </c>
      <c r="E47" s="44" t="s">
        <v>2497</v>
      </c>
      <c r="F47" s="44" t="s">
        <v>2506</v>
      </c>
      <c r="G47" s="44" t="s">
        <v>2507</v>
      </c>
      <c r="H47" s="44" t="s">
        <v>2508</v>
      </c>
      <c r="I47" s="44" t="s">
        <v>2509</v>
      </c>
      <c r="J47" s="44"/>
      <c r="K47" s="44" t="s">
        <v>2510</v>
      </c>
      <c r="L47" s="44" t="s">
        <v>2270</v>
      </c>
      <c r="M47" s="44" t="s">
        <v>2491</v>
      </c>
      <c r="N47" s="44" t="s">
        <v>2122</v>
      </c>
      <c r="O47" s="44" t="s">
        <v>683</v>
      </c>
      <c r="P47" s="44" t="s">
        <v>2242</v>
      </c>
      <c r="Q47" s="44" t="s">
        <v>2511</v>
      </c>
      <c r="R47" s="44" t="s">
        <v>929</v>
      </c>
      <c r="S47" s="44"/>
      <c r="T47" s="44" t="s">
        <v>2153</v>
      </c>
      <c r="U47" s="44" t="s">
        <v>2512</v>
      </c>
      <c r="V47" s="44" t="s">
        <v>2472</v>
      </c>
      <c r="W47" s="44" t="s">
        <v>911</v>
      </c>
      <c r="X47" s="44"/>
      <c r="Y47" s="44"/>
      <c r="Z47" s="44"/>
      <c r="AA47" s="44"/>
      <c r="AB47" s="44"/>
      <c r="AC47" s="44"/>
      <c r="AD47" s="44"/>
      <c r="AE47" s="44"/>
      <c r="AF47" s="44"/>
      <c r="AG47" s="44"/>
      <c r="AH47" s="44"/>
      <c r="AI47" s="44"/>
      <c r="AJ47" s="44"/>
      <c r="AK47" s="44"/>
    </row>
    <row r="48" spans="1:37" x14ac:dyDescent="0.3">
      <c r="A48" s="44" t="s">
        <v>2513</v>
      </c>
      <c r="B48" s="44">
        <v>6</v>
      </c>
      <c r="C48" s="44" t="s">
        <v>1912</v>
      </c>
      <c r="D48" s="44" t="s">
        <v>2514</v>
      </c>
      <c r="E48" s="44" t="s">
        <v>2515</v>
      </c>
      <c r="F48" s="44" t="s">
        <v>2516</v>
      </c>
      <c r="G48" s="44" t="s">
        <v>2302</v>
      </c>
      <c r="H48" s="44" t="s">
        <v>2517</v>
      </c>
      <c r="I48" s="44" t="s">
        <v>2518</v>
      </c>
      <c r="J48" s="44"/>
      <c r="K48" s="44" t="s">
        <v>2519</v>
      </c>
      <c r="L48" s="44" t="s">
        <v>2035</v>
      </c>
      <c r="M48" s="44" t="s">
        <v>2036</v>
      </c>
      <c r="N48" s="44" t="s">
        <v>2520</v>
      </c>
      <c r="O48" s="44" t="s">
        <v>2038</v>
      </c>
      <c r="P48" s="44" t="s">
        <v>2039</v>
      </c>
      <c r="Q48" s="44" t="s">
        <v>2521</v>
      </c>
      <c r="R48" s="44" t="s">
        <v>858</v>
      </c>
      <c r="S48" s="44"/>
      <c r="T48" s="44" t="s">
        <v>2153</v>
      </c>
      <c r="U48" s="44" t="s">
        <v>2137</v>
      </c>
      <c r="V48" s="44"/>
      <c r="W48" s="44"/>
      <c r="X48" s="44"/>
      <c r="Y48" s="44"/>
      <c r="Z48" s="44"/>
      <c r="AA48" s="44"/>
      <c r="AB48" s="44"/>
      <c r="AC48" s="44"/>
      <c r="AD48" s="44"/>
      <c r="AE48" s="44"/>
      <c r="AF48" s="44"/>
      <c r="AG48" s="44"/>
      <c r="AH48" s="44"/>
      <c r="AI48" s="44"/>
      <c r="AJ48" s="44"/>
      <c r="AK48" s="44"/>
    </row>
    <row r="49" spans="1:37" x14ac:dyDescent="0.3">
      <c r="A49" s="44" t="s">
        <v>2522</v>
      </c>
      <c r="B49" s="44">
        <v>6</v>
      </c>
      <c r="C49" s="44" t="s">
        <v>1912</v>
      </c>
      <c r="D49" s="44" t="s">
        <v>2523</v>
      </c>
      <c r="E49" s="44" t="s">
        <v>2524</v>
      </c>
      <c r="F49" s="44" t="s">
        <v>2525</v>
      </c>
      <c r="G49" s="44" t="s">
        <v>2526</v>
      </c>
      <c r="H49" s="44" t="s">
        <v>2527</v>
      </c>
      <c r="I49" s="44" t="s">
        <v>2528</v>
      </c>
      <c r="J49" s="44"/>
      <c r="K49" s="44" t="s">
        <v>2529</v>
      </c>
      <c r="L49" s="44" t="s">
        <v>2110</v>
      </c>
      <c r="M49" s="44" t="s">
        <v>623</v>
      </c>
      <c r="N49" s="44" t="s">
        <v>2107</v>
      </c>
      <c r="O49" s="44" t="s">
        <v>2241</v>
      </c>
      <c r="P49" s="44" t="s">
        <v>2242</v>
      </c>
      <c r="Q49" s="44" t="s">
        <v>2530</v>
      </c>
      <c r="R49" s="44" t="s">
        <v>1140</v>
      </c>
      <c r="S49" s="44"/>
      <c r="T49" s="44" t="s">
        <v>2171</v>
      </c>
      <c r="U49" s="44" t="s">
        <v>2531</v>
      </c>
      <c r="V49" s="44" t="s">
        <v>2472</v>
      </c>
      <c r="W49" s="44" t="s">
        <v>911</v>
      </c>
      <c r="X49" s="44"/>
      <c r="Y49" s="44"/>
      <c r="Z49" s="44"/>
      <c r="AA49" s="44"/>
      <c r="AB49" s="44"/>
      <c r="AC49" s="44"/>
      <c r="AD49" s="44"/>
      <c r="AE49" s="44"/>
      <c r="AF49" s="44"/>
      <c r="AG49" s="44"/>
      <c r="AH49" s="44"/>
      <c r="AI49" s="44"/>
      <c r="AJ49" s="44"/>
      <c r="AK49" s="44"/>
    </row>
    <row r="50" spans="1:37" x14ac:dyDescent="0.3">
      <c r="A50" s="44"/>
      <c r="B50" s="44"/>
      <c r="C50" s="44"/>
      <c r="D50" s="44"/>
      <c r="E50" s="44"/>
      <c r="F50" s="44"/>
      <c r="G50" s="44"/>
      <c r="H50" s="44"/>
      <c r="I50" s="44"/>
      <c r="J50" s="44"/>
      <c r="K50" s="44" t="s">
        <v>2532</v>
      </c>
      <c r="L50" s="44" t="s">
        <v>2152</v>
      </c>
      <c r="M50" s="44" t="s">
        <v>2254</v>
      </c>
      <c r="N50" s="44" t="s">
        <v>2232</v>
      </c>
      <c r="O50" s="44" t="s">
        <v>2241</v>
      </c>
      <c r="P50" s="44" t="s">
        <v>2242</v>
      </c>
      <c r="Q50" s="44" t="s">
        <v>2533</v>
      </c>
      <c r="R50" s="44" t="s">
        <v>1902</v>
      </c>
      <c r="S50" s="44"/>
      <c r="T50" s="44" t="s">
        <v>2171</v>
      </c>
      <c r="U50" s="44" t="s">
        <v>2534</v>
      </c>
      <c r="V50" s="44" t="s">
        <v>2472</v>
      </c>
      <c r="W50" s="44" t="s">
        <v>911</v>
      </c>
      <c r="X50" s="44"/>
      <c r="Y50" s="44"/>
      <c r="Z50" s="44"/>
      <c r="AA50" s="44"/>
      <c r="AB50" s="44"/>
      <c r="AC50" s="44"/>
      <c r="AD50" s="44"/>
      <c r="AE50" s="44"/>
      <c r="AF50" s="44"/>
      <c r="AG50" s="44"/>
      <c r="AH50" s="44"/>
      <c r="AI50" s="44"/>
      <c r="AJ50" s="44"/>
      <c r="AK50" s="44"/>
    </row>
    <row r="51" spans="1:37" x14ac:dyDescent="0.3">
      <c r="A51" s="44"/>
      <c r="B51" s="44"/>
      <c r="C51" s="44"/>
      <c r="D51" s="44"/>
      <c r="E51" s="44"/>
      <c r="F51" s="44"/>
      <c r="G51" s="44"/>
      <c r="H51" s="44"/>
      <c r="I51" s="44"/>
      <c r="J51" s="44"/>
      <c r="K51" s="44" t="s">
        <v>2535</v>
      </c>
      <c r="L51" s="44" t="s">
        <v>2207</v>
      </c>
      <c r="M51" s="44" t="s">
        <v>2227</v>
      </c>
      <c r="N51" s="44" t="s">
        <v>2536</v>
      </c>
      <c r="O51" s="44" t="s">
        <v>2388</v>
      </c>
      <c r="P51" s="44" t="s">
        <v>2203</v>
      </c>
      <c r="Q51" s="44" t="s">
        <v>2537</v>
      </c>
      <c r="R51" s="44" t="s">
        <v>977</v>
      </c>
      <c r="S51" s="44"/>
      <c r="T51" s="44" t="s">
        <v>2171</v>
      </c>
      <c r="U51" s="44" t="s">
        <v>2137</v>
      </c>
      <c r="V51" s="44"/>
      <c r="W51" s="44"/>
      <c r="X51" s="44"/>
      <c r="Y51" s="44"/>
      <c r="Z51" s="44"/>
      <c r="AA51" s="44"/>
      <c r="AB51" s="44"/>
      <c r="AC51" s="44"/>
      <c r="AD51" s="44"/>
      <c r="AE51" s="44"/>
      <c r="AF51" s="44"/>
      <c r="AG51" s="44"/>
      <c r="AH51" s="44"/>
      <c r="AI51" s="44"/>
      <c r="AJ51" s="44"/>
      <c r="AK51" s="44"/>
    </row>
    <row r="52" spans="1:37" x14ac:dyDescent="0.3">
      <c r="A52" s="44"/>
      <c r="B52" s="44"/>
      <c r="C52" s="44"/>
      <c r="D52" s="44"/>
      <c r="E52" s="44"/>
      <c r="F52" s="44"/>
      <c r="G52" s="44"/>
      <c r="H52" s="44"/>
      <c r="I52" s="44"/>
      <c r="J52" s="44"/>
      <c r="K52" s="44"/>
      <c r="L52" s="44"/>
      <c r="M52" s="44"/>
      <c r="N52" s="44"/>
      <c r="O52" s="44"/>
      <c r="P52" s="44"/>
      <c r="Q52" s="44"/>
      <c r="R52" s="44"/>
      <c r="S52" s="44"/>
      <c r="T52" s="44" t="s">
        <v>2182</v>
      </c>
      <c r="U52" s="44" t="s">
        <v>2538</v>
      </c>
      <c r="V52" s="44" t="s">
        <v>2472</v>
      </c>
      <c r="W52" s="44" t="s">
        <v>911</v>
      </c>
      <c r="X52" s="44"/>
      <c r="Y52" s="44"/>
      <c r="Z52" s="44"/>
      <c r="AA52" s="44"/>
      <c r="AB52" s="44"/>
      <c r="AC52" s="44"/>
      <c r="AD52" s="44"/>
      <c r="AE52" s="44"/>
      <c r="AF52" s="44"/>
      <c r="AG52" s="44"/>
      <c r="AH52" s="44"/>
      <c r="AI52" s="44"/>
      <c r="AJ52" s="44"/>
      <c r="AK52" s="44"/>
    </row>
    <row r="53" spans="1:37" x14ac:dyDescent="0.3">
      <c r="A53" s="44"/>
      <c r="B53" s="44"/>
      <c r="C53" s="44"/>
      <c r="D53" s="44"/>
      <c r="E53" s="44"/>
      <c r="F53" s="44"/>
      <c r="G53" s="44"/>
      <c r="H53" s="44"/>
      <c r="I53" s="44"/>
      <c r="J53" s="44"/>
      <c r="K53" s="44"/>
      <c r="L53" s="44"/>
      <c r="M53" s="44"/>
      <c r="N53" s="44"/>
      <c r="O53" s="44"/>
      <c r="P53" s="44"/>
      <c r="Q53" s="44"/>
      <c r="R53" s="44"/>
      <c r="S53" s="44"/>
      <c r="T53" s="44" t="s">
        <v>2182</v>
      </c>
      <c r="U53" s="44" t="s">
        <v>2539</v>
      </c>
      <c r="V53" s="44" t="s">
        <v>2472</v>
      </c>
      <c r="W53" s="44" t="s">
        <v>911</v>
      </c>
      <c r="X53" s="44"/>
      <c r="Y53" s="44"/>
      <c r="Z53" s="44"/>
      <c r="AA53" s="44"/>
      <c r="AB53" s="44"/>
      <c r="AC53" s="44"/>
      <c r="AD53" s="44"/>
      <c r="AE53" s="44"/>
      <c r="AF53" s="44"/>
      <c r="AG53" s="44"/>
      <c r="AH53" s="44"/>
      <c r="AI53" s="44"/>
      <c r="AJ53" s="44"/>
      <c r="AK53" s="44"/>
    </row>
    <row r="54" spans="1:37" x14ac:dyDescent="0.3">
      <c r="A54" s="44"/>
      <c r="B54" s="44"/>
      <c r="C54" s="44"/>
      <c r="D54" s="44"/>
      <c r="E54" s="44"/>
      <c r="F54" s="44"/>
      <c r="G54" s="44"/>
      <c r="H54" s="44"/>
      <c r="I54" s="44"/>
      <c r="J54" s="44"/>
      <c r="K54" s="44"/>
      <c r="L54" s="44"/>
      <c r="M54" s="44"/>
      <c r="N54" s="44"/>
      <c r="O54" s="44"/>
      <c r="P54" s="44"/>
      <c r="Q54" s="44"/>
      <c r="R54" s="44"/>
      <c r="S54" s="44"/>
      <c r="T54" s="44" t="s">
        <v>2182</v>
      </c>
      <c r="U54" s="44" t="s">
        <v>2137</v>
      </c>
      <c r="V54" s="44"/>
      <c r="W54" s="44"/>
      <c r="X54" s="44"/>
      <c r="Y54" s="44"/>
      <c r="Z54" s="44"/>
      <c r="AA54" s="44"/>
      <c r="AB54" s="44"/>
      <c r="AC54" s="44"/>
      <c r="AD54" s="44"/>
      <c r="AE54" s="44"/>
      <c r="AF54" s="44"/>
      <c r="AG54" s="44"/>
      <c r="AH54" s="44"/>
      <c r="AI54" s="44"/>
      <c r="AJ54" s="44"/>
      <c r="AK54" s="44"/>
    </row>
    <row r="55" spans="1:37" x14ac:dyDescent="0.3">
      <c r="A55" s="44"/>
      <c r="B55" s="44"/>
      <c r="C55" s="44"/>
      <c r="D55" s="44"/>
      <c r="E55" s="44"/>
      <c r="F55" s="44"/>
      <c r="G55" s="44"/>
      <c r="H55" s="44"/>
      <c r="I55" s="44"/>
      <c r="J55" s="44"/>
      <c r="K55" s="44"/>
      <c r="L55" s="44"/>
      <c r="M55" s="44"/>
      <c r="N55" s="44"/>
      <c r="O55" s="44"/>
      <c r="P55" s="44"/>
      <c r="Q55" s="44"/>
      <c r="R55" s="44"/>
      <c r="S55" s="44"/>
      <c r="T55" s="44" t="s">
        <v>2194</v>
      </c>
      <c r="U55" s="44" t="s">
        <v>2540</v>
      </c>
      <c r="V55" s="44" t="s">
        <v>2472</v>
      </c>
      <c r="W55" s="44" t="s">
        <v>911</v>
      </c>
      <c r="X55" s="44"/>
      <c r="Y55" s="44"/>
      <c r="Z55" s="44"/>
      <c r="AA55" s="44"/>
      <c r="AB55" s="44"/>
      <c r="AC55" s="44"/>
      <c r="AD55" s="44"/>
      <c r="AE55" s="44"/>
      <c r="AF55" s="44"/>
      <c r="AG55" s="44"/>
      <c r="AH55" s="44"/>
      <c r="AI55" s="44"/>
      <c r="AJ55" s="44"/>
      <c r="AK55" s="44"/>
    </row>
    <row r="56" spans="1:37" x14ac:dyDescent="0.3">
      <c r="A56" s="44"/>
      <c r="B56" s="44"/>
      <c r="C56" s="44"/>
      <c r="D56" s="44"/>
      <c r="E56" s="44"/>
      <c r="F56" s="44"/>
      <c r="G56" s="44"/>
      <c r="H56" s="44"/>
      <c r="I56" s="44"/>
      <c r="J56" s="44"/>
      <c r="K56" s="44"/>
      <c r="L56" s="44"/>
      <c r="M56" s="44"/>
      <c r="N56" s="44"/>
      <c r="O56" s="44"/>
      <c r="P56" s="44"/>
      <c r="Q56" s="44"/>
      <c r="R56" s="44"/>
      <c r="S56" s="44"/>
      <c r="T56" s="44" t="s">
        <v>2194</v>
      </c>
      <c r="U56" s="44" t="s">
        <v>2541</v>
      </c>
      <c r="V56" s="44" t="s">
        <v>2472</v>
      </c>
      <c r="W56" s="44" t="s">
        <v>911</v>
      </c>
      <c r="X56" s="44"/>
      <c r="Y56" s="44"/>
      <c r="Z56" s="44"/>
      <c r="AA56" s="44"/>
      <c r="AB56" s="44"/>
      <c r="AC56" s="44"/>
      <c r="AD56" s="44"/>
      <c r="AE56" s="44"/>
      <c r="AF56" s="44"/>
      <c r="AG56" s="44"/>
      <c r="AH56" s="44"/>
      <c r="AI56" s="44"/>
      <c r="AJ56" s="44"/>
      <c r="AK56" s="44"/>
    </row>
    <row r="57" spans="1:37" x14ac:dyDescent="0.3">
      <c r="A57" s="44"/>
      <c r="B57" s="44"/>
      <c r="C57" s="44"/>
      <c r="D57" s="44"/>
      <c r="E57" s="44"/>
      <c r="F57" s="44"/>
      <c r="G57" s="44"/>
      <c r="H57" s="44"/>
      <c r="I57" s="44"/>
      <c r="J57" s="44"/>
      <c r="K57" s="44"/>
      <c r="L57" s="44"/>
      <c r="M57" s="44"/>
      <c r="N57" s="44"/>
      <c r="O57" s="44"/>
      <c r="P57" s="44"/>
      <c r="Q57" s="44"/>
      <c r="R57" s="44"/>
      <c r="S57" s="44"/>
      <c r="T57" s="44" t="s">
        <v>2194</v>
      </c>
      <c r="U57" s="44" t="s">
        <v>2137</v>
      </c>
      <c r="V57" s="44"/>
      <c r="W57" s="44"/>
      <c r="X57" s="44"/>
      <c r="Y57" s="44"/>
      <c r="Z57" s="44"/>
      <c r="AA57" s="44"/>
      <c r="AB57" s="44"/>
      <c r="AC57" s="44"/>
      <c r="AD57" s="44"/>
      <c r="AE57" s="44"/>
      <c r="AF57" s="44"/>
      <c r="AG57" s="44"/>
      <c r="AH57" s="44"/>
      <c r="AI57" s="44"/>
      <c r="AJ57" s="44"/>
      <c r="AK57" s="44"/>
    </row>
    <row r="58" spans="1:37" x14ac:dyDescent="0.3">
      <c r="A58" s="44"/>
      <c r="B58" s="44"/>
      <c r="C58" s="44"/>
      <c r="D58" s="44"/>
      <c r="E58" s="44"/>
      <c r="F58" s="44"/>
      <c r="G58" s="44"/>
      <c r="H58" s="44"/>
      <c r="I58" s="44"/>
      <c r="J58" s="44"/>
      <c r="K58" s="44"/>
      <c r="L58" s="44"/>
      <c r="M58" s="44"/>
      <c r="N58" s="44"/>
      <c r="O58" s="44"/>
      <c r="P58" s="44"/>
      <c r="Q58" s="44"/>
      <c r="R58" s="44"/>
      <c r="S58" s="44"/>
      <c r="T58" s="44" t="s">
        <v>2208</v>
      </c>
      <c r="U58" s="44" t="s">
        <v>2542</v>
      </c>
      <c r="V58" s="44" t="s">
        <v>2472</v>
      </c>
      <c r="W58" s="44" t="s">
        <v>911</v>
      </c>
      <c r="X58" s="44"/>
      <c r="Y58" s="44"/>
      <c r="Z58" s="44"/>
      <c r="AA58" s="44"/>
      <c r="AB58" s="44"/>
      <c r="AC58" s="44"/>
      <c r="AD58" s="44"/>
      <c r="AE58" s="44"/>
      <c r="AF58" s="44"/>
      <c r="AG58" s="44"/>
      <c r="AH58" s="44"/>
      <c r="AI58" s="44"/>
      <c r="AJ58" s="44"/>
      <c r="AK58" s="44"/>
    </row>
    <row r="59" spans="1:37" x14ac:dyDescent="0.3">
      <c r="A59" s="44"/>
      <c r="B59" s="44"/>
      <c r="C59" s="44"/>
      <c r="D59" s="44"/>
      <c r="E59" s="44"/>
      <c r="F59" s="44"/>
      <c r="G59" s="44"/>
      <c r="H59" s="44"/>
      <c r="I59" s="44"/>
      <c r="J59" s="44"/>
      <c r="K59" s="44"/>
      <c r="L59" s="44"/>
      <c r="M59" s="44"/>
      <c r="N59" s="44"/>
      <c r="O59" s="44"/>
      <c r="P59" s="44"/>
      <c r="Q59" s="44"/>
      <c r="R59" s="44"/>
      <c r="S59" s="44"/>
      <c r="T59" s="44" t="s">
        <v>2208</v>
      </c>
      <c r="U59" s="44" t="s">
        <v>2543</v>
      </c>
      <c r="V59" s="44" t="s">
        <v>2472</v>
      </c>
      <c r="W59" s="44" t="s">
        <v>911</v>
      </c>
      <c r="X59" s="44"/>
      <c r="Y59" s="44"/>
      <c r="Z59" s="44"/>
      <c r="AA59" s="44"/>
      <c r="AB59" s="44"/>
      <c r="AC59" s="44"/>
      <c r="AD59" s="44"/>
      <c r="AE59" s="44"/>
      <c r="AF59" s="44"/>
      <c r="AG59" s="44"/>
      <c r="AH59" s="44"/>
      <c r="AI59" s="44"/>
      <c r="AJ59" s="44"/>
      <c r="AK59" s="44"/>
    </row>
    <row r="60" spans="1:37" x14ac:dyDescent="0.3">
      <c r="A60" s="44"/>
      <c r="B60" s="44"/>
      <c r="C60" s="44"/>
      <c r="D60" s="44"/>
      <c r="E60" s="44"/>
      <c r="F60" s="44"/>
      <c r="G60" s="44"/>
      <c r="H60" s="44"/>
      <c r="I60" s="44"/>
      <c r="J60" s="44"/>
      <c r="K60" s="44"/>
      <c r="L60" s="44"/>
      <c r="M60" s="44"/>
      <c r="N60" s="44"/>
      <c r="O60" s="44"/>
      <c r="P60" s="44"/>
      <c r="Q60" s="44"/>
      <c r="R60" s="44"/>
      <c r="S60" s="44"/>
      <c r="T60" s="44" t="s">
        <v>2208</v>
      </c>
      <c r="U60" s="44" t="s">
        <v>2137</v>
      </c>
      <c r="V60" s="44"/>
      <c r="W60" s="44"/>
      <c r="X60" s="44"/>
      <c r="Y60" s="44"/>
      <c r="Z60" s="44"/>
      <c r="AA60" s="44"/>
      <c r="AB60" s="44"/>
      <c r="AC60" s="44"/>
      <c r="AD60" s="44"/>
      <c r="AE60" s="44"/>
      <c r="AF60" s="44"/>
      <c r="AG60" s="44"/>
      <c r="AH60" s="44"/>
      <c r="AI60" s="44"/>
      <c r="AJ60" s="44"/>
      <c r="AK60" s="44"/>
    </row>
    <row r="61" spans="1:37" x14ac:dyDescent="0.3">
      <c r="A61" s="44"/>
      <c r="B61" s="44"/>
      <c r="C61" s="44"/>
      <c r="D61" s="44"/>
      <c r="E61" s="44"/>
      <c r="F61" s="44"/>
      <c r="G61" s="44"/>
      <c r="H61" s="44"/>
      <c r="I61" s="44"/>
      <c r="J61" s="44"/>
      <c r="K61" s="44"/>
      <c r="L61" s="44"/>
      <c r="M61" s="44"/>
      <c r="N61" s="44"/>
      <c r="O61" s="44"/>
      <c r="P61" s="44"/>
      <c r="Q61" s="44"/>
      <c r="R61" s="44"/>
      <c r="S61" s="44"/>
      <c r="T61" s="44" t="s">
        <v>2219</v>
      </c>
      <c r="U61" s="44" t="s">
        <v>2544</v>
      </c>
      <c r="V61" s="44" t="s">
        <v>2482</v>
      </c>
      <c r="W61" s="44" t="s">
        <v>911</v>
      </c>
      <c r="X61" s="44"/>
      <c r="Y61" s="44"/>
      <c r="Z61" s="44"/>
      <c r="AA61" s="44"/>
      <c r="AB61" s="44"/>
      <c r="AC61" s="44"/>
      <c r="AD61" s="44"/>
      <c r="AE61" s="44"/>
      <c r="AF61" s="44"/>
      <c r="AG61" s="44"/>
      <c r="AH61" s="44"/>
      <c r="AI61" s="44"/>
      <c r="AJ61" s="44"/>
      <c r="AK61" s="44"/>
    </row>
    <row r="62" spans="1:37" x14ac:dyDescent="0.3">
      <c r="A62" s="44"/>
      <c r="B62" s="44"/>
      <c r="C62" s="44"/>
      <c r="D62" s="44"/>
      <c r="E62" s="44"/>
      <c r="F62" s="44"/>
      <c r="G62" s="44"/>
      <c r="H62" s="44"/>
      <c r="I62" s="44"/>
      <c r="J62" s="44"/>
      <c r="K62" s="44"/>
      <c r="L62" s="44"/>
      <c r="M62" s="44"/>
      <c r="N62" s="44"/>
      <c r="O62" s="44"/>
      <c r="P62" s="44"/>
      <c r="Q62" s="44"/>
      <c r="R62" s="44"/>
      <c r="S62" s="44"/>
      <c r="T62" s="44" t="s">
        <v>2219</v>
      </c>
      <c r="U62" s="44" t="s">
        <v>2545</v>
      </c>
      <c r="V62" s="44" t="s">
        <v>2464</v>
      </c>
      <c r="W62" s="44" t="s">
        <v>911</v>
      </c>
      <c r="X62" s="44"/>
      <c r="Y62" s="44"/>
      <c r="Z62" s="44"/>
      <c r="AA62" s="44"/>
      <c r="AB62" s="44"/>
      <c r="AC62" s="44"/>
      <c r="AD62" s="44"/>
      <c r="AE62" s="44"/>
      <c r="AF62" s="44"/>
      <c r="AG62" s="44"/>
      <c r="AH62" s="44"/>
      <c r="AI62" s="44"/>
      <c r="AJ62" s="44"/>
      <c r="AK62" s="44"/>
    </row>
    <row r="63" spans="1:37" x14ac:dyDescent="0.3">
      <c r="A63" s="44"/>
      <c r="B63" s="44"/>
      <c r="C63" s="44"/>
      <c r="D63" s="44"/>
      <c r="E63" s="44"/>
      <c r="F63" s="44"/>
      <c r="G63" s="44"/>
      <c r="H63" s="44"/>
      <c r="I63" s="44"/>
      <c r="J63" s="44"/>
      <c r="K63" s="44"/>
      <c r="L63" s="44"/>
      <c r="M63" s="44"/>
      <c r="N63" s="44"/>
      <c r="O63" s="44"/>
      <c r="P63" s="44"/>
      <c r="Q63" s="44"/>
      <c r="R63" s="44"/>
      <c r="S63" s="44"/>
      <c r="T63" s="44" t="s">
        <v>2219</v>
      </c>
      <c r="U63" s="44" t="s">
        <v>2546</v>
      </c>
      <c r="V63" s="44" t="s">
        <v>2482</v>
      </c>
      <c r="W63" s="44" t="s">
        <v>911</v>
      </c>
      <c r="X63" s="44"/>
      <c r="Y63" s="44"/>
      <c r="Z63" s="44"/>
      <c r="AA63" s="44"/>
      <c r="AB63" s="44"/>
      <c r="AC63" s="44"/>
      <c r="AD63" s="44"/>
      <c r="AE63" s="44"/>
      <c r="AF63" s="44"/>
      <c r="AG63" s="44"/>
      <c r="AH63" s="44"/>
      <c r="AI63" s="44"/>
      <c r="AJ63" s="44"/>
      <c r="AK63" s="44"/>
    </row>
    <row r="64" spans="1:37" x14ac:dyDescent="0.3">
      <c r="A64" s="44"/>
      <c r="B64" s="44"/>
      <c r="C64" s="44"/>
      <c r="D64" s="44"/>
      <c r="E64" s="44"/>
      <c r="F64" s="44"/>
      <c r="G64" s="44"/>
      <c r="H64" s="44"/>
      <c r="I64" s="44"/>
      <c r="J64" s="44"/>
      <c r="K64" s="44"/>
      <c r="L64" s="44"/>
      <c r="M64" s="44"/>
      <c r="N64" s="44"/>
      <c r="O64" s="44"/>
      <c r="P64" s="44"/>
      <c r="Q64" s="44"/>
      <c r="R64" s="44"/>
      <c r="S64" s="44"/>
      <c r="T64" s="44" t="s">
        <v>2219</v>
      </c>
      <c r="U64" s="44" t="s">
        <v>2547</v>
      </c>
      <c r="V64" s="44" t="s">
        <v>2482</v>
      </c>
      <c r="W64" s="44" t="s">
        <v>911</v>
      </c>
      <c r="X64" s="44"/>
      <c r="Y64" s="44"/>
      <c r="Z64" s="44"/>
      <c r="AA64" s="44"/>
      <c r="AB64" s="44"/>
      <c r="AC64" s="44"/>
      <c r="AD64" s="44"/>
      <c r="AE64" s="44"/>
      <c r="AF64" s="44"/>
      <c r="AG64" s="44"/>
      <c r="AH64" s="44"/>
      <c r="AI64" s="44"/>
      <c r="AJ64" s="44"/>
      <c r="AK64" s="44"/>
    </row>
    <row r="65" spans="1:37" x14ac:dyDescent="0.3">
      <c r="A65" s="44"/>
      <c r="B65" s="44"/>
      <c r="C65" s="44"/>
      <c r="D65" s="44"/>
      <c r="E65" s="44"/>
      <c r="F65" s="44"/>
      <c r="G65" s="44"/>
      <c r="H65" s="44"/>
      <c r="I65" s="44"/>
      <c r="J65" s="44"/>
      <c r="K65" s="44"/>
      <c r="L65" s="44"/>
      <c r="M65" s="44"/>
      <c r="N65" s="44"/>
      <c r="O65" s="44"/>
      <c r="P65" s="44"/>
      <c r="Q65" s="44"/>
      <c r="R65" s="44"/>
      <c r="S65" s="44"/>
      <c r="T65" s="44" t="s">
        <v>2219</v>
      </c>
      <c r="U65" s="44" t="s">
        <v>2137</v>
      </c>
      <c r="V65" s="44"/>
      <c r="W65" s="44"/>
      <c r="X65" s="44"/>
      <c r="Y65" s="44"/>
      <c r="Z65" s="44"/>
      <c r="AA65" s="44"/>
      <c r="AB65" s="44"/>
      <c r="AC65" s="44"/>
      <c r="AD65" s="44"/>
      <c r="AE65" s="44"/>
      <c r="AF65" s="44"/>
      <c r="AG65" s="44"/>
      <c r="AH65" s="44"/>
      <c r="AI65" s="44"/>
      <c r="AJ65" s="44"/>
      <c r="AK65" s="44"/>
    </row>
    <row r="66" spans="1:37" x14ac:dyDescent="0.3">
      <c r="A66" s="44"/>
      <c r="B66" s="44"/>
      <c r="C66" s="44"/>
      <c r="D66" s="44"/>
      <c r="E66" s="44"/>
      <c r="F66" s="44"/>
      <c r="G66" s="44"/>
      <c r="H66" s="44"/>
      <c r="I66" s="44"/>
      <c r="J66" s="44"/>
      <c r="K66" s="44"/>
      <c r="L66" s="44"/>
      <c r="M66" s="44"/>
      <c r="N66" s="44"/>
      <c r="O66" s="44"/>
      <c r="P66" s="44"/>
      <c r="Q66" s="44"/>
      <c r="R66" s="44"/>
      <c r="S66" s="44"/>
      <c r="T66" s="44" t="s">
        <v>2233</v>
      </c>
      <c r="U66" s="44" t="s">
        <v>2548</v>
      </c>
      <c r="V66" s="44" t="s">
        <v>2472</v>
      </c>
      <c r="W66" s="44" t="s">
        <v>911</v>
      </c>
      <c r="X66" s="44"/>
      <c r="Y66" s="44"/>
      <c r="Z66" s="44"/>
      <c r="AA66" s="44"/>
      <c r="AB66" s="44"/>
      <c r="AC66" s="44"/>
      <c r="AD66" s="44"/>
      <c r="AE66" s="44"/>
      <c r="AF66" s="44"/>
      <c r="AG66" s="44"/>
      <c r="AH66" s="44"/>
      <c r="AI66" s="44"/>
      <c r="AJ66" s="44"/>
      <c r="AK66" s="44"/>
    </row>
    <row r="67" spans="1:37" x14ac:dyDescent="0.3">
      <c r="A67" s="44"/>
      <c r="B67" s="44"/>
      <c r="C67" s="44"/>
      <c r="D67" s="44"/>
      <c r="E67" s="44"/>
      <c r="F67" s="44"/>
      <c r="G67" s="44"/>
      <c r="H67" s="44"/>
      <c r="I67" s="44"/>
      <c r="J67" s="44"/>
      <c r="K67" s="44"/>
      <c r="L67" s="44"/>
      <c r="M67" s="44"/>
      <c r="N67" s="44"/>
      <c r="O67" s="44"/>
      <c r="P67" s="44"/>
      <c r="Q67" s="44"/>
      <c r="R67" s="44"/>
      <c r="S67" s="44"/>
      <c r="T67" s="44" t="s">
        <v>2233</v>
      </c>
      <c r="U67" s="44" t="s">
        <v>2549</v>
      </c>
      <c r="V67" s="44" t="s">
        <v>2472</v>
      </c>
      <c r="W67" s="44" t="s">
        <v>911</v>
      </c>
      <c r="X67" s="44"/>
      <c r="Y67" s="44"/>
      <c r="Z67" s="44"/>
      <c r="AA67" s="44"/>
      <c r="AB67" s="44"/>
      <c r="AC67" s="44"/>
      <c r="AD67" s="44"/>
      <c r="AE67" s="44"/>
      <c r="AF67" s="44"/>
      <c r="AG67" s="44"/>
      <c r="AH67" s="44"/>
      <c r="AI67" s="44"/>
      <c r="AJ67" s="44"/>
      <c r="AK67" s="44"/>
    </row>
    <row r="68" spans="1:37" x14ac:dyDescent="0.3">
      <c r="A68" s="44"/>
      <c r="B68" s="44"/>
      <c r="C68" s="44"/>
      <c r="D68" s="44"/>
      <c r="E68" s="44"/>
      <c r="F68" s="44"/>
      <c r="G68" s="44"/>
      <c r="H68" s="44"/>
      <c r="I68" s="44"/>
      <c r="J68" s="44"/>
      <c r="K68" s="44"/>
      <c r="L68" s="44"/>
      <c r="M68" s="44"/>
      <c r="N68" s="44"/>
      <c r="O68" s="44"/>
      <c r="P68" s="44"/>
      <c r="Q68" s="44"/>
      <c r="R68" s="44"/>
      <c r="S68" s="44"/>
      <c r="T68" s="44" t="s">
        <v>2233</v>
      </c>
      <c r="U68" s="44" t="s">
        <v>2550</v>
      </c>
      <c r="V68" s="44" t="s">
        <v>2472</v>
      </c>
      <c r="W68" s="44" t="s">
        <v>911</v>
      </c>
      <c r="X68" s="44"/>
      <c r="Y68" s="44"/>
      <c r="Z68" s="44"/>
      <c r="AA68" s="44"/>
      <c r="AB68" s="44"/>
      <c r="AC68" s="44"/>
      <c r="AD68" s="44"/>
      <c r="AE68" s="44"/>
      <c r="AF68" s="44"/>
      <c r="AG68" s="44"/>
      <c r="AH68" s="44"/>
      <c r="AI68" s="44"/>
      <c r="AJ68" s="44"/>
      <c r="AK68" s="44"/>
    </row>
    <row r="69" spans="1:37" x14ac:dyDescent="0.3">
      <c r="A69" s="44"/>
      <c r="B69" s="44"/>
      <c r="C69" s="44"/>
      <c r="D69" s="44"/>
      <c r="E69" s="44"/>
      <c r="F69" s="44"/>
      <c r="G69" s="44"/>
      <c r="H69" s="44"/>
      <c r="I69" s="44"/>
      <c r="J69" s="44"/>
      <c r="K69" s="44"/>
      <c r="L69" s="44"/>
      <c r="M69" s="44"/>
      <c r="N69" s="44"/>
      <c r="O69" s="44"/>
      <c r="P69" s="44"/>
      <c r="Q69" s="44"/>
      <c r="R69" s="44"/>
      <c r="S69" s="44"/>
      <c r="T69" s="44" t="s">
        <v>2233</v>
      </c>
      <c r="U69" s="44" t="s">
        <v>2137</v>
      </c>
      <c r="V69" s="44"/>
      <c r="W69" s="44"/>
      <c r="X69" s="44"/>
      <c r="Y69" s="44"/>
      <c r="Z69" s="44"/>
      <c r="AA69" s="44"/>
      <c r="AB69" s="44"/>
      <c r="AC69" s="44"/>
      <c r="AD69" s="44"/>
      <c r="AE69" s="44"/>
      <c r="AF69" s="44"/>
      <c r="AG69" s="44"/>
      <c r="AH69" s="44"/>
      <c r="AI69" s="44"/>
      <c r="AJ69" s="44"/>
      <c r="AK69" s="44"/>
    </row>
    <row r="70" spans="1:37" x14ac:dyDescent="0.3">
      <c r="A70" s="44"/>
      <c r="B70" s="44"/>
      <c r="C70" s="44"/>
      <c r="D70" s="44"/>
      <c r="E70" s="44"/>
      <c r="F70" s="44"/>
      <c r="G70" s="44"/>
      <c r="H70" s="44"/>
      <c r="I70" s="44"/>
      <c r="J70" s="44"/>
      <c r="K70" s="44"/>
      <c r="L70" s="44"/>
      <c r="M70" s="44"/>
      <c r="N70" s="44"/>
      <c r="O70" s="44"/>
      <c r="P70" s="44"/>
      <c r="Q70" s="44"/>
      <c r="R70" s="44"/>
      <c r="S70" s="44"/>
      <c r="T70" s="44" t="s">
        <v>2246</v>
      </c>
      <c r="U70" s="44" t="s">
        <v>2551</v>
      </c>
      <c r="V70" s="44" t="s">
        <v>2492</v>
      </c>
      <c r="W70" s="44" t="s">
        <v>929</v>
      </c>
      <c r="X70" s="44"/>
      <c r="Y70" s="44"/>
      <c r="Z70" s="44"/>
      <c r="AA70" s="44"/>
      <c r="AB70" s="44"/>
      <c r="AC70" s="44"/>
      <c r="AD70" s="44"/>
      <c r="AE70" s="44"/>
      <c r="AF70" s="44"/>
      <c r="AG70" s="44"/>
      <c r="AH70" s="44"/>
      <c r="AI70" s="44"/>
      <c r="AJ70" s="44"/>
      <c r="AK70" s="44"/>
    </row>
    <row r="71" spans="1:37" x14ac:dyDescent="0.3">
      <c r="A71" s="44"/>
      <c r="B71" s="44"/>
      <c r="C71" s="44"/>
      <c r="D71" s="44"/>
      <c r="E71" s="44"/>
      <c r="F71" s="44"/>
      <c r="G71" s="44"/>
      <c r="H71" s="44"/>
      <c r="I71" s="44"/>
      <c r="J71" s="44"/>
      <c r="K71" s="44"/>
      <c r="L71" s="44"/>
      <c r="M71" s="44"/>
      <c r="N71" s="44"/>
      <c r="O71" s="44"/>
      <c r="P71" s="44"/>
      <c r="Q71" s="44"/>
      <c r="R71" s="44"/>
      <c r="S71" s="44"/>
      <c r="T71" s="44" t="s">
        <v>2246</v>
      </c>
      <c r="U71" s="44" t="s">
        <v>2552</v>
      </c>
      <c r="V71" s="44" t="s">
        <v>2536</v>
      </c>
      <c r="W71" s="44" t="s">
        <v>977</v>
      </c>
      <c r="X71" s="44"/>
      <c r="Y71" s="44"/>
      <c r="Z71" s="44"/>
      <c r="AA71" s="44"/>
      <c r="AB71" s="44"/>
      <c r="AC71" s="44"/>
      <c r="AD71" s="44"/>
      <c r="AE71" s="44"/>
      <c r="AF71" s="44"/>
      <c r="AG71" s="44"/>
      <c r="AH71" s="44"/>
      <c r="AI71" s="44"/>
      <c r="AJ71" s="44"/>
      <c r="AK71" s="44"/>
    </row>
    <row r="72" spans="1:37" x14ac:dyDescent="0.3">
      <c r="A72" s="44"/>
      <c r="B72" s="44"/>
      <c r="C72" s="44"/>
      <c r="D72" s="44"/>
      <c r="E72" s="44"/>
      <c r="F72" s="44"/>
      <c r="G72" s="44"/>
      <c r="H72" s="44"/>
      <c r="I72" s="44"/>
      <c r="J72" s="44"/>
      <c r="K72" s="44"/>
      <c r="L72" s="44"/>
      <c r="M72" s="44"/>
      <c r="N72" s="44"/>
      <c r="O72" s="44"/>
      <c r="P72" s="44"/>
      <c r="Q72" s="44"/>
      <c r="R72" s="44"/>
      <c r="S72" s="44"/>
      <c r="T72" s="44" t="s">
        <v>2246</v>
      </c>
      <c r="U72" s="44" t="s">
        <v>2553</v>
      </c>
      <c r="V72" s="44" t="s">
        <v>2492</v>
      </c>
      <c r="W72" s="44" t="s">
        <v>929</v>
      </c>
      <c r="X72" s="44"/>
      <c r="Y72" s="44"/>
      <c r="Z72" s="44"/>
      <c r="AA72" s="44"/>
      <c r="AB72" s="44"/>
      <c r="AC72" s="44"/>
      <c r="AD72" s="44"/>
      <c r="AE72" s="44"/>
      <c r="AF72" s="44"/>
      <c r="AG72" s="44"/>
      <c r="AH72" s="44"/>
      <c r="AI72" s="44"/>
      <c r="AJ72" s="44"/>
      <c r="AK72" s="44"/>
    </row>
    <row r="73" spans="1:37" x14ac:dyDescent="0.3">
      <c r="A73" s="44"/>
      <c r="B73" s="44"/>
      <c r="C73" s="44"/>
      <c r="D73" s="44"/>
      <c r="E73" s="44"/>
      <c r="F73" s="44"/>
      <c r="G73" s="44"/>
      <c r="H73" s="44"/>
      <c r="I73" s="44"/>
      <c r="J73" s="44"/>
      <c r="K73" s="44"/>
      <c r="L73" s="44"/>
      <c r="M73" s="44"/>
      <c r="N73" s="44"/>
      <c r="O73" s="44"/>
      <c r="P73" s="44"/>
      <c r="Q73" s="44"/>
      <c r="R73" s="44"/>
      <c r="S73" s="44"/>
      <c r="T73" s="44" t="s">
        <v>2246</v>
      </c>
      <c r="U73" s="44" t="s">
        <v>2554</v>
      </c>
      <c r="V73" s="44" t="s">
        <v>2042</v>
      </c>
      <c r="W73" s="44" t="s">
        <v>814</v>
      </c>
      <c r="X73" s="44"/>
      <c r="Y73" s="44"/>
      <c r="Z73" s="44"/>
      <c r="AA73" s="44"/>
      <c r="AB73" s="44"/>
      <c r="AC73" s="44"/>
      <c r="AD73" s="44"/>
      <c r="AE73" s="44"/>
      <c r="AF73" s="44"/>
      <c r="AG73" s="44"/>
      <c r="AH73" s="44"/>
      <c r="AI73" s="44"/>
      <c r="AJ73" s="44"/>
      <c r="AK73" s="44"/>
    </row>
    <row r="74" spans="1:37" x14ac:dyDescent="0.3">
      <c r="A74" s="44"/>
      <c r="B74" s="44"/>
      <c r="C74" s="44"/>
      <c r="D74" s="44"/>
      <c r="E74" s="44"/>
      <c r="F74" s="44"/>
      <c r="G74" s="44"/>
      <c r="H74" s="44"/>
      <c r="I74" s="44"/>
      <c r="J74" s="44"/>
      <c r="K74" s="44"/>
      <c r="L74" s="44"/>
      <c r="M74" s="44"/>
      <c r="N74" s="44"/>
      <c r="O74" s="44"/>
      <c r="P74" s="44"/>
      <c r="Q74" s="44"/>
      <c r="R74" s="44"/>
      <c r="S74" s="44"/>
      <c r="T74" s="44" t="s">
        <v>2246</v>
      </c>
      <c r="U74" s="44" t="s">
        <v>2137</v>
      </c>
      <c r="V74" s="44"/>
      <c r="W74" s="44"/>
      <c r="X74" s="44"/>
      <c r="Y74" s="44"/>
      <c r="Z74" s="44"/>
      <c r="AA74" s="44"/>
      <c r="AB74" s="44"/>
      <c r="AC74" s="44"/>
      <c r="AD74" s="44"/>
      <c r="AE74" s="44"/>
      <c r="AF74" s="44"/>
      <c r="AG74" s="44"/>
      <c r="AH74" s="44"/>
      <c r="AI74" s="44"/>
      <c r="AJ74" s="44"/>
      <c r="AK74" s="44"/>
    </row>
    <row r="75" spans="1:37" x14ac:dyDescent="0.3">
      <c r="A75" s="44"/>
      <c r="B75" s="44"/>
      <c r="C75" s="44"/>
      <c r="D75" s="44"/>
      <c r="E75" s="44"/>
      <c r="F75" s="44"/>
      <c r="G75" s="44"/>
      <c r="H75" s="44"/>
      <c r="I75" s="44"/>
      <c r="J75" s="44"/>
      <c r="K75" s="44"/>
      <c r="L75" s="44"/>
      <c r="M75" s="44"/>
      <c r="N75" s="44"/>
      <c r="O75" s="44"/>
      <c r="P75" s="44"/>
      <c r="Q75" s="44"/>
      <c r="R75" s="44"/>
      <c r="S75" s="44"/>
      <c r="T75" s="44" t="s">
        <v>2259</v>
      </c>
      <c r="U75" s="44" t="s">
        <v>2555</v>
      </c>
      <c r="V75" s="44" t="s">
        <v>2492</v>
      </c>
      <c r="W75" s="44" t="s">
        <v>929</v>
      </c>
      <c r="X75" s="44"/>
      <c r="Y75" s="44"/>
      <c r="Z75" s="44"/>
      <c r="AA75" s="44"/>
      <c r="AB75" s="44"/>
      <c r="AC75" s="44"/>
      <c r="AD75" s="44"/>
      <c r="AE75" s="44"/>
      <c r="AF75" s="44"/>
      <c r="AG75" s="44"/>
      <c r="AH75" s="44"/>
      <c r="AI75" s="44"/>
      <c r="AJ75" s="44"/>
      <c r="AK75" s="44"/>
    </row>
    <row r="76" spans="1:37" x14ac:dyDescent="0.3">
      <c r="A76" s="44"/>
      <c r="B76" s="44"/>
      <c r="C76" s="44"/>
      <c r="D76" s="44"/>
      <c r="E76" s="44"/>
      <c r="F76" s="44"/>
      <c r="G76" s="44"/>
      <c r="H76" s="44"/>
      <c r="I76" s="44"/>
      <c r="J76" s="44"/>
      <c r="K76" s="44"/>
      <c r="L76" s="44"/>
      <c r="M76" s="44"/>
      <c r="N76" s="44"/>
      <c r="O76" s="44"/>
      <c r="P76" s="44"/>
      <c r="Q76" s="44"/>
      <c r="R76" s="44"/>
      <c r="S76" s="44"/>
      <c r="T76" s="44" t="s">
        <v>2259</v>
      </c>
      <c r="U76" s="44" t="s">
        <v>2556</v>
      </c>
      <c r="V76" s="44" t="s">
        <v>2267</v>
      </c>
      <c r="W76" s="44" t="s">
        <v>1140</v>
      </c>
      <c r="X76" s="44"/>
      <c r="Y76" s="44"/>
      <c r="Z76" s="44"/>
      <c r="AA76" s="44"/>
      <c r="AB76" s="44"/>
      <c r="AC76" s="44"/>
      <c r="AD76" s="44"/>
      <c r="AE76" s="44"/>
      <c r="AF76" s="44"/>
      <c r="AG76" s="44"/>
      <c r="AH76" s="44"/>
      <c r="AI76" s="44"/>
      <c r="AJ76" s="44"/>
      <c r="AK76" s="44"/>
    </row>
    <row r="77" spans="1:37" x14ac:dyDescent="0.3">
      <c r="A77" s="44"/>
      <c r="B77" s="44"/>
      <c r="C77" s="44"/>
      <c r="D77" s="44"/>
      <c r="E77" s="44"/>
      <c r="F77" s="44"/>
      <c r="G77" s="44"/>
      <c r="H77" s="44"/>
      <c r="I77" s="44"/>
      <c r="J77" s="44"/>
      <c r="K77" s="44"/>
      <c r="L77" s="44"/>
      <c r="M77" s="44"/>
      <c r="N77" s="44"/>
      <c r="O77" s="44"/>
      <c r="P77" s="44"/>
      <c r="Q77" s="44"/>
      <c r="R77" s="44"/>
      <c r="S77" s="44"/>
      <c r="T77" s="44" t="s">
        <v>2259</v>
      </c>
      <c r="U77" s="44" t="s">
        <v>2557</v>
      </c>
      <c r="V77" s="44" t="s">
        <v>2492</v>
      </c>
      <c r="W77" s="44" t="s">
        <v>929</v>
      </c>
      <c r="X77" s="44"/>
      <c r="Y77" s="44"/>
      <c r="Z77" s="44"/>
      <c r="AA77" s="44"/>
      <c r="AB77" s="44"/>
      <c r="AC77" s="44"/>
      <c r="AD77" s="44"/>
      <c r="AE77" s="44"/>
      <c r="AF77" s="44"/>
      <c r="AG77" s="44"/>
      <c r="AH77" s="44"/>
      <c r="AI77" s="44"/>
      <c r="AJ77" s="44"/>
      <c r="AK77" s="44"/>
    </row>
    <row r="78" spans="1:37" x14ac:dyDescent="0.3">
      <c r="A78" s="44"/>
      <c r="B78" s="44"/>
      <c r="C78" s="44"/>
      <c r="D78" s="44"/>
      <c r="E78" s="44"/>
      <c r="F78" s="44"/>
      <c r="G78" s="44"/>
      <c r="H78" s="44"/>
      <c r="I78" s="44"/>
      <c r="J78" s="44"/>
      <c r="K78" s="44"/>
      <c r="L78" s="44"/>
      <c r="M78" s="44"/>
      <c r="N78" s="44"/>
      <c r="O78" s="44"/>
      <c r="P78" s="44"/>
      <c r="Q78" s="44"/>
      <c r="R78" s="44"/>
      <c r="S78" s="44"/>
      <c r="T78" s="44" t="s">
        <v>2259</v>
      </c>
      <c r="U78" s="44" t="s">
        <v>2558</v>
      </c>
      <c r="V78" s="44" t="s">
        <v>2492</v>
      </c>
      <c r="W78" s="44" t="s">
        <v>929</v>
      </c>
      <c r="X78" s="44"/>
      <c r="Y78" s="44"/>
      <c r="Z78" s="44"/>
      <c r="AA78" s="44"/>
      <c r="AB78" s="44"/>
      <c r="AC78" s="44"/>
      <c r="AD78" s="44"/>
      <c r="AE78" s="44"/>
      <c r="AF78" s="44"/>
      <c r="AG78" s="44"/>
      <c r="AH78" s="44"/>
      <c r="AI78" s="44"/>
      <c r="AJ78" s="44"/>
      <c r="AK78" s="44"/>
    </row>
    <row r="79" spans="1:37" x14ac:dyDescent="0.3">
      <c r="A79" s="44"/>
      <c r="B79" s="44"/>
      <c r="C79" s="44"/>
      <c r="D79" s="44"/>
      <c r="E79" s="44"/>
      <c r="F79" s="44"/>
      <c r="G79" s="44"/>
      <c r="H79" s="44"/>
      <c r="I79" s="44"/>
      <c r="J79" s="44"/>
      <c r="K79" s="44"/>
      <c r="L79" s="44"/>
      <c r="M79" s="44"/>
      <c r="N79" s="44"/>
      <c r="O79" s="44"/>
      <c r="P79" s="44"/>
      <c r="Q79" s="44"/>
      <c r="R79" s="44"/>
      <c r="S79" s="44"/>
      <c r="T79" s="44" t="s">
        <v>2259</v>
      </c>
      <c r="U79" s="44" t="s">
        <v>2137</v>
      </c>
      <c r="V79" s="44"/>
      <c r="W79" s="44"/>
      <c r="X79" s="44"/>
      <c r="Y79" s="44"/>
      <c r="Z79" s="44"/>
      <c r="AA79" s="44"/>
      <c r="AB79" s="44"/>
      <c r="AC79" s="44"/>
      <c r="AD79" s="44"/>
      <c r="AE79" s="44"/>
      <c r="AF79" s="44"/>
      <c r="AG79" s="44"/>
      <c r="AH79" s="44"/>
      <c r="AI79" s="44"/>
      <c r="AJ79" s="44"/>
      <c r="AK79" s="44"/>
    </row>
    <row r="80" spans="1:37" x14ac:dyDescent="0.3">
      <c r="A80" s="44"/>
      <c r="B80" s="44"/>
      <c r="C80" s="44"/>
      <c r="D80" s="44"/>
      <c r="E80" s="44"/>
      <c r="F80" s="44"/>
      <c r="G80" s="44"/>
      <c r="H80" s="44"/>
      <c r="I80" s="44"/>
      <c r="J80" s="44"/>
      <c r="K80" s="44"/>
      <c r="L80" s="44"/>
      <c r="M80" s="44"/>
      <c r="N80" s="44"/>
      <c r="O80" s="44"/>
      <c r="P80" s="44"/>
      <c r="Q80" s="44"/>
      <c r="R80" s="44"/>
      <c r="S80" s="44"/>
      <c r="T80" s="44" t="s">
        <v>2271</v>
      </c>
      <c r="U80" s="44" t="s">
        <v>2559</v>
      </c>
      <c r="V80" s="44" t="s">
        <v>2492</v>
      </c>
      <c r="W80" s="44" t="s">
        <v>929</v>
      </c>
      <c r="X80" s="44"/>
      <c r="Y80" s="44"/>
      <c r="Z80" s="44"/>
      <c r="AA80" s="44"/>
      <c r="AB80" s="44"/>
      <c r="AC80" s="44"/>
      <c r="AD80" s="44"/>
      <c r="AE80" s="44"/>
      <c r="AF80" s="44"/>
      <c r="AG80" s="44"/>
      <c r="AH80" s="44"/>
      <c r="AI80" s="44"/>
      <c r="AJ80" s="44"/>
      <c r="AK80" s="44"/>
    </row>
    <row r="81" spans="1:37" x14ac:dyDescent="0.3">
      <c r="A81" s="44"/>
      <c r="B81" s="44"/>
      <c r="C81" s="44"/>
      <c r="D81" s="44"/>
      <c r="E81" s="44"/>
      <c r="F81" s="44"/>
      <c r="G81" s="44"/>
      <c r="H81" s="44"/>
      <c r="I81" s="44"/>
      <c r="J81" s="44"/>
      <c r="K81" s="44"/>
      <c r="L81" s="44"/>
      <c r="M81" s="44"/>
      <c r="N81" s="44"/>
      <c r="O81" s="44"/>
      <c r="P81" s="44"/>
      <c r="Q81" s="44"/>
      <c r="R81" s="44"/>
      <c r="S81" s="44"/>
      <c r="T81" s="44" t="s">
        <v>2271</v>
      </c>
      <c r="U81" s="44" t="s">
        <v>2560</v>
      </c>
      <c r="V81" s="44" t="s">
        <v>2492</v>
      </c>
      <c r="W81" s="44" t="s">
        <v>929</v>
      </c>
      <c r="X81" s="44"/>
      <c r="Y81" s="44"/>
      <c r="Z81" s="44"/>
      <c r="AA81" s="44"/>
      <c r="AB81" s="44"/>
      <c r="AC81" s="44"/>
      <c r="AD81" s="44"/>
      <c r="AE81" s="44"/>
      <c r="AF81" s="44"/>
      <c r="AG81" s="44"/>
      <c r="AH81" s="44"/>
      <c r="AI81" s="44"/>
      <c r="AJ81" s="44"/>
      <c r="AK81" s="44"/>
    </row>
    <row r="82" spans="1:37" x14ac:dyDescent="0.3">
      <c r="A82" s="44"/>
      <c r="B82" s="44"/>
      <c r="C82" s="44"/>
      <c r="D82" s="44"/>
      <c r="E82" s="44"/>
      <c r="F82" s="44"/>
      <c r="G82" s="44"/>
      <c r="H82" s="44"/>
      <c r="I82" s="44"/>
      <c r="J82" s="44"/>
      <c r="K82" s="44"/>
      <c r="L82" s="44"/>
      <c r="M82" s="44"/>
      <c r="N82" s="44"/>
      <c r="O82" s="44"/>
      <c r="P82" s="44"/>
      <c r="Q82" s="44"/>
      <c r="R82" s="44"/>
      <c r="S82" s="44"/>
      <c r="T82" s="44" t="s">
        <v>2271</v>
      </c>
      <c r="U82" s="44" t="s">
        <v>2561</v>
      </c>
      <c r="V82" s="44" t="s">
        <v>2536</v>
      </c>
      <c r="W82" s="44" t="s">
        <v>977</v>
      </c>
      <c r="X82" s="44"/>
      <c r="Y82" s="44"/>
      <c r="Z82" s="44"/>
      <c r="AA82" s="44"/>
      <c r="AB82" s="44"/>
      <c r="AC82" s="44"/>
      <c r="AD82" s="44"/>
      <c r="AE82" s="44"/>
      <c r="AF82" s="44"/>
      <c r="AG82" s="44"/>
      <c r="AH82" s="44"/>
      <c r="AI82" s="44"/>
      <c r="AJ82" s="44"/>
      <c r="AK82" s="44"/>
    </row>
    <row r="83" spans="1:37" x14ac:dyDescent="0.3">
      <c r="A83" s="44"/>
      <c r="B83" s="44"/>
      <c r="C83" s="44"/>
      <c r="D83" s="44"/>
      <c r="E83" s="44"/>
      <c r="F83" s="44"/>
      <c r="G83" s="44"/>
      <c r="H83" s="44"/>
      <c r="I83" s="44"/>
      <c r="J83" s="44"/>
      <c r="K83" s="44"/>
      <c r="L83" s="44"/>
      <c r="M83" s="44"/>
      <c r="N83" s="44"/>
      <c r="O83" s="44"/>
      <c r="P83" s="44"/>
      <c r="Q83" s="44"/>
      <c r="R83" s="44"/>
      <c r="S83" s="44"/>
      <c r="T83" s="44" t="s">
        <v>2271</v>
      </c>
      <c r="U83" s="44" t="s">
        <v>2137</v>
      </c>
      <c r="V83" s="44"/>
      <c r="W83" s="44"/>
      <c r="X83" s="44"/>
      <c r="Y83" s="44"/>
      <c r="Z83" s="44"/>
      <c r="AA83" s="44"/>
      <c r="AB83" s="44"/>
      <c r="AC83" s="44"/>
      <c r="AD83" s="44"/>
      <c r="AE83" s="44"/>
      <c r="AF83" s="44"/>
      <c r="AG83" s="44"/>
      <c r="AH83" s="44"/>
      <c r="AI83" s="44"/>
      <c r="AJ83" s="44"/>
      <c r="AK83" s="44"/>
    </row>
    <row r="84" spans="1:37" x14ac:dyDescent="0.3">
      <c r="A84" s="44"/>
      <c r="B84" s="44"/>
      <c r="C84" s="44"/>
      <c r="D84" s="44"/>
      <c r="E84" s="44"/>
      <c r="F84" s="44"/>
      <c r="G84" s="44"/>
      <c r="H84" s="44"/>
      <c r="I84" s="44"/>
      <c r="J84" s="44"/>
      <c r="K84" s="44"/>
      <c r="L84" s="44"/>
      <c r="M84" s="44"/>
      <c r="N84" s="44"/>
      <c r="O84" s="44"/>
      <c r="P84" s="44"/>
      <c r="Q84" s="44"/>
      <c r="R84" s="44"/>
      <c r="S84" s="44"/>
      <c r="T84" s="44" t="s">
        <v>2279</v>
      </c>
      <c r="U84" s="44" t="s">
        <v>2562</v>
      </c>
      <c r="V84" s="44" t="s">
        <v>2492</v>
      </c>
      <c r="W84" s="44" t="s">
        <v>929</v>
      </c>
      <c r="X84" s="44"/>
      <c r="Y84" s="44"/>
      <c r="Z84" s="44"/>
      <c r="AA84" s="44"/>
      <c r="AB84" s="44"/>
      <c r="AC84" s="44"/>
      <c r="AD84" s="44"/>
      <c r="AE84" s="44"/>
      <c r="AF84" s="44"/>
      <c r="AG84" s="44"/>
      <c r="AH84" s="44"/>
      <c r="AI84" s="44"/>
      <c r="AJ84" s="44"/>
      <c r="AK84" s="44"/>
    </row>
    <row r="85" spans="1:37" x14ac:dyDescent="0.3">
      <c r="A85" s="44"/>
      <c r="B85" s="44"/>
      <c r="C85" s="44"/>
      <c r="D85" s="44"/>
      <c r="E85" s="44"/>
      <c r="F85" s="44"/>
      <c r="G85" s="44"/>
      <c r="H85" s="44"/>
      <c r="I85" s="44"/>
      <c r="J85" s="44"/>
      <c r="K85" s="44"/>
      <c r="L85" s="44"/>
      <c r="M85" s="44"/>
      <c r="N85" s="44"/>
      <c r="O85" s="44"/>
      <c r="P85" s="44"/>
      <c r="Q85" s="44"/>
      <c r="R85" s="44"/>
      <c r="S85" s="44"/>
      <c r="T85" s="44" t="s">
        <v>2279</v>
      </c>
      <c r="U85" s="44" t="s">
        <v>2563</v>
      </c>
      <c r="V85" s="44" t="s">
        <v>2492</v>
      </c>
      <c r="W85" s="44" t="s">
        <v>929</v>
      </c>
      <c r="X85" s="44"/>
      <c r="Y85" s="44"/>
      <c r="Z85" s="44"/>
      <c r="AA85" s="44"/>
      <c r="AB85" s="44"/>
      <c r="AC85" s="44"/>
      <c r="AD85" s="44"/>
      <c r="AE85" s="44"/>
      <c r="AF85" s="44"/>
      <c r="AG85" s="44"/>
      <c r="AH85" s="44"/>
      <c r="AI85" s="44"/>
      <c r="AJ85" s="44"/>
      <c r="AK85" s="44"/>
    </row>
    <row r="86" spans="1:37" x14ac:dyDescent="0.3">
      <c r="A86" s="44"/>
      <c r="B86" s="44"/>
      <c r="C86" s="44"/>
      <c r="D86" s="44"/>
      <c r="E86" s="44"/>
      <c r="F86" s="44"/>
      <c r="G86" s="44"/>
      <c r="H86" s="44"/>
      <c r="I86" s="44"/>
      <c r="J86" s="44"/>
      <c r="K86" s="44"/>
      <c r="L86" s="44"/>
      <c r="M86" s="44"/>
      <c r="N86" s="44"/>
      <c r="O86" s="44"/>
      <c r="P86" s="44"/>
      <c r="Q86" s="44"/>
      <c r="R86" s="44"/>
      <c r="S86" s="44"/>
      <c r="T86" s="44" t="s">
        <v>2279</v>
      </c>
      <c r="U86" s="44" t="s">
        <v>2564</v>
      </c>
      <c r="V86" s="44" t="s">
        <v>2492</v>
      </c>
      <c r="W86" s="44" t="s">
        <v>929</v>
      </c>
      <c r="X86" s="44"/>
      <c r="Y86" s="44"/>
      <c r="Z86" s="44"/>
      <c r="AA86" s="44"/>
      <c r="AB86" s="44"/>
      <c r="AC86" s="44"/>
      <c r="AD86" s="44"/>
      <c r="AE86" s="44"/>
      <c r="AF86" s="44"/>
      <c r="AG86" s="44"/>
      <c r="AH86" s="44"/>
      <c r="AI86" s="44"/>
      <c r="AJ86" s="44"/>
      <c r="AK86" s="44"/>
    </row>
    <row r="87" spans="1:37" x14ac:dyDescent="0.3">
      <c r="A87" s="44"/>
      <c r="B87" s="44"/>
      <c r="C87" s="44"/>
      <c r="D87" s="44"/>
      <c r="E87" s="44"/>
      <c r="F87" s="44"/>
      <c r="G87" s="44"/>
      <c r="H87" s="44"/>
      <c r="I87" s="44"/>
      <c r="J87" s="44"/>
      <c r="K87" s="44"/>
      <c r="L87" s="44"/>
      <c r="M87" s="44"/>
      <c r="N87" s="44"/>
      <c r="O87" s="44"/>
      <c r="P87" s="44"/>
      <c r="Q87" s="44"/>
      <c r="R87" s="44"/>
      <c r="S87" s="44"/>
      <c r="T87" s="44" t="s">
        <v>2279</v>
      </c>
      <c r="U87" s="44" t="s">
        <v>2137</v>
      </c>
      <c r="V87" s="44"/>
      <c r="W87" s="44"/>
      <c r="X87" s="44"/>
      <c r="Y87" s="44"/>
      <c r="Z87" s="44"/>
      <c r="AA87" s="44"/>
      <c r="AB87" s="44"/>
      <c r="AC87" s="44"/>
      <c r="AD87" s="44"/>
      <c r="AE87" s="44"/>
      <c r="AF87" s="44"/>
      <c r="AG87" s="44"/>
      <c r="AH87" s="44"/>
      <c r="AI87" s="44"/>
      <c r="AJ87" s="44"/>
      <c r="AK87" s="44"/>
    </row>
    <row r="88" spans="1:37" x14ac:dyDescent="0.3">
      <c r="A88" s="44"/>
      <c r="B88" s="44"/>
      <c r="C88" s="44"/>
      <c r="D88" s="44"/>
      <c r="E88" s="44"/>
      <c r="F88" s="44"/>
      <c r="G88" s="44"/>
      <c r="H88" s="44"/>
      <c r="I88" s="44"/>
      <c r="J88" s="44"/>
      <c r="K88" s="44"/>
      <c r="L88" s="44"/>
      <c r="M88" s="44"/>
      <c r="N88" s="44"/>
      <c r="O88" s="44"/>
      <c r="P88" s="44"/>
      <c r="Q88" s="44"/>
      <c r="R88" s="44"/>
      <c r="S88" s="44"/>
      <c r="T88" s="44" t="s">
        <v>2288</v>
      </c>
      <c r="U88" s="44" t="s">
        <v>2565</v>
      </c>
      <c r="V88" s="44" t="s">
        <v>2502</v>
      </c>
      <c r="W88" s="44" t="s">
        <v>929</v>
      </c>
      <c r="X88" s="44"/>
      <c r="Y88" s="44"/>
      <c r="Z88" s="44"/>
      <c r="AA88" s="44"/>
      <c r="AB88" s="44"/>
      <c r="AC88" s="44"/>
      <c r="AD88" s="44"/>
      <c r="AE88" s="44"/>
      <c r="AF88" s="44"/>
      <c r="AG88" s="44"/>
      <c r="AH88" s="44"/>
      <c r="AI88" s="44"/>
      <c r="AJ88" s="44"/>
      <c r="AK88" s="44"/>
    </row>
    <row r="89" spans="1:37" x14ac:dyDescent="0.3">
      <c r="A89" s="44"/>
      <c r="B89" s="44"/>
      <c r="C89" s="44"/>
      <c r="D89" s="44"/>
      <c r="E89" s="44"/>
      <c r="F89" s="44"/>
      <c r="G89" s="44"/>
      <c r="H89" s="44"/>
      <c r="I89" s="44"/>
      <c r="J89" s="44"/>
      <c r="K89" s="44"/>
      <c r="L89" s="44"/>
      <c r="M89" s="44"/>
      <c r="N89" s="44"/>
      <c r="O89" s="44"/>
      <c r="P89" s="44"/>
      <c r="Q89" s="44"/>
      <c r="R89" s="44"/>
      <c r="S89" s="44"/>
      <c r="T89" s="44" t="s">
        <v>2288</v>
      </c>
      <c r="U89" s="44" t="s">
        <v>2566</v>
      </c>
      <c r="V89" s="44" t="s">
        <v>2502</v>
      </c>
      <c r="W89" s="44" t="s">
        <v>929</v>
      </c>
      <c r="X89" s="44"/>
      <c r="Y89" s="44"/>
      <c r="Z89" s="44"/>
      <c r="AA89" s="44"/>
      <c r="AB89" s="44"/>
      <c r="AC89" s="44"/>
      <c r="AD89" s="44"/>
      <c r="AE89" s="44"/>
      <c r="AF89" s="44"/>
      <c r="AG89" s="44"/>
      <c r="AH89" s="44"/>
      <c r="AI89" s="44"/>
      <c r="AJ89" s="44"/>
      <c r="AK89" s="44"/>
    </row>
    <row r="90" spans="1:37" x14ac:dyDescent="0.3">
      <c r="A90" s="44"/>
      <c r="B90" s="44"/>
      <c r="C90" s="44"/>
      <c r="D90" s="44"/>
      <c r="E90" s="44"/>
      <c r="F90" s="44"/>
      <c r="G90" s="44"/>
      <c r="H90" s="44"/>
      <c r="I90" s="44"/>
      <c r="J90" s="44"/>
      <c r="K90" s="44"/>
      <c r="L90" s="44"/>
      <c r="M90" s="44"/>
      <c r="N90" s="44"/>
      <c r="O90" s="44"/>
      <c r="P90" s="44"/>
      <c r="Q90" s="44"/>
      <c r="R90" s="44"/>
      <c r="S90" s="44"/>
      <c r="T90" s="44" t="s">
        <v>2288</v>
      </c>
      <c r="U90" s="44" t="s">
        <v>2567</v>
      </c>
      <c r="V90" s="44" t="s">
        <v>2502</v>
      </c>
      <c r="W90" s="44" t="s">
        <v>929</v>
      </c>
      <c r="X90" s="44"/>
      <c r="Y90" s="44"/>
      <c r="Z90" s="44"/>
      <c r="AA90" s="44"/>
      <c r="AB90" s="44"/>
      <c r="AC90" s="44"/>
      <c r="AD90" s="44"/>
      <c r="AE90" s="44"/>
      <c r="AF90" s="44"/>
      <c r="AG90" s="44"/>
      <c r="AH90" s="44"/>
      <c r="AI90" s="44"/>
      <c r="AJ90" s="44"/>
      <c r="AK90" s="44"/>
    </row>
    <row r="91" spans="1:37" x14ac:dyDescent="0.3">
      <c r="A91" s="44"/>
      <c r="B91" s="44"/>
      <c r="C91" s="44"/>
      <c r="D91" s="44"/>
      <c r="E91" s="44"/>
      <c r="F91" s="44"/>
      <c r="G91" s="44"/>
      <c r="H91" s="44"/>
      <c r="I91" s="44"/>
      <c r="J91" s="44"/>
      <c r="K91" s="44"/>
      <c r="L91" s="44"/>
      <c r="M91" s="44"/>
      <c r="N91" s="44"/>
      <c r="O91" s="44"/>
      <c r="P91" s="44"/>
      <c r="Q91" s="44"/>
      <c r="R91" s="44"/>
      <c r="S91" s="44"/>
      <c r="T91" s="44" t="s">
        <v>2288</v>
      </c>
      <c r="U91" s="44" t="s">
        <v>2137</v>
      </c>
      <c r="V91" s="44"/>
      <c r="W91" s="44"/>
      <c r="X91" s="44"/>
      <c r="Y91" s="44"/>
      <c r="Z91" s="44"/>
      <c r="AA91" s="44"/>
      <c r="AB91" s="44"/>
      <c r="AC91" s="44"/>
      <c r="AD91" s="44"/>
      <c r="AE91" s="44"/>
      <c r="AF91" s="44"/>
      <c r="AG91" s="44"/>
      <c r="AH91" s="44"/>
      <c r="AI91" s="44"/>
      <c r="AJ91" s="44"/>
      <c r="AK91" s="44"/>
    </row>
    <row r="92" spans="1:37" x14ac:dyDescent="0.3">
      <c r="A92" s="44"/>
      <c r="B92" s="44"/>
      <c r="C92" s="44"/>
      <c r="D92" s="44"/>
      <c r="E92" s="44"/>
      <c r="F92" s="44"/>
      <c r="G92" s="44"/>
      <c r="H92" s="44"/>
      <c r="I92" s="44"/>
      <c r="J92" s="44"/>
      <c r="K92" s="44"/>
      <c r="L92" s="44"/>
      <c r="M92" s="44"/>
      <c r="N92" s="44"/>
      <c r="O92" s="44"/>
      <c r="P92" s="44"/>
      <c r="Q92" s="44"/>
      <c r="R92" s="44"/>
      <c r="S92" s="44"/>
      <c r="T92" s="44" t="s">
        <v>2298</v>
      </c>
      <c r="U92" s="44" t="s">
        <v>2568</v>
      </c>
      <c r="V92" s="44" t="s">
        <v>2492</v>
      </c>
      <c r="W92" s="44" t="s">
        <v>929</v>
      </c>
      <c r="X92" s="44"/>
      <c r="Y92" s="44"/>
      <c r="Z92" s="44"/>
      <c r="AA92" s="44"/>
      <c r="AB92" s="44"/>
      <c r="AC92" s="44"/>
      <c r="AD92" s="44"/>
      <c r="AE92" s="44"/>
      <c r="AF92" s="44"/>
      <c r="AG92" s="44"/>
      <c r="AH92" s="44"/>
      <c r="AI92" s="44"/>
      <c r="AJ92" s="44"/>
      <c r="AK92" s="44"/>
    </row>
    <row r="93" spans="1:37" x14ac:dyDescent="0.3">
      <c r="A93" s="44"/>
      <c r="B93" s="44"/>
      <c r="C93" s="44"/>
      <c r="D93" s="44"/>
      <c r="E93" s="44"/>
      <c r="F93" s="44"/>
      <c r="G93" s="44"/>
      <c r="H93" s="44"/>
      <c r="I93" s="44"/>
      <c r="J93" s="44"/>
      <c r="K93" s="44"/>
      <c r="L93" s="44"/>
      <c r="M93" s="44"/>
      <c r="N93" s="44"/>
      <c r="O93" s="44"/>
      <c r="P93" s="44"/>
      <c r="Q93" s="44"/>
      <c r="R93" s="44"/>
      <c r="S93" s="44"/>
      <c r="T93" s="44" t="s">
        <v>2298</v>
      </c>
      <c r="U93" s="44" t="s">
        <v>2569</v>
      </c>
      <c r="V93" s="44" t="s">
        <v>2492</v>
      </c>
      <c r="W93" s="44" t="s">
        <v>929</v>
      </c>
      <c r="X93" s="44"/>
      <c r="Y93" s="44"/>
      <c r="Z93" s="44"/>
      <c r="AA93" s="44"/>
      <c r="AB93" s="44"/>
      <c r="AC93" s="44"/>
      <c r="AD93" s="44"/>
      <c r="AE93" s="44"/>
      <c r="AF93" s="44"/>
      <c r="AG93" s="44"/>
      <c r="AH93" s="44"/>
      <c r="AI93" s="44"/>
      <c r="AJ93" s="44"/>
      <c r="AK93" s="44"/>
    </row>
    <row r="94" spans="1:37" x14ac:dyDescent="0.3">
      <c r="A94" s="44"/>
      <c r="B94" s="44"/>
      <c r="C94" s="44"/>
      <c r="D94" s="44"/>
      <c r="E94" s="44"/>
      <c r="F94" s="44"/>
      <c r="G94" s="44"/>
      <c r="H94" s="44"/>
      <c r="I94" s="44"/>
      <c r="J94" s="44"/>
      <c r="K94" s="44"/>
      <c r="L94" s="44"/>
      <c r="M94" s="44"/>
      <c r="N94" s="44"/>
      <c r="O94" s="44"/>
      <c r="P94" s="44"/>
      <c r="Q94" s="44"/>
      <c r="R94" s="44"/>
      <c r="S94" s="44"/>
      <c r="T94" s="44" t="s">
        <v>2298</v>
      </c>
      <c r="U94" s="44" t="s">
        <v>2137</v>
      </c>
      <c r="V94" s="44"/>
      <c r="W94" s="44"/>
      <c r="X94" s="44"/>
      <c r="Y94" s="44"/>
      <c r="Z94" s="44"/>
      <c r="AA94" s="44"/>
      <c r="AB94" s="44"/>
      <c r="AC94" s="44"/>
      <c r="AD94" s="44"/>
      <c r="AE94" s="44"/>
      <c r="AF94" s="44"/>
      <c r="AG94" s="44"/>
      <c r="AH94" s="44"/>
      <c r="AI94" s="44"/>
      <c r="AJ94" s="44"/>
      <c r="AK94" s="44"/>
    </row>
    <row r="95" spans="1:37" x14ac:dyDescent="0.3">
      <c r="A95" s="44"/>
      <c r="B95" s="44"/>
      <c r="C95" s="44"/>
      <c r="D95" s="44"/>
      <c r="E95" s="44"/>
      <c r="F95" s="44"/>
      <c r="G95" s="44"/>
      <c r="H95" s="44"/>
      <c r="I95" s="44"/>
      <c r="J95" s="44"/>
      <c r="K95" s="44"/>
      <c r="L95" s="44"/>
      <c r="M95" s="44"/>
      <c r="N95" s="44"/>
      <c r="O95" s="44"/>
      <c r="P95" s="44"/>
      <c r="Q95" s="44"/>
      <c r="R95" s="44"/>
      <c r="S95" s="44"/>
      <c r="T95" s="44" t="s">
        <v>2309</v>
      </c>
      <c r="U95" s="44" t="s">
        <v>2570</v>
      </c>
      <c r="V95" s="44" t="s">
        <v>1970</v>
      </c>
      <c r="W95" s="44" t="s">
        <v>858</v>
      </c>
      <c r="X95" s="44"/>
      <c r="Y95" s="44"/>
      <c r="Z95" s="44"/>
      <c r="AA95" s="44"/>
      <c r="AB95" s="44"/>
      <c r="AC95" s="44"/>
      <c r="AD95" s="44"/>
      <c r="AE95" s="44"/>
      <c r="AF95" s="44"/>
      <c r="AG95" s="44"/>
      <c r="AH95" s="44"/>
      <c r="AI95" s="44"/>
      <c r="AJ95" s="44"/>
      <c r="AK95" s="44"/>
    </row>
    <row r="96" spans="1:37" x14ac:dyDescent="0.3">
      <c r="A96" s="44"/>
      <c r="B96" s="44"/>
      <c r="C96" s="44"/>
      <c r="D96" s="44"/>
      <c r="E96" s="44"/>
      <c r="F96" s="44"/>
      <c r="G96" s="44"/>
      <c r="H96" s="44"/>
      <c r="I96" s="44"/>
      <c r="J96" s="44"/>
      <c r="K96" s="44"/>
      <c r="L96" s="44"/>
      <c r="M96" s="44"/>
      <c r="N96" s="44"/>
      <c r="O96" s="44"/>
      <c r="P96" s="44"/>
      <c r="Q96" s="44"/>
      <c r="R96" s="44"/>
      <c r="S96" s="44"/>
      <c r="T96" s="44" t="s">
        <v>2309</v>
      </c>
      <c r="U96" s="44" t="s">
        <v>2571</v>
      </c>
      <c r="V96" s="44" t="s">
        <v>2492</v>
      </c>
      <c r="W96" s="44" t="s">
        <v>929</v>
      </c>
      <c r="X96" s="44"/>
      <c r="Y96" s="44"/>
      <c r="Z96" s="44"/>
      <c r="AA96" s="44"/>
      <c r="AB96" s="44"/>
      <c r="AC96" s="44"/>
      <c r="AD96" s="44"/>
      <c r="AE96" s="44"/>
      <c r="AF96" s="44"/>
      <c r="AG96" s="44"/>
      <c r="AH96" s="44"/>
      <c r="AI96" s="44"/>
      <c r="AJ96" s="44"/>
      <c r="AK96" s="44"/>
    </row>
    <row r="97" spans="1:37" x14ac:dyDescent="0.3">
      <c r="A97" s="44"/>
      <c r="B97" s="44"/>
      <c r="C97" s="44"/>
      <c r="D97" s="44"/>
      <c r="E97" s="44"/>
      <c r="F97" s="44"/>
      <c r="G97" s="44"/>
      <c r="H97" s="44"/>
      <c r="I97" s="44"/>
      <c r="J97" s="44"/>
      <c r="K97" s="44"/>
      <c r="L97" s="44"/>
      <c r="M97" s="44"/>
      <c r="N97" s="44"/>
      <c r="O97" s="44"/>
      <c r="P97" s="44"/>
      <c r="Q97" s="44"/>
      <c r="R97" s="44"/>
      <c r="S97" s="44"/>
      <c r="T97" s="44" t="s">
        <v>2309</v>
      </c>
      <c r="U97" s="44" t="s">
        <v>2572</v>
      </c>
      <c r="V97" s="44" t="s">
        <v>1970</v>
      </c>
      <c r="W97" s="44" t="s">
        <v>858</v>
      </c>
      <c r="X97" s="44"/>
      <c r="Y97" s="44"/>
      <c r="Z97" s="44"/>
      <c r="AA97" s="44"/>
      <c r="AB97" s="44"/>
      <c r="AC97" s="44"/>
      <c r="AD97" s="44"/>
      <c r="AE97" s="44"/>
      <c r="AF97" s="44"/>
      <c r="AG97" s="44"/>
      <c r="AH97" s="44"/>
      <c r="AI97" s="44"/>
      <c r="AJ97" s="44"/>
      <c r="AK97" s="44"/>
    </row>
    <row r="98" spans="1:37" x14ac:dyDescent="0.3">
      <c r="A98" s="44"/>
      <c r="B98" s="44"/>
      <c r="C98" s="44"/>
      <c r="D98" s="44"/>
      <c r="E98" s="44"/>
      <c r="F98" s="44"/>
      <c r="G98" s="44"/>
      <c r="H98" s="44"/>
      <c r="I98" s="44"/>
      <c r="J98" s="44"/>
      <c r="K98" s="44"/>
      <c r="L98" s="44"/>
      <c r="M98" s="44"/>
      <c r="N98" s="44"/>
      <c r="O98" s="44"/>
      <c r="P98" s="44"/>
      <c r="Q98" s="44"/>
      <c r="R98" s="44"/>
      <c r="S98" s="44"/>
      <c r="T98" s="44" t="s">
        <v>2309</v>
      </c>
      <c r="U98" s="44" t="s">
        <v>2137</v>
      </c>
      <c r="V98" s="44"/>
      <c r="W98" s="44"/>
      <c r="X98" s="44"/>
      <c r="Y98" s="44"/>
      <c r="Z98" s="44"/>
      <c r="AA98" s="44"/>
      <c r="AB98" s="44"/>
      <c r="AC98" s="44"/>
      <c r="AD98" s="44"/>
      <c r="AE98" s="44"/>
      <c r="AF98" s="44"/>
      <c r="AG98" s="44"/>
      <c r="AH98" s="44"/>
      <c r="AI98" s="44"/>
      <c r="AJ98" s="44"/>
      <c r="AK98" s="44"/>
    </row>
    <row r="99" spans="1:37" x14ac:dyDescent="0.3">
      <c r="A99" s="44"/>
      <c r="B99" s="44"/>
      <c r="C99" s="44"/>
      <c r="D99" s="44"/>
      <c r="E99" s="44"/>
      <c r="F99" s="44"/>
      <c r="G99" s="44"/>
      <c r="H99" s="44"/>
      <c r="I99" s="44"/>
      <c r="J99" s="44"/>
      <c r="K99" s="44"/>
      <c r="L99" s="44"/>
      <c r="M99" s="44"/>
      <c r="N99" s="44"/>
      <c r="O99" s="44"/>
      <c r="P99" s="44"/>
      <c r="Q99" s="44"/>
      <c r="R99" s="44"/>
      <c r="S99" s="44"/>
      <c r="T99" s="44" t="s">
        <v>2317</v>
      </c>
      <c r="U99" s="44" t="s">
        <v>2573</v>
      </c>
      <c r="V99" s="44" t="s">
        <v>2492</v>
      </c>
      <c r="W99" s="44" t="s">
        <v>929</v>
      </c>
      <c r="X99" s="44"/>
      <c r="Y99" s="44"/>
      <c r="Z99" s="44"/>
      <c r="AA99" s="44"/>
      <c r="AB99" s="44"/>
      <c r="AC99" s="44"/>
      <c r="AD99" s="44"/>
      <c r="AE99" s="44"/>
      <c r="AF99" s="44"/>
      <c r="AG99" s="44"/>
      <c r="AH99" s="44"/>
      <c r="AI99" s="44"/>
      <c r="AJ99" s="44"/>
      <c r="AK99" s="44"/>
    </row>
    <row r="100" spans="1:37" x14ac:dyDescent="0.3">
      <c r="A100" s="44"/>
      <c r="B100" s="44"/>
      <c r="C100" s="44"/>
      <c r="D100" s="44"/>
      <c r="E100" s="44"/>
      <c r="F100" s="44"/>
      <c r="G100" s="44"/>
      <c r="H100" s="44"/>
      <c r="I100" s="44"/>
      <c r="J100" s="44"/>
      <c r="K100" s="44"/>
      <c r="L100" s="44"/>
      <c r="M100" s="44"/>
      <c r="N100" s="44"/>
      <c r="O100" s="44"/>
      <c r="P100" s="44"/>
      <c r="Q100" s="44"/>
      <c r="R100" s="44"/>
      <c r="S100" s="44"/>
      <c r="T100" s="44" t="s">
        <v>2317</v>
      </c>
      <c r="U100" s="44" t="s">
        <v>2574</v>
      </c>
      <c r="V100" s="44" t="s">
        <v>2492</v>
      </c>
      <c r="W100" s="44" t="s">
        <v>929</v>
      </c>
      <c r="X100" s="44"/>
      <c r="Y100" s="44"/>
      <c r="Z100" s="44"/>
      <c r="AA100" s="44"/>
      <c r="AB100" s="44"/>
      <c r="AC100" s="44"/>
      <c r="AD100" s="44"/>
      <c r="AE100" s="44"/>
      <c r="AF100" s="44"/>
      <c r="AG100" s="44"/>
      <c r="AH100" s="44"/>
      <c r="AI100" s="44"/>
      <c r="AJ100" s="44"/>
      <c r="AK100" s="44"/>
    </row>
    <row r="101" spans="1:37" x14ac:dyDescent="0.3">
      <c r="A101" s="44"/>
      <c r="B101" s="44"/>
      <c r="C101" s="44"/>
      <c r="D101" s="44"/>
      <c r="E101" s="44"/>
      <c r="F101" s="44"/>
      <c r="G101" s="44"/>
      <c r="H101" s="44"/>
      <c r="I101" s="44"/>
      <c r="J101" s="44"/>
      <c r="K101" s="44"/>
      <c r="L101" s="44"/>
      <c r="M101" s="44"/>
      <c r="N101" s="44"/>
      <c r="O101" s="44"/>
      <c r="P101" s="44"/>
      <c r="Q101" s="44"/>
      <c r="R101" s="44"/>
      <c r="S101" s="44"/>
      <c r="T101" s="44" t="s">
        <v>2317</v>
      </c>
      <c r="U101" s="44" t="s">
        <v>2575</v>
      </c>
      <c r="V101" s="44" t="s">
        <v>2073</v>
      </c>
      <c r="W101" s="44" t="s">
        <v>858</v>
      </c>
      <c r="X101" s="44"/>
      <c r="Y101" s="44"/>
      <c r="Z101" s="44"/>
      <c r="AA101" s="44"/>
      <c r="AB101" s="44"/>
      <c r="AC101" s="44"/>
      <c r="AD101" s="44"/>
      <c r="AE101" s="44"/>
      <c r="AF101" s="44"/>
      <c r="AG101" s="44"/>
      <c r="AH101" s="44"/>
      <c r="AI101" s="44"/>
      <c r="AJ101" s="44"/>
      <c r="AK101" s="44"/>
    </row>
    <row r="102" spans="1:37" x14ac:dyDescent="0.3">
      <c r="A102" s="44"/>
      <c r="B102" s="44"/>
      <c r="C102" s="44"/>
      <c r="D102" s="44"/>
      <c r="E102" s="44"/>
      <c r="F102" s="44"/>
      <c r="G102" s="44"/>
      <c r="H102" s="44"/>
      <c r="I102" s="44"/>
      <c r="J102" s="44"/>
      <c r="K102" s="44"/>
      <c r="L102" s="44"/>
      <c r="M102" s="44"/>
      <c r="N102" s="44"/>
      <c r="O102" s="44"/>
      <c r="P102" s="44"/>
      <c r="Q102" s="44"/>
      <c r="R102" s="44"/>
      <c r="S102" s="44"/>
      <c r="T102" s="44" t="s">
        <v>2317</v>
      </c>
      <c r="U102" s="44" t="s">
        <v>2137</v>
      </c>
      <c r="V102" s="44"/>
      <c r="W102" s="44"/>
      <c r="X102" s="44"/>
      <c r="Y102" s="44"/>
      <c r="Z102" s="44"/>
      <c r="AA102" s="44"/>
      <c r="AB102" s="44"/>
      <c r="AC102" s="44"/>
      <c r="AD102" s="44"/>
      <c r="AE102" s="44"/>
      <c r="AF102" s="44"/>
      <c r="AG102" s="44"/>
      <c r="AH102" s="44"/>
      <c r="AI102" s="44"/>
      <c r="AJ102" s="44"/>
      <c r="AK102" s="44"/>
    </row>
    <row r="103" spans="1:37" x14ac:dyDescent="0.3">
      <c r="A103" s="44"/>
      <c r="B103" s="44"/>
      <c r="C103" s="44"/>
      <c r="D103" s="44"/>
      <c r="E103" s="44"/>
      <c r="F103" s="44"/>
      <c r="G103" s="44"/>
      <c r="H103" s="44"/>
      <c r="I103" s="44"/>
      <c r="J103" s="44"/>
      <c r="K103" s="44"/>
      <c r="L103" s="44"/>
      <c r="M103" s="44"/>
      <c r="N103" s="44"/>
      <c r="O103" s="44"/>
      <c r="P103" s="44"/>
      <c r="Q103" s="44"/>
      <c r="R103" s="44"/>
      <c r="S103" s="44"/>
      <c r="T103" s="44" t="s">
        <v>2325</v>
      </c>
      <c r="U103" s="44" t="s">
        <v>2576</v>
      </c>
      <c r="V103" s="44" t="s">
        <v>2042</v>
      </c>
      <c r="W103" s="44" t="s">
        <v>814</v>
      </c>
      <c r="X103" s="44"/>
      <c r="Y103" s="44"/>
      <c r="Z103" s="44"/>
      <c r="AA103" s="44"/>
      <c r="AB103" s="44"/>
      <c r="AC103" s="44"/>
      <c r="AD103" s="44"/>
      <c r="AE103" s="44"/>
      <c r="AF103" s="44"/>
      <c r="AG103" s="44"/>
      <c r="AH103" s="44"/>
      <c r="AI103" s="44"/>
      <c r="AJ103" s="44"/>
      <c r="AK103" s="44"/>
    </row>
    <row r="104" spans="1:37" x14ac:dyDescent="0.3">
      <c r="A104" s="44"/>
      <c r="B104" s="44"/>
      <c r="C104" s="44"/>
      <c r="D104" s="44"/>
      <c r="E104" s="44"/>
      <c r="F104" s="44"/>
      <c r="G104" s="44"/>
      <c r="H104" s="44"/>
      <c r="I104" s="44"/>
      <c r="J104" s="44"/>
      <c r="K104" s="44"/>
      <c r="L104" s="44"/>
      <c r="M104" s="44"/>
      <c r="N104" s="44"/>
      <c r="O104" s="44"/>
      <c r="P104" s="44"/>
      <c r="Q104" s="44"/>
      <c r="R104" s="44"/>
      <c r="S104" s="44"/>
      <c r="T104" s="44" t="s">
        <v>2325</v>
      </c>
      <c r="U104" s="44" t="s">
        <v>2577</v>
      </c>
      <c r="V104" s="44" t="s">
        <v>2042</v>
      </c>
      <c r="W104" s="44" t="s">
        <v>814</v>
      </c>
      <c r="X104" s="44"/>
      <c r="Y104" s="44"/>
      <c r="Z104" s="44"/>
      <c r="AA104" s="44"/>
      <c r="AB104" s="44"/>
      <c r="AC104" s="44"/>
      <c r="AD104" s="44"/>
      <c r="AE104" s="44"/>
      <c r="AF104" s="44"/>
      <c r="AG104" s="44"/>
      <c r="AH104" s="44"/>
      <c r="AI104" s="44"/>
      <c r="AJ104" s="44"/>
      <c r="AK104" s="44"/>
    </row>
    <row r="105" spans="1:37" x14ac:dyDescent="0.3">
      <c r="A105" s="44"/>
      <c r="B105" s="44"/>
      <c r="C105" s="44"/>
      <c r="D105" s="44"/>
      <c r="E105" s="44"/>
      <c r="F105" s="44"/>
      <c r="G105" s="44"/>
      <c r="H105" s="44"/>
      <c r="I105" s="44"/>
      <c r="J105" s="44"/>
      <c r="K105" s="44"/>
      <c r="L105" s="44"/>
      <c r="M105" s="44"/>
      <c r="N105" s="44"/>
      <c r="O105" s="44"/>
      <c r="P105" s="44"/>
      <c r="Q105" s="44"/>
      <c r="R105" s="44"/>
      <c r="S105" s="44"/>
      <c r="T105" s="44" t="s">
        <v>2325</v>
      </c>
      <c r="U105" s="44" t="s">
        <v>2578</v>
      </c>
      <c r="V105" s="44" t="s">
        <v>2042</v>
      </c>
      <c r="W105" s="44" t="s">
        <v>814</v>
      </c>
      <c r="X105" s="44"/>
      <c r="Y105" s="44"/>
      <c r="Z105" s="44"/>
      <c r="AA105" s="44"/>
      <c r="AB105" s="44"/>
      <c r="AC105" s="44"/>
      <c r="AD105" s="44"/>
      <c r="AE105" s="44"/>
      <c r="AF105" s="44"/>
      <c r="AG105" s="44"/>
      <c r="AH105" s="44"/>
      <c r="AI105" s="44"/>
      <c r="AJ105" s="44"/>
      <c r="AK105" s="44"/>
    </row>
    <row r="106" spans="1:37" x14ac:dyDescent="0.3">
      <c r="A106" s="44"/>
      <c r="B106" s="44"/>
      <c r="C106" s="44"/>
      <c r="D106" s="44"/>
      <c r="E106" s="44"/>
      <c r="F106" s="44"/>
      <c r="G106" s="44"/>
      <c r="H106" s="44"/>
      <c r="I106" s="44"/>
      <c r="J106" s="44"/>
      <c r="K106" s="44"/>
      <c r="L106" s="44"/>
      <c r="M106" s="44"/>
      <c r="N106" s="44"/>
      <c r="O106" s="44"/>
      <c r="P106" s="44"/>
      <c r="Q106" s="44"/>
      <c r="R106" s="44"/>
      <c r="S106" s="44"/>
      <c r="T106" s="44" t="s">
        <v>2325</v>
      </c>
      <c r="U106" s="44" t="s">
        <v>2579</v>
      </c>
      <c r="V106" s="44" t="s">
        <v>2037</v>
      </c>
      <c r="W106" s="44" t="s">
        <v>858</v>
      </c>
      <c r="X106" s="44"/>
      <c r="Y106" s="44"/>
      <c r="Z106" s="44"/>
      <c r="AA106" s="44"/>
      <c r="AB106" s="44"/>
      <c r="AC106" s="44"/>
      <c r="AD106" s="44"/>
      <c r="AE106" s="44"/>
      <c r="AF106" s="44"/>
      <c r="AG106" s="44"/>
      <c r="AH106" s="44"/>
      <c r="AI106" s="44"/>
      <c r="AJ106" s="44"/>
      <c r="AK106" s="44"/>
    </row>
    <row r="107" spans="1:37" x14ac:dyDescent="0.3">
      <c r="A107" s="44"/>
      <c r="B107" s="44"/>
      <c r="C107" s="44"/>
      <c r="D107" s="44"/>
      <c r="E107" s="44"/>
      <c r="F107" s="44"/>
      <c r="G107" s="44"/>
      <c r="H107" s="44"/>
      <c r="I107" s="44"/>
      <c r="J107" s="44"/>
      <c r="K107" s="44"/>
      <c r="L107" s="44"/>
      <c r="M107" s="44"/>
      <c r="N107" s="44"/>
      <c r="O107" s="44"/>
      <c r="P107" s="44"/>
      <c r="Q107" s="44"/>
      <c r="R107" s="44"/>
      <c r="S107" s="44"/>
      <c r="T107" s="44" t="s">
        <v>2325</v>
      </c>
      <c r="U107" s="44" t="s">
        <v>2137</v>
      </c>
      <c r="V107" s="44"/>
      <c r="W107" s="44"/>
      <c r="X107" s="44"/>
      <c r="Y107" s="44"/>
      <c r="Z107" s="44"/>
      <c r="AA107" s="44"/>
      <c r="AB107" s="44"/>
      <c r="AC107" s="44"/>
      <c r="AD107" s="44"/>
      <c r="AE107" s="44"/>
      <c r="AF107" s="44"/>
      <c r="AG107" s="44"/>
      <c r="AH107" s="44"/>
      <c r="AI107" s="44"/>
      <c r="AJ107" s="44"/>
      <c r="AK107" s="44"/>
    </row>
    <row r="108" spans="1:37" x14ac:dyDescent="0.3">
      <c r="A108" s="44"/>
      <c r="B108" s="44"/>
      <c r="C108" s="44"/>
      <c r="D108" s="44"/>
      <c r="E108" s="44"/>
      <c r="F108" s="44"/>
      <c r="G108" s="44"/>
      <c r="H108" s="44"/>
      <c r="I108" s="44"/>
      <c r="J108" s="44"/>
      <c r="K108" s="44"/>
      <c r="L108" s="44"/>
      <c r="M108" s="44"/>
      <c r="N108" s="44"/>
      <c r="O108" s="44"/>
      <c r="P108" s="44"/>
      <c r="Q108" s="44"/>
      <c r="R108" s="44"/>
      <c r="S108" s="44"/>
      <c r="T108" s="44" t="s">
        <v>2336</v>
      </c>
      <c r="U108" s="44" t="s">
        <v>2580</v>
      </c>
      <c r="V108" s="44" t="s">
        <v>2147</v>
      </c>
      <c r="W108" s="44" t="s">
        <v>814</v>
      </c>
      <c r="X108" s="44"/>
      <c r="Y108" s="44"/>
      <c r="Z108" s="44"/>
      <c r="AA108" s="44"/>
      <c r="AB108" s="44"/>
      <c r="AC108" s="44"/>
      <c r="AD108" s="44"/>
      <c r="AE108" s="44"/>
      <c r="AF108" s="44"/>
      <c r="AG108" s="44"/>
      <c r="AH108" s="44"/>
      <c r="AI108" s="44"/>
      <c r="AJ108" s="44"/>
      <c r="AK108" s="44"/>
    </row>
    <row r="109" spans="1:37" x14ac:dyDescent="0.3">
      <c r="A109" s="44"/>
      <c r="B109" s="44"/>
      <c r="C109" s="44"/>
      <c r="D109" s="44"/>
      <c r="E109" s="44"/>
      <c r="F109" s="44"/>
      <c r="G109" s="44"/>
      <c r="H109" s="44"/>
      <c r="I109" s="44"/>
      <c r="J109" s="44"/>
      <c r="K109" s="44"/>
      <c r="L109" s="44"/>
      <c r="M109" s="44"/>
      <c r="N109" s="44"/>
      <c r="O109" s="44"/>
      <c r="P109" s="44"/>
      <c r="Q109" s="44"/>
      <c r="R109" s="44"/>
      <c r="S109" s="44"/>
      <c r="T109" s="44" t="s">
        <v>2336</v>
      </c>
      <c r="U109" s="44" t="s">
        <v>2581</v>
      </c>
      <c r="V109" s="44" t="s">
        <v>2536</v>
      </c>
      <c r="W109" s="44" t="s">
        <v>977</v>
      </c>
      <c r="X109" s="44"/>
      <c r="Y109" s="44"/>
      <c r="Z109" s="44"/>
      <c r="AA109" s="44"/>
      <c r="AB109" s="44"/>
      <c r="AC109" s="44"/>
      <c r="AD109" s="44"/>
      <c r="AE109" s="44"/>
      <c r="AF109" s="44"/>
      <c r="AG109" s="44"/>
      <c r="AH109" s="44"/>
      <c r="AI109" s="44"/>
      <c r="AJ109" s="44"/>
      <c r="AK109" s="44"/>
    </row>
    <row r="110" spans="1:37" x14ac:dyDescent="0.3">
      <c r="A110" s="44"/>
      <c r="B110" s="44"/>
      <c r="C110" s="44"/>
      <c r="D110" s="44"/>
      <c r="E110" s="44"/>
      <c r="F110" s="44"/>
      <c r="G110" s="44"/>
      <c r="H110" s="44"/>
      <c r="I110" s="44"/>
      <c r="J110" s="44"/>
      <c r="K110" s="44"/>
      <c r="L110" s="44"/>
      <c r="M110" s="44"/>
      <c r="N110" s="44"/>
      <c r="O110" s="44"/>
      <c r="P110" s="44"/>
      <c r="Q110" s="44"/>
      <c r="R110" s="44"/>
      <c r="S110" s="44"/>
      <c r="T110" s="44" t="s">
        <v>2336</v>
      </c>
      <c r="U110" s="44" t="s">
        <v>2582</v>
      </c>
      <c r="V110" s="44" t="s">
        <v>2536</v>
      </c>
      <c r="W110" s="44" t="s">
        <v>977</v>
      </c>
      <c r="X110" s="44"/>
      <c r="Y110" s="44"/>
      <c r="Z110" s="44"/>
      <c r="AA110" s="44"/>
      <c r="AB110" s="44"/>
      <c r="AC110" s="44"/>
      <c r="AD110" s="44"/>
      <c r="AE110" s="44"/>
      <c r="AF110" s="44"/>
      <c r="AG110" s="44"/>
      <c r="AH110" s="44"/>
      <c r="AI110" s="44"/>
      <c r="AJ110" s="44"/>
      <c r="AK110" s="44"/>
    </row>
    <row r="111" spans="1:37" x14ac:dyDescent="0.3">
      <c r="A111" s="44"/>
      <c r="B111" s="44"/>
      <c r="C111" s="44"/>
      <c r="D111" s="44"/>
      <c r="E111" s="44"/>
      <c r="F111" s="44"/>
      <c r="G111" s="44"/>
      <c r="H111" s="44"/>
      <c r="I111" s="44"/>
      <c r="J111" s="44"/>
      <c r="K111" s="44"/>
      <c r="L111" s="44"/>
      <c r="M111" s="44"/>
      <c r="N111" s="44"/>
      <c r="O111" s="44"/>
      <c r="P111" s="44"/>
      <c r="Q111" s="44"/>
      <c r="R111" s="44"/>
      <c r="S111" s="44"/>
      <c r="T111" s="44" t="s">
        <v>2336</v>
      </c>
      <c r="U111" s="44" t="s">
        <v>2583</v>
      </c>
      <c r="V111" s="44" t="s">
        <v>2536</v>
      </c>
      <c r="W111" s="44" t="s">
        <v>977</v>
      </c>
      <c r="X111" s="44"/>
      <c r="Y111" s="44"/>
      <c r="Z111" s="44"/>
      <c r="AA111" s="44"/>
      <c r="AB111" s="44"/>
      <c r="AC111" s="44"/>
      <c r="AD111" s="44"/>
      <c r="AE111" s="44"/>
      <c r="AF111" s="44"/>
      <c r="AG111" s="44"/>
      <c r="AH111" s="44"/>
      <c r="AI111" s="44"/>
      <c r="AJ111" s="44"/>
      <c r="AK111" s="44"/>
    </row>
    <row r="112" spans="1:37" x14ac:dyDescent="0.3">
      <c r="A112" s="44"/>
      <c r="B112" s="44"/>
      <c r="C112" s="44"/>
      <c r="D112" s="44"/>
      <c r="E112" s="44"/>
      <c r="F112" s="44"/>
      <c r="G112" s="44"/>
      <c r="H112" s="44"/>
      <c r="I112" s="44"/>
      <c r="J112" s="44"/>
      <c r="K112" s="44"/>
      <c r="L112" s="44"/>
      <c r="M112" s="44"/>
      <c r="N112" s="44"/>
      <c r="O112" s="44"/>
      <c r="P112" s="44"/>
      <c r="Q112" s="44"/>
      <c r="R112" s="44"/>
      <c r="S112" s="44"/>
      <c r="T112" s="44" t="s">
        <v>2336</v>
      </c>
      <c r="U112" s="44" t="s">
        <v>2584</v>
      </c>
      <c r="V112" s="44" t="s">
        <v>1956</v>
      </c>
      <c r="W112" s="44" t="s">
        <v>977</v>
      </c>
      <c r="X112" s="44"/>
      <c r="Y112" s="44"/>
      <c r="Z112" s="44"/>
      <c r="AA112" s="44"/>
      <c r="AB112" s="44"/>
      <c r="AC112" s="44"/>
      <c r="AD112" s="44"/>
      <c r="AE112" s="44"/>
      <c r="AF112" s="44"/>
      <c r="AG112" s="44"/>
      <c r="AH112" s="44"/>
      <c r="AI112" s="44"/>
      <c r="AJ112" s="44"/>
      <c r="AK112" s="44"/>
    </row>
    <row r="113" spans="1:37" x14ac:dyDescent="0.3">
      <c r="A113" s="44"/>
      <c r="B113" s="44"/>
      <c r="C113" s="44"/>
      <c r="D113" s="44"/>
      <c r="E113" s="44"/>
      <c r="F113" s="44"/>
      <c r="G113" s="44"/>
      <c r="H113" s="44"/>
      <c r="I113" s="44"/>
      <c r="J113" s="44"/>
      <c r="K113" s="44"/>
      <c r="L113" s="44"/>
      <c r="M113" s="44"/>
      <c r="N113" s="44"/>
      <c r="O113" s="44"/>
      <c r="P113" s="44"/>
      <c r="Q113" s="44"/>
      <c r="R113" s="44"/>
      <c r="S113" s="44"/>
      <c r="T113" s="44" t="s">
        <v>2336</v>
      </c>
      <c r="U113" s="44" t="s">
        <v>2585</v>
      </c>
      <c r="V113" s="44" t="s">
        <v>1942</v>
      </c>
      <c r="W113" s="44" t="s">
        <v>791</v>
      </c>
      <c r="X113" s="44"/>
      <c r="Y113" s="44"/>
      <c r="Z113" s="44"/>
      <c r="AA113" s="44"/>
      <c r="AB113" s="44"/>
      <c r="AC113" s="44"/>
      <c r="AD113" s="44"/>
      <c r="AE113" s="44"/>
      <c r="AF113" s="44"/>
      <c r="AG113" s="44"/>
      <c r="AH113" s="44"/>
      <c r="AI113" s="44"/>
      <c r="AJ113" s="44"/>
      <c r="AK113" s="44"/>
    </row>
    <row r="114" spans="1:37" x14ac:dyDescent="0.3">
      <c r="A114" s="44"/>
      <c r="B114" s="44"/>
      <c r="C114" s="44"/>
      <c r="D114" s="44"/>
      <c r="E114" s="44"/>
      <c r="F114" s="44"/>
      <c r="G114" s="44"/>
      <c r="H114" s="44"/>
      <c r="I114" s="44"/>
      <c r="J114" s="44"/>
      <c r="K114" s="44"/>
      <c r="L114" s="44"/>
      <c r="M114" s="44"/>
      <c r="N114" s="44"/>
      <c r="O114" s="44"/>
      <c r="P114" s="44"/>
      <c r="Q114" s="44"/>
      <c r="R114" s="44"/>
      <c r="S114" s="44"/>
      <c r="T114" s="44" t="s">
        <v>2336</v>
      </c>
      <c r="U114" s="44" t="s">
        <v>2137</v>
      </c>
      <c r="V114" s="44"/>
      <c r="W114" s="44"/>
      <c r="X114" s="44"/>
      <c r="Y114" s="44"/>
      <c r="Z114" s="44"/>
      <c r="AA114" s="44"/>
      <c r="AB114" s="44"/>
      <c r="AC114" s="44"/>
      <c r="AD114" s="44"/>
      <c r="AE114" s="44"/>
      <c r="AF114" s="44"/>
      <c r="AG114" s="44"/>
      <c r="AH114" s="44"/>
      <c r="AI114" s="44"/>
      <c r="AJ114" s="44"/>
      <c r="AK114" s="44"/>
    </row>
    <row r="115" spans="1:37" x14ac:dyDescent="0.3">
      <c r="A115" s="44"/>
      <c r="B115" s="44"/>
      <c r="C115" s="44"/>
      <c r="D115" s="44"/>
      <c r="E115" s="44"/>
      <c r="F115" s="44"/>
      <c r="G115" s="44"/>
      <c r="H115" s="44"/>
      <c r="I115" s="44"/>
      <c r="J115" s="44"/>
      <c r="K115" s="44"/>
      <c r="L115" s="44"/>
      <c r="M115" s="44"/>
      <c r="N115" s="44"/>
      <c r="O115" s="44"/>
      <c r="P115" s="44"/>
      <c r="Q115" s="44"/>
      <c r="R115" s="44"/>
      <c r="S115" s="44"/>
      <c r="T115" s="44" t="s">
        <v>2345</v>
      </c>
      <c r="U115" s="44" t="s">
        <v>2586</v>
      </c>
      <c r="V115" s="44" t="s">
        <v>2134</v>
      </c>
      <c r="W115" s="44" t="s">
        <v>814</v>
      </c>
      <c r="X115" s="44"/>
      <c r="Y115" s="44"/>
      <c r="Z115" s="44"/>
      <c r="AA115" s="44"/>
      <c r="AB115" s="44"/>
      <c r="AC115" s="44"/>
      <c r="AD115" s="44"/>
      <c r="AE115" s="44"/>
      <c r="AF115" s="44"/>
      <c r="AG115" s="44"/>
      <c r="AH115" s="44"/>
      <c r="AI115" s="44"/>
      <c r="AJ115" s="44"/>
      <c r="AK115" s="44"/>
    </row>
    <row r="116" spans="1:37" x14ac:dyDescent="0.3">
      <c r="A116" s="44"/>
      <c r="B116" s="44"/>
      <c r="C116" s="44"/>
      <c r="D116" s="44"/>
      <c r="E116" s="44"/>
      <c r="F116" s="44"/>
      <c r="G116" s="44"/>
      <c r="H116" s="44"/>
      <c r="I116" s="44"/>
      <c r="J116" s="44"/>
      <c r="K116" s="44"/>
      <c r="L116" s="44"/>
      <c r="M116" s="44"/>
      <c r="N116" s="44"/>
      <c r="O116" s="44"/>
      <c r="P116" s="44"/>
      <c r="Q116" s="44"/>
      <c r="R116" s="44"/>
      <c r="S116" s="44"/>
      <c r="T116" s="44" t="s">
        <v>2345</v>
      </c>
      <c r="U116" s="44" t="s">
        <v>2587</v>
      </c>
      <c r="V116" s="44" t="s">
        <v>2134</v>
      </c>
      <c r="W116" s="44" t="s">
        <v>814</v>
      </c>
      <c r="X116" s="44"/>
      <c r="Y116" s="44"/>
      <c r="Z116" s="44"/>
      <c r="AA116" s="44"/>
      <c r="AB116" s="44"/>
      <c r="AC116" s="44"/>
      <c r="AD116" s="44"/>
      <c r="AE116" s="44"/>
      <c r="AF116" s="44"/>
      <c r="AG116" s="44"/>
      <c r="AH116" s="44"/>
      <c r="AI116" s="44"/>
      <c r="AJ116" s="44"/>
      <c r="AK116" s="44"/>
    </row>
    <row r="117" spans="1:37" x14ac:dyDescent="0.3">
      <c r="A117" s="44"/>
      <c r="B117" s="44"/>
      <c r="C117" s="44"/>
      <c r="D117" s="44"/>
      <c r="E117" s="44"/>
      <c r="F117" s="44"/>
      <c r="G117" s="44"/>
      <c r="H117" s="44"/>
      <c r="I117" s="44"/>
      <c r="J117" s="44"/>
      <c r="K117" s="44"/>
      <c r="L117" s="44"/>
      <c r="M117" s="44"/>
      <c r="N117" s="44"/>
      <c r="O117" s="44"/>
      <c r="P117" s="44"/>
      <c r="Q117" s="44"/>
      <c r="R117" s="44"/>
      <c r="S117" s="44"/>
      <c r="T117" s="44" t="s">
        <v>2345</v>
      </c>
      <c r="U117" s="44" t="s">
        <v>2588</v>
      </c>
      <c r="V117" s="44" t="s">
        <v>1970</v>
      </c>
      <c r="W117" s="44" t="s">
        <v>858</v>
      </c>
      <c r="X117" s="44"/>
      <c r="Y117" s="44"/>
      <c r="Z117" s="44"/>
      <c r="AA117" s="44"/>
      <c r="AB117" s="44"/>
      <c r="AC117" s="44"/>
      <c r="AD117" s="44"/>
      <c r="AE117" s="44"/>
      <c r="AF117" s="44"/>
      <c r="AG117" s="44"/>
      <c r="AH117" s="44"/>
      <c r="AI117" s="44"/>
      <c r="AJ117" s="44"/>
      <c r="AK117" s="44"/>
    </row>
    <row r="118" spans="1:37" x14ac:dyDescent="0.3">
      <c r="A118" s="44"/>
      <c r="B118" s="44"/>
      <c r="C118" s="44"/>
      <c r="D118" s="44"/>
      <c r="E118" s="44"/>
      <c r="F118" s="44"/>
      <c r="G118" s="44"/>
      <c r="H118" s="44"/>
      <c r="I118" s="44"/>
      <c r="J118" s="44"/>
      <c r="K118" s="44"/>
      <c r="L118" s="44"/>
      <c r="M118" s="44"/>
      <c r="N118" s="44"/>
      <c r="O118" s="44"/>
      <c r="P118" s="44"/>
      <c r="Q118" s="44"/>
      <c r="R118" s="44"/>
      <c r="S118" s="44"/>
      <c r="T118" s="44" t="s">
        <v>2345</v>
      </c>
      <c r="U118" s="44" t="s">
        <v>2589</v>
      </c>
      <c r="V118" s="44" t="s">
        <v>2134</v>
      </c>
      <c r="W118" s="44" t="s">
        <v>814</v>
      </c>
      <c r="X118" s="44"/>
      <c r="Y118" s="44"/>
      <c r="Z118" s="44"/>
      <c r="AA118" s="44"/>
      <c r="AB118" s="44"/>
      <c r="AC118" s="44"/>
      <c r="AD118" s="44"/>
      <c r="AE118" s="44"/>
      <c r="AF118" s="44"/>
      <c r="AG118" s="44"/>
      <c r="AH118" s="44"/>
      <c r="AI118" s="44"/>
      <c r="AJ118" s="44"/>
      <c r="AK118" s="44"/>
    </row>
    <row r="119" spans="1:37" x14ac:dyDescent="0.3">
      <c r="A119" s="44"/>
      <c r="B119" s="44"/>
      <c r="C119" s="44"/>
      <c r="D119" s="44"/>
      <c r="E119" s="44"/>
      <c r="F119" s="44"/>
      <c r="G119" s="44"/>
      <c r="H119" s="44"/>
      <c r="I119" s="44"/>
      <c r="J119" s="44"/>
      <c r="K119" s="44"/>
      <c r="L119" s="44"/>
      <c r="M119" s="44"/>
      <c r="N119" s="44"/>
      <c r="O119" s="44"/>
      <c r="P119" s="44"/>
      <c r="Q119" s="44"/>
      <c r="R119" s="44"/>
      <c r="S119" s="44"/>
      <c r="T119" s="44" t="s">
        <v>2345</v>
      </c>
      <c r="U119" s="44" t="s">
        <v>2137</v>
      </c>
      <c r="V119" s="44"/>
      <c r="W119" s="44"/>
      <c r="X119" s="44"/>
      <c r="Y119" s="44"/>
      <c r="Z119" s="44"/>
      <c r="AA119" s="44"/>
      <c r="AB119" s="44"/>
      <c r="AC119" s="44"/>
      <c r="AD119" s="44"/>
      <c r="AE119" s="44"/>
      <c r="AF119" s="44"/>
      <c r="AG119" s="44"/>
      <c r="AH119" s="44"/>
      <c r="AI119" s="44"/>
      <c r="AJ119" s="44"/>
      <c r="AK119" s="44"/>
    </row>
    <row r="120" spans="1:37" x14ac:dyDescent="0.3">
      <c r="A120" s="44"/>
      <c r="B120" s="44"/>
      <c r="C120" s="44"/>
      <c r="D120" s="44"/>
      <c r="E120" s="44"/>
      <c r="F120" s="44"/>
      <c r="G120" s="44"/>
      <c r="H120" s="44"/>
      <c r="I120" s="44"/>
      <c r="J120" s="44"/>
      <c r="K120" s="44"/>
      <c r="L120" s="44"/>
      <c r="M120" s="44"/>
      <c r="N120" s="44"/>
      <c r="O120" s="44"/>
      <c r="P120" s="44"/>
      <c r="Q120" s="44"/>
      <c r="R120" s="44"/>
      <c r="S120" s="44"/>
      <c r="T120" s="44" t="s">
        <v>2354</v>
      </c>
      <c r="U120" s="44" t="s">
        <v>2590</v>
      </c>
      <c r="V120" s="44" t="s">
        <v>2042</v>
      </c>
      <c r="W120" s="44" t="s">
        <v>814</v>
      </c>
      <c r="X120" s="44"/>
      <c r="Y120" s="44"/>
      <c r="Z120" s="44"/>
      <c r="AA120" s="44"/>
      <c r="AB120" s="44"/>
      <c r="AC120" s="44"/>
      <c r="AD120" s="44"/>
      <c r="AE120" s="44"/>
      <c r="AF120" s="44"/>
      <c r="AG120" s="44"/>
      <c r="AH120" s="44"/>
      <c r="AI120" s="44"/>
      <c r="AJ120" s="44"/>
      <c r="AK120" s="44"/>
    </row>
    <row r="121" spans="1:37" x14ac:dyDescent="0.3">
      <c r="A121" s="44"/>
      <c r="B121" s="44"/>
      <c r="C121" s="44"/>
      <c r="D121" s="44"/>
      <c r="E121" s="44"/>
      <c r="F121" s="44"/>
      <c r="G121" s="44"/>
      <c r="H121" s="44"/>
      <c r="I121" s="44"/>
      <c r="J121" s="44"/>
      <c r="K121" s="44"/>
      <c r="L121" s="44"/>
      <c r="M121" s="44"/>
      <c r="N121" s="44"/>
      <c r="O121" s="44"/>
      <c r="P121" s="44"/>
      <c r="Q121" s="44"/>
      <c r="R121" s="44"/>
      <c r="S121" s="44"/>
      <c r="T121" s="44" t="s">
        <v>2354</v>
      </c>
      <c r="U121" s="44" t="s">
        <v>2591</v>
      </c>
      <c r="V121" s="44" t="s">
        <v>2091</v>
      </c>
      <c r="W121" s="44" t="s">
        <v>891</v>
      </c>
      <c r="X121" s="44"/>
      <c r="Y121" s="44"/>
      <c r="Z121" s="44"/>
      <c r="AA121" s="44"/>
      <c r="AB121" s="44"/>
      <c r="AC121" s="44"/>
      <c r="AD121" s="44"/>
      <c r="AE121" s="44"/>
      <c r="AF121" s="44"/>
      <c r="AG121" s="44"/>
      <c r="AH121" s="44"/>
      <c r="AI121" s="44"/>
      <c r="AJ121" s="44"/>
      <c r="AK121" s="44"/>
    </row>
    <row r="122" spans="1:37" x14ac:dyDescent="0.3">
      <c r="A122" s="44"/>
      <c r="B122" s="44"/>
      <c r="C122" s="44"/>
      <c r="D122" s="44"/>
      <c r="E122" s="44"/>
      <c r="F122" s="44"/>
      <c r="G122" s="44"/>
      <c r="H122" s="44"/>
      <c r="I122" s="44"/>
      <c r="J122" s="44"/>
      <c r="K122" s="44"/>
      <c r="L122" s="44"/>
      <c r="M122" s="44"/>
      <c r="N122" s="44"/>
      <c r="O122" s="44"/>
      <c r="P122" s="44"/>
      <c r="Q122" s="44"/>
      <c r="R122" s="44"/>
      <c r="S122" s="44"/>
      <c r="T122" s="44" t="s">
        <v>2354</v>
      </c>
      <c r="U122" s="44" t="s">
        <v>1944</v>
      </c>
      <c r="V122" s="44" t="s">
        <v>1942</v>
      </c>
      <c r="W122" s="44" t="s">
        <v>791</v>
      </c>
      <c r="X122" s="44" t="s">
        <v>1945</v>
      </c>
      <c r="Y122" s="44"/>
      <c r="Z122" s="44"/>
      <c r="AA122" s="44"/>
      <c r="AB122" s="44"/>
      <c r="AC122" s="44"/>
      <c r="AD122" s="44"/>
      <c r="AE122" s="44"/>
      <c r="AF122" s="44"/>
      <c r="AG122" s="44"/>
      <c r="AH122" s="44"/>
      <c r="AI122" s="44"/>
      <c r="AJ122" s="44"/>
      <c r="AK122" s="44"/>
    </row>
    <row r="123" spans="1:37" x14ac:dyDescent="0.3">
      <c r="A123" s="44"/>
      <c r="B123" s="44"/>
      <c r="C123" s="44"/>
      <c r="D123" s="44"/>
      <c r="E123" s="44"/>
      <c r="F123" s="44"/>
      <c r="G123" s="44"/>
      <c r="H123" s="44"/>
      <c r="I123" s="44"/>
      <c r="J123" s="44"/>
      <c r="K123" s="44"/>
      <c r="L123" s="44"/>
      <c r="M123" s="44"/>
      <c r="N123" s="44"/>
      <c r="O123" s="44"/>
      <c r="P123" s="44"/>
      <c r="Q123" s="44"/>
      <c r="R123" s="44"/>
      <c r="S123" s="44"/>
      <c r="T123" s="44" t="s">
        <v>2354</v>
      </c>
      <c r="U123" s="44" t="s">
        <v>2137</v>
      </c>
      <c r="V123" s="44"/>
      <c r="W123" s="44"/>
      <c r="X123" s="44"/>
      <c r="Y123" s="44"/>
      <c r="Z123" s="44"/>
      <c r="AA123" s="44"/>
      <c r="AB123" s="44"/>
      <c r="AC123" s="44"/>
      <c r="AD123" s="44"/>
      <c r="AE123" s="44"/>
      <c r="AF123" s="44"/>
      <c r="AG123" s="44"/>
      <c r="AH123" s="44"/>
      <c r="AI123" s="44"/>
      <c r="AJ123" s="44"/>
      <c r="AK123" s="44"/>
    </row>
    <row r="124" spans="1:37" x14ac:dyDescent="0.3">
      <c r="A124" s="44"/>
      <c r="B124" s="44"/>
      <c r="C124" s="44"/>
      <c r="D124" s="44"/>
      <c r="E124" s="44"/>
      <c r="F124" s="44"/>
      <c r="G124" s="44"/>
      <c r="H124" s="44"/>
      <c r="I124" s="44"/>
      <c r="J124" s="44"/>
      <c r="K124" s="44"/>
      <c r="L124" s="44"/>
      <c r="M124" s="44"/>
      <c r="N124" s="44"/>
      <c r="O124" s="44"/>
      <c r="P124" s="44"/>
      <c r="Q124" s="44"/>
      <c r="R124" s="44"/>
      <c r="S124" s="44"/>
      <c r="T124" s="44" t="s">
        <v>2364</v>
      </c>
      <c r="U124" s="44" t="s">
        <v>155</v>
      </c>
      <c r="V124" s="44" t="s">
        <v>2119</v>
      </c>
      <c r="W124" s="44" t="s">
        <v>814</v>
      </c>
      <c r="X124" s="44"/>
      <c r="Y124" s="44"/>
      <c r="Z124" s="44"/>
      <c r="AA124" s="44"/>
      <c r="AB124" s="44"/>
      <c r="AC124" s="44"/>
      <c r="AD124" s="44"/>
      <c r="AE124" s="44"/>
      <c r="AF124" s="44"/>
      <c r="AG124" s="44"/>
      <c r="AH124" s="44"/>
      <c r="AI124" s="44"/>
      <c r="AJ124" s="44"/>
      <c r="AK124" s="44"/>
    </row>
    <row r="125" spans="1:37" x14ac:dyDescent="0.3">
      <c r="A125" s="44"/>
      <c r="B125" s="44"/>
      <c r="C125" s="44"/>
      <c r="D125" s="44"/>
      <c r="E125" s="44"/>
      <c r="F125" s="44"/>
      <c r="G125" s="44"/>
      <c r="H125" s="44"/>
      <c r="I125" s="44"/>
      <c r="J125" s="44"/>
      <c r="K125" s="44"/>
      <c r="L125" s="44"/>
      <c r="M125" s="44"/>
      <c r="N125" s="44"/>
      <c r="O125" s="44"/>
      <c r="P125" s="44"/>
      <c r="Q125" s="44"/>
      <c r="R125" s="44"/>
      <c r="S125" s="44"/>
      <c r="T125" s="44" t="s">
        <v>2364</v>
      </c>
      <c r="U125" s="44" t="s">
        <v>2592</v>
      </c>
      <c r="V125" s="44" t="s">
        <v>2119</v>
      </c>
      <c r="W125" s="44" t="s">
        <v>814</v>
      </c>
      <c r="X125" s="44"/>
      <c r="Y125" s="44"/>
      <c r="Z125" s="44"/>
      <c r="AA125" s="44"/>
      <c r="AB125" s="44"/>
      <c r="AC125" s="44"/>
      <c r="AD125" s="44"/>
      <c r="AE125" s="44"/>
      <c r="AF125" s="44"/>
      <c r="AG125" s="44"/>
      <c r="AH125" s="44"/>
      <c r="AI125" s="44"/>
      <c r="AJ125" s="44"/>
      <c r="AK125" s="44"/>
    </row>
    <row r="126" spans="1:37" x14ac:dyDescent="0.3">
      <c r="A126" s="44"/>
      <c r="B126" s="44"/>
      <c r="C126" s="44"/>
      <c r="D126" s="44"/>
      <c r="E126" s="44"/>
      <c r="F126" s="44"/>
      <c r="G126" s="44"/>
      <c r="H126" s="44"/>
      <c r="I126" s="44"/>
      <c r="J126" s="44"/>
      <c r="K126" s="44"/>
      <c r="L126" s="44"/>
      <c r="M126" s="44"/>
      <c r="N126" s="44"/>
      <c r="O126" s="44"/>
      <c r="P126" s="44"/>
      <c r="Q126" s="44"/>
      <c r="R126" s="44"/>
      <c r="S126" s="44"/>
      <c r="T126" s="44" t="s">
        <v>2364</v>
      </c>
      <c r="U126" s="44" t="s">
        <v>2593</v>
      </c>
      <c r="V126" s="44" t="s">
        <v>2058</v>
      </c>
      <c r="W126" s="44" t="s">
        <v>1372</v>
      </c>
      <c r="X126" s="44"/>
      <c r="Y126" s="44"/>
      <c r="Z126" s="44"/>
      <c r="AA126" s="44"/>
      <c r="AB126" s="44"/>
      <c r="AC126" s="44"/>
      <c r="AD126" s="44"/>
      <c r="AE126" s="44"/>
      <c r="AF126" s="44"/>
      <c r="AG126" s="44"/>
      <c r="AH126" s="44"/>
      <c r="AI126" s="44"/>
      <c r="AJ126" s="44"/>
      <c r="AK126" s="44"/>
    </row>
    <row r="127" spans="1:37" x14ac:dyDescent="0.3">
      <c r="A127" s="44"/>
      <c r="B127" s="44"/>
      <c r="C127" s="44"/>
      <c r="D127" s="44"/>
      <c r="E127" s="44"/>
      <c r="F127" s="44"/>
      <c r="G127" s="44"/>
      <c r="H127" s="44"/>
      <c r="I127" s="44"/>
      <c r="J127" s="44"/>
      <c r="K127" s="44"/>
      <c r="L127" s="44"/>
      <c r="M127" s="44"/>
      <c r="N127" s="44"/>
      <c r="O127" s="44"/>
      <c r="P127" s="44"/>
      <c r="Q127" s="44"/>
      <c r="R127" s="44"/>
      <c r="S127" s="44"/>
      <c r="T127" s="44" t="s">
        <v>2364</v>
      </c>
      <c r="U127" s="44" t="s">
        <v>2594</v>
      </c>
      <c r="V127" s="44" t="s">
        <v>1964</v>
      </c>
      <c r="W127" s="44" t="s">
        <v>841</v>
      </c>
      <c r="X127" s="44"/>
      <c r="Y127" s="44"/>
      <c r="Z127" s="44"/>
      <c r="AA127" s="44"/>
      <c r="AB127" s="44"/>
      <c r="AC127" s="44"/>
      <c r="AD127" s="44"/>
      <c r="AE127" s="44"/>
      <c r="AF127" s="44"/>
      <c r="AG127" s="44"/>
      <c r="AH127" s="44"/>
      <c r="AI127" s="44"/>
      <c r="AJ127" s="44"/>
      <c r="AK127" s="44"/>
    </row>
    <row r="128" spans="1:37" x14ac:dyDescent="0.3">
      <c r="A128" s="44"/>
      <c r="B128" s="44"/>
      <c r="C128" s="44"/>
      <c r="D128" s="44"/>
      <c r="E128" s="44"/>
      <c r="F128" s="44"/>
      <c r="G128" s="44"/>
      <c r="H128" s="44"/>
      <c r="I128" s="44"/>
      <c r="J128" s="44"/>
      <c r="K128" s="44"/>
      <c r="L128" s="44"/>
      <c r="M128" s="44"/>
      <c r="N128" s="44"/>
      <c r="O128" s="44"/>
      <c r="P128" s="44"/>
      <c r="Q128" s="44"/>
      <c r="R128" s="44"/>
      <c r="S128" s="44"/>
      <c r="T128" s="44" t="s">
        <v>2364</v>
      </c>
      <c r="U128" s="44" t="s">
        <v>2595</v>
      </c>
      <c r="V128" s="44" t="s">
        <v>2042</v>
      </c>
      <c r="W128" s="44" t="s">
        <v>814</v>
      </c>
      <c r="X128" s="44"/>
      <c r="Y128" s="44"/>
      <c r="Z128" s="44"/>
      <c r="AA128" s="44"/>
      <c r="AB128" s="44"/>
      <c r="AC128" s="44"/>
      <c r="AD128" s="44"/>
      <c r="AE128" s="44"/>
      <c r="AF128" s="44"/>
      <c r="AG128" s="44"/>
      <c r="AH128" s="44"/>
      <c r="AI128" s="44"/>
      <c r="AJ128" s="44"/>
      <c r="AK128" s="44"/>
    </row>
    <row r="129" spans="1:37" x14ac:dyDescent="0.3">
      <c r="A129" s="44"/>
      <c r="B129" s="44"/>
      <c r="C129" s="44"/>
      <c r="D129" s="44"/>
      <c r="E129" s="44"/>
      <c r="F129" s="44"/>
      <c r="G129" s="44"/>
      <c r="H129" s="44"/>
      <c r="I129" s="44"/>
      <c r="J129" s="44"/>
      <c r="K129" s="44"/>
      <c r="L129" s="44"/>
      <c r="M129" s="44"/>
      <c r="N129" s="44"/>
      <c r="O129" s="44"/>
      <c r="P129" s="44"/>
      <c r="Q129" s="44"/>
      <c r="R129" s="44"/>
      <c r="S129" s="44"/>
      <c r="T129" s="44" t="s">
        <v>2364</v>
      </c>
      <c r="U129" s="44" t="s">
        <v>2137</v>
      </c>
      <c r="V129" s="44"/>
      <c r="W129" s="44"/>
      <c r="X129" s="44"/>
      <c r="Y129" s="44"/>
      <c r="Z129" s="44"/>
      <c r="AA129" s="44"/>
      <c r="AB129" s="44"/>
      <c r="AC129" s="44"/>
      <c r="AD129" s="44"/>
      <c r="AE129" s="44"/>
      <c r="AF129" s="44"/>
      <c r="AG129" s="44"/>
      <c r="AH129" s="44"/>
      <c r="AI129" s="44"/>
      <c r="AJ129" s="44"/>
      <c r="AK129" s="44"/>
    </row>
    <row r="130" spans="1:37" x14ac:dyDescent="0.3">
      <c r="A130" s="44"/>
      <c r="B130" s="44"/>
      <c r="C130" s="44"/>
      <c r="D130" s="44"/>
      <c r="E130" s="44"/>
      <c r="F130" s="44"/>
      <c r="G130" s="44"/>
      <c r="H130" s="44"/>
      <c r="I130" s="44"/>
      <c r="J130" s="44"/>
      <c r="K130" s="44"/>
      <c r="L130" s="44"/>
      <c r="M130" s="44"/>
      <c r="N130" s="44"/>
      <c r="O130" s="44"/>
      <c r="P130" s="44"/>
      <c r="Q130" s="44"/>
      <c r="R130" s="44"/>
      <c r="S130" s="44"/>
      <c r="T130" s="44" t="s">
        <v>2372</v>
      </c>
      <c r="U130" s="44" t="s">
        <v>2596</v>
      </c>
      <c r="V130" s="44" t="s">
        <v>2167</v>
      </c>
      <c r="W130" s="44" t="s">
        <v>1331</v>
      </c>
      <c r="X130" s="44"/>
      <c r="Y130" s="44"/>
      <c r="Z130" s="44"/>
      <c r="AA130" s="44"/>
      <c r="AB130" s="44"/>
      <c r="AC130" s="44"/>
      <c r="AD130" s="44"/>
      <c r="AE130" s="44"/>
      <c r="AF130" s="44"/>
      <c r="AG130" s="44"/>
      <c r="AH130" s="44"/>
      <c r="AI130" s="44"/>
      <c r="AJ130" s="44"/>
      <c r="AK130" s="44"/>
    </row>
    <row r="131" spans="1:37" x14ac:dyDescent="0.3">
      <c r="A131" s="44"/>
      <c r="B131" s="44"/>
      <c r="C131" s="44"/>
      <c r="D131" s="44"/>
      <c r="E131" s="44"/>
      <c r="F131" s="44"/>
      <c r="G131" s="44"/>
      <c r="H131" s="44"/>
      <c r="I131" s="44"/>
      <c r="J131" s="44"/>
      <c r="K131" s="44"/>
      <c r="L131" s="44"/>
      <c r="M131" s="44"/>
      <c r="N131" s="44"/>
      <c r="O131" s="44"/>
      <c r="P131" s="44"/>
      <c r="Q131" s="44"/>
      <c r="R131" s="44"/>
      <c r="S131" s="44"/>
      <c r="T131" s="44" t="s">
        <v>2372</v>
      </c>
      <c r="U131" s="44" t="s">
        <v>2597</v>
      </c>
      <c r="V131" s="44" t="s">
        <v>1935</v>
      </c>
      <c r="W131" s="44" t="s">
        <v>1140</v>
      </c>
      <c r="X131" s="44"/>
      <c r="Y131" s="44"/>
      <c r="Z131" s="44"/>
      <c r="AA131" s="44"/>
      <c r="AB131" s="44"/>
      <c r="AC131" s="44"/>
      <c r="AD131" s="44"/>
      <c r="AE131" s="44"/>
      <c r="AF131" s="44"/>
      <c r="AG131" s="44"/>
      <c r="AH131" s="44"/>
      <c r="AI131" s="44"/>
      <c r="AJ131" s="44"/>
      <c r="AK131" s="44"/>
    </row>
    <row r="132" spans="1:37" x14ac:dyDescent="0.3">
      <c r="A132" s="44"/>
      <c r="B132" s="44"/>
      <c r="C132" s="44"/>
      <c r="D132" s="44"/>
      <c r="E132" s="44"/>
      <c r="F132" s="44"/>
      <c r="G132" s="44"/>
      <c r="H132" s="44"/>
      <c r="I132" s="44"/>
      <c r="J132" s="44"/>
      <c r="K132" s="44"/>
      <c r="L132" s="44"/>
      <c r="M132" s="44"/>
      <c r="N132" s="44"/>
      <c r="O132" s="44"/>
      <c r="P132" s="44"/>
      <c r="Q132" s="44"/>
      <c r="R132" s="44"/>
      <c r="S132" s="44"/>
      <c r="T132" s="44" t="s">
        <v>2372</v>
      </c>
      <c r="U132" s="44" t="s">
        <v>2598</v>
      </c>
      <c r="V132" s="44" t="s">
        <v>1935</v>
      </c>
      <c r="W132" s="44" t="s">
        <v>1140</v>
      </c>
      <c r="X132" s="44"/>
      <c r="Y132" s="44"/>
      <c r="Z132" s="44"/>
      <c r="AA132" s="44"/>
      <c r="AB132" s="44"/>
      <c r="AC132" s="44"/>
      <c r="AD132" s="44"/>
      <c r="AE132" s="44"/>
      <c r="AF132" s="44"/>
      <c r="AG132" s="44"/>
      <c r="AH132" s="44"/>
      <c r="AI132" s="44"/>
      <c r="AJ132" s="44"/>
      <c r="AK132" s="44"/>
    </row>
    <row r="133" spans="1:37" x14ac:dyDescent="0.3">
      <c r="A133" s="44"/>
      <c r="B133" s="44"/>
      <c r="C133" s="44"/>
      <c r="D133" s="44"/>
      <c r="E133" s="44"/>
      <c r="F133" s="44"/>
      <c r="G133" s="44"/>
      <c r="H133" s="44"/>
      <c r="I133" s="44"/>
      <c r="J133" s="44"/>
      <c r="K133" s="44"/>
      <c r="L133" s="44"/>
      <c r="M133" s="44"/>
      <c r="N133" s="44"/>
      <c r="O133" s="44"/>
      <c r="P133" s="44"/>
      <c r="Q133" s="44"/>
      <c r="R133" s="44"/>
      <c r="S133" s="44"/>
      <c r="T133" s="44" t="s">
        <v>2372</v>
      </c>
      <c r="U133" s="44" t="s">
        <v>2137</v>
      </c>
      <c r="V133" s="44"/>
      <c r="W133" s="44"/>
      <c r="X133" s="44"/>
      <c r="Y133" s="44"/>
      <c r="Z133" s="44"/>
      <c r="AA133" s="44"/>
      <c r="AB133" s="44"/>
      <c r="AC133" s="44"/>
      <c r="AD133" s="44"/>
      <c r="AE133" s="44"/>
      <c r="AF133" s="44"/>
      <c r="AG133" s="44"/>
      <c r="AH133" s="44"/>
      <c r="AI133" s="44"/>
      <c r="AJ133" s="44"/>
      <c r="AK133" s="44"/>
    </row>
    <row r="134" spans="1:37" x14ac:dyDescent="0.3">
      <c r="A134" s="44"/>
      <c r="B134" s="44"/>
      <c r="C134" s="44"/>
      <c r="D134" s="44"/>
      <c r="E134" s="44"/>
      <c r="F134" s="44"/>
      <c r="G134" s="44"/>
      <c r="H134" s="44"/>
      <c r="I134" s="44"/>
      <c r="J134" s="44"/>
      <c r="K134" s="44"/>
      <c r="L134" s="44"/>
      <c r="M134" s="44"/>
      <c r="N134" s="44"/>
      <c r="O134" s="44"/>
      <c r="P134" s="44"/>
      <c r="Q134" s="44"/>
      <c r="R134" s="44"/>
      <c r="S134" s="44"/>
      <c r="T134" s="44" t="s">
        <v>2381</v>
      </c>
      <c r="U134" s="44" t="s">
        <v>2599</v>
      </c>
      <c r="V134" s="44" t="s">
        <v>2134</v>
      </c>
      <c r="W134" s="44" t="s">
        <v>814</v>
      </c>
      <c r="X134" s="44"/>
      <c r="Y134" s="44"/>
      <c r="Z134" s="44"/>
      <c r="AA134" s="44"/>
      <c r="AB134" s="44"/>
      <c r="AC134" s="44"/>
      <c r="AD134" s="44"/>
      <c r="AE134" s="44"/>
      <c r="AF134" s="44"/>
      <c r="AG134" s="44"/>
      <c r="AH134" s="44"/>
      <c r="AI134" s="44"/>
      <c r="AJ134" s="44"/>
      <c r="AK134" s="44"/>
    </row>
    <row r="135" spans="1:37" x14ac:dyDescent="0.3">
      <c r="A135" s="44"/>
      <c r="B135" s="44"/>
      <c r="C135" s="44"/>
      <c r="D135" s="44"/>
      <c r="E135" s="44"/>
      <c r="F135" s="44"/>
      <c r="G135" s="44"/>
      <c r="H135" s="44"/>
      <c r="I135" s="44"/>
      <c r="J135" s="44"/>
      <c r="K135" s="44"/>
      <c r="L135" s="44"/>
      <c r="M135" s="44"/>
      <c r="N135" s="44"/>
      <c r="O135" s="44"/>
      <c r="P135" s="44"/>
      <c r="Q135" s="44"/>
      <c r="R135" s="44"/>
      <c r="S135" s="44"/>
      <c r="T135" s="44" t="s">
        <v>2381</v>
      </c>
      <c r="U135" s="44" t="s">
        <v>2600</v>
      </c>
      <c r="V135" s="44" t="s">
        <v>2134</v>
      </c>
      <c r="W135" s="44" t="s">
        <v>814</v>
      </c>
      <c r="X135" s="44"/>
      <c r="Y135" s="44"/>
      <c r="Z135" s="44"/>
      <c r="AA135" s="44"/>
      <c r="AB135" s="44"/>
      <c r="AC135" s="44"/>
      <c r="AD135" s="44"/>
      <c r="AE135" s="44"/>
      <c r="AF135" s="44"/>
      <c r="AG135" s="44"/>
      <c r="AH135" s="44"/>
      <c r="AI135" s="44"/>
      <c r="AJ135" s="44"/>
      <c r="AK135" s="44"/>
    </row>
    <row r="136" spans="1:37" x14ac:dyDescent="0.3">
      <c r="A136" s="44"/>
      <c r="B136" s="44"/>
      <c r="C136" s="44"/>
      <c r="D136" s="44"/>
      <c r="E136" s="44"/>
      <c r="F136" s="44"/>
      <c r="G136" s="44"/>
      <c r="H136" s="44"/>
      <c r="I136" s="44"/>
      <c r="J136" s="44"/>
      <c r="K136" s="44"/>
      <c r="L136" s="44"/>
      <c r="M136" s="44"/>
      <c r="N136" s="44"/>
      <c r="O136" s="44"/>
      <c r="P136" s="44"/>
      <c r="Q136" s="44"/>
      <c r="R136" s="44"/>
      <c r="S136" s="44"/>
      <c r="T136" s="44" t="s">
        <v>2381</v>
      </c>
      <c r="U136" s="44" t="s">
        <v>2137</v>
      </c>
      <c r="V136" s="44"/>
      <c r="W136" s="44"/>
      <c r="X136" s="44"/>
      <c r="Y136" s="44"/>
      <c r="Z136" s="44"/>
      <c r="AA136" s="44"/>
      <c r="AB136" s="44"/>
      <c r="AC136" s="44"/>
      <c r="AD136" s="44"/>
      <c r="AE136" s="44"/>
      <c r="AF136" s="44"/>
      <c r="AG136" s="44"/>
      <c r="AH136" s="44"/>
      <c r="AI136" s="44"/>
      <c r="AJ136" s="44"/>
      <c r="AK136" s="44"/>
    </row>
    <row r="137" spans="1:37" x14ac:dyDescent="0.3">
      <c r="A137" s="44"/>
      <c r="B137" s="44"/>
      <c r="C137" s="44"/>
      <c r="D137" s="44"/>
      <c r="E137" s="44"/>
      <c r="F137" s="44"/>
      <c r="G137" s="44"/>
      <c r="H137" s="44"/>
      <c r="I137" s="44"/>
      <c r="J137" s="44"/>
      <c r="K137" s="44"/>
      <c r="L137" s="44"/>
      <c r="M137" s="44"/>
      <c r="N137" s="44"/>
      <c r="O137" s="44"/>
      <c r="P137" s="44"/>
      <c r="Q137" s="44"/>
      <c r="R137" s="44"/>
      <c r="S137" s="44"/>
      <c r="T137" s="44" t="s">
        <v>2391</v>
      </c>
      <c r="U137" s="44" t="s">
        <v>2601</v>
      </c>
      <c r="V137" s="44" t="s">
        <v>1970</v>
      </c>
      <c r="W137" s="44" t="s">
        <v>858</v>
      </c>
      <c r="X137" s="44"/>
      <c r="Y137" s="44"/>
      <c r="Z137" s="44"/>
      <c r="AA137" s="44"/>
      <c r="AB137" s="44"/>
      <c r="AC137" s="44"/>
      <c r="AD137" s="44"/>
      <c r="AE137" s="44"/>
      <c r="AF137" s="44"/>
      <c r="AG137" s="44"/>
      <c r="AH137" s="44"/>
      <c r="AI137" s="44"/>
      <c r="AJ137" s="44"/>
      <c r="AK137" s="44"/>
    </row>
    <row r="138" spans="1:37" x14ac:dyDescent="0.3">
      <c r="A138" s="44"/>
      <c r="B138" s="44"/>
      <c r="C138" s="44"/>
      <c r="D138" s="44"/>
      <c r="E138" s="44"/>
      <c r="F138" s="44"/>
      <c r="G138" s="44"/>
      <c r="H138" s="44"/>
      <c r="I138" s="44"/>
      <c r="J138" s="44"/>
      <c r="K138" s="44"/>
      <c r="L138" s="44"/>
      <c r="M138" s="44"/>
      <c r="N138" s="44"/>
      <c r="O138" s="44"/>
      <c r="P138" s="44"/>
      <c r="Q138" s="44"/>
      <c r="R138" s="44"/>
      <c r="S138" s="44"/>
      <c r="T138" s="44" t="s">
        <v>2391</v>
      </c>
      <c r="U138" s="44" t="s">
        <v>2602</v>
      </c>
      <c r="V138" s="44" t="s">
        <v>1970</v>
      </c>
      <c r="W138" s="44" t="s">
        <v>858</v>
      </c>
      <c r="X138" s="44"/>
      <c r="Y138" s="44"/>
      <c r="Z138" s="44"/>
      <c r="AA138" s="44"/>
      <c r="AB138" s="44"/>
      <c r="AC138" s="44"/>
      <c r="AD138" s="44"/>
      <c r="AE138" s="44"/>
      <c r="AF138" s="44"/>
      <c r="AG138" s="44"/>
      <c r="AH138" s="44"/>
      <c r="AI138" s="44"/>
      <c r="AJ138" s="44"/>
      <c r="AK138" s="44"/>
    </row>
    <row r="139" spans="1:37" x14ac:dyDescent="0.3">
      <c r="A139" s="44"/>
      <c r="B139" s="44"/>
      <c r="C139" s="44"/>
      <c r="D139" s="44"/>
      <c r="E139" s="44"/>
      <c r="F139" s="44"/>
      <c r="G139" s="44"/>
      <c r="H139" s="44"/>
      <c r="I139" s="44"/>
      <c r="J139" s="44"/>
      <c r="K139" s="44"/>
      <c r="L139" s="44"/>
      <c r="M139" s="44"/>
      <c r="N139" s="44"/>
      <c r="O139" s="44"/>
      <c r="P139" s="44"/>
      <c r="Q139" s="44"/>
      <c r="R139" s="44"/>
      <c r="S139" s="44"/>
      <c r="T139" s="44" t="s">
        <v>2391</v>
      </c>
      <c r="U139" s="44" t="s">
        <v>2137</v>
      </c>
      <c r="V139" s="44"/>
      <c r="W139" s="44"/>
      <c r="X139" s="44"/>
      <c r="Y139" s="44"/>
      <c r="Z139" s="44"/>
      <c r="AA139" s="44"/>
      <c r="AB139" s="44"/>
      <c r="AC139" s="44"/>
      <c r="AD139" s="44"/>
      <c r="AE139" s="44"/>
      <c r="AF139" s="44"/>
      <c r="AG139" s="44"/>
      <c r="AH139" s="44"/>
      <c r="AI139" s="44"/>
      <c r="AJ139" s="44"/>
      <c r="AK139" s="44"/>
    </row>
    <row r="140" spans="1:37" x14ac:dyDescent="0.3">
      <c r="A140" s="44"/>
      <c r="B140" s="44"/>
      <c r="C140" s="44"/>
      <c r="D140" s="44"/>
      <c r="E140" s="44"/>
      <c r="F140" s="44"/>
      <c r="G140" s="44"/>
      <c r="H140" s="44"/>
      <c r="I140" s="44"/>
      <c r="J140" s="44"/>
      <c r="K140" s="44"/>
      <c r="L140" s="44"/>
      <c r="M140" s="44"/>
      <c r="N140" s="44"/>
      <c r="O140" s="44"/>
      <c r="P140" s="44"/>
      <c r="Q140" s="44"/>
      <c r="R140" s="44"/>
      <c r="S140" s="44"/>
      <c r="T140" s="44" t="s">
        <v>2401</v>
      </c>
      <c r="U140" s="44" t="s">
        <v>2603</v>
      </c>
      <c r="V140" s="44" t="s">
        <v>2073</v>
      </c>
      <c r="W140" s="44" t="s">
        <v>858</v>
      </c>
      <c r="X140" s="44"/>
      <c r="Y140" s="44"/>
      <c r="Z140" s="44"/>
      <c r="AA140" s="44"/>
      <c r="AB140" s="44"/>
      <c r="AC140" s="44"/>
      <c r="AD140" s="44"/>
      <c r="AE140" s="44"/>
      <c r="AF140" s="44"/>
      <c r="AG140" s="44"/>
      <c r="AH140" s="44"/>
      <c r="AI140" s="44"/>
      <c r="AJ140" s="44"/>
      <c r="AK140" s="44"/>
    </row>
    <row r="141" spans="1:37" x14ac:dyDescent="0.3">
      <c r="A141" s="44"/>
      <c r="B141" s="44"/>
      <c r="C141" s="44"/>
      <c r="D141" s="44"/>
      <c r="E141" s="44"/>
      <c r="F141" s="44"/>
      <c r="G141" s="44"/>
      <c r="H141" s="44"/>
      <c r="I141" s="44"/>
      <c r="J141" s="44"/>
      <c r="K141" s="44"/>
      <c r="L141" s="44"/>
      <c r="M141" s="44"/>
      <c r="N141" s="44"/>
      <c r="O141" s="44"/>
      <c r="P141" s="44"/>
      <c r="Q141" s="44"/>
      <c r="R141" s="44"/>
      <c r="S141" s="44"/>
      <c r="T141" s="44" t="s">
        <v>2401</v>
      </c>
      <c r="U141" s="44" t="s">
        <v>2604</v>
      </c>
      <c r="V141" s="44" t="s">
        <v>2073</v>
      </c>
      <c r="W141" s="44" t="s">
        <v>858</v>
      </c>
      <c r="X141" s="44"/>
      <c r="Y141" s="44"/>
      <c r="Z141" s="44"/>
      <c r="AA141" s="44"/>
      <c r="AB141" s="44"/>
      <c r="AC141" s="44"/>
      <c r="AD141" s="44"/>
      <c r="AE141" s="44"/>
      <c r="AF141" s="44"/>
      <c r="AG141" s="44"/>
      <c r="AH141" s="44"/>
      <c r="AI141" s="44"/>
      <c r="AJ141" s="44"/>
      <c r="AK141" s="44"/>
    </row>
    <row r="142" spans="1:37" x14ac:dyDescent="0.3">
      <c r="A142" s="44"/>
      <c r="B142" s="44"/>
      <c r="C142" s="44"/>
      <c r="D142" s="44"/>
      <c r="E142" s="44"/>
      <c r="F142" s="44"/>
      <c r="G142" s="44"/>
      <c r="H142" s="44"/>
      <c r="I142" s="44"/>
      <c r="J142" s="44"/>
      <c r="K142" s="44"/>
      <c r="L142" s="44"/>
      <c r="M142" s="44"/>
      <c r="N142" s="44"/>
      <c r="O142" s="44"/>
      <c r="P142" s="44"/>
      <c r="Q142" s="44"/>
      <c r="R142" s="44"/>
      <c r="S142" s="44"/>
      <c r="T142" s="44" t="s">
        <v>2401</v>
      </c>
      <c r="U142" s="44" t="s">
        <v>2605</v>
      </c>
      <c r="V142" s="44" t="s">
        <v>2073</v>
      </c>
      <c r="W142" s="44" t="s">
        <v>858</v>
      </c>
      <c r="X142" s="44"/>
      <c r="Y142" s="44"/>
      <c r="Z142" s="44"/>
      <c r="AA142" s="44"/>
      <c r="AB142" s="44"/>
      <c r="AC142" s="44"/>
      <c r="AD142" s="44"/>
      <c r="AE142" s="44"/>
      <c r="AF142" s="44"/>
      <c r="AG142" s="44"/>
      <c r="AH142" s="44"/>
      <c r="AI142" s="44"/>
      <c r="AJ142" s="44"/>
      <c r="AK142" s="44"/>
    </row>
    <row r="143" spans="1:37" x14ac:dyDescent="0.3">
      <c r="A143" s="44"/>
      <c r="B143" s="44"/>
      <c r="C143" s="44"/>
      <c r="D143" s="44"/>
      <c r="E143" s="44"/>
      <c r="F143" s="44"/>
      <c r="G143" s="44"/>
      <c r="H143" s="44"/>
      <c r="I143" s="44"/>
      <c r="J143" s="44"/>
      <c r="K143" s="44"/>
      <c r="L143" s="44"/>
      <c r="M143" s="44"/>
      <c r="N143" s="44"/>
      <c r="O143" s="44"/>
      <c r="P143" s="44"/>
      <c r="Q143" s="44"/>
      <c r="R143" s="44"/>
      <c r="S143" s="44"/>
      <c r="T143" s="44" t="s">
        <v>2401</v>
      </c>
      <c r="U143" s="44" t="s">
        <v>2137</v>
      </c>
      <c r="V143" s="44"/>
      <c r="W143" s="44"/>
      <c r="X143" s="44"/>
      <c r="Y143" s="44"/>
      <c r="Z143" s="44"/>
      <c r="AA143" s="44"/>
      <c r="AB143" s="44"/>
      <c r="AC143" s="44"/>
      <c r="AD143" s="44"/>
      <c r="AE143" s="44"/>
      <c r="AF143" s="44"/>
      <c r="AG143" s="44"/>
      <c r="AH143" s="44"/>
      <c r="AI143" s="44"/>
      <c r="AJ143" s="44"/>
      <c r="AK143" s="44"/>
    </row>
    <row r="144" spans="1:37" x14ac:dyDescent="0.3">
      <c r="A144" s="44"/>
      <c r="B144" s="44"/>
      <c r="C144" s="44"/>
      <c r="D144" s="44"/>
      <c r="E144" s="44"/>
      <c r="F144" s="44"/>
      <c r="G144" s="44"/>
      <c r="H144" s="44"/>
      <c r="I144" s="44"/>
      <c r="J144" s="44"/>
      <c r="K144" s="44"/>
      <c r="L144" s="44"/>
      <c r="M144" s="44"/>
      <c r="N144" s="44"/>
      <c r="O144" s="44"/>
      <c r="P144" s="44"/>
      <c r="Q144" s="44"/>
      <c r="R144" s="44"/>
      <c r="S144" s="44"/>
      <c r="T144" s="44" t="s">
        <v>2410</v>
      </c>
      <c r="U144" s="44" t="s">
        <v>2606</v>
      </c>
      <c r="V144" s="44" t="s">
        <v>2464</v>
      </c>
      <c r="W144" s="44" t="s">
        <v>911</v>
      </c>
      <c r="X144" s="44"/>
      <c r="Y144" s="44"/>
      <c r="Z144" s="44"/>
      <c r="AA144" s="44"/>
      <c r="AB144" s="44"/>
      <c r="AC144" s="44"/>
      <c r="AD144" s="44"/>
      <c r="AE144" s="44"/>
      <c r="AF144" s="44"/>
      <c r="AG144" s="44"/>
      <c r="AH144" s="44"/>
      <c r="AI144" s="44"/>
      <c r="AJ144" s="44"/>
      <c r="AK144" s="44"/>
    </row>
    <row r="145" spans="1:37" x14ac:dyDescent="0.3">
      <c r="A145" s="44"/>
      <c r="B145" s="44"/>
      <c r="C145" s="44"/>
      <c r="D145" s="44"/>
      <c r="E145" s="44"/>
      <c r="F145" s="44"/>
      <c r="G145" s="44"/>
      <c r="H145" s="44"/>
      <c r="I145" s="44"/>
      <c r="J145" s="44"/>
      <c r="K145" s="44"/>
      <c r="L145" s="44"/>
      <c r="M145" s="44"/>
      <c r="N145" s="44"/>
      <c r="O145" s="44"/>
      <c r="P145" s="44"/>
      <c r="Q145" s="44"/>
      <c r="R145" s="44"/>
      <c r="S145" s="44"/>
      <c r="T145" s="44" t="s">
        <v>2410</v>
      </c>
      <c r="U145" s="44" t="s">
        <v>2607</v>
      </c>
      <c r="V145" s="44" t="s">
        <v>2492</v>
      </c>
      <c r="W145" s="44" t="s">
        <v>929</v>
      </c>
      <c r="X145" s="44"/>
      <c r="Y145" s="44"/>
      <c r="Z145" s="44"/>
      <c r="AA145" s="44"/>
      <c r="AB145" s="44"/>
      <c r="AC145" s="44"/>
      <c r="AD145" s="44"/>
      <c r="AE145" s="44"/>
      <c r="AF145" s="44"/>
      <c r="AG145" s="44"/>
      <c r="AH145" s="44"/>
      <c r="AI145" s="44"/>
      <c r="AJ145" s="44"/>
      <c r="AK145" s="44"/>
    </row>
    <row r="146" spans="1:37" x14ac:dyDescent="0.3">
      <c r="A146" s="44"/>
      <c r="B146" s="44"/>
      <c r="C146" s="44"/>
      <c r="D146" s="44"/>
      <c r="E146" s="44"/>
      <c r="F146" s="44"/>
      <c r="G146" s="44"/>
      <c r="H146" s="44"/>
      <c r="I146" s="44"/>
      <c r="J146" s="44"/>
      <c r="K146" s="44"/>
      <c r="L146" s="44"/>
      <c r="M146" s="44"/>
      <c r="N146" s="44"/>
      <c r="O146" s="44"/>
      <c r="P146" s="44"/>
      <c r="Q146" s="44"/>
      <c r="R146" s="44"/>
      <c r="S146" s="44"/>
      <c r="T146" s="44" t="s">
        <v>2410</v>
      </c>
      <c r="U146" s="44" t="s">
        <v>2137</v>
      </c>
      <c r="V146" s="44"/>
      <c r="W146" s="44"/>
      <c r="X146" s="44"/>
      <c r="Y146" s="44"/>
      <c r="Z146" s="44"/>
      <c r="AA146" s="44"/>
      <c r="AB146" s="44"/>
      <c r="AC146" s="44"/>
      <c r="AD146" s="44"/>
      <c r="AE146" s="44"/>
      <c r="AF146" s="44"/>
      <c r="AG146" s="44"/>
      <c r="AH146" s="44"/>
      <c r="AI146" s="44"/>
      <c r="AJ146" s="44"/>
      <c r="AK146" s="44"/>
    </row>
    <row r="147" spans="1:37" x14ac:dyDescent="0.3">
      <c r="A147" s="44"/>
      <c r="B147" s="44"/>
      <c r="C147" s="44"/>
      <c r="D147" s="44"/>
      <c r="E147" s="44"/>
      <c r="F147" s="44"/>
      <c r="G147" s="44"/>
      <c r="H147" s="44"/>
      <c r="I147" s="44"/>
      <c r="J147" s="44"/>
      <c r="K147" s="44"/>
      <c r="L147" s="44"/>
      <c r="M147" s="44"/>
      <c r="N147" s="44"/>
      <c r="O147" s="44"/>
      <c r="P147" s="44"/>
      <c r="Q147" s="44"/>
      <c r="R147" s="44"/>
      <c r="S147" s="44"/>
      <c r="T147" s="44" t="s">
        <v>2420</v>
      </c>
      <c r="U147" s="44" t="s">
        <v>2608</v>
      </c>
      <c r="V147" s="44" t="s">
        <v>1942</v>
      </c>
      <c r="W147" s="44" t="s">
        <v>791</v>
      </c>
      <c r="X147" s="44"/>
      <c r="Y147" s="44"/>
      <c r="Z147" s="44"/>
      <c r="AA147" s="44"/>
      <c r="AB147" s="44"/>
      <c r="AC147" s="44"/>
      <c r="AD147" s="44"/>
      <c r="AE147" s="44"/>
      <c r="AF147" s="44"/>
      <c r="AG147" s="44"/>
      <c r="AH147" s="44"/>
      <c r="AI147" s="44"/>
      <c r="AJ147" s="44"/>
      <c r="AK147" s="44"/>
    </row>
    <row r="148" spans="1:37" x14ac:dyDescent="0.3">
      <c r="A148" s="44"/>
      <c r="B148" s="44"/>
      <c r="C148" s="44"/>
      <c r="D148" s="44"/>
      <c r="E148" s="44"/>
      <c r="F148" s="44"/>
      <c r="G148" s="44"/>
      <c r="H148" s="44"/>
      <c r="I148" s="44"/>
      <c r="J148" s="44"/>
      <c r="K148" s="44"/>
      <c r="L148" s="44"/>
      <c r="M148" s="44"/>
      <c r="N148" s="44"/>
      <c r="O148" s="44"/>
      <c r="P148" s="44"/>
      <c r="Q148" s="44"/>
      <c r="R148" s="44"/>
      <c r="S148" s="44"/>
      <c r="T148" s="44" t="s">
        <v>2420</v>
      </c>
      <c r="U148" s="44" t="s">
        <v>2609</v>
      </c>
      <c r="V148" s="44" t="s">
        <v>2456</v>
      </c>
      <c r="W148" s="44" t="s">
        <v>791</v>
      </c>
      <c r="X148" s="44"/>
      <c r="Y148" s="44"/>
      <c r="Z148" s="44"/>
      <c r="AA148" s="44"/>
      <c r="AB148" s="44"/>
      <c r="AC148" s="44"/>
      <c r="AD148" s="44"/>
      <c r="AE148" s="44"/>
      <c r="AF148" s="44"/>
      <c r="AG148" s="44"/>
      <c r="AH148" s="44"/>
      <c r="AI148" s="44"/>
      <c r="AJ148" s="44"/>
      <c r="AK148" s="44"/>
    </row>
    <row r="149" spans="1:37" x14ac:dyDescent="0.3">
      <c r="A149" s="44"/>
      <c r="B149" s="44"/>
      <c r="C149" s="44"/>
      <c r="D149" s="44"/>
      <c r="E149" s="44"/>
      <c r="F149" s="44"/>
      <c r="G149" s="44"/>
      <c r="H149" s="44"/>
      <c r="I149" s="44"/>
      <c r="J149" s="44"/>
      <c r="K149" s="44"/>
      <c r="L149" s="44"/>
      <c r="M149" s="44"/>
      <c r="N149" s="44"/>
      <c r="O149" s="44"/>
      <c r="P149" s="44"/>
      <c r="Q149" s="44"/>
      <c r="R149" s="44"/>
      <c r="S149" s="44"/>
      <c r="T149" s="44" t="s">
        <v>2420</v>
      </c>
      <c r="U149" s="44" t="s">
        <v>2137</v>
      </c>
      <c r="V149" s="44"/>
      <c r="W149" s="44"/>
      <c r="X149" s="44"/>
      <c r="Y149" s="44"/>
      <c r="Z149" s="44"/>
      <c r="AA149" s="44"/>
      <c r="AB149" s="44"/>
      <c r="AC149" s="44"/>
      <c r="AD149" s="44"/>
      <c r="AE149" s="44"/>
      <c r="AF149" s="44"/>
      <c r="AG149" s="44"/>
      <c r="AH149" s="44"/>
      <c r="AI149" s="44"/>
      <c r="AJ149" s="44"/>
      <c r="AK149" s="44"/>
    </row>
    <row r="150" spans="1:37" x14ac:dyDescent="0.3">
      <c r="A150" s="44"/>
      <c r="B150" s="44"/>
      <c r="C150" s="44"/>
      <c r="D150" s="44"/>
      <c r="E150" s="44"/>
      <c r="F150" s="44"/>
      <c r="G150" s="44"/>
      <c r="H150" s="44"/>
      <c r="I150" s="44"/>
      <c r="J150" s="44"/>
      <c r="K150" s="44"/>
      <c r="L150" s="44"/>
      <c r="M150" s="44"/>
      <c r="N150" s="44"/>
      <c r="O150" s="44"/>
      <c r="P150" s="44"/>
      <c r="Q150" s="44"/>
      <c r="R150" s="44"/>
      <c r="S150" s="44"/>
      <c r="T150" s="44" t="s">
        <v>2429</v>
      </c>
      <c r="U150" s="44" t="s">
        <v>2610</v>
      </c>
      <c r="V150" s="44" t="s">
        <v>1942</v>
      </c>
      <c r="W150" s="44" t="s">
        <v>791</v>
      </c>
      <c r="X150" s="44"/>
      <c r="Y150" s="44"/>
      <c r="Z150" s="44"/>
      <c r="AA150" s="44"/>
      <c r="AB150" s="44"/>
      <c r="AC150" s="44"/>
      <c r="AD150" s="44"/>
      <c r="AE150" s="44"/>
      <c r="AF150" s="44"/>
      <c r="AG150" s="44"/>
      <c r="AH150" s="44"/>
      <c r="AI150" s="44"/>
      <c r="AJ150" s="44"/>
      <c r="AK150" s="44"/>
    </row>
    <row r="151" spans="1:37" x14ac:dyDescent="0.3">
      <c r="A151" s="44"/>
      <c r="B151" s="44"/>
      <c r="C151" s="44"/>
      <c r="D151" s="44"/>
      <c r="E151" s="44"/>
      <c r="F151" s="44"/>
      <c r="G151" s="44"/>
      <c r="H151" s="44"/>
      <c r="I151" s="44"/>
      <c r="J151" s="44"/>
      <c r="K151" s="44"/>
      <c r="L151" s="44"/>
      <c r="M151" s="44"/>
      <c r="N151" s="44"/>
      <c r="O151" s="44"/>
      <c r="P151" s="44"/>
      <c r="Q151" s="44"/>
      <c r="R151" s="44"/>
      <c r="S151" s="44"/>
      <c r="T151" s="44" t="s">
        <v>2429</v>
      </c>
      <c r="U151" s="44" t="s">
        <v>2611</v>
      </c>
      <c r="V151" s="44" t="s">
        <v>1942</v>
      </c>
      <c r="W151" s="44" t="s">
        <v>791</v>
      </c>
      <c r="X151" s="44"/>
      <c r="Y151" s="44"/>
      <c r="Z151" s="44"/>
      <c r="AA151" s="44"/>
      <c r="AB151" s="44"/>
      <c r="AC151" s="44"/>
      <c r="AD151" s="44"/>
      <c r="AE151" s="44"/>
      <c r="AF151" s="44"/>
      <c r="AG151" s="44"/>
      <c r="AH151" s="44"/>
      <c r="AI151" s="44"/>
      <c r="AJ151" s="44"/>
      <c r="AK151" s="44"/>
    </row>
    <row r="152" spans="1:37" x14ac:dyDescent="0.3">
      <c r="A152" s="44"/>
      <c r="B152" s="44"/>
      <c r="C152" s="44"/>
      <c r="D152" s="44"/>
      <c r="E152" s="44"/>
      <c r="F152" s="44"/>
      <c r="G152" s="44"/>
      <c r="H152" s="44"/>
      <c r="I152" s="44"/>
      <c r="J152" s="44"/>
      <c r="K152" s="44"/>
      <c r="L152" s="44"/>
      <c r="M152" s="44"/>
      <c r="N152" s="44"/>
      <c r="O152" s="44"/>
      <c r="P152" s="44"/>
      <c r="Q152" s="44"/>
      <c r="R152" s="44"/>
      <c r="S152" s="44"/>
      <c r="T152" s="44" t="s">
        <v>2429</v>
      </c>
      <c r="U152" s="44" t="s">
        <v>2137</v>
      </c>
      <c r="V152" s="44"/>
      <c r="W152" s="44"/>
      <c r="X152" s="44"/>
      <c r="Y152" s="44"/>
      <c r="Z152" s="44"/>
      <c r="AA152" s="44"/>
      <c r="AB152" s="44"/>
      <c r="AC152" s="44"/>
      <c r="AD152" s="44"/>
      <c r="AE152" s="44"/>
      <c r="AF152" s="44"/>
      <c r="AG152" s="44"/>
      <c r="AH152" s="44"/>
      <c r="AI152" s="44"/>
      <c r="AJ152" s="44"/>
      <c r="AK152" s="44"/>
    </row>
    <row r="153" spans="1:37" x14ac:dyDescent="0.3">
      <c r="A153" s="44"/>
      <c r="B153" s="44"/>
      <c r="C153" s="44"/>
      <c r="D153" s="44"/>
      <c r="E153" s="44"/>
      <c r="F153" s="44"/>
      <c r="G153" s="44"/>
      <c r="H153" s="44"/>
      <c r="I153" s="44"/>
      <c r="J153" s="44"/>
      <c r="K153" s="44"/>
      <c r="L153" s="44"/>
      <c r="M153" s="44"/>
      <c r="N153" s="44"/>
      <c r="O153" s="44"/>
      <c r="P153" s="44"/>
      <c r="Q153" s="44"/>
      <c r="R153" s="44"/>
      <c r="S153" s="44"/>
      <c r="T153" s="44" t="s">
        <v>2438</v>
      </c>
      <c r="U153" s="44" t="s">
        <v>1946</v>
      </c>
      <c r="V153" s="44" t="s">
        <v>1947</v>
      </c>
      <c r="W153" s="44" t="s">
        <v>977</v>
      </c>
      <c r="X153" s="44" t="s">
        <v>1948</v>
      </c>
      <c r="Y153" s="44"/>
      <c r="Z153" s="44"/>
      <c r="AA153" s="44"/>
      <c r="AB153" s="44"/>
      <c r="AC153" s="44"/>
      <c r="AD153" s="44"/>
      <c r="AE153" s="44"/>
      <c r="AF153" s="44"/>
      <c r="AG153" s="44"/>
      <c r="AH153" s="44"/>
      <c r="AI153" s="44"/>
      <c r="AJ153" s="44"/>
      <c r="AK153" s="44"/>
    </row>
    <row r="154" spans="1:37" x14ac:dyDescent="0.3">
      <c r="A154" s="44"/>
      <c r="B154" s="44"/>
      <c r="C154" s="44"/>
      <c r="D154" s="44"/>
      <c r="E154" s="44"/>
      <c r="F154" s="44"/>
      <c r="G154" s="44"/>
      <c r="H154" s="44"/>
      <c r="I154" s="44"/>
      <c r="J154" s="44"/>
      <c r="K154" s="44"/>
      <c r="L154" s="44"/>
      <c r="M154" s="44"/>
      <c r="N154" s="44"/>
      <c r="O154" s="44"/>
      <c r="P154" s="44"/>
      <c r="Q154" s="44"/>
      <c r="R154" s="44"/>
      <c r="S154" s="44"/>
      <c r="T154" s="44" t="s">
        <v>2438</v>
      </c>
      <c r="U154" s="44" t="s">
        <v>2612</v>
      </c>
      <c r="V154" s="44" t="s">
        <v>2202</v>
      </c>
      <c r="W154" s="44" t="s">
        <v>850</v>
      </c>
      <c r="X154" s="44"/>
      <c r="Y154" s="44"/>
      <c r="Z154" s="44"/>
      <c r="AA154" s="44"/>
      <c r="AB154" s="44"/>
      <c r="AC154" s="44"/>
      <c r="AD154" s="44"/>
      <c r="AE154" s="44"/>
      <c r="AF154" s="44"/>
      <c r="AG154" s="44"/>
      <c r="AH154" s="44"/>
      <c r="AI154" s="44"/>
      <c r="AJ154" s="44"/>
      <c r="AK154" s="44"/>
    </row>
    <row r="155" spans="1:37" x14ac:dyDescent="0.3">
      <c r="A155" s="44"/>
      <c r="B155" s="44"/>
      <c r="C155" s="44"/>
      <c r="D155" s="44"/>
      <c r="E155" s="44"/>
      <c r="F155" s="44"/>
      <c r="G155" s="44"/>
      <c r="H155" s="44"/>
      <c r="I155" s="44"/>
      <c r="J155" s="44"/>
      <c r="K155" s="44"/>
      <c r="L155" s="44"/>
      <c r="M155" s="44"/>
      <c r="N155" s="44"/>
      <c r="O155" s="44"/>
      <c r="P155" s="44"/>
      <c r="Q155" s="44"/>
      <c r="R155" s="44"/>
      <c r="S155" s="44"/>
      <c r="T155" s="44" t="s">
        <v>2438</v>
      </c>
      <c r="U155" s="44" t="s">
        <v>1949</v>
      </c>
      <c r="V155" s="44" t="s">
        <v>1947</v>
      </c>
      <c r="W155" s="44" t="s">
        <v>977</v>
      </c>
      <c r="X155" s="44" t="s">
        <v>1950</v>
      </c>
      <c r="Y155" s="44"/>
      <c r="Z155" s="44"/>
      <c r="AA155" s="44"/>
      <c r="AB155" s="44"/>
      <c r="AC155" s="44"/>
      <c r="AD155" s="44"/>
      <c r="AE155" s="44"/>
      <c r="AF155" s="44"/>
      <c r="AG155" s="44"/>
      <c r="AH155" s="44"/>
      <c r="AI155" s="44"/>
      <c r="AJ155" s="44"/>
      <c r="AK155" s="44"/>
    </row>
    <row r="156" spans="1:37" x14ac:dyDescent="0.3">
      <c r="A156" s="44"/>
      <c r="B156" s="44"/>
      <c r="C156" s="44"/>
      <c r="D156" s="44"/>
      <c r="E156" s="44"/>
      <c r="F156" s="44"/>
      <c r="G156" s="44"/>
      <c r="H156" s="44"/>
      <c r="I156" s="44"/>
      <c r="J156" s="44"/>
      <c r="K156" s="44"/>
      <c r="L156" s="44"/>
      <c r="M156" s="44"/>
      <c r="N156" s="44"/>
      <c r="O156" s="44"/>
      <c r="P156" s="44"/>
      <c r="Q156" s="44"/>
      <c r="R156" s="44"/>
      <c r="S156" s="44"/>
      <c r="T156" s="44" t="s">
        <v>2438</v>
      </c>
      <c r="U156" s="44" t="s">
        <v>1951</v>
      </c>
      <c r="V156" s="44" t="s">
        <v>1947</v>
      </c>
      <c r="W156" s="44" t="s">
        <v>977</v>
      </c>
      <c r="X156" s="44" t="s">
        <v>1952</v>
      </c>
      <c r="Y156" s="44"/>
      <c r="Z156" s="44"/>
      <c r="AA156" s="44"/>
      <c r="AB156" s="44"/>
      <c r="AC156" s="44"/>
      <c r="AD156" s="44"/>
      <c r="AE156" s="44"/>
      <c r="AF156" s="44"/>
      <c r="AG156" s="44"/>
      <c r="AH156" s="44"/>
      <c r="AI156" s="44"/>
      <c r="AJ156" s="44"/>
      <c r="AK156" s="44"/>
    </row>
    <row r="157" spans="1:37" x14ac:dyDescent="0.3">
      <c r="A157" s="44"/>
      <c r="B157" s="44"/>
      <c r="C157" s="44"/>
      <c r="D157" s="44"/>
      <c r="E157" s="44"/>
      <c r="F157" s="44"/>
      <c r="G157" s="44"/>
      <c r="H157" s="44"/>
      <c r="I157" s="44"/>
      <c r="J157" s="44"/>
      <c r="K157" s="44"/>
      <c r="L157" s="44"/>
      <c r="M157" s="44"/>
      <c r="N157" s="44"/>
      <c r="O157" s="44"/>
      <c r="P157" s="44"/>
      <c r="Q157" s="44"/>
      <c r="R157" s="44"/>
      <c r="S157" s="44"/>
      <c r="T157" s="44" t="s">
        <v>2438</v>
      </c>
      <c r="U157" s="44" t="s">
        <v>1953</v>
      </c>
      <c r="V157" s="44" t="s">
        <v>1947</v>
      </c>
      <c r="W157" s="44" t="s">
        <v>977</v>
      </c>
      <c r="X157" s="44" t="s">
        <v>1954</v>
      </c>
      <c r="Y157" s="44"/>
      <c r="Z157" s="44"/>
      <c r="AA157" s="44"/>
      <c r="AB157" s="44"/>
      <c r="AC157" s="44"/>
      <c r="AD157" s="44"/>
      <c r="AE157" s="44"/>
      <c r="AF157" s="44"/>
      <c r="AG157" s="44"/>
      <c r="AH157" s="44"/>
      <c r="AI157" s="44"/>
      <c r="AJ157" s="44"/>
      <c r="AK157" s="44"/>
    </row>
    <row r="158" spans="1:37" x14ac:dyDescent="0.3">
      <c r="A158" s="44"/>
      <c r="B158" s="44"/>
      <c r="C158" s="44"/>
      <c r="D158" s="44"/>
      <c r="E158" s="44"/>
      <c r="F158" s="44"/>
      <c r="G158" s="44"/>
      <c r="H158" s="44"/>
      <c r="I158" s="44"/>
      <c r="J158" s="44"/>
      <c r="K158" s="44"/>
      <c r="L158" s="44"/>
      <c r="M158" s="44"/>
      <c r="N158" s="44"/>
      <c r="O158" s="44"/>
      <c r="P158" s="44"/>
      <c r="Q158" s="44"/>
      <c r="R158" s="44"/>
      <c r="S158" s="44"/>
      <c r="T158" s="44" t="s">
        <v>2438</v>
      </c>
      <c r="U158" s="44" t="s">
        <v>2613</v>
      </c>
      <c r="V158" s="44" t="s">
        <v>1947</v>
      </c>
      <c r="W158" s="44" t="s">
        <v>977</v>
      </c>
      <c r="X158" s="44"/>
      <c r="Y158" s="44"/>
      <c r="Z158" s="44"/>
      <c r="AA158" s="44"/>
      <c r="AB158" s="44"/>
      <c r="AC158" s="44"/>
      <c r="AD158" s="44"/>
      <c r="AE158" s="44"/>
      <c r="AF158" s="44"/>
      <c r="AG158" s="44"/>
      <c r="AH158" s="44"/>
      <c r="AI158" s="44"/>
      <c r="AJ158" s="44"/>
      <c r="AK158" s="44"/>
    </row>
    <row r="159" spans="1:37" x14ac:dyDescent="0.3">
      <c r="A159" s="44"/>
      <c r="B159" s="44"/>
      <c r="C159" s="44"/>
      <c r="D159" s="44"/>
      <c r="E159" s="44"/>
      <c r="F159" s="44"/>
      <c r="G159" s="44"/>
      <c r="H159" s="44"/>
      <c r="I159" s="44"/>
      <c r="J159" s="44"/>
      <c r="K159" s="44"/>
      <c r="L159" s="44"/>
      <c r="M159" s="44"/>
      <c r="N159" s="44"/>
      <c r="O159" s="44"/>
      <c r="P159" s="44"/>
      <c r="Q159" s="44"/>
      <c r="R159" s="44"/>
      <c r="S159" s="44"/>
      <c r="T159" s="44" t="s">
        <v>2438</v>
      </c>
      <c r="U159" s="44" t="s">
        <v>2137</v>
      </c>
      <c r="V159" s="44"/>
      <c r="W159" s="44"/>
      <c r="X159" s="44"/>
      <c r="Y159" s="44"/>
      <c r="Z159" s="44"/>
      <c r="AA159" s="44"/>
      <c r="AB159" s="44"/>
      <c r="AC159" s="44"/>
      <c r="AD159" s="44"/>
      <c r="AE159" s="44"/>
      <c r="AF159" s="44"/>
      <c r="AG159" s="44"/>
      <c r="AH159" s="44"/>
      <c r="AI159" s="44"/>
      <c r="AJ159" s="44"/>
      <c r="AK159" s="44"/>
    </row>
    <row r="160" spans="1:37" x14ac:dyDescent="0.3">
      <c r="A160" s="44"/>
      <c r="B160" s="44"/>
      <c r="C160" s="44"/>
      <c r="D160" s="44"/>
      <c r="E160" s="44"/>
      <c r="F160" s="44"/>
      <c r="G160" s="44"/>
      <c r="H160" s="44"/>
      <c r="I160" s="44"/>
      <c r="J160" s="44"/>
      <c r="K160" s="44"/>
      <c r="L160" s="44"/>
      <c r="M160" s="44"/>
      <c r="N160" s="44"/>
      <c r="O160" s="44"/>
      <c r="P160" s="44"/>
      <c r="Q160" s="44"/>
      <c r="R160" s="44"/>
      <c r="S160" s="44"/>
      <c r="T160" s="44" t="s">
        <v>2448</v>
      </c>
      <c r="U160" s="44" t="s">
        <v>2614</v>
      </c>
      <c r="V160" s="44" t="s">
        <v>1947</v>
      </c>
      <c r="W160" s="44" t="s">
        <v>977</v>
      </c>
      <c r="X160" s="44"/>
      <c r="Y160" s="44"/>
      <c r="Z160" s="44"/>
      <c r="AA160" s="44"/>
      <c r="AB160" s="44"/>
      <c r="AC160" s="44"/>
      <c r="AD160" s="44"/>
      <c r="AE160" s="44"/>
      <c r="AF160" s="44"/>
      <c r="AG160" s="44"/>
      <c r="AH160" s="44"/>
      <c r="AI160" s="44"/>
      <c r="AJ160" s="44"/>
      <c r="AK160" s="44"/>
    </row>
    <row r="161" spans="1:37" x14ac:dyDescent="0.3">
      <c r="A161" s="44"/>
      <c r="B161" s="44"/>
      <c r="C161" s="44"/>
      <c r="D161" s="44"/>
      <c r="E161" s="44"/>
      <c r="F161" s="44"/>
      <c r="G161" s="44"/>
      <c r="H161" s="44"/>
      <c r="I161" s="44"/>
      <c r="J161" s="44"/>
      <c r="K161" s="44"/>
      <c r="L161" s="44"/>
      <c r="M161" s="44"/>
      <c r="N161" s="44"/>
      <c r="O161" s="44"/>
      <c r="P161" s="44"/>
      <c r="Q161" s="44"/>
      <c r="R161" s="44"/>
      <c r="S161" s="44"/>
      <c r="T161" s="44" t="s">
        <v>2448</v>
      </c>
      <c r="U161" s="44" t="s">
        <v>1955</v>
      </c>
      <c r="V161" s="44" t="s">
        <v>1956</v>
      </c>
      <c r="W161" s="44" t="s">
        <v>977</v>
      </c>
      <c r="X161" s="44" t="s">
        <v>1957</v>
      </c>
      <c r="Y161" s="44"/>
      <c r="Z161" s="44"/>
      <c r="AA161" s="44"/>
      <c r="AB161" s="44"/>
      <c r="AC161" s="44"/>
      <c r="AD161" s="44"/>
      <c r="AE161" s="44"/>
      <c r="AF161" s="44"/>
      <c r="AG161" s="44"/>
      <c r="AH161" s="44"/>
      <c r="AI161" s="44"/>
      <c r="AJ161" s="44"/>
      <c r="AK161" s="44"/>
    </row>
    <row r="162" spans="1:37" x14ac:dyDescent="0.3">
      <c r="A162" s="44"/>
      <c r="B162" s="44"/>
      <c r="C162" s="44"/>
      <c r="D162" s="44"/>
      <c r="E162" s="44"/>
      <c r="F162" s="44"/>
      <c r="G162" s="44"/>
      <c r="H162" s="44"/>
      <c r="I162" s="44"/>
      <c r="J162" s="44"/>
      <c r="K162" s="44"/>
      <c r="L162" s="44"/>
      <c r="M162" s="44"/>
      <c r="N162" s="44"/>
      <c r="O162" s="44"/>
      <c r="P162" s="44"/>
      <c r="Q162" s="44"/>
      <c r="R162" s="44"/>
      <c r="S162" s="44"/>
      <c r="T162" s="44" t="s">
        <v>2448</v>
      </c>
      <c r="U162" s="44" t="s">
        <v>2615</v>
      </c>
      <c r="V162" s="44" t="s">
        <v>1947</v>
      </c>
      <c r="W162" s="44" t="s">
        <v>977</v>
      </c>
      <c r="X162" s="44"/>
      <c r="Y162" s="44"/>
      <c r="Z162" s="44"/>
      <c r="AA162" s="44"/>
      <c r="AB162" s="44"/>
      <c r="AC162" s="44"/>
      <c r="AD162" s="44"/>
      <c r="AE162" s="44"/>
      <c r="AF162" s="44"/>
      <c r="AG162" s="44"/>
      <c r="AH162" s="44"/>
      <c r="AI162" s="44"/>
      <c r="AJ162" s="44"/>
      <c r="AK162" s="44"/>
    </row>
    <row r="163" spans="1:37" x14ac:dyDescent="0.3">
      <c r="A163" s="44"/>
      <c r="B163" s="44"/>
      <c r="C163" s="44"/>
      <c r="D163" s="44"/>
      <c r="E163" s="44"/>
      <c r="F163" s="44"/>
      <c r="G163" s="44"/>
      <c r="H163" s="44"/>
      <c r="I163" s="44"/>
      <c r="J163" s="44"/>
      <c r="K163" s="44"/>
      <c r="L163" s="44"/>
      <c r="M163" s="44"/>
      <c r="N163" s="44"/>
      <c r="O163" s="44"/>
      <c r="P163" s="44"/>
      <c r="Q163" s="44"/>
      <c r="R163" s="44"/>
      <c r="S163" s="44"/>
      <c r="T163" s="44" t="s">
        <v>2448</v>
      </c>
      <c r="U163" s="44" t="s">
        <v>2137</v>
      </c>
      <c r="V163" s="44"/>
      <c r="W163" s="44"/>
      <c r="X163" s="44"/>
      <c r="Y163" s="44"/>
      <c r="Z163" s="44"/>
      <c r="AA163" s="44"/>
      <c r="AB163" s="44"/>
      <c r="AC163" s="44"/>
      <c r="AD163" s="44"/>
      <c r="AE163" s="44"/>
      <c r="AF163" s="44"/>
      <c r="AG163" s="44"/>
      <c r="AH163" s="44"/>
      <c r="AI163" s="44"/>
      <c r="AJ163" s="44"/>
      <c r="AK163" s="44"/>
    </row>
    <row r="164" spans="1:37" x14ac:dyDescent="0.3">
      <c r="A164" s="44"/>
      <c r="B164" s="44"/>
      <c r="C164" s="44"/>
      <c r="D164" s="44"/>
      <c r="E164" s="44"/>
      <c r="F164" s="44"/>
      <c r="G164" s="44"/>
      <c r="H164" s="44"/>
      <c r="I164" s="44"/>
      <c r="J164" s="44"/>
      <c r="K164" s="44"/>
      <c r="L164" s="44"/>
      <c r="M164" s="44"/>
      <c r="N164" s="44"/>
      <c r="O164" s="44"/>
      <c r="P164" s="44"/>
      <c r="Q164" s="44"/>
      <c r="R164" s="44"/>
      <c r="S164" s="44"/>
      <c r="T164" s="44" t="s">
        <v>2459</v>
      </c>
      <c r="U164" s="44" t="s">
        <v>1958</v>
      </c>
      <c r="V164" s="44" t="s">
        <v>1947</v>
      </c>
      <c r="W164" s="44" t="s">
        <v>977</v>
      </c>
      <c r="X164" s="44" t="s">
        <v>1959</v>
      </c>
      <c r="Y164" s="44"/>
      <c r="Z164" s="44"/>
      <c r="AA164" s="44"/>
      <c r="AB164" s="44"/>
      <c r="AC164" s="44"/>
      <c r="AD164" s="44"/>
      <c r="AE164" s="44"/>
      <c r="AF164" s="44"/>
      <c r="AG164" s="44"/>
      <c r="AH164" s="44"/>
      <c r="AI164" s="44"/>
      <c r="AJ164" s="44"/>
      <c r="AK164" s="44"/>
    </row>
    <row r="165" spans="1:37" x14ac:dyDescent="0.3">
      <c r="A165" s="44"/>
      <c r="B165" s="44"/>
      <c r="C165" s="44"/>
      <c r="D165" s="44"/>
      <c r="E165" s="44"/>
      <c r="F165" s="44"/>
      <c r="G165" s="44"/>
      <c r="H165" s="44"/>
      <c r="I165" s="44"/>
      <c r="J165" s="44"/>
      <c r="K165" s="44"/>
      <c r="L165" s="44"/>
      <c r="M165" s="44"/>
      <c r="N165" s="44"/>
      <c r="O165" s="44"/>
      <c r="P165" s="44"/>
      <c r="Q165" s="44"/>
      <c r="R165" s="44"/>
      <c r="S165" s="44"/>
      <c r="T165" s="44" t="s">
        <v>2459</v>
      </c>
      <c r="U165" s="44" t="s">
        <v>2616</v>
      </c>
      <c r="V165" s="44" t="s">
        <v>1961</v>
      </c>
      <c r="W165" s="44" t="s">
        <v>1440</v>
      </c>
      <c r="X165" s="44"/>
      <c r="Y165" s="44"/>
      <c r="Z165" s="44"/>
      <c r="AA165" s="44"/>
      <c r="AB165" s="44"/>
      <c r="AC165" s="44"/>
      <c r="AD165" s="44"/>
      <c r="AE165" s="44"/>
      <c r="AF165" s="44"/>
      <c r="AG165" s="44"/>
      <c r="AH165" s="44"/>
      <c r="AI165" s="44"/>
      <c r="AJ165" s="44"/>
      <c r="AK165" s="44"/>
    </row>
    <row r="166" spans="1:37" x14ac:dyDescent="0.3">
      <c r="A166" s="44"/>
      <c r="B166" s="44"/>
      <c r="C166" s="44"/>
      <c r="D166" s="44"/>
      <c r="E166" s="44"/>
      <c r="F166" s="44"/>
      <c r="G166" s="44"/>
      <c r="H166" s="44"/>
      <c r="I166" s="44"/>
      <c r="J166" s="44"/>
      <c r="K166" s="44"/>
      <c r="L166" s="44"/>
      <c r="M166" s="44"/>
      <c r="N166" s="44"/>
      <c r="O166" s="44"/>
      <c r="P166" s="44"/>
      <c r="Q166" s="44"/>
      <c r="R166" s="44"/>
      <c r="S166" s="44"/>
      <c r="T166" s="44" t="s">
        <v>2459</v>
      </c>
      <c r="U166" s="44" t="s">
        <v>1960</v>
      </c>
      <c r="V166" s="44" t="s">
        <v>1961</v>
      </c>
      <c r="W166" s="44" t="s">
        <v>1440</v>
      </c>
      <c r="X166" s="44" t="s">
        <v>1962</v>
      </c>
      <c r="Y166" s="44"/>
      <c r="Z166" s="44"/>
      <c r="AA166" s="44"/>
      <c r="AB166" s="44"/>
      <c r="AC166" s="44"/>
      <c r="AD166" s="44"/>
      <c r="AE166" s="44"/>
      <c r="AF166" s="44"/>
      <c r="AG166" s="44"/>
      <c r="AH166" s="44"/>
      <c r="AI166" s="44"/>
      <c r="AJ166" s="44"/>
      <c r="AK166" s="44"/>
    </row>
    <row r="167" spans="1:37" x14ac:dyDescent="0.3">
      <c r="A167" s="44"/>
      <c r="B167" s="44"/>
      <c r="C167" s="44"/>
      <c r="D167" s="44"/>
      <c r="E167" s="44"/>
      <c r="F167" s="44"/>
      <c r="G167" s="44"/>
      <c r="H167" s="44"/>
      <c r="I167" s="44"/>
      <c r="J167" s="44"/>
      <c r="K167" s="44"/>
      <c r="L167" s="44"/>
      <c r="M167" s="44"/>
      <c r="N167" s="44"/>
      <c r="O167" s="44"/>
      <c r="P167" s="44"/>
      <c r="Q167" s="44"/>
      <c r="R167" s="44"/>
      <c r="S167" s="44"/>
      <c r="T167" s="44" t="s">
        <v>2459</v>
      </c>
      <c r="U167" s="44" t="s">
        <v>2137</v>
      </c>
      <c r="V167" s="44"/>
      <c r="W167" s="44"/>
      <c r="X167" s="44"/>
      <c r="Y167" s="44"/>
      <c r="Z167" s="44"/>
      <c r="AA167" s="44"/>
      <c r="AB167" s="44"/>
      <c r="AC167" s="44"/>
      <c r="AD167" s="44"/>
      <c r="AE167" s="44"/>
      <c r="AF167" s="44"/>
      <c r="AG167" s="44"/>
      <c r="AH167" s="44"/>
      <c r="AI167" s="44"/>
      <c r="AJ167" s="44"/>
      <c r="AK167" s="44"/>
    </row>
    <row r="168" spans="1:37" x14ac:dyDescent="0.3">
      <c r="A168" s="44"/>
      <c r="B168" s="44"/>
      <c r="C168" s="44"/>
      <c r="D168" s="44"/>
      <c r="E168" s="44"/>
      <c r="F168" s="44"/>
      <c r="G168" s="44"/>
      <c r="H168" s="44"/>
      <c r="I168" s="44"/>
      <c r="J168" s="44"/>
      <c r="K168" s="44"/>
      <c r="L168" s="44"/>
      <c r="M168" s="44"/>
      <c r="N168" s="44"/>
      <c r="O168" s="44"/>
      <c r="P168" s="44"/>
      <c r="Q168" s="44"/>
      <c r="R168" s="44"/>
      <c r="S168" s="44"/>
      <c r="T168" s="44" t="s">
        <v>2467</v>
      </c>
      <c r="U168" s="44" t="s">
        <v>2617</v>
      </c>
      <c r="V168" s="44" t="s">
        <v>1964</v>
      </c>
      <c r="W168" s="44" t="s">
        <v>841</v>
      </c>
      <c r="X168" s="44"/>
      <c r="Y168" s="44"/>
      <c r="Z168" s="44"/>
      <c r="AA168" s="44"/>
      <c r="AB168" s="44"/>
      <c r="AC168" s="44"/>
      <c r="AD168" s="44"/>
      <c r="AE168" s="44"/>
      <c r="AF168" s="44"/>
      <c r="AG168" s="44"/>
      <c r="AH168" s="44"/>
      <c r="AI168" s="44"/>
      <c r="AJ168" s="44"/>
      <c r="AK168" s="44"/>
    </row>
    <row r="169" spans="1:37" x14ac:dyDescent="0.3">
      <c r="A169" s="44"/>
      <c r="B169" s="44"/>
      <c r="C169" s="44"/>
      <c r="D169" s="44"/>
      <c r="E169" s="44"/>
      <c r="F169" s="44"/>
      <c r="G169" s="44"/>
      <c r="H169" s="44"/>
      <c r="I169" s="44"/>
      <c r="J169" s="44"/>
      <c r="K169" s="44"/>
      <c r="L169" s="44"/>
      <c r="M169" s="44"/>
      <c r="N169" s="44"/>
      <c r="O169" s="44"/>
      <c r="P169" s="44"/>
      <c r="Q169" s="44"/>
      <c r="R169" s="44"/>
      <c r="S169" s="44"/>
      <c r="T169" s="44" t="s">
        <v>2467</v>
      </c>
      <c r="U169" s="44" t="s">
        <v>1963</v>
      </c>
      <c r="V169" s="44" t="s">
        <v>1964</v>
      </c>
      <c r="W169" s="44" t="s">
        <v>841</v>
      </c>
      <c r="X169" s="44" t="s">
        <v>1965</v>
      </c>
      <c r="Y169" s="44"/>
      <c r="Z169" s="44"/>
      <c r="AA169" s="44"/>
      <c r="AB169" s="44"/>
      <c r="AC169" s="44"/>
      <c r="AD169" s="44"/>
      <c r="AE169" s="44"/>
      <c r="AF169" s="44"/>
      <c r="AG169" s="44"/>
      <c r="AH169" s="44"/>
      <c r="AI169" s="44"/>
      <c r="AJ169" s="44"/>
      <c r="AK169" s="44"/>
    </row>
    <row r="170" spans="1:37" x14ac:dyDescent="0.3">
      <c r="A170" s="44"/>
      <c r="B170" s="44"/>
      <c r="C170" s="44"/>
      <c r="D170" s="44"/>
      <c r="E170" s="44"/>
      <c r="F170" s="44"/>
      <c r="G170" s="44"/>
      <c r="H170" s="44"/>
      <c r="I170" s="44"/>
      <c r="J170" s="44"/>
      <c r="K170" s="44"/>
      <c r="L170" s="44"/>
      <c r="M170" s="44"/>
      <c r="N170" s="44"/>
      <c r="O170" s="44"/>
      <c r="P170" s="44"/>
      <c r="Q170" s="44"/>
      <c r="R170" s="44"/>
      <c r="S170" s="44"/>
      <c r="T170" s="44" t="s">
        <v>2467</v>
      </c>
      <c r="U170" s="44" t="s">
        <v>2137</v>
      </c>
      <c r="V170" s="44"/>
      <c r="W170" s="44"/>
      <c r="X170" s="44"/>
      <c r="Y170" s="44"/>
      <c r="Z170" s="44"/>
      <c r="AA170" s="44"/>
      <c r="AB170" s="44"/>
      <c r="AC170" s="44"/>
      <c r="AD170" s="44"/>
      <c r="AE170" s="44"/>
      <c r="AF170" s="44"/>
      <c r="AG170" s="44"/>
      <c r="AH170" s="44"/>
      <c r="AI170" s="44"/>
      <c r="AJ170" s="44"/>
      <c r="AK170" s="44"/>
    </row>
    <row r="171" spans="1:37" x14ac:dyDescent="0.3">
      <c r="A171" s="44"/>
      <c r="B171" s="44"/>
      <c r="C171" s="44"/>
      <c r="D171" s="44"/>
      <c r="E171" s="44"/>
      <c r="F171" s="44"/>
      <c r="G171" s="44"/>
      <c r="H171" s="44"/>
      <c r="I171" s="44"/>
      <c r="J171" s="44"/>
      <c r="K171" s="44"/>
      <c r="L171" s="44"/>
      <c r="M171" s="44"/>
      <c r="N171" s="44"/>
      <c r="O171" s="44"/>
      <c r="P171" s="44"/>
      <c r="Q171" s="44"/>
      <c r="R171" s="44"/>
      <c r="S171" s="44"/>
      <c r="T171" s="44" t="s">
        <v>2474</v>
      </c>
      <c r="U171" s="44" t="s">
        <v>2618</v>
      </c>
      <c r="V171" s="44" t="s">
        <v>2037</v>
      </c>
      <c r="W171" s="44" t="s">
        <v>858</v>
      </c>
      <c r="X171" s="44"/>
      <c r="Y171" s="44"/>
      <c r="Z171" s="44"/>
      <c r="AA171" s="44"/>
      <c r="AB171" s="44"/>
      <c r="AC171" s="44"/>
      <c r="AD171" s="44"/>
      <c r="AE171" s="44"/>
      <c r="AF171" s="44"/>
      <c r="AG171" s="44"/>
      <c r="AH171" s="44"/>
      <c r="AI171" s="44"/>
      <c r="AJ171" s="44"/>
      <c r="AK171" s="44"/>
    </row>
    <row r="172" spans="1:37" x14ac:dyDescent="0.3">
      <c r="A172" s="44"/>
      <c r="B172" s="44"/>
      <c r="C172" s="44"/>
      <c r="D172" s="44"/>
      <c r="E172" s="44"/>
      <c r="F172" s="44"/>
      <c r="G172" s="44"/>
      <c r="H172" s="44"/>
      <c r="I172" s="44"/>
      <c r="J172" s="44"/>
      <c r="K172" s="44"/>
      <c r="L172" s="44"/>
      <c r="M172" s="44"/>
      <c r="N172" s="44"/>
      <c r="O172" s="44"/>
      <c r="P172" s="44"/>
      <c r="Q172" s="44"/>
      <c r="R172" s="44"/>
      <c r="S172" s="44"/>
      <c r="T172" s="44" t="s">
        <v>2474</v>
      </c>
      <c r="U172" s="44" t="s">
        <v>2619</v>
      </c>
      <c r="V172" s="44" t="s">
        <v>2037</v>
      </c>
      <c r="W172" s="44" t="s">
        <v>858</v>
      </c>
      <c r="X172" s="44"/>
      <c r="Y172" s="44"/>
      <c r="Z172" s="44"/>
      <c r="AA172" s="44"/>
      <c r="AB172" s="44"/>
      <c r="AC172" s="44"/>
      <c r="AD172" s="44"/>
      <c r="AE172" s="44"/>
      <c r="AF172" s="44"/>
      <c r="AG172" s="44"/>
      <c r="AH172" s="44"/>
      <c r="AI172" s="44"/>
      <c r="AJ172" s="44"/>
      <c r="AK172" s="44"/>
    </row>
    <row r="173" spans="1:37" x14ac:dyDescent="0.3">
      <c r="A173" s="44"/>
      <c r="B173" s="44"/>
      <c r="C173" s="44"/>
      <c r="D173" s="44"/>
      <c r="E173" s="44"/>
      <c r="F173" s="44"/>
      <c r="G173" s="44"/>
      <c r="H173" s="44"/>
      <c r="I173" s="44"/>
      <c r="J173" s="44"/>
      <c r="K173" s="44"/>
      <c r="L173" s="44"/>
      <c r="M173" s="44"/>
      <c r="N173" s="44"/>
      <c r="O173" s="44"/>
      <c r="P173" s="44"/>
      <c r="Q173" s="44"/>
      <c r="R173" s="44"/>
      <c r="S173" s="44"/>
      <c r="T173" s="44" t="s">
        <v>2474</v>
      </c>
      <c r="U173" s="44" t="s">
        <v>2620</v>
      </c>
      <c r="V173" s="44" t="s">
        <v>2189</v>
      </c>
      <c r="W173" s="44" t="s">
        <v>850</v>
      </c>
      <c r="X173" s="44"/>
      <c r="Y173" s="44"/>
      <c r="Z173" s="44"/>
      <c r="AA173" s="44"/>
      <c r="AB173" s="44"/>
      <c r="AC173" s="44"/>
      <c r="AD173" s="44"/>
      <c r="AE173" s="44"/>
      <c r="AF173" s="44"/>
      <c r="AG173" s="44"/>
      <c r="AH173" s="44"/>
      <c r="AI173" s="44"/>
      <c r="AJ173" s="44"/>
      <c r="AK173" s="44"/>
    </row>
    <row r="174" spans="1:37" x14ac:dyDescent="0.3">
      <c r="A174" s="44"/>
      <c r="B174" s="44"/>
      <c r="C174" s="44"/>
      <c r="D174" s="44"/>
      <c r="E174" s="44"/>
      <c r="F174" s="44"/>
      <c r="G174" s="44"/>
      <c r="H174" s="44"/>
      <c r="I174" s="44"/>
      <c r="J174" s="44"/>
      <c r="K174" s="44"/>
      <c r="L174" s="44"/>
      <c r="M174" s="44"/>
      <c r="N174" s="44"/>
      <c r="O174" s="44"/>
      <c r="P174" s="44"/>
      <c r="Q174" s="44"/>
      <c r="R174" s="44"/>
      <c r="S174" s="44"/>
      <c r="T174" s="44" t="s">
        <v>2474</v>
      </c>
      <c r="U174" s="44" t="s">
        <v>2621</v>
      </c>
      <c r="V174" s="44" t="s">
        <v>1935</v>
      </c>
      <c r="W174" s="44" t="s">
        <v>1140</v>
      </c>
      <c r="X174" s="44"/>
      <c r="Y174" s="44"/>
      <c r="Z174" s="44"/>
      <c r="AA174" s="44"/>
      <c r="AB174" s="44"/>
      <c r="AC174" s="44"/>
      <c r="AD174" s="44"/>
      <c r="AE174" s="44"/>
      <c r="AF174" s="44"/>
      <c r="AG174" s="44"/>
      <c r="AH174" s="44"/>
      <c r="AI174" s="44"/>
      <c r="AJ174" s="44"/>
      <c r="AK174" s="44"/>
    </row>
    <row r="175" spans="1:37" x14ac:dyDescent="0.3">
      <c r="A175" s="44"/>
      <c r="B175" s="44"/>
      <c r="C175" s="44"/>
      <c r="D175" s="44"/>
      <c r="E175" s="44"/>
      <c r="F175" s="44"/>
      <c r="G175" s="44"/>
      <c r="H175" s="44"/>
      <c r="I175" s="44"/>
      <c r="J175" s="44"/>
      <c r="K175" s="44"/>
      <c r="L175" s="44"/>
      <c r="M175" s="44"/>
      <c r="N175" s="44"/>
      <c r="O175" s="44"/>
      <c r="P175" s="44"/>
      <c r="Q175" s="44"/>
      <c r="R175" s="44"/>
      <c r="S175" s="44"/>
      <c r="T175" s="44" t="s">
        <v>2474</v>
      </c>
      <c r="U175" s="44" t="s">
        <v>2622</v>
      </c>
      <c r="V175" s="44" t="s">
        <v>2107</v>
      </c>
      <c r="W175" s="44" t="s">
        <v>1140</v>
      </c>
      <c r="X175" s="44"/>
      <c r="Y175" s="44"/>
      <c r="Z175" s="44"/>
      <c r="AA175" s="44"/>
      <c r="AB175" s="44"/>
      <c r="AC175" s="44"/>
      <c r="AD175" s="44"/>
      <c r="AE175" s="44"/>
      <c r="AF175" s="44"/>
      <c r="AG175" s="44"/>
      <c r="AH175" s="44"/>
      <c r="AI175" s="44"/>
      <c r="AJ175" s="44"/>
      <c r="AK175" s="44"/>
    </row>
    <row r="176" spans="1:37" x14ac:dyDescent="0.3">
      <c r="A176" s="44"/>
      <c r="B176" s="44"/>
      <c r="C176" s="44"/>
      <c r="D176" s="44"/>
      <c r="E176" s="44"/>
      <c r="F176" s="44"/>
      <c r="G176" s="44"/>
      <c r="H176" s="44"/>
      <c r="I176" s="44"/>
      <c r="J176" s="44"/>
      <c r="K176" s="44"/>
      <c r="L176" s="44"/>
      <c r="M176" s="44"/>
      <c r="N176" s="44"/>
      <c r="O176" s="44"/>
      <c r="P176" s="44"/>
      <c r="Q176" s="44"/>
      <c r="R176" s="44"/>
      <c r="S176" s="44"/>
      <c r="T176" s="44" t="s">
        <v>2474</v>
      </c>
      <c r="U176" s="44" t="s">
        <v>2137</v>
      </c>
      <c r="V176" s="44"/>
      <c r="W176" s="44"/>
      <c r="X176" s="44"/>
      <c r="Y176" s="44"/>
      <c r="Z176" s="44"/>
      <c r="AA176" s="44"/>
      <c r="AB176" s="44"/>
      <c r="AC176" s="44"/>
      <c r="AD176" s="44"/>
      <c r="AE176" s="44"/>
      <c r="AF176" s="44"/>
      <c r="AG176" s="44"/>
      <c r="AH176" s="44"/>
      <c r="AI176" s="44"/>
      <c r="AJ176" s="44"/>
      <c r="AK176" s="44"/>
    </row>
    <row r="177" spans="1:37" x14ac:dyDescent="0.3">
      <c r="A177" s="44"/>
      <c r="B177" s="44"/>
      <c r="C177" s="44"/>
      <c r="D177" s="44"/>
      <c r="E177" s="44"/>
      <c r="F177" s="44"/>
      <c r="G177" s="44"/>
      <c r="H177" s="44"/>
      <c r="I177" s="44"/>
      <c r="J177" s="44"/>
      <c r="K177" s="44"/>
      <c r="L177" s="44"/>
      <c r="M177" s="44"/>
      <c r="N177" s="44"/>
      <c r="O177" s="44"/>
      <c r="P177" s="44"/>
      <c r="Q177" s="44"/>
      <c r="R177" s="44"/>
      <c r="S177" s="44"/>
      <c r="T177" s="44" t="s">
        <v>2484</v>
      </c>
      <c r="U177" s="44" t="s">
        <v>2623</v>
      </c>
      <c r="V177" s="44" t="s">
        <v>1935</v>
      </c>
      <c r="W177" s="44" t="s">
        <v>1140</v>
      </c>
      <c r="X177" s="44"/>
      <c r="Y177" s="44"/>
      <c r="Z177" s="44"/>
      <c r="AA177" s="44"/>
      <c r="AB177" s="44"/>
      <c r="AC177" s="44"/>
      <c r="AD177" s="44"/>
      <c r="AE177" s="44"/>
      <c r="AF177" s="44"/>
      <c r="AG177" s="44"/>
      <c r="AH177" s="44"/>
      <c r="AI177" s="44"/>
      <c r="AJ177" s="44"/>
      <c r="AK177" s="44"/>
    </row>
    <row r="178" spans="1:37" x14ac:dyDescent="0.3">
      <c r="A178" s="44"/>
      <c r="B178" s="44"/>
      <c r="C178" s="44"/>
      <c r="D178" s="44"/>
      <c r="E178" s="44"/>
      <c r="F178" s="44"/>
      <c r="G178" s="44"/>
      <c r="H178" s="44"/>
      <c r="I178" s="44"/>
      <c r="J178" s="44"/>
      <c r="K178" s="44"/>
      <c r="L178" s="44"/>
      <c r="M178" s="44"/>
      <c r="N178" s="44"/>
      <c r="O178" s="44"/>
      <c r="P178" s="44"/>
      <c r="Q178" s="44"/>
      <c r="R178" s="44"/>
      <c r="S178" s="44"/>
      <c r="T178" s="44" t="s">
        <v>2484</v>
      </c>
      <c r="U178" s="44" t="s">
        <v>2624</v>
      </c>
      <c r="V178" s="44" t="s">
        <v>2228</v>
      </c>
      <c r="W178" s="44" t="s">
        <v>977</v>
      </c>
      <c r="X178" s="44"/>
      <c r="Y178" s="44"/>
      <c r="Z178" s="44"/>
      <c r="AA178" s="44"/>
      <c r="AB178" s="44"/>
      <c r="AC178" s="44"/>
      <c r="AD178" s="44"/>
      <c r="AE178" s="44"/>
      <c r="AF178" s="44"/>
      <c r="AG178" s="44"/>
      <c r="AH178" s="44"/>
      <c r="AI178" s="44"/>
      <c r="AJ178" s="44"/>
      <c r="AK178" s="44"/>
    </row>
    <row r="179" spans="1:37" x14ac:dyDescent="0.3">
      <c r="A179" s="44"/>
      <c r="B179" s="44"/>
      <c r="C179" s="44"/>
      <c r="D179" s="44"/>
      <c r="E179" s="44"/>
      <c r="F179" s="44"/>
      <c r="G179" s="44"/>
      <c r="H179" s="44"/>
      <c r="I179" s="44"/>
      <c r="J179" s="44"/>
      <c r="K179" s="44"/>
      <c r="L179" s="44"/>
      <c r="M179" s="44"/>
      <c r="N179" s="44"/>
      <c r="O179" s="44"/>
      <c r="P179" s="44"/>
      <c r="Q179" s="44"/>
      <c r="R179" s="44"/>
      <c r="S179" s="44"/>
      <c r="T179" s="44" t="s">
        <v>2484</v>
      </c>
      <c r="U179" s="44" t="s">
        <v>2137</v>
      </c>
      <c r="V179" s="44"/>
      <c r="W179" s="44"/>
      <c r="X179" s="44"/>
      <c r="Y179" s="44"/>
      <c r="Z179" s="44"/>
      <c r="AA179" s="44"/>
      <c r="AB179" s="44"/>
      <c r="AC179" s="44"/>
      <c r="AD179" s="44"/>
      <c r="AE179" s="44"/>
      <c r="AF179" s="44"/>
      <c r="AG179" s="44"/>
      <c r="AH179" s="44"/>
      <c r="AI179" s="44"/>
      <c r="AJ179" s="44"/>
      <c r="AK179" s="44"/>
    </row>
    <row r="180" spans="1:37" x14ac:dyDescent="0.3">
      <c r="A180" s="44"/>
      <c r="B180" s="44"/>
      <c r="C180" s="44"/>
      <c r="D180" s="44"/>
      <c r="E180" s="44"/>
      <c r="F180" s="44"/>
      <c r="G180" s="44"/>
      <c r="H180" s="44"/>
      <c r="I180" s="44"/>
      <c r="J180" s="44"/>
      <c r="K180" s="44"/>
      <c r="L180" s="44"/>
      <c r="M180" s="44"/>
      <c r="N180" s="44"/>
      <c r="O180" s="44"/>
      <c r="P180" s="44"/>
      <c r="Q180" s="44"/>
      <c r="R180" s="44"/>
      <c r="S180" s="44"/>
      <c r="T180" s="44" t="s">
        <v>2495</v>
      </c>
      <c r="U180" s="44" t="s">
        <v>2625</v>
      </c>
      <c r="V180" s="44" t="s">
        <v>1967</v>
      </c>
      <c r="W180" s="44" t="s">
        <v>1135</v>
      </c>
      <c r="X180" s="44"/>
      <c r="Y180" s="44"/>
      <c r="Z180" s="44"/>
      <c r="AA180" s="44"/>
      <c r="AB180" s="44"/>
      <c r="AC180" s="44"/>
      <c r="AD180" s="44"/>
      <c r="AE180" s="44"/>
      <c r="AF180" s="44"/>
      <c r="AG180" s="44"/>
      <c r="AH180" s="44"/>
      <c r="AI180" s="44"/>
      <c r="AJ180" s="44"/>
      <c r="AK180" s="44"/>
    </row>
    <row r="181" spans="1:37" x14ac:dyDescent="0.3">
      <c r="A181" s="44"/>
      <c r="B181" s="44"/>
      <c r="C181" s="44"/>
      <c r="D181" s="44"/>
      <c r="E181" s="44"/>
      <c r="F181" s="44"/>
      <c r="G181" s="44"/>
      <c r="H181" s="44"/>
      <c r="I181" s="44"/>
      <c r="J181" s="44"/>
      <c r="K181" s="44"/>
      <c r="L181" s="44"/>
      <c r="M181" s="44"/>
      <c r="N181" s="44"/>
      <c r="O181" s="44"/>
      <c r="P181" s="44"/>
      <c r="Q181" s="44"/>
      <c r="R181" s="44"/>
      <c r="S181" s="44"/>
      <c r="T181" s="44" t="s">
        <v>2495</v>
      </c>
      <c r="U181" s="44" t="s">
        <v>1966</v>
      </c>
      <c r="V181" s="44" t="s">
        <v>1967</v>
      </c>
      <c r="W181" s="44" t="s">
        <v>1135</v>
      </c>
      <c r="X181" s="44" t="s">
        <v>1968</v>
      </c>
      <c r="Y181" s="44"/>
      <c r="Z181" s="44"/>
      <c r="AA181" s="44"/>
      <c r="AB181" s="44"/>
      <c r="AC181" s="44"/>
      <c r="AD181" s="44"/>
      <c r="AE181" s="44"/>
      <c r="AF181" s="44"/>
      <c r="AG181" s="44"/>
      <c r="AH181" s="44"/>
      <c r="AI181" s="44"/>
      <c r="AJ181" s="44"/>
      <c r="AK181" s="44"/>
    </row>
    <row r="182" spans="1:37" x14ac:dyDescent="0.3">
      <c r="A182" s="44"/>
      <c r="B182" s="44"/>
      <c r="C182" s="44"/>
      <c r="D182" s="44"/>
      <c r="E182" s="44"/>
      <c r="F182" s="44"/>
      <c r="G182" s="44"/>
      <c r="H182" s="44"/>
      <c r="I182" s="44"/>
      <c r="J182" s="44"/>
      <c r="K182" s="44"/>
      <c r="L182" s="44"/>
      <c r="M182" s="44"/>
      <c r="N182" s="44"/>
      <c r="O182" s="44"/>
      <c r="P182" s="44"/>
      <c r="Q182" s="44"/>
      <c r="R182" s="44"/>
      <c r="S182" s="44"/>
      <c r="T182" s="44" t="s">
        <v>2495</v>
      </c>
      <c r="U182" s="44" t="s">
        <v>2626</v>
      </c>
      <c r="V182" s="44" t="s">
        <v>1967</v>
      </c>
      <c r="W182" s="44" t="s">
        <v>1135</v>
      </c>
      <c r="X182" s="44"/>
      <c r="Y182" s="44"/>
      <c r="Z182" s="44"/>
      <c r="AA182" s="44"/>
      <c r="AB182" s="44"/>
      <c r="AC182" s="44"/>
      <c r="AD182" s="44"/>
      <c r="AE182" s="44"/>
      <c r="AF182" s="44"/>
      <c r="AG182" s="44"/>
      <c r="AH182" s="44"/>
      <c r="AI182" s="44"/>
      <c r="AJ182" s="44"/>
      <c r="AK182" s="44"/>
    </row>
    <row r="183" spans="1:37" x14ac:dyDescent="0.3">
      <c r="A183" s="44"/>
      <c r="B183" s="44"/>
      <c r="C183" s="44"/>
      <c r="D183" s="44"/>
      <c r="E183" s="44"/>
      <c r="F183" s="44"/>
      <c r="G183" s="44"/>
      <c r="H183" s="44"/>
      <c r="I183" s="44"/>
      <c r="J183" s="44"/>
      <c r="K183" s="44"/>
      <c r="L183" s="44"/>
      <c r="M183" s="44"/>
      <c r="N183" s="44"/>
      <c r="O183" s="44"/>
      <c r="P183" s="44"/>
      <c r="Q183" s="44"/>
      <c r="R183" s="44"/>
      <c r="S183" s="44"/>
      <c r="T183" s="44" t="s">
        <v>2495</v>
      </c>
      <c r="U183" s="44" t="s">
        <v>2627</v>
      </c>
      <c r="V183" s="44" t="s">
        <v>1973</v>
      </c>
      <c r="W183" s="44" t="s">
        <v>814</v>
      </c>
      <c r="X183" s="44"/>
      <c r="Y183" s="44"/>
      <c r="Z183" s="44"/>
      <c r="AA183" s="44"/>
      <c r="AB183" s="44"/>
      <c r="AC183" s="44"/>
      <c r="AD183" s="44"/>
      <c r="AE183" s="44"/>
      <c r="AF183" s="44"/>
      <c r="AG183" s="44"/>
      <c r="AH183" s="44"/>
      <c r="AI183" s="44"/>
      <c r="AJ183" s="44"/>
      <c r="AK183" s="44"/>
    </row>
    <row r="184" spans="1:37" x14ac:dyDescent="0.3">
      <c r="A184" s="44"/>
      <c r="B184" s="44"/>
      <c r="C184" s="44"/>
      <c r="D184" s="44"/>
      <c r="E184" s="44"/>
      <c r="F184" s="44"/>
      <c r="G184" s="44"/>
      <c r="H184" s="44"/>
      <c r="I184" s="44"/>
      <c r="J184" s="44"/>
      <c r="K184" s="44"/>
      <c r="L184" s="44"/>
      <c r="M184" s="44"/>
      <c r="N184" s="44"/>
      <c r="O184" s="44"/>
      <c r="P184" s="44"/>
      <c r="Q184" s="44"/>
      <c r="R184" s="44"/>
      <c r="S184" s="44"/>
      <c r="T184" s="44" t="s">
        <v>2495</v>
      </c>
      <c r="U184" s="44" t="s">
        <v>1969</v>
      </c>
      <c r="V184" s="44" t="s">
        <v>1970</v>
      </c>
      <c r="W184" s="44" t="s">
        <v>858</v>
      </c>
      <c r="X184" s="44" t="s">
        <v>1971</v>
      </c>
      <c r="Y184" s="44"/>
      <c r="Z184" s="44"/>
      <c r="AA184" s="44"/>
      <c r="AB184" s="44"/>
      <c r="AC184" s="44"/>
      <c r="AD184" s="44"/>
      <c r="AE184" s="44"/>
      <c r="AF184" s="44"/>
      <c r="AG184" s="44"/>
      <c r="AH184" s="44"/>
      <c r="AI184" s="44"/>
      <c r="AJ184" s="44"/>
      <c r="AK184" s="44"/>
    </row>
    <row r="185" spans="1:37" x14ac:dyDescent="0.3">
      <c r="A185" s="44"/>
      <c r="B185" s="44"/>
      <c r="C185" s="44"/>
      <c r="D185" s="44"/>
      <c r="E185" s="44"/>
      <c r="F185" s="44"/>
      <c r="G185" s="44"/>
      <c r="H185" s="44"/>
      <c r="I185" s="44"/>
      <c r="J185" s="44"/>
      <c r="K185" s="44"/>
      <c r="L185" s="44"/>
      <c r="M185" s="44"/>
      <c r="N185" s="44"/>
      <c r="O185" s="44"/>
      <c r="P185" s="44"/>
      <c r="Q185" s="44"/>
      <c r="R185" s="44"/>
      <c r="S185" s="44"/>
      <c r="T185" s="44" t="s">
        <v>2495</v>
      </c>
      <c r="U185" s="44" t="s">
        <v>2628</v>
      </c>
      <c r="V185" s="44" t="s">
        <v>1973</v>
      </c>
      <c r="W185" s="44" t="s">
        <v>814</v>
      </c>
      <c r="X185" s="44"/>
      <c r="Y185" s="44"/>
      <c r="Z185" s="44"/>
      <c r="AA185" s="44"/>
      <c r="AB185" s="44"/>
      <c r="AC185" s="44"/>
      <c r="AD185" s="44"/>
      <c r="AE185" s="44"/>
      <c r="AF185" s="44"/>
      <c r="AG185" s="44"/>
      <c r="AH185" s="44"/>
      <c r="AI185" s="44"/>
      <c r="AJ185" s="44"/>
      <c r="AK185" s="44"/>
    </row>
    <row r="186" spans="1:37" x14ac:dyDescent="0.3">
      <c r="A186" s="44"/>
      <c r="B186" s="44"/>
      <c r="C186" s="44"/>
      <c r="D186" s="44"/>
      <c r="E186" s="44"/>
      <c r="F186" s="44"/>
      <c r="G186" s="44"/>
      <c r="H186" s="44"/>
      <c r="I186" s="44"/>
      <c r="J186" s="44"/>
      <c r="K186" s="44"/>
      <c r="L186" s="44"/>
      <c r="M186" s="44"/>
      <c r="N186" s="44"/>
      <c r="O186" s="44"/>
      <c r="P186" s="44"/>
      <c r="Q186" s="44"/>
      <c r="R186" s="44"/>
      <c r="S186" s="44"/>
      <c r="T186" s="44" t="s">
        <v>2495</v>
      </c>
      <c r="U186" s="44" t="s">
        <v>2137</v>
      </c>
      <c r="V186" s="44"/>
      <c r="W186" s="44"/>
      <c r="X186" s="44"/>
      <c r="Y186" s="44"/>
      <c r="Z186" s="44"/>
      <c r="AA186" s="44"/>
      <c r="AB186" s="44"/>
      <c r="AC186" s="44"/>
      <c r="AD186" s="44"/>
      <c r="AE186" s="44"/>
      <c r="AF186" s="44"/>
      <c r="AG186" s="44"/>
      <c r="AH186" s="44"/>
      <c r="AI186" s="44"/>
      <c r="AJ186" s="44"/>
      <c r="AK186" s="44"/>
    </row>
    <row r="187" spans="1:37" x14ac:dyDescent="0.3">
      <c r="A187" s="44"/>
      <c r="B187" s="44"/>
      <c r="C187" s="44"/>
      <c r="D187" s="44"/>
      <c r="E187" s="44"/>
      <c r="F187" s="44"/>
      <c r="G187" s="44"/>
      <c r="H187" s="44"/>
      <c r="I187" s="44"/>
      <c r="J187" s="44"/>
      <c r="K187" s="44"/>
      <c r="L187" s="44"/>
      <c r="M187" s="44"/>
      <c r="N187" s="44"/>
      <c r="O187" s="44"/>
      <c r="P187" s="44"/>
      <c r="Q187" s="44"/>
      <c r="R187" s="44"/>
      <c r="S187" s="44"/>
      <c r="T187" s="44" t="s">
        <v>2505</v>
      </c>
      <c r="U187" s="44" t="s">
        <v>2629</v>
      </c>
      <c r="V187" s="44" t="s">
        <v>1967</v>
      </c>
      <c r="W187" s="44" t="s">
        <v>1135</v>
      </c>
      <c r="X187" s="44"/>
      <c r="Y187" s="44"/>
      <c r="Z187" s="44"/>
      <c r="AA187" s="44"/>
      <c r="AB187" s="44"/>
      <c r="AC187" s="44"/>
      <c r="AD187" s="44"/>
      <c r="AE187" s="44"/>
      <c r="AF187" s="44"/>
      <c r="AG187" s="44"/>
      <c r="AH187" s="44"/>
      <c r="AI187" s="44"/>
      <c r="AJ187" s="44"/>
      <c r="AK187" s="44"/>
    </row>
    <row r="188" spans="1:37" x14ac:dyDescent="0.3">
      <c r="A188" s="44"/>
      <c r="B188" s="44"/>
      <c r="C188" s="44"/>
      <c r="D188" s="44"/>
      <c r="E188" s="44"/>
      <c r="F188" s="44"/>
      <c r="G188" s="44"/>
      <c r="H188" s="44"/>
      <c r="I188" s="44"/>
      <c r="J188" s="44"/>
      <c r="K188" s="44"/>
      <c r="L188" s="44"/>
      <c r="M188" s="44"/>
      <c r="N188" s="44"/>
      <c r="O188" s="44"/>
      <c r="P188" s="44"/>
      <c r="Q188" s="44"/>
      <c r="R188" s="44"/>
      <c r="S188" s="44"/>
      <c r="T188" s="44" t="s">
        <v>2505</v>
      </c>
      <c r="U188" s="44" t="s">
        <v>2630</v>
      </c>
      <c r="V188" s="44" t="s">
        <v>1967</v>
      </c>
      <c r="W188" s="44" t="s">
        <v>1135</v>
      </c>
      <c r="X188" s="44"/>
      <c r="Y188" s="44"/>
      <c r="Z188" s="44"/>
      <c r="AA188" s="44"/>
      <c r="AB188" s="44"/>
      <c r="AC188" s="44"/>
      <c r="AD188" s="44"/>
      <c r="AE188" s="44"/>
      <c r="AF188" s="44"/>
      <c r="AG188" s="44"/>
      <c r="AH188" s="44"/>
      <c r="AI188" s="44"/>
      <c r="AJ188" s="44"/>
      <c r="AK188" s="44"/>
    </row>
    <row r="189" spans="1:37" x14ac:dyDescent="0.3">
      <c r="A189" s="44"/>
      <c r="B189" s="44"/>
      <c r="C189" s="44"/>
      <c r="D189" s="44"/>
      <c r="E189" s="44"/>
      <c r="F189" s="44"/>
      <c r="G189" s="44"/>
      <c r="H189" s="44"/>
      <c r="I189" s="44"/>
      <c r="J189" s="44"/>
      <c r="K189" s="44"/>
      <c r="L189" s="44"/>
      <c r="M189" s="44"/>
      <c r="N189" s="44"/>
      <c r="O189" s="44"/>
      <c r="P189" s="44"/>
      <c r="Q189" s="44"/>
      <c r="R189" s="44"/>
      <c r="S189" s="44"/>
      <c r="T189" s="44" t="s">
        <v>2505</v>
      </c>
      <c r="U189" s="44" t="s">
        <v>2631</v>
      </c>
      <c r="V189" s="44" t="s">
        <v>1973</v>
      </c>
      <c r="W189" s="44" t="s">
        <v>814</v>
      </c>
      <c r="X189" s="44"/>
      <c r="Y189" s="44"/>
      <c r="Z189" s="44"/>
      <c r="AA189" s="44"/>
      <c r="AB189" s="44"/>
      <c r="AC189" s="44"/>
      <c r="AD189" s="44"/>
      <c r="AE189" s="44"/>
      <c r="AF189" s="44"/>
      <c r="AG189" s="44"/>
      <c r="AH189" s="44"/>
      <c r="AI189" s="44"/>
      <c r="AJ189" s="44"/>
      <c r="AK189" s="44"/>
    </row>
    <row r="190" spans="1:37" x14ac:dyDescent="0.3">
      <c r="A190" s="44"/>
      <c r="B190" s="44"/>
      <c r="C190" s="44"/>
      <c r="D190" s="44"/>
      <c r="E190" s="44"/>
      <c r="F190" s="44"/>
      <c r="G190" s="44"/>
      <c r="H190" s="44"/>
      <c r="I190" s="44"/>
      <c r="J190" s="44"/>
      <c r="K190" s="44"/>
      <c r="L190" s="44"/>
      <c r="M190" s="44"/>
      <c r="N190" s="44"/>
      <c r="O190" s="44"/>
      <c r="P190" s="44"/>
      <c r="Q190" s="44"/>
      <c r="R190" s="44"/>
      <c r="S190" s="44"/>
      <c r="T190" s="44" t="s">
        <v>2505</v>
      </c>
      <c r="U190" s="44" t="s">
        <v>2632</v>
      </c>
      <c r="V190" s="44" t="s">
        <v>2042</v>
      </c>
      <c r="W190" s="44" t="s">
        <v>814</v>
      </c>
      <c r="X190" s="44"/>
      <c r="Y190" s="44"/>
      <c r="Z190" s="44"/>
      <c r="AA190" s="44"/>
      <c r="AB190" s="44"/>
      <c r="AC190" s="44"/>
      <c r="AD190" s="44"/>
      <c r="AE190" s="44"/>
      <c r="AF190" s="44"/>
      <c r="AG190" s="44"/>
      <c r="AH190" s="44"/>
      <c r="AI190" s="44"/>
      <c r="AJ190" s="44"/>
      <c r="AK190" s="44"/>
    </row>
    <row r="191" spans="1:37" x14ac:dyDescent="0.3">
      <c r="A191" s="44"/>
      <c r="B191" s="44"/>
      <c r="C191" s="44"/>
      <c r="D191" s="44"/>
      <c r="E191" s="44"/>
      <c r="F191" s="44"/>
      <c r="G191" s="44"/>
      <c r="H191" s="44"/>
      <c r="I191" s="44"/>
      <c r="J191" s="44"/>
      <c r="K191" s="44"/>
      <c r="L191" s="44"/>
      <c r="M191" s="44"/>
      <c r="N191" s="44"/>
      <c r="O191" s="44"/>
      <c r="P191" s="44"/>
      <c r="Q191" s="44"/>
      <c r="R191" s="44"/>
      <c r="S191" s="44"/>
      <c r="T191" s="44" t="s">
        <v>2505</v>
      </c>
      <c r="U191" s="44" t="s">
        <v>2633</v>
      </c>
      <c r="V191" s="44" t="s">
        <v>1947</v>
      </c>
      <c r="W191" s="44" t="s">
        <v>977</v>
      </c>
      <c r="X191" s="44"/>
      <c r="Y191" s="44"/>
      <c r="Z191" s="44"/>
      <c r="AA191" s="44"/>
      <c r="AB191" s="44"/>
      <c r="AC191" s="44"/>
      <c r="AD191" s="44"/>
      <c r="AE191" s="44"/>
      <c r="AF191" s="44"/>
      <c r="AG191" s="44"/>
      <c r="AH191" s="44"/>
      <c r="AI191" s="44"/>
      <c r="AJ191" s="44"/>
      <c r="AK191" s="44"/>
    </row>
    <row r="192" spans="1:37" x14ac:dyDescent="0.3">
      <c r="A192" s="44"/>
      <c r="B192" s="44"/>
      <c r="C192" s="44"/>
      <c r="D192" s="44"/>
      <c r="E192" s="44"/>
      <c r="F192" s="44"/>
      <c r="G192" s="44"/>
      <c r="H192" s="44"/>
      <c r="I192" s="44"/>
      <c r="J192" s="44"/>
      <c r="K192" s="44"/>
      <c r="L192" s="44"/>
      <c r="M192" s="44"/>
      <c r="N192" s="44"/>
      <c r="O192" s="44"/>
      <c r="P192" s="44"/>
      <c r="Q192" s="44"/>
      <c r="R192" s="44"/>
      <c r="S192" s="44"/>
      <c r="T192" s="44" t="s">
        <v>2505</v>
      </c>
      <c r="U192" s="44" t="s">
        <v>1972</v>
      </c>
      <c r="V192" s="44" t="s">
        <v>1973</v>
      </c>
      <c r="W192" s="44" t="s">
        <v>814</v>
      </c>
      <c r="X192" s="44" t="s">
        <v>1974</v>
      </c>
      <c r="Y192" s="44"/>
      <c r="Z192" s="44"/>
      <c r="AA192" s="44"/>
      <c r="AB192" s="44"/>
      <c r="AC192" s="44"/>
      <c r="AD192" s="44"/>
      <c r="AE192" s="44"/>
      <c r="AF192" s="44"/>
      <c r="AG192" s="44"/>
      <c r="AH192" s="44"/>
      <c r="AI192" s="44"/>
      <c r="AJ192" s="44"/>
      <c r="AK192" s="44"/>
    </row>
    <row r="193" spans="1:37" x14ac:dyDescent="0.3">
      <c r="A193" s="44"/>
      <c r="B193" s="44"/>
      <c r="C193" s="44"/>
      <c r="D193" s="44"/>
      <c r="E193" s="44"/>
      <c r="F193" s="44"/>
      <c r="G193" s="44"/>
      <c r="H193" s="44"/>
      <c r="I193" s="44"/>
      <c r="J193" s="44"/>
      <c r="K193" s="44"/>
      <c r="L193" s="44"/>
      <c r="M193" s="44"/>
      <c r="N193" s="44"/>
      <c r="O193" s="44"/>
      <c r="P193" s="44"/>
      <c r="Q193" s="44"/>
      <c r="R193" s="44"/>
      <c r="S193" s="44"/>
      <c r="T193" s="44" t="s">
        <v>2505</v>
      </c>
      <c r="U193" s="44" t="s">
        <v>2634</v>
      </c>
      <c r="V193" s="44" t="s">
        <v>1973</v>
      </c>
      <c r="W193" s="44" t="s">
        <v>814</v>
      </c>
      <c r="X193" s="44"/>
      <c r="Y193" s="44"/>
      <c r="Z193" s="44"/>
      <c r="AA193" s="44"/>
      <c r="AB193" s="44"/>
      <c r="AC193" s="44"/>
      <c r="AD193" s="44"/>
      <c r="AE193" s="44"/>
      <c r="AF193" s="44"/>
      <c r="AG193" s="44"/>
      <c r="AH193" s="44"/>
      <c r="AI193" s="44"/>
      <c r="AJ193" s="44"/>
      <c r="AK193" s="44"/>
    </row>
    <row r="194" spans="1:37" x14ac:dyDescent="0.3">
      <c r="A194" s="44"/>
      <c r="B194" s="44"/>
      <c r="C194" s="44"/>
      <c r="D194" s="44"/>
      <c r="E194" s="44"/>
      <c r="F194" s="44"/>
      <c r="G194" s="44"/>
      <c r="H194" s="44"/>
      <c r="I194" s="44"/>
      <c r="J194" s="44"/>
      <c r="K194" s="44"/>
      <c r="L194" s="44"/>
      <c r="M194" s="44"/>
      <c r="N194" s="44"/>
      <c r="O194" s="44"/>
      <c r="P194" s="44"/>
      <c r="Q194" s="44"/>
      <c r="R194" s="44"/>
      <c r="S194" s="44"/>
      <c r="T194" s="44" t="s">
        <v>2505</v>
      </c>
      <c r="U194" s="44" t="s">
        <v>1975</v>
      </c>
      <c r="V194" s="44" t="s">
        <v>1947</v>
      </c>
      <c r="W194" s="44" t="s">
        <v>977</v>
      </c>
      <c r="X194" s="44" t="s">
        <v>1976</v>
      </c>
      <c r="Y194" s="44"/>
      <c r="Z194" s="44"/>
      <c r="AA194" s="44"/>
      <c r="AB194" s="44"/>
      <c r="AC194" s="44"/>
      <c r="AD194" s="44"/>
      <c r="AE194" s="44"/>
      <c r="AF194" s="44"/>
      <c r="AG194" s="44"/>
      <c r="AH194" s="44"/>
      <c r="AI194" s="44"/>
      <c r="AJ194" s="44"/>
      <c r="AK194" s="44"/>
    </row>
    <row r="195" spans="1:37" x14ac:dyDescent="0.3">
      <c r="A195" s="44"/>
      <c r="B195" s="44"/>
      <c r="C195" s="44"/>
      <c r="D195" s="44"/>
      <c r="E195" s="44"/>
      <c r="F195" s="44"/>
      <c r="G195" s="44"/>
      <c r="H195" s="44"/>
      <c r="I195" s="44"/>
      <c r="J195" s="44"/>
      <c r="K195" s="44"/>
      <c r="L195" s="44"/>
      <c r="M195" s="44"/>
      <c r="N195" s="44"/>
      <c r="O195" s="44"/>
      <c r="P195" s="44"/>
      <c r="Q195" s="44"/>
      <c r="R195" s="44"/>
      <c r="S195" s="44"/>
      <c r="T195" s="44" t="s">
        <v>2505</v>
      </c>
      <c r="U195" s="44" t="s">
        <v>1977</v>
      </c>
      <c r="V195" s="44" t="s">
        <v>1947</v>
      </c>
      <c r="W195" s="44" t="s">
        <v>977</v>
      </c>
      <c r="X195" s="44" t="s">
        <v>1978</v>
      </c>
      <c r="Y195" s="44"/>
      <c r="Z195" s="44"/>
      <c r="AA195" s="44"/>
      <c r="AB195" s="44"/>
      <c r="AC195" s="44"/>
      <c r="AD195" s="44"/>
      <c r="AE195" s="44"/>
      <c r="AF195" s="44"/>
      <c r="AG195" s="44"/>
      <c r="AH195" s="44"/>
      <c r="AI195" s="44"/>
      <c r="AJ195" s="44"/>
      <c r="AK195" s="44"/>
    </row>
    <row r="196" spans="1:37" x14ac:dyDescent="0.3">
      <c r="A196" s="44"/>
      <c r="B196" s="44"/>
      <c r="C196" s="44"/>
      <c r="D196" s="44"/>
      <c r="E196" s="44"/>
      <c r="F196" s="44"/>
      <c r="G196" s="44"/>
      <c r="H196" s="44"/>
      <c r="I196" s="44"/>
      <c r="J196" s="44"/>
      <c r="K196" s="44"/>
      <c r="L196" s="44"/>
      <c r="M196" s="44"/>
      <c r="N196" s="44"/>
      <c r="O196" s="44"/>
      <c r="P196" s="44"/>
      <c r="Q196" s="44"/>
      <c r="R196" s="44"/>
      <c r="S196" s="44"/>
      <c r="T196" s="44" t="s">
        <v>2505</v>
      </c>
      <c r="U196" s="44" t="s">
        <v>2635</v>
      </c>
      <c r="V196" s="44" t="s">
        <v>1973</v>
      </c>
      <c r="W196" s="44" t="s">
        <v>814</v>
      </c>
      <c r="X196" s="44"/>
      <c r="Y196" s="44"/>
      <c r="Z196" s="44"/>
      <c r="AA196" s="44"/>
      <c r="AB196" s="44"/>
      <c r="AC196" s="44"/>
      <c r="AD196" s="44"/>
      <c r="AE196" s="44"/>
      <c r="AF196" s="44"/>
      <c r="AG196" s="44"/>
      <c r="AH196" s="44"/>
      <c r="AI196" s="44"/>
      <c r="AJ196" s="44"/>
      <c r="AK196" s="44"/>
    </row>
    <row r="197" spans="1:37" x14ac:dyDescent="0.3">
      <c r="A197" s="44"/>
      <c r="B197" s="44"/>
      <c r="C197" s="44"/>
      <c r="D197" s="44"/>
      <c r="E197" s="44"/>
      <c r="F197" s="44"/>
      <c r="G197" s="44"/>
      <c r="H197" s="44"/>
      <c r="I197" s="44"/>
      <c r="J197" s="44"/>
      <c r="K197" s="44"/>
      <c r="L197" s="44"/>
      <c r="M197" s="44"/>
      <c r="N197" s="44"/>
      <c r="O197" s="44"/>
      <c r="P197" s="44"/>
      <c r="Q197" s="44"/>
      <c r="R197" s="44"/>
      <c r="S197" s="44"/>
      <c r="T197" s="44" t="s">
        <v>2505</v>
      </c>
      <c r="U197" s="44" t="s">
        <v>2636</v>
      </c>
      <c r="V197" s="44" t="s">
        <v>1973</v>
      </c>
      <c r="W197" s="44" t="s">
        <v>814</v>
      </c>
      <c r="X197" s="44"/>
      <c r="Y197" s="44"/>
      <c r="Z197" s="44"/>
      <c r="AA197" s="44"/>
      <c r="AB197" s="44"/>
      <c r="AC197" s="44"/>
      <c r="AD197" s="44"/>
      <c r="AE197" s="44"/>
      <c r="AF197" s="44"/>
      <c r="AG197" s="44"/>
      <c r="AH197" s="44"/>
      <c r="AI197" s="44"/>
      <c r="AJ197" s="44"/>
      <c r="AK197" s="44"/>
    </row>
    <row r="198" spans="1:37" x14ac:dyDescent="0.3">
      <c r="A198" s="44"/>
      <c r="B198" s="44"/>
      <c r="C198" s="44"/>
      <c r="D198" s="44"/>
      <c r="E198" s="44"/>
      <c r="F198" s="44"/>
      <c r="G198" s="44"/>
      <c r="H198" s="44"/>
      <c r="I198" s="44"/>
      <c r="J198" s="44"/>
      <c r="K198" s="44"/>
      <c r="L198" s="44"/>
      <c r="M198" s="44"/>
      <c r="N198" s="44"/>
      <c r="O198" s="44"/>
      <c r="P198" s="44"/>
      <c r="Q198" s="44"/>
      <c r="R198" s="44"/>
      <c r="S198" s="44"/>
      <c r="T198" s="44" t="s">
        <v>2505</v>
      </c>
      <c r="U198" s="44" t="s">
        <v>2137</v>
      </c>
      <c r="V198" s="44"/>
      <c r="W198" s="44"/>
      <c r="X198" s="44"/>
      <c r="Y198" s="44"/>
      <c r="Z198" s="44"/>
      <c r="AA198" s="44"/>
      <c r="AB198" s="44"/>
      <c r="AC198" s="44"/>
      <c r="AD198" s="44"/>
      <c r="AE198" s="44"/>
      <c r="AF198" s="44"/>
      <c r="AG198" s="44"/>
      <c r="AH198" s="44"/>
      <c r="AI198" s="44"/>
      <c r="AJ198" s="44"/>
      <c r="AK198" s="44"/>
    </row>
    <row r="199" spans="1:37" x14ac:dyDescent="0.3">
      <c r="A199" s="44"/>
      <c r="B199" s="44"/>
      <c r="C199" s="44"/>
      <c r="D199" s="44"/>
      <c r="E199" s="44"/>
      <c r="F199" s="44"/>
      <c r="G199" s="44"/>
      <c r="H199" s="44"/>
      <c r="I199" s="44"/>
      <c r="J199" s="44"/>
      <c r="K199" s="44"/>
      <c r="L199" s="44"/>
      <c r="M199" s="44"/>
      <c r="N199" s="44"/>
      <c r="O199" s="44"/>
      <c r="P199" s="44"/>
      <c r="Q199" s="44"/>
      <c r="R199" s="44"/>
      <c r="S199" s="44"/>
      <c r="T199" s="44" t="s">
        <v>2513</v>
      </c>
      <c r="U199" s="44" t="s">
        <v>2637</v>
      </c>
      <c r="V199" s="44" t="s">
        <v>1967</v>
      </c>
      <c r="W199" s="44" t="s">
        <v>1135</v>
      </c>
      <c r="X199" s="44"/>
      <c r="Y199" s="44"/>
      <c r="Z199" s="44"/>
      <c r="AA199" s="44"/>
      <c r="AB199" s="44"/>
      <c r="AC199" s="44"/>
      <c r="AD199" s="44"/>
      <c r="AE199" s="44"/>
      <c r="AF199" s="44"/>
      <c r="AG199" s="44"/>
      <c r="AH199" s="44"/>
      <c r="AI199" s="44"/>
      <c r="AJ199" s="44"/>
      <c r="AK199" s="44"/>
    </row>
    <row r="200" spans="1:37" x14ac:dyDescent="0.3">
      <c r="A200" s="44"/>
      <c r="B200" s="44"/>
      <c r="C200" s="44"/>
      <c r="D200" s="44"/>
      <c r="E200" s="44"/>
      <c r="F200" s="44"/>
      <c r="G200" s="44"/>
      <c r="H200" s="44"/>
      <c r="I200" s="44"/>
      <c r="J200" s="44"/>
      <c r="K200" s="44"/>
      <c r="L200" s="44"/>
      <c r="M200" s="44"/>
      <c r="N200" s="44"/>
      <c r="O200" s="44"/>
      <c r="P200" s="44"/>
      <c r="Q200" s="44"/>
      <c r="R200" s="44"/>
      <c r="S200" s="44"/>
      <c r="T200" s="44" t="s">
        <v>2513</v>
      </c>
      <c r="U200" s="44" t="s">
        <v>2638</v>
      </c>
      <c r="V200" s="44" t="s">
        <v>1967</v>
      </c>
      <c r="W200" s="44" t="s">
        <v>1135</v>
      </c>
      <c r="X200" s="44"/>
      <c r="Y200" s="44"/>
      <c r="Z200" s="44"/>
      <c r="AA200" s="44"/>
      <c r="AB200" s="44"/>
      <c r="AC200" s="44"/>
      <c r="AD200" s="44"/>
      <c r="AE200" s="44"/>
      <c r="AF200" s="44"/>
      <c r="AG200" s="44"/>
      <c r="AH200" s="44"/>
      <c r="AI200" s="44"/>
      <c r="AJ200" s="44"/>
      <c r="AK200" s="44"/>
    </row>
    <row r="201" spans="1:37" x14ac:dyDescent="0.3">
      <c r="A201" s="44"/>
      <c r="B201" s="44"/>
      <c r="C201" s="44"/>
      <c r="D201" s="44"/>
      <c r="E201" s="44"/>
      <c r="F201" s="44"/>
      <c r="G201" s="44"/>
      <c r="H201" s="44"/>
      <c r="I201" s="44"/>
      <c r="J201" s="44"/>
      <c r="K201" s="44"/>
      <c r="L201" s="44"/>
      <c r="M201" s="44"/>
      <c r="N201" s="44"/>
      <c r="O201" s="44"/>
      <c r="P201" s="44"/>
      <c r="Q201" s="44"/>
      <c r="R201" s="44"/>
      <c r="S201" s="44"/>
      <c r="T201" s="44" t="s">
        <v>2513</v>
      </c>
      <c r="U201" s="44" t="s">
        <v>2639</v>
      </c>
      <c r="V201" s="44" t="s">
        <v>2446</v>
      </c>
      <c r="W201" s="44" t="s">
        <v>791</v>
      </c>
      <c r="X201" s="44"/>
      <c r="Y201" s="44"/>
      <c r="Z201" s="44"/>
      <c r="AA201" s="44"/>
      <c r="AB201" s="44"/>
      <c r="AC201" s="44"/>
      <c r="AD201" s="44"/>
      <c r="AE201" s="44"/>
      <c r="AF201" s="44"/>
      <c r="AG201" s="44"/>
      <c r="AH201" s="44"/>
      <c r="AI201" s="44"/>
      <c r="AJ201" s="44"/>
      <c r="AK201" s="44"/>
    </row>
    <row r="202" spans="1:37" x14ac:dyDescent="0.3">
      <c r="A202" s="44"/>
      <c r="B202" s="44"/>
      <c r="C202" s="44"/>
      <c r="D202" s="44"/>
      <c r="E202" s="44"/>
      <c r="F202" s="44"/>
      <c r="G202" s="44"/>
      <c r="H202" s="44"/>
      <c r="I202" s="44"/>
      <c r="J202" s="44"/>
      <c r="K202" s="44"/>
      <c r="L202" s="44"/>
      <c r="M202" s="44"/>
      <c r="N202" s="44"/>
      <c r="O202" s="44"/>
      <c r="P202" s="44"/>
      <c r="Q202" s="44"/>
      <c r="R202" s="44"/>
      <c r="S202" s="44"/>
      <c r="T202" s="44" t="s">
        <v>2513</v>
      </c>
      <c r="U202" s="44" t="s">
        <v>2640</v>
      </c>
      <c r="V202" s="44" t="s">
        <v>1967</v>
      </c>
      <c r="W202" s="44" t="s">
        <v>1135</v>
      </c>
      <c r="X202" s="44"/>
      <c r="Y202" s="44"/>
      <c r="Z202" s="44"/>
      <c r="AA202" s="44"/>
      <c r="AB202" s="44"/>
      <c r="AC202" s="44"/>
      <c r="AD202" s="44"/>
      <c r="AE202" s="44"/>
      <c r="AF202" s="44"/>
      <c r="AG202" s="44"/>
      <c r="AH202" s="44"/>
      <c r="AI202" s="44"/>
      <c r="AJ202" s="44"/>
      <c r="AK202" s="44"/>
    </row>
    <row r="203" spans="1:37" x14ac:dyDescent="0.3">
      <c r="A203" s="44"/>
      <c r="B203" s="44"/>
      <c r="C203" s="44"/>
      <c r="D203" s="44"/>
      <c r="E203" s="44"/>
      <c r="F203" s="44"/>
      <c r="G203" s="44"/>
      <c r="H203" s="44"/>
      <c r="I203" s="44"/>
      <c r="J203" s="44"/>
      <c r="K203" s="44"/>
      <c r="L203" s="44"/>
      <c r="M203" s="44"/>
      <c r="N203" s="44"/>
      <c r="O203" s="44"/>
      <c r="P203" s="44"/>
      <c r="Q203" s="44"/>
      <c r="R203" s="44"/>
      <c r="S203" s="44"/>
      <c r="T203" s="44" t="s">
        <v>2513</v>
      </c>
      <c r="U203" s="44" t="s">
        <v>2137</v>
      </c>
      <c r="V203" s="44"/>
      <c r="W203" s="44"/>
      <c r="X203" s="44"/>
      <c r="Y203" s="44"/>
      <c r="Z203" s="44"/>
      <c r="AA203" s="44"/>
      <c r="AB203" s="44"/>
      <c r="AC203" s="44"/>
      <c r="AD203" s="44"/>
      <c r="AE203" s="44"/>
      <c r="AF203" s="44"/>
      <c r="AG203" s="44"/>
      <c r="AH203" s="44"/>
      <c r="AI203" s="44"/>
      <c r="AJ203" s="44"/>
      <c r="AK203" s="44"/>
    </row>
    <row r="204" spans="1:37" x14ac:dyDescent="0.3">
      <c r="A204" s="44"/>
      <c r="B204" s="44"/>
      <c r="C204" s="44"/>
      <c r="D204" s="44"/>
      <c r="E204" s="44"/>
      <c r="F204" s="44"/>
      <c r="G204" s="44"/>
      <c r="H204" s="44"/>
      <c r="I204" s="44"/>
      <c r="J204" s="44"/>
      <c r="K204" s="44"/>
      <c r="L204" s="44"/>
      <c r="M204" s="44"/>
      <c r="N204" s="44"/>
      <c r="O204" s="44"/>
      <c r="P204" s="44"/>
      <c r="Q204" s="44"/>
      <c r="R204" s="44"/>
      <c r="S204" s="44"/>
      <c r="T204" s="44" t="s">
        <v>2522</v>
      </c>
      <c r="U204" s="44" t="s">
        <v>2641</v>
      </c>
      <c r="V204" s="44" t="s">
        <v>2042</v>
      </c>
      <c r="W204" s="44" t="s">
        <v>814</v>
      </c>
      <c r="X204" s="44"/>
      <c r="Y204" s="44"/>
      <c r="Z204" s="44"/>
      <c r="AA204" s="44"/>
      <c r="AB204" s="44"/>
      <c r="AC204" s="44"/>
      <c r="AD204" s="44"/>
      <c r="AE204" s="44"/>
      <c r="AF204" s="44"/>
      <c r="AG204" s="44"/>
      <c r="AH204" s="44"/>
      <c r="AI204" s="44"/>
      <c r="AJ204" s="44"/>
      <c r="AK204" s="44"/>
    </row>
    <row r="205" spans="1:37" x14ac:dyDescent="0.3">
      <c r="A205" s="44"/>
      <c r="B205" s="44"/>
      <c r="C205" s="44"/>
      <c r="D205" s="44"/>
      <c r="E205" s="44"/>
      <c r="F205" s="44"/>
      <c r="G205" s="44"/>
      <c r="H205" s="44"/>
      <c r="I205" s="44"/>
      <c r="J205" s="44"/>
      <c r="K205" s="44"/>
      <c r="L205" s="44"/>
      <c r="M205" s="44"/>
      <c r="N205" s="44"/>
      <c r="O205" s="44"/>
      <c r="P205" s="44"/>
      <c r="Q205" s="44"/>
      <c r="R205" s="44"/>
      <c r="S205" s="44"/>
      <c r="T205" s="44" t="s">
        <v>2522</v>
      </c>
      <c r="U205" s="44" t="s">
        <v>2642</v>
      </c>
      <c r="V205" s="44" t="s">
        <v>2042</v>
      </c>
      <c r="W205" s="44" t="s">
        <v>814</v>
      </c>
      <c r="X205" s="44"/>
      <c r="Y205" s="44"/>
      <c r="Z205" s="44"/>
      <c r="AA205" s="44"/>
      <c r="AB205" s="44"/>
      <c r="AC205" s="44"/>
      <c r="AD205" s="44"/>
      <c r="AE205" s="44"/>
      <c r="AF205" s="44"/>
      <c r="AG205" s="44"/>
      <c r="AH205" s="44"/>
      <c r="AI205" s="44"/>
      <c r="AJ205" s="44"/>
      <c r="AK205" s="44"/>
    </row>
    <row r="206" spans="1:37" x14ac:dyDescent="0.3">
      <c r="A206" s="44"/>
      <c r="B206" s="44"/>
      <c r="C206" s="44"/>
      <c r="D206" s="44"/>
      <c r="E206" s="44"/>
      <c r="F206" s="44"/>
      <c r="G206" s="44"/>
      <c r="H206" s="44"/>
      <c r="I206" s="44"/>
      <c r="J206" s="44"/>
      <c r="K206" s="44"/>
      <c r="L206" s="44"/>
      <c r="M206" s="44"/>
      <c r="N206" s="44"/>
      <c r="O206" s="44"/>
      <c r="P206" s="44"/>
      <c r="Q206" s="44"/>
      <c r="R206" s="44"/>
      <c r="S206" s="44"/>
      <c r="T206" s="44" t="s">
        <v>2522</v>
      </c>
      <c r="U206" s="44" t="s">
        <v>2643</v>
      </c>
      <c r="V206" s="44" t="s">
        <v>2042</v>
      </c>
      <c r="W206" s="44" t="s">
        <v>814</v>
      </c>
      <c r="X206" s="44"/>
      <c r="Y206" s="44"/>
      <c r="Z206" s="44"/>
      <c r="AA206" s="44"/>
      <c r="AB206" s="44"/>
      <c r="AC206" s="44"/>
      <c r="AD206" s="44"/>
      <c r="AE206" s="44"/>
      <c r="AF206" s="44"/>
      <c r="AG206" s="44"/>
      <c r="AH206" s="44"/>
      <c r="AI206" s="44"/>
      <c r="AJ206" s="44"/>
      <c r="AK206" s="44"/>
    </row>
    <row r="207" spans="1:37" x14ac:dyDescent="0.3">
      <c r="A207" s="44"/>
      <c r="B207" s="44"/>
      <c r="C207" s="44"/>
      <c r="D207" s="44"/>
      <c r="E207" s="44"/>
      <c r="F207" s="44"/>
      <c r="G207" s="44"/>
      <c r="H207" s="44"/>
      <c r="I207" s="44"/>
      <c r="J207" s="44"/>
      <c r="K207" s="44"/>
      <c r="L207" s="44"/>
      <c r="M207" s="44"/>
      <c r="N207" s="44"/>
      <c r="O207" s="44"/>
      <c r="P207" s="44"/>
      <c r="Q207" s="44"/>
      <c r="R207" s="44"/>
      <c r="S207" s="44"/>
      <c r="T207" s="44" t="s">
        <v>2522</v>
      </c>
      <c r="U207" s="44" t="s">
        <v>2137</v>
      </c>
      <c r="V207" s="44"/>
      <c r="W207" s="44"/>
      <c r="X207" s="44"/>
      <c r="Y207" s="44"/>
      <c r="Z207" s="44"/>
      <c r="AA207" s="44"/>
      <c r="AB207" s="44"/>
      <c r="AC207" s="44"/>
      <c r="AD207" s="44"/>
      <c r="AE207" s="44"/>
      <c r="AF207" s="44"/>
      <c r="AG207" s="44"/>
      <c r="AH207" s="44"/>
      <c r="AI207" s="44"/>
      <c r="AJ207" s="44"/>
      <c r="AK207" s="44"/>
    </row>
    <row r="208" spans="1:37" x14ac:dyDescent="0.3">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row>
  </sheetData>
  <sheetProtection password="CC6D" sheet="1" formatColumns="0" formatRows="0" autoFilter="0"/>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16</vt:i4>
      </vt:variant>
    </vt:vector>
  </HeadingPairs>
  <TitlesOfParts>
    <vt:vector size="23" baseType="lpstr">
      <vt:lpstr>Instructivo</vt:lpstr>
      <vt:lpstr>Guía UNSPSC</vt:lpstr>
      <vt:lpstr>Formulación PDN 2027</vt:lpstr>
      <vt:lpstr>2026</vt:lpstr>
      <vt:lpstr>Tablero_Consistencia</vt:lpstr>
      <vt:lpstr>Insumo_Plan_Adquisiciones</vt:lpstr>
      <vt:lpstr>Catalogos</vt:lpstr>
      <vt:lpstr>L_AREAS</vt:lpstr>
      <vt:lpstr>L_ESTVF</vt:lpstr>
      <vt:lpstr>L_FUENTE</vt:lpstr>
      <vt:lpstr>L_GASTO</vt:lpstr>
      <vt:lpstr>L_MESES</vt:lpstr>
      <vt:lpstr>L_METAS</vt:lpstr>
      <vt:lpstr>L_MOD</vt:lpstr>
      <vt:lpstr>L_PRIOR</vt:lpstr>
      <vt:lpstr>L_REG2026</vt:lpstr>
      <vt:lpstr>L_SINO</vt:lpstr>
      <vt:lpstr>L_TIPO</vt:lpstr>
      <vt:lpstr>L_UNIDAD</vt:lpstr>
      <vt:lpstr>P_FECHA</vt:lpstr>
      <vt:lpstr>P_SMMLV</vt:lpstr>
      <vt:lpstr>P_TOPE_MENOR</vt:lpstr>
      <vt:lpstr>P_TOPE_MINIMA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Fabian Ospina</cp:lastModifiedBy>
  <cp:revision>0</cp:revision>
  <dcterms:created xsi:type="dcterms:W3CDTF">2026-10-22T17:47:12Z</dcterms:created>
  <dcterms:modified xsi:type="dcterms:W3CDTF">2026-10-22T17:50:01Z</dcterms:modified>
  <dc:language>en-US</dc:language>
</cp:coreProperties>
</file>